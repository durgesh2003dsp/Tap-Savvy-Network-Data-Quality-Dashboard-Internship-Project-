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Durgesh 2025\Tap savvy internship\"/>
    </mc:Choice>
  </mc:AlternateContent>
  <xr:revisionPtr revIDLastSave="0" documentId="13_ncr:1_{FA64FDC3-88F8-42F5-AF2B-8BA5B0A00F17}" xr6:coauthVersionLast="47" xr6:coauthVersionMax="47" xr10:uidLastSave="{00000000-0000-0000-0000-000000000000}"/>
  <bookViews>
    <workbookView xWindow="-108" yWindow="-108" windowWidth="23256" windowHeight="12576" firstSheet="7" activeTab="7" xr2:uid="{00000000-000D-0000-FFFF-FFFF00000000}"/>
  </bookViews>
  <sheets>
    <sheet name="1-27" sheetId="1" r:id="rId1"/>
    <sheet name="28-55" sheetId="2" r:id="rId2"/>
    <sheet name="bni infinite" sheetId="21" r:id="rId3"/>
    <sheet name="93-143" sheetId="4" r:id="rId4"/>
    <sheet name="Turtle Down" sheetId="14" r:id="rId5"/>
    <sheet name="grasi" sheetId="19" r:id="rId6"/>
    <sheet name="Ashish Life Science" sheetId="11" r:id="rId7"/>
    <sheet name="FINAL SHEET" sheetId="23" r:id="rId8"/>
    <sheet name="All in all sheet" sheetId="22" r:id="rId9"/>
    <sheet name="56-92" sheetId="3" r:id="rId10"/>
    <sheet name="200-260" sheetId="6" r:id="rId11"/>
    <sheet name="Ask Konsultancy" sheetId="15" r:id="rId12"/>
    <sheet name="bni triummph" sheetId="17" r:id="rId13"/>
    <sheet name="bni lighthouse" sheetId="18" r:id="rId14"/>
    <sheet name="261-307" sheetId="7" r:id="rId15"/>
    <sheet name="144-199" sheetId="5" r:id="rId16"/>
    <sheet name="Team Login" sheetId="8" r:id="rId17"/>
    <sheet name="user details" sheetId="9" r:id="rId18"/>
    <sheet name="ProductService" sheetId="16" r:id="rId19"/>
    <sheet name="game drive" sheetId="10" r:id="rId20"/>
    <sheet name="Kashish Furnishing" sheetId="12" r:id="rId21"/>
    <sheet name="vasupati" sheetId="13" r:id="rId22"/>
    <sheet name="bajaj capital" sheetId="20" r:id="rId23"/>
    <sheet name="Sheet1" sheetId="24" r:id="rId24"/>
  </sheets>
  <externalReferences>
    <externalReference r:id="rId2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95" i="23" l="1"/>
  <c r="R395" i="23"/>
  <c r="S395" i="23" s="1"/>
  <c r="T395" i="23"/>
  <c r="O396" i="23"/>
  <c r="R396" i="23"/>
  <c r="S396" i="23" s="1"/>
  <c r="T396" i="23"/>
  <c r="O397" i="23"/>
  <c r="R397" i="23"/>
  <c r="S397" i="23" s="1"/>
  <c r="T397" i="23"/>
  <c r="O398" i="23"/>
  <c r="R398" i="23"/>
  <c r="S398" i="23" s="1"/>
  <c r="T398" i="23"/>
  <c r="O399" i="23"/>
  <c r="R399" i="23"/>
  <c r="S399" i="23" s="1"/>
  <c r="T399" i="23"/>
  <c r="O400" i="23"/>
  <c r="R400" i="23"/>
  <c r="S400" i="23" s="1"/>
  <c r="T400" i="23"/>
  <c r="O401" i="23"/>
  <c r="R401" i="23"/>
  <c r="S401" i="23" s="1"/>
  <c r="T401" i="23"/>
  <c r="O402" i="23"/>
  <c r="R402" i="23"/>
  <c r="S402" i="23" s="1"/>
  <c r="T402" i="23"/>
  <c r="D298" i="23" l="1"/>
  <c r="D267" i="23"/>
  <c r="D259" i="23"/>
  <c r="D258" i="23"/>
  <c r="D253" i="23"/>
  <c r="D252" i="23"/>
  <c r="D250" i="23"/>
  <c r="D247" i="23"/>
  <c r="D246" i="23"/>
  <c r="D245" i="23"/>
  <c r="D244" i="23"/>
  <c r="D242" i="23"/>
  <c r="D241" i="23"/>
  <c r="D238" i="23"/>
  <c r="D237" i="23"/>
  <c r="D236" i="23"/>
  <c r="D235" i="23"/>
  <c r="D362" i="23"/>
  <c r="D361" i="23"/>
  <c r="D359" i="23"/>
  <c r="D358" i="23"/>
  <c r="D357" i="23"/>
  <c r="D356" i="23"/>
  <c r="D355" i="23"/>
  <c r="D354" i="23"/>
  <c r="D353" i="23"/>
  <c r="D352" i="23"/>
  <c r="D646" i="23" l="1"/>
  <c r="D630" i="23"/>
  <c r="D631" i="23"/>
  <c r="D632" i="23"/>
  <c r="D633" i="23"/>
  <c r="D634" i="23"/>
  <c r="D635" i="23"/>
  <c r="D636" i="23"/>
  <c r="D637" i="23"/>
  <c r="D638" i="23"/>
  <c r="D639" i="23"/>
  <c r="D640" i="23"/>
  <c r="D641" i="23"/>
  <c r="D642" i="23"/>
  <c r="D643" i="23"/>
  <c r="D644" i="23"/>
  <c r="D645" i="23"/>
  <c r="D624" i="23"/>
  <c r="D625" i="23"/>
  <c r="D626" i="23"/>
  <c r="D627" i="23"/>
  <c r="D628" i="23"/>
  <c r="D629" i="23"/>
  <c r="D617" i="23"/>
  <c r="D618" i="23"/>
  <c r="D619" i="23"/>
  <c r="D620" i="23"/>
  <c r="D621" i="23"/>
  <c r="D622" i="23"/>
  <c r="D623" i="23"/>
  <c r="D614" i="23"/>
  <c r="D615" i="23"/>
  <c r="D616" i="23"/>
  <c r="D612" i="23"/>
  <c r="O640" i="23"/>
  <c r="R640" i="23"/>
  <c r="S640" i="23" s="1"/>
  <c r="T640" i="23"/>
  <c r="O623" i="23"/>
  <c r="R623" i="23"/>
  <c r="S623" i="23" s="1"/>
  <c r="T623" i="23"/>
  <c r="O622" i="23"/>
  <c r="R622" i="23"/>
  <c r="S622" i="23" s="1"/>
  <c r="T622" i="23"/>
  <c r="O621" i="23"/>
  <c r="R621" i="23"/>
  <c r="S621" i="23" s="1"/>
  <c r="T621" i="23"/>
  <c r="O620" i="23"/>
  <c r="R620" i="23"/>
  <c r="S620" i="23" s="1"/>
  <c r="T620" i="23"/>
  <c r="O614" i="23"/>
  <c r="R614" i="23"/>
  <c r="S614" i="23" s="1"/>
  <c r="T614" i="23"/>
  <c r="O616" i="23"/>
  <c r="R616" i="23"/>
  <c r="S616" i="23" s="1"/>
  <c r="T616" i="23"/>
  <c r="O298" i="23"/>
  <c r="R298" i="23"/>
  <c r="S298" i="23" s="1"/>
  <c r="T298" i="23"/>
  <c r="D233" i="23"/>
  <c r="D4" i="23"/>
  <c r="D29" i="23"/>
  <c r="D21" i="23"/>
  <c r="D22" i="23"/>
  <c r="D23" i="23"/>
  <c r="D24" i="23"/>
  <c r="D25" i="23"/>
  <c r="D26" i="23"/>
  <c r="D27" i="23"/>
  <c r="D28" i="23"/>
  <c r="D30" i="23"/>
  <c r="D31" i="23"/>
  <c r="D32" i="23"/>
  <c r="D33" i="23"/>
  <c r="D34" i="23"/>
  <c r="D35" i="23"/>
  <c r="D20" i="23"/>
  <c r="D18" i="23"/>
  <c r="D17" i="23"/>
  <c r="D16" i="23"/>
  <c r="D15" i="23"/>
  <c r="D14" i="23"/>
  <c r="R2" i="23"/>
  <c r="S2" i="23" s="1"/>
  <c r="R3" i="23"/>
  <c r="S3" i="23" s="1"/>
  <c r="R4" i="23"/>
  <c r="S4" i="23" s="1"/>
  <c r="R5" i="23"/>
  <c r="S5" i="23" s="1"/>
  <c r="R6" i="23"/>
  <c r="S6" i="23" s="1"/>
  <c r="R7" i="23"/>
  <c r="S7" i="23" s="1"/>
  <c r="R8" i="23"/>
  <c r="S8" i="23" s="1"/>
  <c r="R9" i="23"/>
  <c r="S9" i="23" s="1"/>
  <c r="R10" i="23"/>
  <c r="S10" i="23" s="1"/>
  <c r="R11" i="23"/>
  <c r="S11" i="23" s="1"/>
  <c r="R12" i="23"/>
  <c r="S12" i="23" s="1"/>
  <c r="R13" i="23"/>
  <c r="S13" i="23" s="1"/>
  <c r="R14" i="23"/>
  <c r="S14" i="23" s="1"/>
  <c r="R15" i="23"/>
  <c r="S15" i="23" s="1"/>
  <c r="R16" i="23"/>
  <c r="S16" i="23" s="1"/>
  <c r="R17" i="23"/>
  <c r="S17" i="23" s="1"/>
  <c r="R18" i="23"/>
  <c r="S18" i="23" s="1"/>
  <c r="R19" i="23"/>
  <c r="S19" i="23" s="1"/>
  <c r="R20" i="23"/>
  <c r="S20" i="23" s="1"/>
  <c r="R21" i="23"/>
  <c r="S21" i="23" s="1"/>
  <c r="R22" i="23"/>
  <c r="S22" i="23" s="1"/>
  <c r="R23" i="23"/>
  <c r="S23" i="23" s="1"/>
  <c r="R24" i="23"/>
  <c r="S24" i="23" s="1"/>
  <c r="R25" i="23"/>
  <c r="S25" i="23" s="1"/>
  <c r="R26" i="23"/>
  <c r="S26" i="23" s="1"/>
  <c r="R27" i="23"/>
  <c r="S27" i="23" s="1"/>
  <c r="R28" i="23"/>
  <c r="S28" i="23" s="1"/>
  <c r="R29" i="23"/>
  <c r="S29" i="23" s="1"/>
  <c r="R30" i="23"/>
  <c r="S30" i="23" s="1"/>
  <c r="R31" i="23"/>
  <c r="S31" i="23" s="1"/>
  <c r="R32" i="23"/>
  <c r="S32" i="23" s="1"/>
  <c r="R33" i="23"/>
  <c r="S33" i="23" s="1"/>
  <c r="R34" i="23"/>
  <c r="S34" i="23" s="1"/>
  <c r="R35" i="23"/>
  <c r="S35" i="23" s="1"/>
  <c r="R36" i="23"/>
  <c r="S36" i="23" s="1"/>
  <c r="R37" i="23"/>
  <c r="S37" i="23" s="1"/>
  <c r="R38" i="23"/>
  <c r="S38" i="23" s="1"/>
  <c r="R39" i="23"/>
  <c r="S39" i="23" s="1"/>
  <c r="R40" i="23"/>
  <c r="S40" i="23" s="1"/>
  <c r="R41" i="23"/>
  <c r="S41" i="23" s="1"/>
  <c r="R42" i="23"/>
  <c r="S42" i="23" s="1"/>
  <c r="R43" i="23"/>
  <c r="S43" i="23" s="1"/>
  <c r="R44" i="23"/>
  <c r="S44" i="23" s="1"/>
  <c r="R45" i="23"/>
  <c r="S45" i="23" s="1"/>
  <c r="R46" i="23"/>
  <c r="S46" i="23" s="1"/>
  <c r="R47" i="23"/>
  <c r="S47" i="23" s="1"/>
  <c r="R48" i="23"/>
  <c r="S48" i="23" s="1"/>
  <c r="R49" i="23"/>
  <c r="S49" i="23" s="1"/>
  <c r="R50" i="23"/>
  <c r="S50" i="23" s="1"/>
  <c r="R51" i="23"/>
  <c r="S51" i="23" s="1"/>
  <c r="R52" i="23"/>
  <c r="S52" i="23" s="1"/>
  <c r="R53" i="23"/>
  <c r="S53" i="23" s="1"/>
  <c r="R54" i="23"/>
  <c r="S54" i="23" s="1"/>
  <c r="R55" i="23"/>
  <c r="S55" i="23" s="1"/>
  <c r="R56" i="23"/>
  <c r="S56" i="23" s="1"/>
  <c r="R57" i="23"/>
  <c r="S57" i="23" s="1"/>
  <c r="R58" i="23"/>
  <c r="S58" i="23" s="1"/>
  <c r="R59" i="23"/>
  <c r="S59" i="23" s="1"/>
  <c r="R60" i="23"/>
  <c r="S60" i="23" s="1"/>
  <c r="R61" i="23"/>
  <c r="S61" i="23" s="1"/>
  <c r="R62" i="23"/>
  <c r="S62" i="23" s="1"/>
  <c r="R63" i="23"/>
  <c r="S63" i="23" s="1"/>
  <c r="R64" i="23"/>
  <c r="S64" i="23" s="1"/>
  <c r="R65" i="23"/>
  <c r="S65" i="23" s="1"/>
  <c r="R66" i="23"/>
  <c r="S66" i="23" s="1"/>
  <c r="R67" i="23"/>
  <c r="S67" i="23" s="1"/>
  <c r="R68" i="23"/>
  <c r="S68" i="23" s="1"/>
  <c r="R69" i="23"/>
  <c r="S69" i="23" s="1"/>
  <c r="R70" i="23"/>
  <c r="S70" i="23" s="1"/>
  <c r="R71" i="23"/>
  <c r="S71" i="23" s="1"/>
  <c r="R72" i="23"/>
  <c r="S72" i="23" s="1"/>
  <c r="R73" i="23"/>
  <c r="S73" i="23" s="1"/>
  <c r="R74" i="23"/>
  <c r="S74" i="23" s="1"/>
  <c r="R75" i="23"/>
  <c r="S75" i="23" s="1"/>
  <c r="R76" i="23"/>
  <c r="S76" i="23" s="1"/>
  <c r="R77" i="23"/>
  <c r="S77" i="23" s="1"/>
  <c r="R78" i="23"/>
  <c r="S78" i="23" s="1"/>
  <c r="R79" i="23"/>
  <c r="S79" i="23" s="1"/>
  <c r="R80" i="23"/>
  <c r="S80" i="23" s="1"/>
  <c r="R81" i="23"/>
  <c r="S81" i="23" s="1"/>
  <c r="R82" i="23"/>
  <c r="S82" i="23" s="1"/>
  <c r="R83" i="23"/>
  <c r="S83" i="23" s="1"/>
  <c r="R84" i="23"/>
  <c r="S84" i="23" s="1"/>
  <c r="R85" i="23"/>
  <c r="S85" i="23" s="1"/>
  <c r="R86" i="23"/>
  <c r="S86" i="23" s="1"/>
  <c r="R87" i="23"/>
  <c r="S87" i="23" s="1"/>
  <c r="R88" i="23"/>
  <c r="S88" i="23" s="1"/>
  <c r="R89" i="23"/>
  <c r="S89" i="23" s="1"/>
  <c r="R90" i="23"/>
  <c r="S90" i="23" s="1"/>
  <c r="R91" i="23"/>
  <c r="S91" i="23" s="1"/>
  <c r="R92" i="23"/>
  <c r="S92" i="23" s="1"/>
  <c r="R93" i="23"/>
  <c r="S93" i="23" s="1"/>
  <c r="R94" i="23"/>
  <c r="S94" i="23" s="1"/>
  <c r="R95" i="23"/>
  <c r="S95" i="23" s="1"/>
  <c r="R96" i="23"/>
  <c r="S96" i="23" s="1"/>
  <c r="R97" i="23"/>
  <c r="S97" i="23" s="1"/>
  <c r="R98" i="23"/>
  <c r="S98" i="23" s="1"/>
  <c r="R99" i="23"/>
  <c r="S99" i="23" s="1"/>
  <c r="R100" i="23"/>
  <c r="S100" i="23" s="1"/>
  <c r="R101" i="23"/>
  <c r="S101" i="23" s="1"/>
  <c r="R102" i="23"/>
  <c r="S102" i="23" s="1"/>
  <c r="R103" i="23"/>
  <c r="S103" i="23" s="1"/>
  <c r="R104" i="23"/>
  <c r="S104" i="23" s="1"/>
  <c r="R105" i="23"/>
  <c r="S105" i="23" s="1"/>
  <c r="R106" i="23"/>
  <c r="S106" i="23" s="1"/>
  <c r="R107" i="23"/>
  <c r="S107" i="23" s="1"/>
  <c r="R108" i="23"/>
  <c r="S108" i="23" s="1"/>
  <c r="R109" i="23"/>
  <c r="S109" i="23" s="1"/>
  <c r="R110" i="23"/>
  <c r="S110" i="23" s="1"/>
  <c r="R111" i="23"/>
  <c r="S111" i="23" s="1"/>
  <c r="R112" i="23"/>
  <c r="S112" i="23" s="1"/>
  <c r="R113" i="23"/>
  <c r="S113" i="23" s="1"/>
  <c r="R114" i="23"/>
  <c r="S114" i="23" s="1"/>
  <c r="R115" i="23"/>
  <c r="S115" i="23" s="1"/>
  <c r="R116" i="23"/>
  <c r="S116" i="23" s="1"/>
  <c r="R117" i="23"/>
  <c r="S117" i="23" s="1"/>
  <c r="R118" i="23"/>
  <c r="S118" i="23" s="1"/>
  <c r="R119" i="23"/>
  <c r="S119" i="23" s="1"/>
  <c r="R120" i="23"/>
  <c r="S120" i="23" s="1"/>
  <c r="R121" i="23"/>
  <c r="S121" i="23" s="1"/>
  <c r="R122" i="23"/>
  <c r="S122" i="23" s="1"/>
  <c r="R123" i="23"/>
  <c r="S123" i="23" s="1"/>
  <c r="R124" i="23"/>
  <c r="S124" i="23" s="1"/>
  <c r="R125" i="23"/>
  <c r="S125" i="23" s="1"/>
  <c r="R126" i="23"/>
  <c r="S126" i="23" s="1"/>
  <c r="R127" i="23"/>
  <c r="S127" i="23" s="1"/>
  <c r="R128" i="23"/>
  <c r="S128" i="23" s="1"/>
  <c r="R129" i="23"/>
  <c r="S129" i="23" s="1"/>
  <c r="R130" i="23"/>
  <c r="S130" i="23" s="1"/>
  <c r="R131" i="23"/>
  <c r="S131" i="23" s="1"/>
  <c r="R132" i="23"/>
  <c r="S132" i="23" s="1"/>
  <c r="R133" i="23"/>
  <c r="S133" i="23" s="1"/>
  <c r="R134" i="23"/>
  <c r="S134" i="23" s="1"/>
  <c r="R135" i="23"/>
  <c r="S135" i="23" s="1"/>
  <c r="R136" i="23"/>
  <c r="S136" i="23" s="1"/>
  <c r="R137" i="23"/>
  <c r="S137" i="23" s="1"/>
  <c r="R138" i="23"/>
  <c r="S138" i="23" s="1"/>
  <c r="R139" i="23"/>
  <c r="S139" i="23" s="1"/>
  <c r="R140" i="23"/>
  <c r="S140" i="23" s="1"/>
  <c r="R141" i="23"/>
  <c r="S141" i="23" s="1"/>
  <c r="R142" i="23"/>
  <c r="S142" i="23" s="1"/>
  <c r="R143" i="23"/>
  <c r="S143" i="23" s="1"/>
  <c r="R144" i="23"/>
  <c r="S144" i="23" s="1"/>
  <c r="R145" i="23"/>
  <c r="S145" i="23" s="1"/>
  <c r="R146" i="23"/>
  <c r="S146" i="23" s="1"/>
  <c r="R147" i="23"/>
  <c r="S147" i="23" s="1"/>
  <c r="R148" i="23"/>
  <c r="S148" i="23" s="1"/>
  <c r="R149" i="23"/>
  <c r="S149" i="23" s="1"/>
  <c r="R150" i="23"/>
  <c r="S150" i="23" s="1"/>
  <c r="R151" i="23"/>
  <c r="S151" i="23" s="1"/>
  <c r="R152" i="23"/>
  <c r="S152" i="23" s="1"/>
  <c r="R153" i="23"/>
  <c r="S153" i="23" s="1"/>
  <c r="R154" i="23"/>
  <c r="S154" i="23" s="1"/>
  <c r="R155" i="23"/>
  <c r="S155" i="23" s="1"/>
  <c r="R156" i="23"/>
  <c r="S156" i="23" s="1"/>
  <c r="R157" i="23"/>
  <c r="S157" i="23" s="1"/>
  <c r="R158" i="23"/>
  <c r="S158" i="23" s="1"/>
  <c r="R159" i="23"/>
  <c r="S159" i="23" s="1"/>
  <c r="R160" i="23"/>
  <c r="S160" i="23" s="1"/>
  <c r="R161" i="23"/>
  <c r="S161" i="23" s="1"/>
  <c r="R162" i="23"/>
  <c r="S162" i="23" s="1"/>
  <c r="R163" i="23"/>
  <c r="S163" i="23" s="1"/>
  <c r="R164" i="23"/>
  <c r="S164" i="23" s="1"/>
  <c r="R165" i="23"/>
  <c r="S165" i="23" s="1"/>
  <c r="R166" i="23"/>
  <c r="S166" i="23" s="1"/>
  <c r="R167" i="23"/>
  <c r="S167" i="23" s="1"/>
  <c r="R168" i="23"/>
  <c r="S168" i="23" s="1"/>
  <c r="R169" i="23"/>
  <c r="S169" i="23" s="1"/>
  <c r="R170" i="23"/>
  <c r="S170" i="23" s="1"/>
  <c r="R171" i="23"/>
  <c r="S171" i="23" s="1"/>
  <c r="R172" i="23"/>
  <c r="S172" i="23" s="1"/>
  <c r="R173" i="23"/>
  <c r="S173" i="23" s="1"/>
  <c r="R174" i="23"/>
  <c r="S174" i="23" s="1"/>
  <c r="R175" i="23"/>
  <c r="S175" i="23" s="1"/>
  <c r="R176" i="23"/>
  <c r="S176" i="23" s="1"/>
  <c r="R177" i="23"/>
  <c r="S177" i="23" s="1"/>
  <c r="R178" i="23"/>
  <c r="S178" i="23" s="1"/>
  <c r="R179" i="23"/>
  <c r="S179" i="23" s="1"/>
  <c r="R180" i="23"/>
  <c r="S180" i="23" s="1"/>
  <c r="R181" i="23"/>
  <c r="S181" i="23" s="1"/>
  <c r="R182" i="23"/>
  <c r="S182" i="23" s="1"/>
  <c r="R183" i="23"/>
  <c r="S183" i="23" s="1"/>
  <c r="R184" i="23"/>
  <c r="S184" i="23" s="1"/>
  <c r="R185" i="23"/>
  <c r="S185" i="23" s="1"/>
  <c r="R186" i="23"/>
  <c r="S186" i="23" s="1"/>
  <c r="R187" i="23"/>
  <c r="S187" i="23" s="1"/>
  <c r="R188" i="23"/>
  <c r="S188" i="23" s="1"/>
  <c r="R189" i="23"/>
  <c r="S189" i="23" s="1"/>
  <c r="R190" i="23"/>
  <c r="S190" i="23" s="1"/>
  <c r="R191" i="23"/>
  <c r="S191" i="23" s="1"/>
  <c r="R192" i="23"/>
  <c r="S192" i="23" s="1"/>
  <c r="R193" i="23"/>
  <c r="S193" i="23" s="1"/>
  <c r="R194" i="23"/>
  <c r="S194" i="23" s="1"/>
  <c r="R195" i="23"/>
  <c r="S195" i="23" s="1"/>
  <c r="R196" i="23"/>
  <c r="S196" i="23" s="1"/>
  <c r="R197" i="23"/>
  <c r="S197" i="23" s="1"/>
  <c r="R198" i="23"/>
  <c r="S198" i="23" s="1"/>
  <c r="R199" i="23"/>
  <c r="S199" i="23" s="1"/>
  <c r="R200" i="23"/>
  <c r="S200" i="23" s="1"/>
  <c r="R201" i="23"/>
  <c r="S201" i="23" s="1"/>
  <c r="R202" i="23"/>
  <c r="S202" i="23" s="1"/>
  <c r="R203" i="23"/>
  <c r="S203" i="23" s="1"/>
  <c r="R204" i="23"/>
  <c r="S204" i="23" s="1"/>
  <c r="R205" i="23"/>
  <c r="S205" i="23" s="1"/>
  <c r="R206" i="23"/>
  <c r="S206" i="23" s="1"/>
  <c r="R207" i="23"/>
  <c r="S207" i="23" s="1"/>
  <c r="R208" i="23"/>
  <c r="S208" i="23" s="1"/>
  <c r="R209" i="23"/>
  <c r="S209" i="23" s="1"/>
  <c r="R210" i="23"/>
  <c r="S210" i="23" s="1"/>
  <c r="R211" i="23"/>
  <c r="S211" i="23" s="1"/>
  <c r="R212" i="23"/>
  <c r="S212" i="23" s="1"/>
  <c r="R213" i="23"/>
  <c r="S213" i="23" s="1"/>
  <c r="R214" i="23"/>
  <c r="S214" i="23" s="1"/>
  <c r="R215" i="23"/>
  <c r="S215" i="23" s="1"/>
  <c r="R216" i="23"/>
  <c r="S216" i="23" s="1"/>
  <c r="R217" i="23"/>
  <c r="S217" i="23" s="1"/>
  <c r="R218" i="23"/>
  <c r="S218" i="23" s="1"/>
  <c r="R219" i="23"/>
  <c r="S219" i="23" s="1"/>
  <c r="R220" i="23"/>
  <c r="S220" i="23" s="1"/>
  <c r="R221" i="23"/>
  <c r="S221" i="23" s="1"/>
  <c r="R222" i="23"/>
  <c r="S222" i="23" s="1"/>
  <c r="R223" i="23"/>
  <c r="S223" i="23" s="1"/>
  <c r="R224" i="23"/>
  <c r="S224" i="23" s="1"/>
  <c r="R225" i="23"/>
  <c r="S225" i="23" s="1"/>
  <c r="R226" i="23"/>
  <c r="S226" i="23" s="1"/>
  <c r="R227" i="23"/>
  <c r="S227" i="23" s="1"/>
  <c r="R228" i="23"/>
  <c r="S228" i="23" s="1"/>
  <c r="R229" i="23"/>
  <c r="S229" i="23" s="1"/>
  <c r="R230" i="23"/>
  <c r="S230" i="23" s="1"/>
  <c r="R231" i="23"/>
  <c r="S231" i="23" s="1"/>
  <c r="R232" i="23"/>
  <c r="S232" i="23" s="1"/>
  <c r="R233" i="23"/>
  <c r="S233" i="23" s="1"/>
  <c r="R234" i="23"/>
  <c r="S234" i="23" s="1"/>
  <c r="R235" i="23"/>
  <c r="S235" i="23" s="1"/>
  <c r="R236" i="23"/>
  <c r="S236" i="23" s="1"/>
  <c r="R237" i="23"/>
  <c r="S237" i="23" s="1"/>
  <c r="R238" i="23"/>
  <c r="S238" i="23" s="1"/>
  <c r="R239" i="23"/>
  <c r="S239" i="23" s="1"/>
  <c r="R240" i="23"/>
  <c r="S240" i="23" s="1"/>
  <c r="R241" i="23"/>
  <c r="S241" i="23" s="1"/>
  <c r="R242" i="23"/>
  <c r="S242" i="23" s="1"/>
  <c r="R243" i="23"/>
  <c r="S243" i="23" s="1"/>
  <c r="R244" i="23"/>
  <c r="S244" i="23" s="1"/>
  <c r="R245" i="23"/>
  <c r="S245" i="23" s="1"/>
  <c r="R246" i="23"/>
  <c r="S246" i="23" s="1"/>
  <c r="R247" i="23"/>
  <c r="S247" i="23" s="1"/>
  <c r="R248" i="23"/>
  <c r="S248" i="23" s="1"/>
  <c r="R249" i="23"/>
  <c r="S249" i="23" s="1"/>
  <c r="R250" i="23"/>
  <c r="S250" i="23" s="1"/>
  <c r="R251" i="23"/>
  <c r="S251" i="23" s="1"/>
  <c r="R252" i="23"/>
  <c r="S252" i="23" s="1"/>
  <c r="R253" i="23"/>
  <c r="S253" i="23" s="1"/>
  <c r="R254" i="23"/>
  <c r="S254" i="23" s="1"/>
  <c r="R255" i="23"/>
  <c r="S255" i="23" s="1"/>
  <c r="R256" i="23"/>
  <c r="S256" i="23" s="1"/>
  <c r="R257" i="23"/>
  <c r="S257" i="23" s="1"/>
  <c r="R258" i="23"/>
  <c r="S258" i="23" s="1"/>
  <c r="R259" i="23"/>
  <c r="S259" i="23" s="1"/>
  <c r="R260" i="23"/>
  <c r="S260" i="23" s="1"/>
  <c r="R261" i="23"/>
  <c r="S261" i="23" s="1"/>
  <c r="R262" i="23"/>
  <c r="S262" i="23" s="1"/>
  <c r="R263" i="23"/>
  <c r="S263" i="23" s="1"/>
  <c r="R264" i="23"/>
  <c r="S264" i="23" s="1"/>
  <c r="R265" i="23"/>
  <c r="S265" i="23" s="1"/>
  <c r="R266" i="23"/>
  <c r="S266" i="23" s="1"/>
  <c r="R267" i="23"/>
  <c r="S267" i="23" s="1"/>
  <c r="R268" i="23"/>
  <c r="S268" i="23" s="1"/>
  <c r="R269" i="23"/>
  <c r="S269" i="23" s="1"/>
  <c r="R270" i="23"/>
  <c r="S270" i="23" s="1"/>
  <c r="R271" i="23"/>
  <c r="S271" i="23" s="1"/>
  <c r="R272" i="23"/>
  <c r="S272" i="23" s="1"/>
  <c r="R273" i="23"/>
  <c r="S273" i="23" s="1"/>
  <c r="R274" i="23"/>
  <c r="S274" i="23" s="1"/>
  <c r="R275" i="23"/>
  <c r="S275" i="23" s="1"/>
  <c r="R276" i="23"/>
  <c r="S276" i="23" s="1"/>
  <c r="R277" i="23"/>
  <c r="S277" i="23" s="1"/>
  <c r="R278" i="23"/>
  <c r="S278" i="23" s="1"/>
  <c r="R279" i="23"/>
  <c r="S279" i="23" s="1"/>
  <c r="R280" i="23"/>
  <c r="S280" i="23" s="1"/>
  <c r="R281" i="23"/>
  <c r="S281" i="23" s="1"/>
  <c r="R282" i="23"/>
  <c r="S282" i="23" s="1"/>
  <c r="R283" i="23"/>
  <c r="S283" i="23" s="1"/>
  <c r="R284" i="23"/>
  <c r="S284" i="23" s="1"/>
  <c r="R285" i="23"/>
  <c r="S285" i="23" s="1"/>
  <c r="R286" i="23"/>
  <c r="S286" i="23" s="1"/>
  <c r="R287" i="23"/>
  <c r="S287" i="23" s="1"/>
  <c r="R288" i="23"/>
  <c r="S288" i="23" s="1"/>
  <c r="R289" i="23"/>
  <c r="S289" i="23" s="1"/>
  <c r="R290" i="23"/>
  <c r="S290" i="23" s="1"/>
  <c r="R291" i="23"/>
  <c r="S291" i="23" s="1"/>
  <c r="R292" i="23"/>
  <c r="S292" i="23" s="1"/>
  <c r="R293" i="23"/>
  <c r="S293" i="23" s="1"/>
  <c r="R294" i="23"/>
  <c r="S294" i="23" s="1"/>
  <c r="R295" i="23"/>
  <c r="S295" i="23" s="1"/>
  <c r="R296" i="23"/>
  <c r="S296" i="23" s="1"/>
  <c r="R297" i="23"/>
  <c r="S297" i="23" s="1"/>
  <c r="R299" i="23"/>
  <c r="S299" i="23" s="1"/>
  <c r="R300" i="23"/>
  <c r="S300" i="23" s="1"/>
  <c r="R301" i="23"/>
  <c r="S301" i="23" s="1"/>
  <c r="R302" i="23"/>
  <c r="S302" i="23" s="1"/>
  <c r="R303" i="23"/>
  <c r="S303" i="23" s="1"/>
  <c r="R304" i="23"/>
  <c r="S304" i="23" s="1"/>
  <c r="R305" i="23"/>
  <c r="S305" i="23" s="1"/>
  <c r="R306" i="23"/>
  <c r="S306" i="23" s="1"/>
  <c r="R307" i="23"/>
  <c r="S307" i="23" s="1"/>
  <c r="R308" i="23"/>
  <c r="S308" i="23" s="1"/>
  <c r="R309" i="23"/>
  <c r="S309" i="23" s="1"/>
  <c r="R310" i="23"/>
  <c r="S310" i="23" s="1"/>
  <c r="R311" i="23"/>
  <c r="S311" i="23" s="1"/>
  <c r="R312" i="23"/>
  <c r="S312" i="23" s="1"/>
  <c r="R313" i="23"/>
  <c r="S313" i="23" s="1"/>
  <c r="R314" i="23"/>
  <c r="S314" i="23" s="1"/>
  <c r="R315" i="23"/>
  <c r="S315" i="23" s="1"/>
  <c r="R316" i="23"/>
  <c r="S316" i="23" s="1"/>
  <c r="R317" i="23"/>
  <c r="S317" i="23" s="1"/>
  <c r="R318" i="23"/>
  <c r="S318" i="23" s="1"/>
  <c r="R319" i="23"/>
  <c r="S319" i="23" s="1"/>
  <c r="R320" i="23"/>
  <c r="S320" i="23" s="1"/>
  <c r="R321" i="23"/>
  <c r="S321" i="23" s="1"/>
  <c r="R322" i="23"/>
  <c r="S322" i="23" s="1"/>
  <c r="R323" i="23"/>
  <c r="S323" i="23" s="1"/>
  <c r="R324" i="23"/>
  <c r="S324" i="23" s="1"/>
  <c r="R325" i="23"/>
  <c r="S325" i="23" s="1"/>
  <c r="R326" i="23"/>
  <c r="S326" i="23" s="1"/>
  <c r="R327" i="23"/>
  <c r="S327" i="23" s="1"/>
  <c r="R328" i="23"/>
  <c r="S328" i="23" s="1"/>
  <c r="R329" i="23"/>
  <c r="S329" i="23" s="1"/>
  <c r="R330" i="23"/>
  <c r="S330" i="23" s="1"/>
  <c r="R331" i="23"/>
  <c r="S331" i="23" s="1"/>
  <c r="R332" i="23"/>
  <c r="S332" i="23" s="1"/>
  <c r="R333" i="23"/>
  <c r="S333" i="23" s="1"/>
  <c r="R334" i="23"/>
  <c r="S334" i="23" s="1"/>
  <c r="R335" i="23"/>
  <c r="S335" i="23" s="1"/>
  <c r="R336" i="23"/>
  <c r="S336" i="23" s="1"/>
  <c r="R337" i="23"/>
  <c r="S337" i="23" s="1"/>
  <c r="R338" i="23"/>
  <c r="S338" i="23" s="1"/>
  <c r="R339" i="23"/>
  <c r="S339" i="23" s="1"/>
  <c r="R340" i="23"/>
  <c r="S340" i="23" s="1"/>
  <c r="R341" i="23"/>
  <c r="S341" i="23" s="1"/>
  <c r="R342" i="23"/>
  <c r="S342" i="23" s="1"/>
  <c r="R343" i="23"/>
  <c r="S343" i="23" s="1"/>
  <c r="R344" i="23"/>
  <c r="S344" i="23" s="1"/>
  <c r="R345" i="23"/>
  <c r="S345" i="23" s="1"/>
  <c r="R346" i="23"/>
  <c r="S346" i="23" s="1"/>
  <c r="R347" i="23"/>
  <c r="S347" i="23" s="1"/>
  <c r="R348" i="23"/>
  <c r="S348" i="23" s="1"/>
  <c r="R349" i="23"/>
  <c r="S349" i="23" s="1"/>
  <c r="R350" i="23"/>
  <c r="S350" i="23" s="1"/>
  <c r="R351" i="23"/>
  <c r="S351" i="23" s="1"/>
  <c r="R352" i="23"/>
  <c r="S352" i="23" s="1"/>
  <c r="R353" i="23"/>
  <c r="S353" i="23" s="1"/>
  <c r="R354" i="23"/>
  <c r="S354" i="23" s="1"/>
  <c r="R355" i="23"/>
  <c r="S355" i="23" s="1"/>
  <c r="R356" i="23"/>
  <c r="S356" i="23" s="1"/>
  <c r="R357" i="23"/>
  <c r="S357" i="23" s="1"/>
  <c r="R358" i="23"/>
  <c r="S358" i="23" s="1"/>
  <c r="R359" i="23"/>
  <c r="S359" i="23" s="1"/>
  <c r="R360" i="23"/>
  <c r="S360" i="23" s="1"/>
  <c r="R361" i="23"/>
  <c r="S361" i="23" s="1"/>
  <c r="R362" i="23"/>
  <c r="S362" i="23" s="1"/>
  <c r="R363" i="23"/>
  <c r="S363" i="23" s="1"/>
  <c r="R364" i="23"/>
  <c r="S364" i="23" s="1"/>
  <c r="R365" i="23"/>
  <c r="S365" i="23" s="1"/>
  <c r="R366" i="23"/>
  <c r="S366" i="23" s="1"/>
  <c r="R367" i="23"/>
  <c r="S367" i="23" s="1"/>
  <c r="R368" i="23"/>
  <c r="S368" i="23" s="1"/>
  <c r="R369" i="23"/>
  <c r="S369" i="23" s="1"/>
  <c r="R370" i="23"/>
  <c r="S370" i="23" s="1"/>
  <c r="R371" i="23"/>
  <c r="S371" i="23" s="1"/>
  <c r="R372" i="23"/>
  <c r="S372" i="23" s="1"/>
  <c r="R373" i="23"/>
  <c r="S373" i="23" s="1"/>
  <c r="R374" i="23"/>
  <c r="S374" i="23" s="1"/>
  <c r="R375" i="23"/>
  <c r="S375" i="23" s="1"/>
  <c r="R376" i="23"/>
  <c r="S376" i="23" s="1"/>
  <c r="R377" i="23"/>
  <c r="S377" i="23" s="1"/>
  <c r="R378" i="23"/>
  <c r="S378" i="23" s="1"/>
  <c r="R379" i="23"/>
  <c r="S379" i="23" s="1"/>
  <c r="R380" i="23"/>
  <c r="S380" i="23" s="1"/>
  <c r="R381" i="23"/>
  <c r="S381" i="23" s="1"/>
  <c r="R382" i="23"/>
  <c r="S382" i="23" s="1"/>
  <c r="R383" i="23"/>
  <c r="S383" i="23" s="1"/>
  <c r="R384" i="23"/>
  <c r="S384" i="23" s="1"/>
  <c r="R385" i="23"/>
  <c r="S385" i="23" s="1"/>
  <c r="R386" i="23"/>
  <c r="S386" i="23" s="1"/>
  <c r="R387" i="23"/>
  <c r="S387" i="23" s="1"/>
  <c r="R388" i="23"/>
  <c r="S388" i="23" s="1"/>
  <c r="R389" i="23"/>
  <c r="S389" i="23" s="1"/>
  <c r="R390" i="23"/>
  <c r="S390" i="23" s="1"/>
  <c r="R391" i="23"/>
  <c r="S391" i="23" s="1"/>
  <c r="R392" i="23"/>
  <c r="S392" i="23" s="1"/>
  <c r="R393" i="23"/>
  <c r="S393" i="23" s="1"/>
  <c r="R394" i="23"/>
  <c r="S394" i="23" s="1"/>
  <c r="R403" i="23"/>
  <c r="S403" i="23" s="1"/>
  <c r="R404" i="23"/>
  <c r="S404" i="23" s="1"/>
  <c r="R405" i="23"/>
  <c r="S405" i="23" s="1"/>
  <c r="R406" i="23"/>
  <c r="S406" i="23" s="1"/>
  <c r="R407" i="23"/>
  <c r="S407" i="23" s="1"/>
  <c r="R408" i="23"/>
  <c r="S408" i="23" s="1"/>
  <c r="R409" i="23"/>
  <c r="S409" i="23" s="1"/>
  <c r="R410" i="23"/>
  <c r="S410" i="23" s="1"/>
  <c r="R411" i="23"/>
  <c r="S411" i="23" s="1"/>
  <c r="R412" i="23"/>
  <c r="S412" i="23" s="1"/>
  <c r="R413" i="23"/>
  <c r="S413" i="23" s="1"/>
  <c r="R414" i="23"/>
  <c r="S414" i="23" s="1"/>
  <c r="R415" i="23"/>
  <c r="S415" i="23" s="1"/>
  <c r="R416" i="23"/>
  <c r="S416" i="23" s="1"/>
  <c r="R417" i="23"/>
  <c r="S417" i="23" s="1"/>
  <c r="R418" i="23"/>
  <c r="S418" i="23" s="1"/>
  <c r="R419" i="23"/>
  <c r="S419" i="23" s="1"/>
  <c r="R420" i="23"/>
  <c r="S420" i="23" s="1"/>
  <c r="R421" i="23"/>
  <c r="S421" i="23" s="1"/>
  <c r="R422" i="23"/>
  <c r="S422" i="23" s="1"/>
  <c r="R423" i="23"/>
  <c r="S423" i="23" s="1"/>
  <c r="R424" i="23"/>
  <c r="S424" i="23" s="1"/>
  <c r="R425" i="23"/>
  <c r="S425" i="23" s="1"/>
  <c r="R426" i="23"/>
  <c r="S426" i="23" s="1"/>
  <c r="R427" i="23"/>
  <c r="S427" i="23" s="1"/>
  <c r="R428" i="23"/>
  <c r="S428" i="23" s="1"/>
  <c r="R429" i="23"/>
  <c r="S429" i="23" s="1"/>
  <c r="R430" i="23"/>
  <c r="S430" i="23" s="1"/>
  <c r="R431" i="23"/>
  <c r="S431" i="23" s="1"/>
  <c r="R432" i="23"/>
  <c r="S432" i="23" s="1"/>
  <c r="R433" i="23"/>
  <c r="S433" i="23" s="1"/>
  <c r="R434" i="23"/>
  <c r="S434" i="23" s="1"/>
  <c r="R435" i="23"/>
  <c r="S435" i="23" s="1"/>
  <c r="R436" i="23"/>
  <c r="S436" i="23" s="1"/>
  <c r="R437" i="23"/>
  <c r="S437" i="23" s="1"/>
  <c r="R438" i="23"/>
  <c r="S438" i="23" s="1"/>
  <c r="R439" i="23"/>
  <c r="S439" i="23" s="1"/>
  <c r="R440" i="23"/>
  <c r="S440" i="23" s="1"/>
  <c r="R441" i="23"/>
  <c r="S441" i="23" s="1"/>
  <c r="R442" i="23"/>
  <c r="S442" i="23" s="1"/>
  <c r="R443" i="23"/>
  <c r="S443" i="23" s="1"/>
  <c r="R444" i="23"/>
  <c r="S444" i="23" s="1"/>
  <c r="R445" i="23"/>
  <c r="S445" i="23" s="1"/>
  <c r="R446" i="23"/>
  <c r="S446" i="23" s="1"/>
  <c r="R447" i="23"/>
  <c r="S447" i="23" s="1"/>
  <c r="R448" i="23"/>
  <c r="S448" i="23" s="1"/>
  <c r="R449" i="23"/>
  <c r="S449" i="23" s="1"/>
  <c r="R450" i="23"/>
  <c r="S450" i="23" s="1"/>
  <c r="R451" i="23"/>
  <c r="S451" i="23" s="1"/>
  <c r="R452" i="23"/>
  <c r="S452" i="23" s="1"/>
  <c r="R453" i="23"/>
  <c r="S453" i="23" s="1"/>
  <c r="R454" i="23"/>
  <c r="S454" i="23" s="1"/>
  <c r="R455" i="23"/>
  <c r="S455" i="23" s="1"/>
  <c r="R456" i="23"/>
  <c r="S456" i="23" s="1"/>
  <c r="R457" i="23"/>
  <c r="S457" i="23" s="1"/>
  <c r="R458" i="23"/>
  <c r="S458" i="23" s="1"/>
  <c r="R459" i="23"/>
  <c r="S459" i="23" s="1"/>
  <c r="R460" i="23"/>
  <c r="S460" i="23" s="1"/>
  <c r="R461" i="23"/>
  <c r="S461" i="23" s="1"/>
  <c r="R462" i="23"/>
  <c r="S462" i="23" s="1"/>
  <c r="R463" i="23"/>
  <c r="S463" i="23" s="1"/>
  <c r="R464" i="23"/>
  <c r="S464" i="23" s="1"/>
  <c r="R465" i="23"/>
  <c r="S465" i="23" s="1"/>
  <c r="R466" i="23"/>
  <c r="S466" i="23" s="1"/>
  <c r="R467" i="23"/>
  <c r="S467" i="23" s="1"/>
  <c r="R468" i="23"/>
  <c r="S468" i="23" s="1"/>
  <c r="R469" i="23"/>
  <c r="S469" i="23" s="1"/>
  <c r="R470" i="23"/>
  <c r="S470" i="23" s="1"/>
  <c r="R471" i="23"/>
  <c r="S471" i="23" s="1"/>
  <c r="R472" i="23"/>
  <c r="S472" i="23" s="1"/>
  <c r="R473" i="23"/>
  <c r="S473" i="23" s="1"/>
  <c r="R474" i="23"/>
  <c r="S474" i="23" s="1"/>
  <c r="R475" i="23"/>
  <c r="S475" i="23" s="1"/>
  <c r="R476" i="23"/>
  <c r="S476" i="23" s="1"/>
  <c r="R477" i="23"/>
  <c r="S477" i="23" s="1"/>
  <c r="R478" i="23"/>
  <c r="S478" i="23" s="1"/>
  <c r="R479" i="23"/>
  <c r="S479" i="23" s="1"/>
  <c r="R480" i="23"/>
  <c r="S480" i="23" s="1"/>
  <c r="R481" i="23"/>
  <c r="S481" i="23" s="1"/>
  <c r="R482" i="23"/>
  <c r="S482" i="23" s="1"/>
  <c r="R483" i="23"/>
  <c r="S483" i="23" s="1"/>
  <c r="R484" i="23"/>
  <c r="S484" i="23" s="1"/>
  <c r="R485" i="23"/>
  <c r="S485" i="23" s="1"/>
  <c r="R486" i="23"/>
  <c r="S486" i="23" s="1"/>
  <c r="R487" i="23"/>
  <c r="S487" i="23" s="1"/>
  <c r="R488" i="23"/>
  <c r="S488" i="23" s="1"/>
  <c r="R489" i="23"/>
  <c r="S489" i="23" s="1"/>
  <c r="R490" i="23"/>
  <c r="S490" i="23" s="1"/>
  <c r="R491" i="23"/>
  <c r="S491" i="23" s="1"/>
  <c r="R492" i="23"/>
  <c r="S492" i="23" s="1"/>
  <c r="R493" i="23"/>
  <c r="S493" i="23" s="1"/>
  <c r="R494" i="23"/>
  <c r="S494" i="23" s="1"/>
  <c r="R495" i="23"/>
  <c r="S495" i="23" s="1"/>
  <c r="R496" i="23"/>
  <c r="S496" i="23" s="1"/>
  <c r="R497" i="23"/>
  <c r="S497" i="23" s="1"/>
  <c r="R498" i="23"/>
  <c r="S498" i="23" s="1"/>
  <c r="R499" i="23"/>
  <c r="S499" i="23" s="1"/>
  <c r="R500" i="23"/>
  <c r="S500" i="23" s="1"/>
  <c r="R501" i="23"/>
  <c r="S501" i="23" s="1"/>
  <c r="R502" i="23"/>
  <c r="S502" i="23" s="1"/>
  <c r="R503" i="23"/>
  <c r="S503" i="23" s="1"/>
  <c r="R504" i="23"/>
  <c r="S504" i="23" s="1"/>
  <c r="R505" i="23"/>
  <c r="S505" i="23" s="1"/>
  <c r="R506" i="23"/>
  <c r="S506" i="23" s="1"/>
  <c r="R507" i="23"/>
  <c r="S507" i="23" s="1"/>
  <c r="R508" i="23"/>
  <c r="S508" i="23" s="1"/>
  <c r="R509" i="23"/>
  <c r="S509" i="23" s="1"/>
  <c r="R510" i="23"/>
  <c r="S510" i="23" s="1"/>
  <c r="R511" i="23"/>
  <c r="S511" i="23" s="1"/>
  <c r="R512" i="23"/>
  <c r="S512" i="23" s="1"/>
  <c r="R513" i="23"/>
  <c r="S513" i="23" s="1"/>
  <c r="R514" i="23"/>
  <c r="S514" i="23" s="1"/>
  <c r="R515" i="23"/>
  <c r="S515" i="23" s="1"/>
  <c r="R516" i="23"/>
  <c r="S516" i="23" s="1"/>
  <c r="R517" i="23"/>
  <c r="S517" i="23" s="1"/>
  <c r="R518" i="23"/>
  <c r="S518" i="23" s="1"/>
  <c r="R519" i="23"/>
  <c r="S519" i="23" s="1"/>
  <c r="R520" i="23"/>
  <c r="S520" i="23" s="1"/>
  <c r="R521" i="23"/>
  <c r="S521" i="23" s="1"/>
  <c r="R522" i="23"/>
  <c r="S522" i="23" s="1"/>
  <c r="R523" i="23"/>
  <c r="S523" i="23" s="1"/>
  <c r="R524" i="23"/>
  <c r="S524" i="23" s="1"/>
  <c r="R525" i="23"/>
  <c r="S525" i="23" s="1"/>
  <c r="R526" i="23"/>
  <c r="S526" i="23" s="1"/>
  <c r="R527" i="23"/>
  <c r="S527" i="23" s="1"/>
  <c r="R528" i="23"/>
  <c r="S528" i="23" s="1"/>
  <c r="R529" i="23"/>
  <c r="S529" i="23" s="1"/>
  <c r="R530" i="23"/>
  <c r="S530" i="23" s="1"/>
  <c r="R531" i="23"/>
  <c r="S531" i="23" s="1"/>
  <c r="R532" i="23"/>
  <c r="S532" i="23" s="1"/>
  <c r="R533" i="23"/>
  <c r="S533" i="23" s="1"/>
  <c r="R534" i="23"/>
  <c r="S534" i="23" s="1"/>
  <c r="R535" i="23"/>
  <c r="S535" i="23" s="1"/>
  <c r="R536" i="23"/>
  <c r="S536" i="23" s="1"/>
  <c r="R537" i="23"/>
  <c r="S537" i="23" s="1"/>
  <c r="R538" i="23"/>
  <c r="S538" i="23" s="1"/>
  <c r="R539" i="23"/>
  <c r="S539" i="23" s="1"/>
  <c r="R540" i="23"/>
  <c r="S540" i="23" s="1"/>
  <c r="R541" i="23"/>
  <c r="S541" i="23" s="1"/>
  <c r="R542" i="23"/>
  <c r="S542" i="23" s="1"/>
  <c r="R543" i="23"/>
  <c r="S543" i="23" s="1"/>
  <c r="R544" i="23"/>
  <c r="S544" i="23" s="1"/>
  <c r="R545" i="23"/>
  <c r="S545" i="23" s="1"/>
  <c r="R546" i="23"/>
  <c r="S546" i="23" s="1"/>
  <c r="R547" i="23"/>
  <c r="S547" i="23" s="1"/>
  <c r="R548" i="23"/>
  <c r="S548" i="23" s="1"/>
  <c r="R549" i="23"/>
  <c r="S549" i="23" s="1"/>
  <c r="R550" i="23"/>
  <c r="S550" i="23" s="1"/>
  <c r="R551" i="23"/>
  <c r="S551" i="23" s="1"/>
  <c r="R552" i="23"/>
  <c r="S552" i="23" s="1"/>
  <c r="R553" i="23"/>
  <c r="S553" i="23" s="1"/>
  <c r="R554" i="23"/>
  <c r="S554" i="23" s="1"/>
  <c r="R555" i="23"/>
  <c r="S555" i="23" s="1"/>
  <c r="R556" i="23"/>
  <c r="S556" i="23" s="1"/>
  <c r="R557" i="23"/>
  <c r="S557" i="23" s="1"/>
  <c r="R558" i="23"/>
  <c r="S558" i="23" s="1"/>
  <c r="R559" i="23"/>
  <c r="S559" i="23" s="1"/>
  <c r="R560" i="23"/>
  <c r="S560" i="23" s="1"/>
  <c r="R561" i="23"/>
  <c r="S561" i="23" s="1"/>
  <c r="R562" i="23"/>
  <c r="S562" i="23" s="1"/>
  <c r="R563" i="23"/>
  <c r="S563" i="23" s="1"/>
  <c r="R564" i="23"/>
  <c r="S564" i="23" s="1"/>
  <c r="R565" i="23"/>
  <c r="S565" i="23" s="1"/>
  <c r="R566" i="23"/>
  <c r="S566" i="23" s="1"/>
  <c r="R567" i="23"/>
  <c r="S567" i="23" s="1"/>
  <c r="R568" i="23"/>
  <c r="S568" i="23" s="1"/>
  <c r="R569" i="23"/>
  <c r="S569" i="23" s="1"/>
  <c r="R570" i="23"/>
  <c r="S570" i="23" s="1"/>
  <c r="R571" i="23"/>
  <c r="S571" i="23" s="1"/>
  <c r="R572" i="23"/>
  <c r="S572" i="23" s="1"/>
  <c r="R573" i="23"/>
  <c r="S573" i="23" s="1"/>
  <c r="R574" i="23"/>
  <c r="S574" i="23" s="1"/>
  <c r="R575" i="23"/>
  <c r="S575" i="23" s="1"/>
  <c r="R576" i="23"/>
  <c r="S576" i="23" s="1"/>
  <c r="R577" i="23"/>
  <c r="S577" i="23" s="1"/>
  <c r="R578" i="23"/>
  <c r="S578" i="23" s="1"/>
  <c r="R579" i="23"/>
  <c r="S579" i="23" s="1"/>
  <c r="R580" i="23"/>
  <c r="S580" i="23" s="1"/>
  <c r="R581" i="23"/>
  <c r="S581" i="23" s="1"/>
  <c r="R582" i="23"/>
  <c r="S582" i="23" s="1"/>
  <c r="R583" i="23"/>
  <c r="S583" i="23" s="1"/>
  <c r="R584" i="23"/>
  <c r="S584" i="23" s="1"/>
  <c r="R585" i="23"/>
  <c r="S585" i="23" s="1"/>
  <c r="R586" i="23"/>
  <c r="S586" i="23" s="1"/>
  <c r="R587" i="23"/>
  <c r="S587" i="23" s="1"/>
  <c r="R588" i="23"/>
  <c r="S588" i="23" s="1"/>
  <c r="R589" i="23"/>
  <c r="S589" i="23" s="1"/>
  <c r="R590" i="23"/>
  <c r="S590" i="23" s="1"/>
  <c r="R591" i="23"/>
  <c r="S591" i="23" s="1"/>
  <c r="R592" i="23"/>
  <c r="S592" i="23" s="1"/>
  <c r="R593" i="23"/>
  <c r="S593" i="23" s="1"/>
  <c r="R594" i="23"/>
  <c r="S594" i="23" s="1"/>
  <c r="R595" i="23"/>
  <c r="S595" i="23" s="1"/>
  <c r="R596" i="23"/>
  <c r="S596" i="23" s="1"/>
  <c r="R597" i="23"/>
  <c r="S597" i="23" s="1"/>
  <c r="R598" i="23"/>
  <c r="S598" i="23" s="1"/>
  <c r="R599" i="23"/>
  <c r="S599" i="23" s="1"/>
  <c r="R600" i="23"/>
  <c r="S600" i="23" s="1"/>
  <c r="R601" i="23"/>
  <c r="S601" i="23" s="1"/>
  <c r="R602" i="23"/>
  <c r="S602" i="23" s="1"/>
  <c r="R603" i="23"/>
  <c r="S603" i="23" s="1"/>
  <c r="R604" i="23"/>
  <c r="S604" i="23" s="1"/>
  <c r="R605" i="23"/>
  <c r="S605" i="23" s="1"/>
  <c r="R606" i="23"/>
  <c r="S606" i="23" s="1"/>
  <c r="R607" i="23"/>
  <c r="S607" i="23" s="1"/>
  <c r="R608" i="23"/>
  <c r="S608" i="23" s="1"/>
  <c r="R609" i="23"/>
  <c r="S609" i="23" s="1"/>
  <c r="R610" i="23"/>
  <c r="S610" i="23" s="1"/>
  <c r="R611" i="23"/>
  <c r="S611" i="23" s="1"/>
  <c r="R612" i="23"/>
  <c r="S612" i="23" s="1"/>
  <c r="R613" i="23"/>
  <c r="S613" i="23" s="1"/>
  <c r="R615" i="23"/>
  <c r="S615" i="23" s="1"/>
  <c r="R617" i="23"/>
  <c r="S617" i="23" s="1"/>
  <c r="R618" i="23"/>
  <c r="S618" i="23" s="1"/>
  <c r="R619" i="23"/>
  <c r="S619" i="23" s="1"/>
  <c r="R624" i="23"/>
  <c r="S624" i="23" s="1"/>
  <c r="R625" i="23"/>
  <c r="S625" i="23" s="1"/>
  <c r="R626" i="23"/>
  <c r="S626" i="23" s="1"/>
  <c r="R627" i="23"/>
  <c r="S627" i="23" s="1"/>
  <c r="R628" i="23"/>
  <c r="S628" i="23" s="1"/>
  <c r="R629" i="23"/>
  <c r="S629" i="23" s="1"/>
  <c r="R630" i="23"/>
  <c r="S630" i="23" s="1"/>
  <c r="R631" i="23"/>
  <c r="S631" i="23" s="1"/>
  <c r="R632" i="23"/>
  <c r="S632" i="23" s="1"/>
  <c r="R633" i="23"/>
  <c r="S633" i="23" s="1"/>
  <c r="R634" i="23"/>
  <c r="S634" i="23" s="1"/>
  <c r="R635" i="23"/>
  <c r="S635" i="23" s="1"/>
  <c r="R636" i="23"/>
  <c r="S636" i="23" s="1"/>
  <c r="R637" i="23"/>
  <c r="S637" i="23" s="1"/>
  <c r="R638" i="23"/>
  <c r="S638" i="23" s="1"/>
  <c r="R641" i="23"/>
  <c r="S641" i="23" s="1"/>
  <c r="R642" i="23"/>
  <c r="S642" i="23" s="1"/>
  <c r="R643" i="23"/>
  <c r="S643" i="23" s="1"/>
  <c r="R644" i="23"/>
  <c r="S644" i="23" s="1"/>
  <c r="R645" i="23"/>
  <c r="S645" i="23" s="1"/>
  <c r="R646" i="23"/>
  <c r="S646" i="23" s="1"/>
  <c r="R647" i="23"/>
  <c r="S647" i="23" s="1"/>
  <c r="R648" i="23"/>
  <c r="S648" i="23" s="1"/>
  <c r="R649" i="23"/>
  <c r="S649" i="23" s="1"/>
  <c r="R650" i="23"/>
  <c r="S650" i="23" s="1"/>
  <c r="R651" i="23"/>
  <c r="S651" i="23" s="1"/>
  <c r="R652" i="23"/>
  <c r="S652" i="23" s="1"/>
  <c r="R653" i="23"/>
  <c r="S653" i="23" s="1"/>
  <c r="R654" i="23"/>
  <c r="S654" i="23" s="1"/>
  <c r="R655" i="23"/>
  <c r="S655" i="23" s="1"/>
  <c r="R656" i="23"/>
  <c r="S656" i="23" s="1"/>
  <c r="R657" i="23"/>
  <c r="S657" i="23" s="1"/>
  <c r="R658" i="23"/>
  <c r="S658" i="23" s="1"/>
  <c r="R659" i="23"/>
  <c r="S659" i="23" s="1"/>
  <c r="R660" i="23"/>
  <c r="S660" i="23" s="1"/>
  <c r="R661" i="23"/>
  <c r="S661" i="23" s="1"/>
  <c r="R662" i="23"/>
  <c r="S662" i="23" s="1"/>
  <c r="R663" i="23"/>
  <c r="S663" i="23" s="1"/>
  <c r="R664" i="23"/>
  <c r="S664" i="23" s="1"/>
  <c r="R665" i="23"/>
  <c r="S665" i="23" s="1"/>
  <c r="R666" i="23"/>
  <c r="S666" i="23" s="1"/>
  <c r="R667" i="23"/>
  <c r="S667" i="23" s="1"/>
  <c r="R668" i="23"/>
  <c r="S668" i="23" s="1"/>
  <c r="R669" i="23"/>
  <c r="S669" i="23" s="1"/>
  <c r="R670" i="23"/>
  <c r="S670" i="23" s="1"/>
  <c r="R671" i="23"/>
  <c r="S671" i="23" s="1"/>
  <c r="R672" i="23"/>
  <c r="S672" i="23" s="1"/>
  <c r="R673" i="23"/>
  <c r="S673" i="23" s="1"/>
  <c r="R674" i="23"/>
  <c r="S674" i="23" s="1"/>
  <c r="R675" i="23"/>
  <c r="S675" i="23" s="1"/>
  <c r="R676" i="23"/>
  <c r="S676" i="23" s="1"/>
  <c r="R677" i="23"/>
  <c r="S677" i="23" s="1"/>
  <c r="R678" i="23"/>
  <c r="S678" i="23" s="1"/>
  <c r="R679" i="23"/>
  <c r="S679" i="23" s="1"/>
  <c r="R680" i="23"/>
  <c r="S680" i="23" s="1"/>
  <c r="R681" i="23"/>
  <c r="S681" i="23" s="1"/>
  <c r="R682" i="23"/>
  <c r="S682" i="23" s="1"/>
  <c r="R683" i="23"/>
  <c r="S683" i="23" s="1"/>
  <c r="R684" i="23"/>
  <c r="S684" i="23" s="1"/>
  <c r="R685" i="23"/>
  <c r="S685" i="23" s="1"/>
  <c r="R686" i="23"/>
  <c r="S686" i="23" s="1"/>
  <c r="R687" i="23"/>
  <c r="S687" i="23" s="1"/>
  <c r="R688" i="23"/>
  <c r="S688" i="23" s="1"/>
  <c r="R689" i="23"/>
  <c r="S689" i="23" s="1"/>
  <c r="R690" i="23"/>
  <c r="S690" i="23" s="1"/>
  <c r="R691" i="23"/>
  <c r="S691" i="23" s="1"/>
  <c r="R692" i="23"/>
  <c r="S692" i="23" s="1"/>
  <c r="R693" i="23"/>
  <c r="S693" i="23" s="1"/>
  <c r="R694" i="23"/>
  <c r="S694" i="23" s="1"/>
  <c r="R695" i="23"/>
  <c r="S695" i="23" s="1"/>
  <c r="R696" i="23"/>
  <c r="S696" i="23" s="1"/>
  <c r="R697" i="23"/>
  <c r="S697" i="23" s="1"/>
  <c r="R698" i="23"/>
  <c r="S698" i="23" s="1"/>
  <c r="R699" i="23"/>
  <c r="S699" i="23" s="1"/>
  <c r="R700" i="23"/>
  <c r="S700" i="23" s="1"/>
  <c r="R701" i="23"/>
  <c r="S701" i="23" s="1"/>
  <c r="R702" i="23"/>
  <c r="S702" i="23" s="1"/>
  <c r="R703" i="23"/>
  <c r="S703" i="23" s="1"/>
  <c r="R704" i="23"/>
  <c r="S704" i="23" s="1"/>
  <c r="R705" i="23"/>
  <c r="S705" i="23" s="1"/>
  <c r="R706" i="23"/>
  <c r="S706" i="23" s="1"/>
  <c r="R707" i="23"/>
  <c r="S707" i="23" s="1"/>
  <c r="R708" i="23"/>
  <c r="S708" i="23" s="1"/>
  <c r="R709" i="23"/>
  <c r="S709" i="23" s="1"/>
  <c r="R710" i="23"/>
  <c r="S710" i="23" s="1"/>
  <c r="R711" i="23"/>
  <c r="S711" i="23" s="1"/>
  <c r="R712" i="23"/>
  <c r="S712" i="23" s="1"/>
  <c r="R713" i="23"/>
  <c r="S713" i="23" s="1"/>
  <c r="R714" i="23"/>
  <c r="S714" i="23" s="1"/>
  <c r="R715" i="23"/>
  <c r="S715" i="23" s="1"/>
  <c r="R716" i="23"/>
  <c r="S716" i="23" s="1"/>
  <c r="R717" i="23"/>
  <c r="S717" i="23" s="1"/>
  <c r="R718" i="23"/>
  <c r="S718" i="23" s="1"/>
  <c r="R719" i="23"/>
  <c r="S719" i="23" s="1"/>
  <c r="R720" i="23"/>
  <c r="S720" i="23" s="1"/>
  <c r="R721" i="23"/>
  <c r="S721" i="23" s="1"/>
  <c r="R722" i="23"/>
  <c r="S722" i="23" s="1"/>
  <c r="R723" i="23"/>
  <c r="S723" i="23" s="1"/>
  <c r="R724" i="23"/>
  <c r="S724" i="23" s="1"/>
  <c r="R725" i="23"/>
  <c r="S725" i="23" s="1"/>
  <c r="R726" i="23"/>
  <c r="S726" i="23" s="1"/>
  <c r="R727" i="23"/>
  <c r="S727" i="23" s="1"/>
  <c r="R728" i="23"/>
  <c r="S728" i="23" s="1"/>
  <c r="R729" i="23"/>
  <c r="S729" i="23" s="1"/>
  <c r="R730" i="23"/>
  <c r="S730" i="23" s="1"/>
  <c r="R731" i="23"/>
  <c r="S731" i="23" s="1"/>
  <c r="R732" i="23"/>
  <c r="S732" i="23" s="1"/>
  <c r="R733" i="23"/>
  <c r="S733" i="23" s="1"/>
  <c r="R734" i="23"/>
  <c r="S734" i="23" s="1"/>
  <c r="R735" i="23"/>
  <c r="S735" i="23" s="1"/>
  <c r="R736" i="23"/>
  <c r="S736" i="23" s="1"/>
  <c r="R737" i="23"/>
  <c r="S737" i="23" s="1"/>
  <c r="R738" i="23"/>
  <c r="S738" i="23" s="1"/>
  <c r="R739" i="23"/>
  <c r="S739" i="23" s="1"/>
  <c r="R740" i="23"/>
  <c r="S740" i="23" s="1"/>
  <c r="R741" i="23"/>
  <c r="S741" i="23" s="1"/>
  <c r="R742" i="23"/>
  <c r="S742" i="23" s="1"/>
  <c r="R743" i="23"/>
  <c r="S743" i="23" s="1"/>
  <c r="R744" i="23"/>
  <c r="S744" i="23" s="1"/>
  <c r="R745" i="23"/>
  <c r="S745" i="23" s="1"/>
  <c r="R746" i="23"/>
  <c r="S746" i="23" s="1"/>
  <c r="R747" i="23"/>
  <c r="S747" i="23" s="1"/>
  <c r="R748" i="23"/>
  <c r="S748" i="23" s="1"/>
  <c r="R749" i="23"/>
  <c r="S749" i="23" s="1"/>
  <c r="R750" i="23"/>
  <c r="S750" i="23" s="1"/>
  <c r="R751" i="23"/>
  <c r="S751" i="23" s="1"/>
  <c r="R752" i="23"/>
  <c r="S752" i="23" s="1"/>
  <c r="R753" i="23"/>
  <c r="S753" i="23" s="1"/>
  <c r="R754" i="23"/>
  <c r="S754" i="23" s="1"/>
  <c r="R755" i="23"/>
  <c r="S755" i="23" s="1"/>
  <c r="T2" i="23"/>
  <c r="T3" i="23"/>
  <c r="T4" i="23"/>
  <c r="T5" i="23"/>
  <c r="T6" i="23"/>
  <c r="T7" i="23"/>
  <c r="T8" i="23"/>
  <c r="T9" i="23"/>
  <c r="T10" i="23"/>
  <c r="T11" i="23"/>
  <c r="T12" i="23"/>
  <c r="T13" i="23"/>
  <c r="T14" i="23"/>
  <c r="T15" i="23"/>
  <c r="T16" i="23"/>
  <c r="T17" i="23"/>
  <c r="T18" i="23"/>
  <c r="T19" i="23"/>
  <c r="T20" i="23"/>
  <c r="T21" i="23"/>
  <c r="T22" i="23"/>
  <c r="T23" i="23"/>
  <c r="T24" i="23"/>
  <c r="T25" i="23"/>
  <c r="T26" i="23"/>
  <c r="T27" i="23"/>
  <c r="T28" i="23"/>
  <c r="T29" i="23"/>
  <c r="T30" i="23"/>
  <c r="T31" i="23"/>
  <c r="T32" i="23"/>
  <c r="T33" i="23"/>
  <c r="T34" i="23"/>
  <c r="T35" i="23"/>
  <c r="T36" i="23"/>
  <c r="T37" i="23"/>
  <c r="T38" i="23"/>
  <c r="T39" i="23"/>
  <c r="T40" i="23"/>
  <c r="T41" i="23"/>
  <c r="T42" i="23"/>
  <c r="T43" i="23"/>
  <c r="T44" i="23"/>
  <c r="T45" i="23"/>
  <c r="T46" i="23"/>
  <c r="T47" i="23"/>
  <c r="T48" i="23"/>
  <c r="T49" i="23"/>
  <c r="T50" i="23"/>
  <c r="T51" i="23"/>
  <c r="T52" i="23"/>
  <c r="T53" i="23"/>
  <c r="T54" i="23"/>
  <c r="T55" i="23"/>
  <c r="T56" i="23"/>
  <c r="T57" i="23"/>
  <c r="T58" i="23"/>
  <c r="T59" i="23"/>
  <c r="T60" i="23"/>
  <c r="T61" i="23"/>
  <c r="T62" i="23"/>
  <c r="T63" i="23"/>
  <c r="T64" i="23"/>
  <c r="T65" i="23"/>
  <c r="T66" i="23"/>
  <c r="T67" i="23"/>
  <c r="T68" i="23"/>
  <c r="T69" i="23"/>
  <c r="T70" i="23"/>
  <c r="T71" i="23"/>
  <c r="T72" i="23"/>
  <c r="T73" i="23"/>
  <c r="T74" i="23"/>
  <c r="T75" i="23"/>
  <c r="T76" i="23"/>
  <c r="T77" i="23"/>
  <c r="T78" i="23"/>
  <c r="T79" i="23"/>
  <c r="T80" i="23"/>
  <c r="T81" i="23"/>
  <c r="T82" i="23"/>
  <c r="T83" i="23"/>
  <c r="T84" i="23"/>
  <c r="T85" i="23"/>
  <c r="T86" i="23"/>
  <c r="T87" i="23"/>
  <c r="T88" i="23"/>
  <c r="T89" i="23"/>
  <c r="T90" i="23"/>
  <c r="T91" i="23"/>
  <c r="T92" i="23"/>
  <c r="T93" i="23"/>
  <c r="T94" i="23"/>
  <c r="T95" i="23"/>
  <c r="T96" i="23"/>
  <c r="T97" i="23"/>
  <c r="T98" i="23"/>
  <c r="T99" i="23"/>
  <c r="T100" i="23"/>
  <c r="T101" i="23"/>
  <c r="T102" i="23"/>
  <c r="T103" i="23"/>
  <c r="T104" i="23"/>
  <c r="T105" i="23"/>
  <c r="T106" i="23"/>
  <c r="T107" i="23"/>
  <c r="T108" i="23"/>
  <c r="T109" i="23"/>
  <c r="T110" i="23"/>
  <c r="T111" i="23"/>
  <c r="T112" i="23"/>
  <c r="T113" i="23"/>
  <c r="T114" i="23"/>
  <c r="T115" i="23"/>
  <c r="T116" i="23"/>
  <c r="T117" i="23"/>
  <c r="T118" i="23"/>
  <c r="T119" i="23"/>
  <c r="T120" i="23"/>
  <c r="T121" i="23"/>
  <c r="T122" i="23"/>
  <c r="T123" i="23"/>
  <c r="T124" i="23"/>
  <c r="T125" i="23"/>
  <c r="T126" i="23"/>
  <c r="T127" i="23"/>
  <c r="T128" i="23"/>
  <c r="T129" i="23"/>
  <c r="T130" i="23"/>
  <c r="T131" i="23"/>
  <c r="T132" i="23"/>
  <c r="T133" i="23"/>
  <c r="T134" i="23"/>
  <c r="T135" i="23"/>
  <c r="T136" i="23"/>
  <c r="T137" i="23"/>
  <c r="T138" i="23"/>
  <c r="T139" i="23"/>
  <c r="T140" i="23"/>
  <c r="T141" i="23"/>
  <c r="T142" i="23"/>
  <c r="T143" i="23"/>
  <c r="T144" i="23"/>
  <c r="T145" i="23"/>
  <c r="T146" i="23"/>
  <c r="T147" i="23"/>
  <c r="T148" i="23"/>
  <c r="T149" i="23"/>
  <c r="T150" i="23"/>
  <c r="T151" i="23"/>
  <c r="T152" i="23"/>
  <c r="T153" i="23"/>
  <c r="T154" i="23"/>
  <c r="T155" i="23"/>
  <c r="T156" i="23"/>
  <c r="T157" i="23"/>
  <c r="T158" i="23"/>
  <c r="T159" i="23"/>
  <c r="T160" i="23"/>
  <c r="T161" i="23"/>
  <c r="T162" i="23"/>
  <c r="T163" i="23"/>
  <c r="T164" i="23"/>
  <c r="T165" i="23"/>
  <c r="T166" i="23"/>
  <c r="T167" i="23"/>
  <c r="T168" i="23"/>
  <c r="T169" i="23"/>
  <c r="T170" i="23"/>
  <c r="T171" i="23"/>
  <c r="T172" i="23"/>
  <c r="T173" i="23"/>
  <c r="T174" i="23"/>
  <c r="T175" i="23"/>
  <c r="T176" i="23"/>
  <c r="T177" i="23"/>
  <c r="T178" i="23"/>
  <c r="T179" i="23"/>
  <c r="T180" i="23"/>
  <c r="T181" i="23"/>
  <c r="T182" i="23"/>
  <c r="T183" i="23"/>
  <c r="T184" i="23"/>
  <c r="T185" i="23"/>
  <c r="T186" i="23"/>
  <c r="T187" i="23"/>
  <c r="T188" i="23"/>
  <c r="T189" i="23"/>
  <c r="T190" i="23"/>
  <c r="T191" i="23"/>
  <c r="T192" i="23"/>
  <c r="T193" i="23"/>
  <c r="T194" i="23"/>
  <c r="T195" i="23"/>
  <c r="T196" i="23"/>
  <c r="T197" i="23"/>
  <c r="T198" i="23"/>
  <c r="T199" i="23"/>
  <c r="T200" i="23"/>
  <c r="T201" i="23"/>
  <c r="T202" i="23"/>
  <c r="T203" i="23"/>
  <c r="T204" i="23"/>
  <c r="T205" i="23"/>
  <c r="T206" i="23"/>
  <c r="T207" i="23"/>
  <c r="T208" i="23"/>
  <c r="T209" i="23"/>
  <c r="T210" i="23"/>
  <c r="T211" i="23"/>
  <c r="T212" i="23"/>
  <c r="T213" i="23"/>
  <c r="T214" i="23"/>
  <c r="T215" i="23"/>
  <c r="T216" i="23"/>
  <c r="T217" i="23"/>
  <c r="T218" i="23"/>
  <c r="T219" i="23"/>
  <c r="T220" i="23"/>
  <c r="T221" i="23"/>
  <c r="T222" i="23"/>
  <c r="T223" i="23"/>
  <c r="T224" i="23"/>
  <c r="T225" i="23"/>
  <c r="T226" i="23"/>
  <c r="T227" i="23"/>
  <c r="T228" i="23"/>
  <c r="T229" i="23"/>
  <c r="T230" i="23"/>
  <c r="T231" i="23"/>
  <c r="T232" i="23"/>
  <c r="T233" i="23"/>
  <c r="T234" i="23"/>
  <c r="T235" i="23"/>
  <c r="T236" i="23"/>
  <c r="T237" i="23"/>
  <c r="T238" i="23"/>
  <c r="T239" i="23"/>
  <c r="T240" i="23"/>
  <c r="T241" i="23"/>
  <c r="T242" i="23"/>
  <c r="T243" i="23"/>
  <c r="T244" i="23"/>
  <c r="T245" i="23"/>
  <c r="T246" i="23"/>
  <c r="T247" i="23"/>
  <c r="T248" i="23"/>
  <c r="T249" i="23"/>
  <c r="T250" i="23"/>
  <c r="T251" i="23"/>
  <c r="T252" i="23"/>
  <c r="T253" i="23"/>
  <c r="T254" i="23"/>
  <c r="T255" i="23"/>
  <c r="T256" i="23"/>
  <c r="T257" i="23"/>
  <c r="T258" i="23"/>
  <c r="T259" i="23"/>
  <c r="T260" i="23"/>
  <c r="T261" i="23"/>
  <c r="T262" i="23"/>
  <c r="T263" i="23"/>
  <c r="T264" i="23"/>
  <c r="T265" i="23"/>
  <c r="T266" i="23"/>
  <c r="T267" i="23"/>
  <c r="T268" i="23"/>
  <c r="T269" i="23"/>
  <c r="T270" i="23"/>
  <c r="T271" i="23"/>
  <c r="T272" i="23"/>
  <c r="T273" i="23"/>
  <c r="T274" i="23"/>
  <c r="T275" i="23"/>
  <c r="T276" i="23"/>
  <c r="T277" i="23"/>
  <c r="T278" i="23"/>
  <c r="T279" i="23"/>
  <c r="T280" i="23"/>
  <c r="T281" i="23"/>
  <c r="T282" i="23"/>
  <c r="T283" i="23"/>
  <c r="T284" i="23"/>
  <c r="T285" i="23"/>
  <c r="T286" i="23"/>
  <c r="T287" i="23"/>
  <c r="T288" i="23"/>
  <c r="T289" i="23"/>
  <c r="T290" i="23"/>
  <c r="T291" i="23"/>
  <c r="T292" i="23"/>
  <c r="T293" i="23"/>
  <c r="T294" i="23"/>
  <c r="T295" i="23"/>
  <c r="T296" i="23"/>
  <c r="T297" i="23"/>
  <c r="T299" i="23"/>
  <c r="T300" i="23"/>
  <c r="T301" i="23"/>
  <c r="T302" i="23"/>
  <c r="T303" i="23"/>
  <c r="T304" i="23"/>
  <c r="T305" i="23"/>
  <c r="T306" i="23"/>
  <c r="T307" i="23"/>
  <c r="T308" i="23"/>
  <c r="T309" i="23"/>
  <c r="T310" i="23"/>
  <c r="T311" i="23"/>
  <c r="T312" i="23"/>
  <c r="T313" i="23"/>
  <c r="T314" i="23"/>
  <c r="T315" i="23"/>
  <c r="T316" i="23"/>
  <c r="T317" i="23"/>
  <c r="T318" i="23"/>
  <c r="T319" i="23"/>
  <c r="T320" i="23"/>
  <c r="T321" i="23"/>
  <c r="T322" i="23"/>
  <c r="T323" i="23"/>
  <c r="T324" i="23"/>
  <c r="T325" i="23"/>
  <c r="T326" i="23"/>
  <c r="T327" i="23"/>
  <c r="T328" i="23"/>
  <c r="T329" i="23"/>
  <c r="T330" i="23"/>
  <c r="T331" i="23"/>
  <c r="T332" i="23"/>
  <c r="T333" i="23"/>
  <c r="T334" i="23"/>
  <c r="T335" i="23"/>
  <c r="T336" i="23"/>
  <c r="T337" i="23"/>
  <c r="T338" i="23"/>
  <c r="T339" i="23"/>
  <c r="T340" i="23"/>
  <c r="T341" i="23"/>
  <c r="T342" i="23"/>
  <c r="T343" i="23"/>
  <c r="T344" i="23"/>
  <c r="T345" i="23"/>
  <c r="T346" i="23"/>
  <c r="T347" i="23"/>
  <c r="T348" i="23"/>
  <c r="T349" i="23"/>
  <c r="T350" i="23"/>
  <c r="T351" i="23"/>
  <c r="T352" i="23"/>
  <c r="T353" i="23"/>
  <c r="T354" i="23"/>
  <c r="T355" i="23"/>
  <c r="T356" i="23"/>
  <c r="T357" i="23"/>
  <c r="T358" i="23"/>
  <c r="T359" i="23"/>
  <c r="T360" i="23"/>
  <c r="T361" i="23"/>
  <c r="T362" i="23"/>
  <c r="T363" i="23"/>
  <c r="T364" i="23"/>
  <c r="T365" i="23"/>
  <c r="T366" i="23"/>
  <c r="T367" i="23"/>
  <c r="T368" i="23"/>
  <c r="T369" i="23"/>
  <c r="T370" i="23"/>
  <c r="T371" i="23"/>
  <c r="T372" i="23"/>
  <c r="T373" i="23"/>
  <c r="T374" i="23"/>
  <c r="T375" i="23"/>
  <c r="T376" i="23"/>
  <c r="T377" i="23"/>
  <c r="T378" i="23"/>
  <c r="T379" i="23"/>
  <c r="T380" i="23"/>
  <c r="T381" i="23"/>
  <c r="T382" i="23"/>
  <c r="T383" i="23"/>
  <c r="T384" i="23"/>
  <c r="T385" i="23"/>
  <c r="T386" i="23"/>
  <c r="T387" i="23"/>
  <c r="T388" i="23"/>
  <c r="T389" i="23"/>
  <c r="T390" i="23"/>
  <c r="T391" i="23"/>
  <c r="T392" i="23"/>
  <c r="T393" i="23"/>
  <c r="T394" i="23"/>
  <c r="T403" i="23"/>
  <c r="T404" i="23"/>
  <c r="T405" i="23"/>
  <c r="T406" i="23"/>
  <c r="T407" i="23"/>
  <c r="T408" i="23"/>
  <c r="T409" i="23"/>
  <c r="T410" i="23"/>
  <c r="T411" i="23"/>
  <c r="T412" i="23"/>
  <c r="T413" i="23"/>
  <c r="T414" i="23"/>
  <c r="T415" i="23"/>
  <c r="T416" i="23"/>
  <c r="T417" i="23"/>
  <c r="T418" i="23"/>
  <c r="T419" i="23"/>
  <c r="T420" i="23"/>
  <c r="T421" i="23"/>
  <c r="T422" i="23"/>
  <c r="T423" i="23"/>
  <c r="T424" i="23"/>
  <c r="T425" i="23"/>
  <c r="T426" i="23"/>
  <c r="T427" i="23"/>
  <c r="T428" i="23"/>
  <c r="T429" i="23"/>
  <c r="T430" i="23"/>
  <c r="T431" i="23"/>
  <c r="T432" i="23"/>
  <c r="T433" i="23"/>
  <c r="T434" i="23"/>
  <c r="T435" i="23"/>
  <c r="T436" i="23"/>
  <c r="T437" i="23"/>
  <c r="T438" i="23"/>
  <c r="T439" i="23"/>
  <c r="T440" i="23"/>
  <c r="T441" i="23"/>
  <c r="T442" i="23"/>
  <c r="T443" i="23"/>
  <c r="T444" i="23"/>
  <c r="T445" i="23"/>
  <c r="T446" i="23"/>
  <c r="T447" i="23"/>
  <c r="T448" i="23"/>
  <c r="T449" i="23"/>
  <c r="T450" i="23"/>
  <c r="T451" i="23"/>
  <c r="T452" i="23"/>
  <c r="T453" i="23"/>
  <c r="T454" i="23"/>
  <c r="T455" i="23"/>
  <c r="T456" i="23"/>
  <c r="T457" i="23"/>
  <c r="T458" i="23"/>
  <c r="T459" i="23"/>
  <c r="T460" i="23"/>
  <c r="T461" i="23"/>
  <c r="T462" i="23"/>
  <c r="T463" i="23"/>
  <c r="T464" i="23"/>
  <c r="T465" i="23"/>
  <c r="T466" i="23"/>
  <c r="T467" i="23"/>
  <c r="T468" i="23"/>
  <c r="T469" i="23"/>
  <c r="T470" i="23"/>
  <c r="T471" i="23"/>
  <c r="T472" i="23"/>
  <c r="T473" i="23"/>
  <c r="T474" i="23"/>
  <c r="T475" i="23"/>
  <c r="T476" i="23"/>
  <c r="T477" i="23"/>
  <c r="T478" i="23"/>
  <c r="T479" i="23"/>
  <c r="T480" i="23"/>
  <c r="T481" i="23"/>
  <c r="T482" i="23"/>
  <c r="T483" i="23"/>
  <c r="T484" i="23"/>
  <c r="T485" i="23"/>
  <c r="T486" i="23"/>
  <c r="T487" i="23"/>
  <c r="T488" i="23"/>
  <c r="T489" i="23"/>
  <c r="T490" i="23"/>
  <c r="T491" i="23"/>
  <c r="T492" i="23"/>
  <c r="T493" i="23"/>
  <c r="T494" i="23"/>
  <c r="T495" i="23"/>
  <c r="T496" i="23"/>
  <c r="T497" i="23"/>
  <c r="T498" i="23"/>
  <c r="T499" i="23"/>
  <c r="T500" i="23"/>
  <c r="T501" i="23"/>
  <c r="T502" i="23"/>
  <c r="T503" i="23"/>
  <c r="T504" i="23"/>
  <c r="T505" i="23"/>
  <c r="T506" i="23"/>
  <c r="T507" i="23"/>
  <c r="T508" i="23"/>
  <c r="T509" i="23"/>
  <c r="T510" i="23"/>
  <c r="T511" i="23"/>
  <c r="T512" i="23"/>
  <c r="T513" i="23"/>
  <c r="T514" i="23"/>
  <c r="T515" i="23"/>
  <c r="T516" i="23"/>
  <c r="T517" i="23"/>
  <c r="T518" i="23"/>
  <c r="T519" i="23"/>
  <c r="T520" i="23"/>
  <c r="T521" i="23"/>
  <c r="T522" i="23"/>
  <c r="T523" i="23"/>
  <c r="T524" i="23"/>
  <c r="T525" i="23"/>
  <c r="T526" i="23"/>
  <c r="T527" i="23"/>
  <c r="T528" i="23"/>
  <c r="T529" i="23"/>
  <c r="T530" i="23"/>
  <c r="T531" i="23"/>
  <c r="T532" i="23"/>
  <c r="T533" i="23"/>
  <c r="T534" i="23"/>
  <c r="T535" i="23"/>
  <c r="T536" i="23"/>
  <c r="T537" i="23"/>
  <c r="T538" i="23"/>
  <c r="T539" i="23"/>
  <c r="T540" i="23"/>
  <c r="T541" i="23"/>
  <c r="T542" i="23"/>
  <c r="T543" i="23"/>
  <c r="T544" i="23"/>
  <c r="T545" i="23"/>
  <c r="T546" i="23"/>
  <c r="T547" i="23"/>
  <c r="T548" i="23"/>
  <c r="T549" i="23"/>
  <c r="T550" i="23"/>
  <c r="T551" i="23"/>
  <c r="T552" i="23"/>
  <c r="T553" i="23"/>
  <c r="T554" i="23"/>
  <c r="T555" i="23"/>
  <c r="T556" i="23"/>
  <c r="T557" i="23"/>
  <c r="T558" i="23"/>
  <c r="T559" i="23"/>
  <c r="T560" i="23"/>
  <c r="T561" i="23"/>
  <c r="T562" i="23"/>
  <c r="T563" i="23"/>
  <c r="T564" i="23"/>
  <c r="T565" i="23"/>
  <c r="T566" i="23"/>
  <c r="T567" i="23"/>
  <c r="T568" i="23"/>
  <c r="T569" i="23"/>
  <c r="T570" i="23"/>
  <c r="T571" i="23"/>
  <c r="T572" i="23"/>
  <c r="T573" i="23"/>
  <c r="T574" i="23"/>
  <c r="T575" i="23"/>
  <c r="T576" i="23"/>
  <c r="T577" i="23"/>
  <c r="T578" i="23"/>
  <c r="T579" i="23"/>
  <c r="T580" i="23"/>
  <c r="T581" i="23"/>
  <c r="T582" i="23"/>
  <c r="T583" i="23"/>
  <c r="T584" i="23"/>
  <c r="T585" i="23"/>
  <c r="T586" i="23"/>
  <c r="T587" i="23"/>
  <c r="T588" i="23"/>
  <c r="T589" i="23"/>
  <c r="T590" i="23"/>
  <c r="T591" i="23"/>
  <c r="T592" i="23"/>
  <c r="T593" i="23"/>
  <c r="T594" i="23"/>
  <c r="T595" i="23"/>
  <c r="T596" i="23"/>
  <c r="T597" i="23"/>
  <c r="T598" i="23"/>
  <c r="T599" i="23"/>
  <c r="T600" i="23"/>
  <c r="T601" i="23"/>
  <c r="T602" i="23"/>
  <c r="T603" i="23"/>
  <c r="T604" i="23"/>
  <c r="T605" i="23"/>
  <c r="T606" i="23"/>
  <c r="T607" i="23"/>
  <c r="T608" i="23"/>
  <c r="T609" i="23"/>
  <c r="T610" i="23"/>
  <c r="T611" i="23"/>
  <c r="T612" i="23"/>
  <c r="T613" i="23"/>
  <c r="T615" i="23"/>
  <c r="T617" i="23"/>
  <c r="T618" i="23"/>
  <c r="T619" i="23"/>
  <c r="T624" i="23"/>
  <c r="T625" i="23"/>
  <c r="T626" i="23"/>
  <c r="T627" i="23"/>
  <c r="T628" i="23"/>
  <c r="T629" i="23"/>
  <c r="T630" i="23"/>
  <c r="T631" i="23"/>
  <c r="T632" i="23"/>
  <c r="T633" i="23"/>
  <c r="T634" i="23"/>
  <c r="T635" i="23"/>
  <c r="T636" i="23"/>
  <c r="T637" i="23"/>
  <c r="T638" i="23"/>
  <c r="T639" i="23"/>
  <c r="T641" i="23"/>
  <c r="T642" i="23"/>
  <c r="T643" i="23"/>
  <c r="T644" i="23"/>
  <c r="T645" i="23"/>
  <c r="T646" i="23"/>
  <c r="T647" i="23"/>
  <c r="T648" i="23"/>
  <c r="T649" i="23"/>
  <c r="T650" i="23"/>
  <c r="T651" i="23"/>
  <c r="T652" i="23"/>
  <c r="T653" i="23"/>
  <c r="T654" i="23"/>
  <c r="T655" i="23"/>
  <c r="T656" i="23"/>
  <c r="T657" i="23"/>
  <c r="T658" i="23"/>
  <c r="T659" i="23"/>
  <c r="T660" i="23"/>
  <c r="T661" i="23"/>
  <c r="T662" i="23"/>
  <c r="T663" i="23"/>
  <c r="T664" i="23"/>
  <c r="T665" i="23"/>
  <c r="T666" i="23"/>
  <c r="T667" i="23"/>
  <c r="T668" i="23"/>
  <c r="T669" i="23"/>
  <c r="T670" i="23"/>
  <c r="T671" i="23"/>
  <c r="T672" i="23"/>
  <c r="T673" i="23"/>
  <c r="T674" i="23"/>
  <c r="T675" i="23"/>
  <c r="T676" i="23"/>
  <c r="T677" i="23"/>
  <c r="T678" i="23"/>
  <c r="T679" i="23"/>
  <c r="T680" i="23"/>
  <c r="T681" i="23"/>
  <c r="T682" i="23"/>
  <c r="T683" i="23"/>
  <c r="T684" i="23"/>
  <c r="T685" i="23"/>
  <c r="T686" i="23"/>
  <c r="T687" i="23"/>
  <c r="T688" i="23"/>
  <c r="T689" i="23"/>
  <c r="T690" i="23"/>
  <c r="T691" i="23"/>
  <c r="T692" i="23"/>
  <c r="T693" i="23"/>
  <c r="T694" i="23"/>
  <c r="T695" i="23"/>
  <c r="T696" i="23"/>
  <c r="T697" i="23"/>
  <c r="T698" i="23"/>
  <c r="T699" i="23"/>
  <c r="T700" i="23"/>
  <c r="T701" i="23"/>
  <c r="T702" i="23"/>
  <c r="T703" i="23"/>
  <c r="T704" i="23"/>
  <c r="T705" i="23"/>
  <c r="T706" i="23"/>
  <c r="T707" i="23"/>
  <c r="T708" i="23"/>
  <c r="T709" i="23"/>
  <c r="T710" i="23"/>
  <c r="T711" i="23"/>
  <c r="T712" i="23"/>
  <c r="T713" i="23"/>
  <c r="T714" i="23"/>
  <c r="T715" i="23"/>
  <c r="T716" i="23"/>
  <c r="T717" i="23"/>
  <c r="T718" i="23"/>
  <c r="T719" i="23"/>
  <c r="T720" i="23"/>
  <c r="T721" i="23"/>
  <c r="T722" i="23"/>
  <c r="T723" i="23"/>
  <c r="T724" i="23"/>
  <c r="T725" i="23"/>
  <c r="T726" i="23"/>
  <c r="T727" i="23"/>
  <c r="T728" i="23"/>
  <c r="T729" i="23"/>
  <c r="T730" i="23"/>
  <c r="T731" i="23"/>
  <c r="T732" i="23"/>
  <c r="T733" i="23"/>
  <c r="T734" i="23"/>
  <c r="T735" i="23"/>
  <c r="T736" i="23"/>
  <c r="T737" i="23"/>
  <c r="T738" i="23"/>
  <c r="T739" i="23"/>
  <c r="T740" i="23"/>
  <c r="T741" i="23"/>
  <c r="T742" i="23"/>
  <c r="T743" i="23"/>
  <c r="T744" i="23"/>
  <c r="T745" i="23"/>
  <c r="T746" i="23"/>
  <c r="T747" i="23"/>
  <c r="T748" i="23"/>
  <c r="T749" i="23"/>
  <c r="T750" i="23"/>
  <c r="T751" i="23"/>
  <c r="T752" i="23"/>
  <c r="T753" i="23"/>
  <c r="T754" i="23"/>
  <c r="T755" i="23"/>
  <c r="O103" i="23"/>
  <c r="O129" i="23"/>
  <c r="O231" i="23"/>
  <c r="O257" i="23"/>
  <c r="O360" i="23"/>
  <c r="O384" i="23"/>
  <c r="O496" i="23"/>
  <c r="O512" i="23"/>
  <c r="O624" i="23"/>
  <c r="O634" i="23"/>
  <c r="O2" i="23"/>
  <c r="O3" i="23"/>
  <c r="O4" i="23"/>
  <c r="O5" i="23"/>
  <c r="O6" i="23"/>
  <c r="O7" i="23"/>
  <c r="O8" i="23"/>
  <c r="O9" i="23"/>
  <c r="O10" i="23"/>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O39" i="23"/>
  <c r="O40" i="23"/>
  <c r="O41" i="23"/>
  <c r="O42" i="23"/>
  <c r="O43" i="23"/>
  <c r="O44" i="23"/>
  <c r="O45" i="23"/>
  <c r="O46" i="23"/>
  <c r="O47" i="23"/>
  <c r="O48" i="23"/>
  <c r="O49" i="23"/>
  <c r="O50" i="23"/>
  <c r="O51" i="23"/>
  <c r="O52" i="23"/>
  <c r="O53" i="23"/>
  <c r="O54" i="23"/>
  <c r="O55" i="23"/>
  <c r="O56" i="23"/>
  <c r="O57" i="23"/>
  <c r="O58" i="23"/>
  <c r="O59" i="23"/>
  <c r="O60" i="23"/>
  <c r="O61" i="23"/>
  <c r="O62" i="23"/>
  <c r="O63" i="23"/>
  <c r="O64" i="23"/>
  <c r="O65" i="23"/>
  <c r="O66" i="23"/>
  <c r="O67" i="23"/>
  <c r="O68" i="23"/>
  <c r="O69" i="23"/>
  <c r="O70" i="23"/>
  <c r="O71" i="23"/>
  <c r="O72" i="23"/>
  <c r="O73" i="23"/>
  <c r="O74" i="23"/>
  <c r="O75" i="23"/>
  <c r="O76" i="23"/>
  <c r="O77" i="23"/>
  <c r="O78" i="23"/>
  <c r="O79" i="23"/>
  <c r="O80" i="23"/>
  <c r="O81" i="23"/>
  <c r="O82" i="23"/>
  <c r="O83" i="23"/>
  <c r="O84" i="23"/>
  <c r="O85" i="23"/>
  <c r="O86" i="23"/>
  <c r="O87" i="23"/>
  <c r="O88" i="23"/>
  <c r="O89" i="23"/>
  <c r="O90" i="23"/>
  <c r="O91" i="23"/>
  <c r="O92" i="23"/>
  <c r="O93" i="23"/>
  <c r="O94" i="23"/>
  <c r="O95" i="23"/>
  <c r="O96" i="23"/>
  <c r="O97" i="23"/>
  <c r="O98" i="23"/>
  <c r="O99" i="23"/>
  <c r="O100" i="23"/>
  <c r="O101" i="23"/>
  <c r="O102" i="23"/>
  <c r="O104" i="23"/>
  <c r="O105" i="23"/>
  <c r="O106" i="23"/>
  <c r="O107" i="23"/>
  <c r="O108" i="23"/>
  <c r="O109" i="23"/>
  <c r="O110" i="23"/>
  <c r="O111" i="23"/>
  <c r="O112" i="23"/>
  <c r="O113" i="23"/>
  <c r="O114" i="23"/>
  <c r="O115" i="23"/>
  <c r="O116" i="23"/>
  <c r="O117" i="23"/>
  <c r="O118" i="23"/>
  <c r="O119" i="23"/>
  <c r="O120" i="23"/>
  <c r="O121" i="23"/>
  <c r="O122" i="23"/>
  <c r="O123" i="23"/>
  <c r="O124" i="23"/>
  <c r="O125" i="23"/>
  <c r="O126" i="23"/>
  <c r="O127" i="23"/>
  <c r="O128" i="23"/>
  <c r="O130" i="23"/>
  <c r="O131" i="23"/>
  <c r="O132" i="23"/>
  <c r="O133" i="23"/>
  <c r="O134" i="23"/>
  <c r="O135" i="23"/>
  <c r="O136" i="23"/>
  <c r="O137" i="23"/>
  <c r="O138" i="23"/>
  <c r="O139" i="23"/>
  <c r="O140" i="23"/>
  <c r="O141" i="23"/>
  <c r="O142" i="23"/>
  <c r="O143" i="23"/>
  <c r="O144" i="23"/>
  <c r="O145" i="23"/>
  <c r="O146" i="23"/>
  <c r="O147" i="23"/>
  <c r="O148" i="23"/>
  <c r="O149" i="23"/>
  <c r="O150" i="23"/>
  <c r="O151" i="23"/>
  <c r="O152" i="23"/>
  <c r="O153" i="23"/>
  <c r="O154" i="23"/>
  <c r="O155" i="23"/>
  <c r="O156" i="23"/>
  <c r="O157" i="23"/>
  <c r="O158" i="23"/>
  <c r="O159" i="23"/>
  <c r="O160" i="23"/>
  <c r="O161" i="23"/>
  <c r="O162" i="23"/>
  <c r="O163" i="23"/>
  <c r="O164" i="23"/>
  <c r="O165" i="23"/>
  <c r="O166" i="23"/>
  <c r="O167" i="23"/>
  <c r="O168" i="23"/>
  <c r="O169" i="23"/>
  <c r="O170" i="23"/>
  <c r="O171" i="23"/>
  <c r="O172" i="23"/>
  <c r="O173" i="23"/>
  <c r="O174" i="23"/>
  <c r="O175" i="23"/>
  <c r="O176" i="23"/>
  <c r="O177" i="23"/>
  <c r="O178" i="23"/>
  <c r="O179" i="23"/>
  <c r="O180" i="23"/>
  <c r="O181" i="23"/>
  <c r="O182" i="23"/>
  <c r="O183" i="23"/>
  <c r="O184" i="23"/>
  <c r="O185" i="23"/>
  <c r="O186" i="23"/>
  <c r="O187" i="23"/>
  <c r="O188" i="23"/>
  <c r="O189" i="23"/>
  <c r="O190" i="23"/>
  <c r="O191" i="23"/>
  <c r="O192" i="23"/>
  <c r="O193" i="23"/>
  <c r="O194" i="23"/>
  <c r="O195" i="23"/>
  <c r="O196" i="23"/>
  <c r="O197" i="23"/>
  <c r="O198" i="23"/>
  <c r="O199" i="23"/>
  <c r="O200" i="23"/>
  <c r="O201" i="23"/>
  <c r="O202" i="23"/>
  <c r="O203" i="23"/>
  <c r="O204" i="23"/>
  <c r="O205" i="23"/>
  <c r="O206" i="23"/>
  <c r="O207" i="23"/>
  <c r="O208" i="23"/>
  <c r="O209" i="23"/>
  <c r="O210" i="23"/>
  <c r="O211" i="23"/>
  <c r="O212" i="23"/>
  <c r="O213" i="23"/>
  <c r="O214" i="23"/>
  <c r="O215" i="23"/>
  <c r="O216" i="23"/>
  <c r="O217" i="23"/>
  <c r="O218" i="23"/>
  <c r="O219" i="23"/>
  <c r="O220" i="23"/>
  <c r="O221" i="23"/>
  <c r="O222" i="23"/>
  <c r="O223" i="23"/>
  <c r="O224" i="23"/>
  <c r="O225" i="23"/>
  <c r="O226" i="23"/>
  <c r="O227" i="23"/>
  <c r="O228" i="23"/>
  <c r="O229" i="23"/>
  <c r="O230" i="23"/>
  <c r="O232" i="23"/>
  <c r="O233" i="23"/>
  <c r="O234" i="23"/>
  <c r="O235" i="23"/>
  <c r="O236" i="23"/>
  <c r="O237" i="23"/>
  <c r="O238" i="23"/>
  <c r="O239" i="23"/>
  <c r="O240" i="23"/>
  <c r="O241" i="23"/>
  <c r="O242" i="23"/>
  <c r="O243" i="23"/>
  <c r="O244" i="23"/>
  <c r="O245" i="23"/>
  <c r="O246" i="23"/>
  <c r="O247" i="23"/>
  <c r="O248" i="23"/>
  <c r="O249" i="23"/>
  <c r="O250" i="23"/>
  <c r="O251" i="23"/>
  <c r="O252" i="23"/>
  <c r="O253" i="23"/>
  <c r="O254" i="23"/>
  <c r="O255" i="23"/>
  <c r="O256" i="23"/>
  <c r="O258" i="23"/>
  <c r="O259" i="23"/>
  <c r="O260" i="23"/>
  <c r="O261" i="23"/>
  <c r="O262" i="23"/>
  <c r="O263" i="23"/>
  <c r="O264" i="23"/>
  <c r="O265" i="23"/>
  <c r="O266" i="23"/>
  <c r="O267" i="23"/>
  <c r="O268" i="23"/>
  <c r="O269" i="23"/>
  <c r="O270" i="23"/>
  <c r="O271" i="23"/>
  <c r="O272" i="23"/>
  <c r="O273" i="23"/>
  <c r="O274" i="23"/>
  <c r="O275" i="23"/>
  <c r="O276" i="23"/>
  <c r="O277" i="23"/>
  <c r="O278" i="23"/>
  <c r="O279" i="23"/>
  <c r="O280" i="23"/>
  <c r="O281" i="23"/>
  <c r="O282" i="23"/>
  <c r="O283" i="23"/>
  <c r="O284" i="23"/>
  <c r="O285" i="23"/>
  <c r="O286" i="23"/>
  <c r="O287" i="23"/>
  <c r="O288" i="23"/>
  <c r="O289" i="23"/>
  <c r="O290" i="23"/>
  <c r="O291" i="23"/>
  <c r="O292" i="23"/>
  <c r="O293" i="23"/>
  <c r="O294" i="23"/>
  <c r="O295" i="23"/>
  <c r="O296" i="23"/>
  <c r="O297" i="23"/>
  <c r="O299" i="23"/>
  <c r="O300" i="23"/>
  <c r="O301" i="23"/>
  <c r="O302" i="23"/>
  <c r="O303" i="23"/>
  <c r="O304" i="23"/>
  <c r="O305" i="23"/>
  <c r="O306" i="23"/>
  <c r="O307" i="23"/>
  <c r="O308" i="23"/>
  <c r="O309" i="23"/>
  <c r="O310" i="23"/>
  <c r="O311" i="23"/>
  <c r="O312" i="23"/>
  <c r="O313" i="23"/>
  <c r="O314" i="23"/>
  <c r="O315" i="23"/>
  <c r="O316" i="23"/>
  <c r="O317" i="23"/>
  <c r="O318" i="23"/>
  <c r="O319" i="23"/>
  <c r="O320" i="23"/>
  <c r="O321" i="23"/>
  <c r="O322" i="23"/>
  <c r="O323" i="23"/>
  <c r="O324" i="23"/>
  <c r="O325" i="23"/>
  <c r="O326" i="23"/>
  <c r="O327" i="23"/>
  <c r="O328" i="23"/>
  <c r="O329" i="23"/>
  <c r="O330" i="23"/>
  <c r="O331" i="23"/>
  <c r="O332" i="23"/>
  <c r="O333" i="23"/>
  <c r="O334" i="23"/>
  <c r="O335" i="23"/>
  <c r="O336" i="23"/>
  <c r="O337" i="23"/>
  <c r="O338" i="23"/>
  <c r="O339" i="23"/>
  <c r="O340" i="23"/>
  <c r="O341" i="23"/>
  <c r="O342" i="23"/>
  <c r="O343" i="23"/>
  <c r="O344" i="23"/>
  <c r="O345" i="23"/>
  <c r="O346" i="23"/>
  <c r="O347" i="23"/>
  <c r="O348" i="23"/>
  <c r="O349" i="23"/>
  <c r="O350" i="23"/>
  <c r="O351" i="23"/>
  <c r="O352" i="23"/>
  <c r="O353" i="23"/>
  <c r="O354" i="23"/>
  <c r="O355" i="23"/>
  <c r="O356" i="23"/>
  <c r="O357" i="23"/>
  <c r="O358" i="23"/>
  <c r="O359" i="23"/>
  <c r="O361" i="23"/>
  <c r="O362" i="23"/>
  <c r="O363" i="23"/>
  <c r="O364" i="23"/>
  <c r="O365" i="23"/>
  <c r="O366" i="23"/>
  <c r="O367" i="23"/>
  <c r="O368" i="23"/>
  <c r="O369" i="23"/>
  <c r="O370" i="23"/>
  <c r="O371" i="23"/>
  <c r="O372" i="23"/>
  <c r="O373" i="23"/>
  <c r="O374" i="23"/>
  <c r="O375" i="23"/>
  <c r="O376" i="23"/>
  <c r="O377" i="23"/>
  <c r="O378" i="23"/>
  <c r="O379" i="23"/>
  <c r="O380" i="23"/>
  <c r="O381" i="23"/>
  <c r="O382" i="23"/>
  <c r="O383" i="23"/>
  <c r="O385" i="23"/>
  <c r="O386" i="23"/>
  <c r="O387" i="23"/>
  <c r="O388" i="23"/>
  <c r="O389" i="23"/>
  <c r="O390" i="23"/>
  <c r="O391" i="23"/>
  <c r="O392" i="23"/>
  <c r="O393" i="23"/>
  <c r="O394" i="23"/>
  <c r="O403" i="23"/>
  <c r="O404" i="23"/>
  <c r="O405" i="23"/>
  <c r="O406" i="23"/>
  <c r="O407" i="23"/>
  <c r="O408" i="23"/>
  <c r="O409" i="23"/>
  <c r="O410" i="23"/>
  <c r="O411" i="23"/>
  <c r="O412" i="23"/>
  <c r="O413" i="23"/>
  <c r="O414" i="23"/>
  <c r="O415" i="23"/>
  <c r="O416" i="23"/>
  <c r="O417" i="23"/>
  <c r="O418" i="23"/>
  <c r="O419" i="23"/>
  <c r="O420" i="23"/>
  <c r="O421" i="23"/>
  <c r="O422" i="23"/>
  <c r="O423" i="23"/>
  <c r="O424" i="23"/>
  <c r="O425" i="23"/>
  <c r="O426" i="23"/>
  <c r="O427" i="23"/>
  <c r="O428" i="23"/>
  <c r="O429" i="23"/>
  <c r="O430" i="23"/>
  <c r="O431" i="23"/>
  <c r="O432" i="23"/>
  <c r="O433" i="23"/>
  <c r="O434" i="23"/>
  <c r="O435" i="23"/>
  <c r="O436" i="23"/>
  <c r="O437" i="23"/>
  <c r="O438" i="23"/>
  <c r="O439" i="23"/>
  <c r="O440" i="23"/>
  <c r="O441" i="23"/>
  <c r="O442" i="23"/>
  <c r="O443" i="23"/>
  <c r="O444" i="23"/>
  <c r="O445" i="23"/>
  <c r="O446" i="23"/>
  <c r="O447" i="23"/>
  <c r="O448" i="23"/>
  <c r="O449" i="23"/>
  <c r="O450" i="23"/>
  <c r="O451" i="23"/>
  <c r="O452" i="23"/>
  <c r="O453" i="23"/>
  <c r="O454" i="23"/>
  <c r="O455" i="23"/>
  <c r="O456" i="23"/>
  <c r="O457" i="23"/>
  <c r="O458" i="23"/>
  <c r="O459" i="23"/>
  <c r="O460" i="23"/>
  <c r="O461" i="23"/>
  <c r="O462" i="23"/>
  <c r="O463" i="23"/>
  <c r="O464" i="23"/>
  <c r="O465" i="23"/>
  <c r="O466" i="23"/>
  <c r="O467" i="23"/>
  <c r="O468" i="23"/>
  <c r="O469" i="23"/>
  <c r="O470" i="23"/>
  <c r="O471" i="23"/>
  <c r="O472" i="23"/>
  <c r="O473" i="23"/>
  <c r="O474" i="23"/>
  <c r="O475" i="23"/>
  <c r="O476" i="23"/>
  <c r="O477" i="23"/>
  <c r="O478" i="23"/>
  <c r="O479" i="23"/>
  <c r="O480" i="23"/>
  <c r="O481" i="23"/>
  <c r="O482" i="23"/>
  <c r="O483" i="23"/>
  <c r="O484" i="23"/>
  <c r="O485" i="23"/>
  <c r="O486" i="23"/>
  <c r="O487" i="23"/>
  <c r="O488" i="23"/>
  <c r="O489" i="23"/>
  <c r="O490" i="23"/>
  <c r="O491" i="23"/>
  <c r="O492" i="23"/>
  <c r="O493" i="23"/>
  <c r="O494" i="23"/>
  <c r="O495" i="23"/>
  <c r="O497" i="23"/>
  <c r="O498" i="23"/>
  <c r="O499" i="23"/>
  <c r="O500" i="23"/>
  <c r="O501" i="23"/>
  <c r="O502" i="23"/>
  <c r="O503" i="23"/>
  <c r="O504" i="23"/>
  <c r="O505" i="23"/>
  <c r="O506" i="23"/>
  <c r="O507" i="23"/>
  <c r="O508" i="23"/>
  <c r="O509" i="23"/>
  <c r="O510" i="23"/>
  <c r="O511" i="23"/>
  <c r="O513" i="23"/>
  <c r="O514" i="23"/>
  <c r="O515" i="23"/>
  <c r="O516" i="23"/>
  <c r="O517" i="23"/>
  <c r="O518" i="23"/>
  <c r="O519" i="23"/>
  <c r="O520" i="23"/>
  <c r="O521" i="23"/>
  <c r="O522" i="23"/>
  <c r="O523" i="23"/>
  <c r="O524" i="23"/>
  <c r="O525" i="23"/>
  <c r="O526" i="23"/>
  <c r="O527" i="23"/>
  <c r="O528" i="23"/>
  <c r="O529" i="23"/>
  <c r="O530" i="23"/>
  <c r="O531" i="23"/>
  <c r="O532" i="23"/>
  <c r="O533" i="23"/>
  <c r="O534" i="23"/>
  <c r="O535" i="23"/>
  <c r="O536" i="23"/>
  <c r="O537" i="23"/>
  <c r="O538" i="23"/>
  <c r="O539" i="23"/>
  <c r="O540" i="23"/>
  <c r="O541" i="23"/>
  <c r="O542" i="23"/>
  <c r="O543" i="23"/>
  <c r="O544" i="23"/>
  <c r="O545" i="23"/>
  <c r="O546" i="23"/>
  <c r="O547" i="23"/>
  <c r="O548" i="23"/>
  <c r="O549" i="23"/>
  <c r="O550" i="23"/>
  <c r="O551" i="23"/>
  <c r="O552" i="23"/>
  <c r="O553" i="23"/>
  <c r="O554" i="23"/>
  <c r="O555" i="23"/>
  <c r="O556" i="23"/>
  <c r="O557" i="23"/>
  <c r="O558" i="23"/>
  <c r="O559" i="23"/>
  <c r="O560" i="23"/>
  <c r="O561" i="23"/>
  <c r="O562" i="23"/>
  <c r="O563" i="23"/>
  <c r="O564" i="23"/>
  <c r="O565" i="23"/>
  <c r="O566" i="23"/>
  <c r="O567" i="23"/>
  <c r="O568" i="23"/>
  <c r="O569" i="23"/>
  <c r="O570" i="23"/>
  <c r="O571" i="23"/>
  <c r="O572" i="23"/>
  <c r="O573" i="23"/>
  <c r="O574" i="23"/>
  <c r="O575" i="23"/>
  <c r="O576" i="23"/>
  <c r="O577" i="23"/>
  <c r="O578" i="23"/>
  <c r="O579" i="23"/>
  <c r="O580" i="23"/>
  <c r="O581" i="23"/>
  <c r="O582" i="23"/>
  <c r="O583" i="23"/>
  <c r="O584" i="23"/>
  <c r="O585" i="23"/>
  <c r="O586" i="23"/>
  <c r="O587" i="23"/>
  <c r="O588" i="23"/>
  <c r="O589" i="23"/>
  <c r="O590" i="23"/>
  <c r="O591" i="23"/>
  <c r="O592" i="23"/>
  <c r="O593" i="23"/>
  <c r="O594" i="23"/>
  <c r="O595" i="23"/>
  <c r="O596" i="23"/>
  <c r="O597" i="23"/>
  <c r="O598" i="23"/>
  <c r="O599" i="23"/>
  <c r="O600" i="23"/>
  <c r="O601" i="23"/>
  <c r="O602" i="23"/>
  <c r="O603" i="23"/>
  <c r="O604" i="23"/>
  <c r="O605" i="23"/>
  <c r="O606" i="23"/>
  <c r="O607" i="23"/>
  <c r="O608" i="23"/>
  <c r="O609" i="23"/>
  <c r="O610" i="23"/>
  <c r="O611" i="23"/>
  <c r="O612" i="23"/>
  <c r="O613" i="23"/>
  <c r="O615" i="23"/>
  <c r="O617" i="23"/>
  <c r="O618" i="23"/>
  <c r="O619" i="23"/>
  <c r="O625" i="23"/>
  <c r="O626" i="23"/>
  <c r="O627" i="23"/>
  <c r="O628" i="23"/>
  <c r="O629" i="23"/>
  <c r="O630" i="23"/>
  <c r="O631" i="23"/>
  <c r="O632" i="23"/>
  <c r="O633" i="23"/>
  <c r="O635" i="23"/>
  <c r="O636" i="23"/>
  <c r="O637" i="23"/>
  <c r="O638" i="23"/>
  <c r="O639" i="23"/>
  <c r="O641" i="23"/>
  <c r="O642" i="23"/>
  <c r="O643" i="23"/>
  <c r="O644" i="23"/>
  <c r="O645" i="23"/>
  <c r="O646" i="23"/>
  <c r="O647" i="23"/>
  <c r="O648" i="23"/>
  <c r="O649" i="23"/>
  <c r="O650" i="23"/>
  <c r="O651" i="23"/>
  <c r="O652" i="23"/>
  <c r="O653" i="23"/>
  <c r="O654" i="23"/>
  <c r="O655" i="23"/>
  <c r="O656" i="23"/>
  <c r="O657" i="23"/>
  <c r="O658" i="23"/>
  <c r="O659" i="23"/>
  <c r="O660" i="23"/>
  <c r="O661" i="23"/>
  <c r="O662" i="23"/>
  <c r="O663" i="23"/>
  <c r="O664" i="23"/>
  <c r="O665" i="23"/>
  <c r="O666" i="23"/>
  <c r="O667" i="23"/>
  <c r="O668" i="23"/>
  <c r="O669" i="23"/>
  <c r="O670" i="23"/>
  <c r="O671" i="23"/>
  <c r="O672" i="23"/>
  <c r="O673" i="23"/>
  <c r="O674" i="23"/>
  <c r="O675" i="23"/>
  <c r="O676" i="23"/>
  <c r="O677" i="23"/>
  <c r="O678" i="23"/>
  <c r="O679" i="23"/>
  <c r="O680" i="23"/>
  <c r="O681" i="23"/>
  <c r="O682" i="23"/>
  <c r="O683" i="23"/>
  <c r="O684" i="23"/>
  <c r="O685" i="23"/>
  <c r="O686" i="23"/>
  <c r="O687" i="23"/>
  <c r="O688" i="23"/>
  <c r="O689" i="23"/>
  <c r="O690" i="23"/>
  <c r="O691" i="23"/>
  <c r="O692" i="23"/>
  <c r="O693" i="23"/>
  <c r="O694" i="23"/>
  <c r="O695" i="23"/>
  <c r="O696" i="23"/>
  <c r="O697" i="23"/>
  <c r="O698" i="23"/>
  <c r="O699" i="23"/>
  <c r="O700" i="23"/>
  <c r="O701" i="23"/>
  <c r="O702" i="23"/>
  <c r="O703" i="23"/>
  <c r="O704" i="23"/>
  <c r="O705" i="23"/>
  <c r="O706" i="23"/>
  <c r="O707" i="23"/>
  <c r="O708" i="23"/>
  <c r="O709" i="23"/>
  <c r="O710" i="23"/>
  <c r="O711" i="23"/>
  <c r="O712" i="23"/>
  <c r="O713" i="23"/>
  <c r="O714" i="23"/>
  <c r="O715" i="23"/>
  <c r="O716" i="23"/>
  <c r="O717" i="23"/>
  <c r="O718" i="23"/>
  <c r="O719" i="23"/>
  <c r="O720" i="23"/>
  <c r="O721" i="23"/>
  <c r="O722" i="23"/>
  <c r="O723" i="23"/>
  <c r="O724" i="23"/>
  <c r="O725" i="23"/>
  <c r="O726" i="23"/>
  <c r="O727" i="23"/>
  <c r="O728" i="23"/>
  <c r="O729" i="23"/>
  <c r="O730" i="23"/>
  <c r="O731" i="23"/>
  <c r="O732" i="23"/>
  <c r="O733" i="23"/>
  <c r="O734" i="23"/>
  <c r="O735" i="23"/>
  <c r="O736" i="23"/>
  <c r="O737" i="23"/>
  <c r="O738" i="23"/>
  <c r="O739" i="23"/>
  <c r="O740" i="23"/>
  <c r="O741" i="23"/>
  <c r="O742" i="23"/>
  <c r="O743" i="23"/>
  <c r="O744" i="23"/>
  <c r="O745" i="23"/>
  <c r="O746" i="23"/>
  <c r="O747" i="23"/>
  <c r="O748" i="23"/>
  <c r="O749" i="23"/>
  <c r="O750" i="23"/>
  <c r="O751" i="23"/>
  <c r="O752" i="23"/>
  <c r="O753" i="23"/>
  <c r="O754" i="23"/>
  <c r="O755" i="23"/>
  <c r="Q639" i="23"/>
  <c r="R639" i="23" s="1"/>
  <c r="S639" i="23" s="1"/>
  <c r="O23" i="22"/>
  <c r="M23" i="22"/>
  <c r="L39" i="20" l="1"/>
  <c r="L38" i="20"/>
  <c r="L37" i="20"/>
  <c r="L36" i="20"/>
  <c r="L35" i="20"/>
  <c r="L34" i="20"/>
  <c r="L33" i="20"/>
  <c r="L32" i="20"/>
  <c r="L31" i="20"/>
  <c r="L30" i="20"/>
  <c r="L29" i="20"/>
  <c r="L28" i="20"/>
  <c r="L27" i="20"/>
  <c r="L26" i="20"/>
  <c r="L25" i="20"/>
  <c r="L24" i="20"/>
  <c r="L23" i="20"/>
  <c r="L22" i="20"/>
  <c r="L21" i="20"/>
  <c r="L20" i="20"/>
  <c r="L19" i="20"/>
  <c r="L18" i="20"/>
  <c r="L17" i="20"/>
  <c r="L16" i="20"/>
  <c r="L15" i="20"/>
  <c r="L14" i="20"/>
  <c r="L13" i="20"/>
  <c r="L12" i="20"/>
  <c r="L11" i="20"/>
  <c r="L10" i="20"/>
  <c r="L9" i="20"/>
  <c r="L8" i="20"/>
  <c r="L7" i="20"/>
  <c r="L6" i="20"/>
  <c r="L5" i="20"/>
  <c r="L4" i="20"/>
  <c r="N29" i="17"/>
  <c r="L29" i="17"/>
  <c r="H20" i="14"/>
  <c r="C9" i="14"/>
  <c r="C8" i="14"/>
  <c r="C7" i="14"/>
  <c r="N6" i="14"/>
  <c r="L6" i="14"/>
  <c r="C6" i="14"/>
  <c r="C5" i="14"/>
  <c r="N21" i="11"/>
  <c r="L21" i="11"/>
  <c r="M638" i="9"/>
  <c r="K638" i="9"/>
  <c r="O52" i="6"/>
  <c r="M52" i="6"/>
  <c r="O15" i="5"/>
  <c r="M15" i="5"/>
  <c r="O6" i="5"/>
  <c r="M6" i="5"/>
  <c r="O54" i="4"/>
  <c r="M54" i="4"/>
  <c r="O12" i="3"/>
  <c r="M12" i="3"/>
  <c r="O24" i="2"/>
  <c r="M24" i="2"/>
</calcChain>
</file>

<file path=xl/sharedStrings.xml><?xml version="1.0" encoding="utf-8"?>
<sst xmlns="http://schemas.openxmlformats.org/spreadsheetml/2006/main" count="42426" uniqueCount="10989">
  <si>
    <t>All done</t>
  </si>
  <si>
    <t>SR NO.</t>
  </si>
  <si>
    <t>user_name</t>
  </si>
  <si>
    <t>serialNo</t>
  </si>
  <si>
    <t>EMAIL</t>
  </si>
  <si>
    <t>USER ID</t>
  </si>
  <si>
    <t>PASSWORD</t>
  </si>
  <si>
    <t>COMPANY NAME</t>
  </si>
  <si>
    <t>NAME</t>
  </si>
  <si>
    <t>DESIGNATION</t>
  </si>
  <si>
    <t>ABOUT</t>
  </si>
  <si>
    <t>CONTACT</t>
  </si>
  <si>
    <t>ALTERNATE</t>
  </si>
  <si>
    <t>WHATSAPP</t>
  </si>
  <si>
    <t>WEBSITE</t>
  </si>
  <si>
    <t>ADDRESS</t>
  </si>
  <si>
    <t>TAMPLATE</t>
  </si>
  <si>
    <t xml:space="preserve">bg </t>
  </si>
  <si>
    <t>font</t>
  </si>
  <si>
    <t xml:space="preserve">bg button </t>
  </si>
  <si>
    <t>button font</t>
  </si>
  <si>
    <t>profile_picture</t>
  </si>
  <si>
    <t>cover_picture</t>
  </si>
  <si>
    <t>FACEBOOK</t>
  </si>
  <si>
    <t>INSTAGRAM</t>
  </si>
  <si>
    <t>LINKEDIN</t>
  </si>
  <si>
    <t>YOUTUBE</t>
  </si>
  <si>
    <t xml:space="preserve">product 1 </t>
  </si>
  <si>
    <t>product 2</t>
  </si>
  <si>
    <t>product 3</t>
  </si>
  <si>
    <t>product 4</t>
  </si>
  <si>
    <t>product 5</t>
  </si>
  <si>
    <t>product 6</t>
  </si>
  <si>
    <t>product 7</t>
  </si>
  <si>
    <t>Good to go</t>
  </si>
  <si>
    <t>https://card.tap-savvy.com/AZB&amp;PARTNERS_PRERAK-VED/149</t>
  </si>
  <si>
    <t>AZB&amp;PARTNERS_PRERAK-VED</t>
  </si>
  <si>
    <t>prerak.ved@azbpartners.com</t>
  </si>
  <si>
    <t>Prerak_Ved</t>
  </si>
  <si>
    <t>Tapsavvy@001</t>
  </si>
  <si>
    <t>AZB &amp; PARTNERS</t>
  </si>
  <si>
    <t>Prerak Ved</t>
  </si>
  <si>
    <t>Partner</t>
  </si>
  <si>
    <t>I am passionate about being a problem solver for my clients. Whichever role I find myself in (whether a white-collar crime defence/investigation matter, a transaction, or corporate/regulatory advisory), my focus is on identifying the client’s needs and concerns, and helping them arrive at a solution in the best possible manner.</t>
  </si>
  <si>
    <t>NULL</t>
  </si>
  <si>
    <t>https://www.azbpartners.com/</t>
  </si>
  <si>
    <t xml:space="preserve">Peninsula Corporate Park, Ganapatrao Kadam Marg, Lower Parel, Lower Parel West,  Mumbai  Maharasthra  </t>
  </si>
  <si>
    <t>basic</t>
  </si>
  <si>
    <t>#ffffff</t>
  </si>
  <si>
    <t>#000000</t>
  </si>
  <si>
    <t>#4286ca</t>
  </si>
  <si>
    <t>#f8f6f6</t>
  </si>
  <si>
    <t>149.jpeg</t>
  </si>
  <si>
    <r>
      <rPr>
        <u/>
        <sz val="10"/>
        <color rgb="FF1155CC"/>
        <rFont val="Arial"/>
        <scheme val="minor"/>
      </rPr>
      <t>https://card.tap-savvy.com/AZB&amp;PARTNERS_ADITYA-VIKRAM-BHAT/150</t>
    </r>
  </si>
  <si>
    <t>AZB&amp;PARTNERS_ADITYA-VIKRAM-BHAT</t>
  </si>
  <si>
    <t xml:space="preserve">aditya.bhat@azbpartners.com
</t>
  </si>
  <si>
    <t>Aditya_Bhat</t>
  </si>
  <si>
    <t>Aditya Vikram Bhat</t>
  </si>
  <si>
    <t>Senior Partner</t>
  </si>
  <si>
    <t>I am driven by my love for the law and the system that upholds the rule of law. All my other passions, including Indic culture, history, nature, art, and sport feed my understanding of the law and converge in my practice of the law.</t>
  </si>
  <si>
    <t>98455 20982</t>
  </si>
  <si>
    <r>
      <rPr>
        <u/>
        <sz val="10"/>
        <color rgb="FF1155CC"/>
        <rFont val="Arial"/>
      </rPr>
      <t>7th Floor, Embassy Icon, Infantry Road,  Bangalore  Karnata</t>
    </r>
    <r>
      <rPr>
        <sz val="10"/>
        <rFont val="Arial"/>
      </rPr>
      <t>ka</t>
    </r>
  </si>
  <si>
    <t>150.jpeg</t>
  </si>
  <si>
    <t>https://card.tap-savvy.com/BRIJESH-RATHOD/157</t>
  </si>
  <si>
    <t>Brijesh_Rathod</t>
  </si>
  <si>
    <t xml:space="preserve">brijeshrathod892@gmail.com
</t>
  </si>
  <si>
    <t>KUBER ENTERPRISES</t>
  </si>
  <si>
    <t>Brijesh Bharat Rathod</t>
  </si>
  <si>
    <t>Businessmen</t>
  </si>
  <si>
    <t>#c1ebf5</t>
  </si>
  <si>
    <t>#fff4ff</t>
  </si>
  <si>
    <t>UNDEFINED</t>
  </si>
  <si>
    <t>https://card.tap-savvy.com/ATOZ-SERVICES_SANDEEP-AGARWAL/158</t>
  </si>
  <si>
    <t>ATOZ-SERVICES_SANDEEP-AGARWAL</t>
  </si>
  <si>
    <t>sandeep@atozservices.info</t>
  </si>
  <si>
    <t>Sandeep_Agrawal</t>
  </si>
  <si>
    <t>A to Z Services Pvt. Ltd</t>
  </si>
  <si>
    <t>Sandeep Omprakash Agrawal</t>
  </si>
  <si>
    <t>Managing Director</t>
  </si>
  <si>
    <t>A to Z Services Pvt. Ltd. is an outcome of an aim seen by us who started their journey way back in the year 2002 as a small unit before incorporation. With constant learning process, we are progressing gradually to increase our services.</t>
  </si>
  <si>
    <t>https://atozservices.info/</t>
  </si>
  <si>
    <t xml:space="preserve">Antop Hill Ware Housing Co. Limited, Unit No. C-339, V.I.T. College Road,  MUMBAI  Maharashtra  </t>
  </si>
  <si>
    <t>#bcb6bc</t>
  </si>
  <si>
    <t>158.jpeg</t>
  </si>
  <si>
    <t>Not working</t>
  </si>
  <si>
    <t>https://card.tap-savvy.com/DD-HOLISTIC-HEALTH-CARE_URWIZ-DARA-CHAVDA/161</t>
  </si>
  <si>
    <t>DD-HOLISTIC-HEALTH-CARE_URWIZ-DARA-CHAVDA</t>
  </si>
  <si>
    <t>vispiforever@yahoo.com</t>
  </si>
  <si>
    <t>Dr.URWIZ_CHAVDA</t>
  </si>
  <si>
    <t>DD HOLISTIC HEALTH CARE</t>
  </si>
  <si>
    <t>Dr. URWIZ DARA CHAVDA</t>
  </si>
  <si>
    <t>(MD(IM),BACU,DCH.)</t>
  </si>
  <si>
    <t>#861b86</t>
  </si>
  <si>
    <t>#fafafa</t>
  </si>
  <si>
    <t>161.jpeg</t>
  </si>
  <si>
    <t>https://card.tap-savvy.com/AZB&amp;PARTNERS_AJAY-UPADHYAY/211</t>
  </si>
  <si>
    <t>AZB&amp;PARTNERS_AJAY-UPADHYAY</t>
  </si>
  <si>
    <t>ajay.upadhyay@azbpartners.com</t>
  </si>
  <si>
    <t>AJAY_UPADHYAY</t>
  </si>
  <si>
    <t>AJAY UPADHYAY</t>
  </si>
  <si>
    <t>Practice Head-Compliance &amp; Investigation</t>
  </si>
  <si>
    <t>I am a firm believer in rule of law and driven by desire to have an ethical, transparent and fair business environment.</t>
  </si>
  <si>
    <t>211.jpeg</t>
  </si>
  <si>
    <t>https://card.tap-savvy.com/JAS-SHAH/233</t>
  </si>
  <si>
    <t>JAS-SHAH</t>
  </si>
  <si>
    <t xml:space="preserve">shahjas1244@gmail.com
</t>
  </si>
  <si>
    <t>Jas_Shah</t>
  </si>
  <si>
    <t>Jas Kalpesh Shah</t>
  </si>
  <si>
    <t>Student</t>
  </si>
  <si>
    <t>Hey there,I'm student pursuing bachelor with goals,visions and exceed expectations. I'm also learning and practicing gold &amp; jewellery business. My aim is to learn new things that enhances my knowledge and helps me to come forward and achieve success</t>
  </si>
  <si>
    <t>https://card.tap-savvy.com/ASIAN-OPTICIAN/238</t>
  </si>
  <si>
    <t>ASIAN-OPTICIAN</t>
  </si>
  <si>
    <t>asianopticians@gmail.com</t>
  </si>
  <si>
    <t>RAAJEEV_MEHTA</t>
  </si>
  <si>
    <t>ASIAN OPTICIANS</t>
  </si>
  <si>
    <r>
      <rPr>
        <sz val="11"/>
        <color theme="1"/>
        <rFont val="Arial"/>
        <scheme val="minor"/>
      </rPr>
      <t>RAAJEEV MEHTA</t>
    </r>
    <r>
      <rPr>
        <sz val="11"/>
        <color theme="1"/>
        <rFont val="Arial"/>
        <scheme val="minor"/>
      </rPr>
      <t xml:space="preserve"> </t>
    </r>
    <r>
      <rPr>
        <sz val="11"/>
        <color theme="1"/>
        <rFont val="Arial"/>
        <scheme val="minor"/>
      </rPr>
      <t>ATUL MEHTA</t>
    </r>
  </si>
  <si>
    <t>Proprietor</t>
  </si>
  <si>
    <t>Asian Optician is well established brand since 1960 with great experience in eyewear industry. Having such a rich experience has brought us to a juncture of building value to our hundred and thousand of clients. We don't fail to delight you in your selection of your favourite designer eyewear from our wide array of branded designer frames &amp; sunglasses. Availibility- Monday-Saturday (10:00-21:00) Sunday- Closed.</t>
  </si>
  <si>
    <t>238.jpeg</t>
  </si>
  <si>
    <t>https://card.tap-savvy.com/Swastik_TejmalPokharna/270</t>
  </si>
  <si>
    <t>Swastik_TejmalPokharna</t>
  </si>
  <si>
    <t xml:space="preserve">dhirajpokharana1982@gmail.com
</t>
  </si>
  <si>
    <t>Tejmal_Pokharna</t>
  </si>
  <si>
    <t>Swastik Enterprise</t>
  </si>
  <si>
    <t>Tejmal Rajmal Pokharna</t>
  </si>
  <si>
    <t>SHRI SWASTIK STORES is an one stop store located in Sion Koliwada. We provide grains, pulses &amp; dry fruits. Hotel and Catering Specialist (Chinese, Italian, Thai &amp; Indian)</t>
  </si>
  <si>
    <t xml:space="preserve">Store No.U/, S.S.S Nagar, Koliwada, Sion, Mumbai-400 037.  </t>
  </si>
  <si>
    <t>#d81919</t>
  </si>
  <si>
    <t>#ebe2e2</t>
  </si>
  <si>
    <t>270.jpeg</t>
  </si>
  <si>
    <t>good to go</t>
  </si>
  <si>
    <t>https://card.tap-savvy.com/VASUPATI-JEWELLERS_SRISHTI-KOTHARI/326</t>
  </si>
  <si>
    <t>VASUPATI-JEWELLERS_SRISHTI-KOTHARI</t>
  </si>
  <si>
    <r>
      <rPr>
        <u/>
        <sz val="10"/>
        <rFont val="Helvetica, sans-serif"/>
      </rPr>
      <t>srishti.kothari14@gmail.com</t>
    </r>
  </si>
  <si>
    <t>Srishti_Kothari</t>
  </si>
  <si>
    <t>Vasupati Jewellers</t>
  </si>
  <si>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</si>
  <si>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Merchandising Head</t>
  </si>
  <si>
    <t>“Feel the Indian artistry, absorb the culture, and exude the radiance.” Vasupati Jewellers has been a leading manufacturer, wholesaler and exporter of ethnic, antique and traditional gold jewellery. With their prime focus on the production and manufacturing of bridal jewellery, the family has been in the jewellery business for over fifty years. The company engaged in supplying its bridal ornaments to prominent jewellery companies in India and also exporting its products to U.K. and Middle-East.</t>
  </si>
  <si>
    <t>https://www.vasupati.com/</t>
  </si>
  <si>
    <t xml:space="preserve">104, Giriraj Building, 1st Floor, 226/230,  Mumbai  Maharastra  </t>
  </si>
  <si>
    <t>#968696</t>
  </si>
  <si>
    <t>#bd87bd</t>
  </si>
  <si>
    <t>#fef9f9</t>
  </si>
  <si>
    <t>326.jpeg</t>
  </si>
  <si>
    <t xml:space="preserve">cover page social links </t>
  </si>
  <si>
    <t>https://card.tap-savvy.com/SETUZ/278</t>
  </si>
  <si>
    <t>SETUZ</t>
  </si>
  <si>
    <t xml:space="preserve">info@setuzsales.com
</t>
  </si>
  <si>
    <t>Pinakin_Mehta</t>
  </si>
  <si>
    <t>SETUZ SALES PVT LTD</t>
  </si>
  <si>
    <t>Pinakin Mehta</t>
  </si>
  <si>
    <t>Serving clients is our passion, purpose and privilege.. We are dedicated to improving our customer's lives through innovative products that offer great comforts and convenience. SSPL (Setuz Sales Private Limited) where all hardware fittings ranges under one roof. SSPL is a registered company having registered office in Mumbai and also having branch office at Pune and Hyderabad. We are selling our product under brand name 'SETUZ'.</t>
  </si>
  <si>
    <t>https://setuzsales.com/</t>
  </si>
  <si>
    <t xml:space="preserve">Unit No. 3, 4, 5, 6, First floor, Sheetal Industrial Estate,      </t>
  </si>
  <si>
    <t>#a0b9ad</t>
  </si>
  <si>
    <t>#010101</t>
  </si>
  <si>
    <t>#2a2d2d</t>
  </si>
  <si>
    <t>#fefcfc</t>
  </si>
  <si>
    <t>278.jpeg</t>
  </si>
  <si>
    <t>https://card.tap-savvy.com/CBV&amp;ASSOCIATE_VINAY-PATHAK/279</t>
  </si>
  <si>
    <t>CBV&amp;ASSOCIATE_VINAY-PATHAK</t>
  </si>
  <si>
    <t>vinay.p@cbva.in</t>
  </si>
  <si>
    <t>VINAY_PATHAK</t>
  </si>
  <si>
    <t>CBV &amp; ASSOCIATES LLP</t>
  </si>
  <si>
    <t>VINAY PATHAK</t>
  </si>
  <si>
    <t>TAX CONSULTANT</t>
  </si>
  <si>
    <t>We have earned our client's trust by delivering a consistency high level of professional expertise in the field of Taxation, Corporate Advisory, Transaction Advisory Services, and Special Services Ethics The best way to gain that trust is to demonstrate ethics and integrity in our dealings. At C B V &amp; Associates LLP, partners and employees pledge to demonstrate high levels of integrity and professionalism.</t>
  </si>
  <si>
    <t>https://cbva.in/</t>
  </si>
  <si>
    <t xml:space="preserve">412-415, Tulsiani Chambers, Nariman Point.      </t>
  </si>
  <si>
    <t>#f7f7f7</t>
  </si>
  <si>
    <t>#dbbb4d</t>
  </si>
  <si>
    <t>#f1ecec</t>
  </si>
  <si>
    <t>https://card.tap-savvy.com/SHAKTI-ACRYPLAST-LLP_Sahil-Jain/300</t>
  </si>
  <si>
    <t>SHAKTI-ACRYPLAST-LLP_Sahil-Jain</t>
  </si>
  <si>
    <t xml:space="preserve">info@shaktiacryplast.com
</t>
  </si>
  <si>
    <t>Sahil_Jain</t>
  </si>
  <si>
    <t>SHAKTI ACRYPLAST LLP</t>
  </si>
  <si>
    <t>Sahil Jain</t>
  </si>
  <si>
    <t>Shakti Acryplast LLP is a leading company that serves the global marketplace. We are one of the largest suppliers and dealers of cast acrylic sheets all over India. Shakti Acryplast LLP was started in 1989 in Mumbai by Jayantilal Ji Rathod and then in 1998, Jayesh Rathod joined further in 2003; Alpesh Rathod joined in to grow the business at the more advanced level. With years of experience and leadership with prominent service, it has become one of the leading suppliers of Acrylic sheets.</t>
  </si>
  <si>
    <t>https://www.shaktiacryplast.com/</t>
  </si>
  <si>
    <t xml:space="preserve">No.2, Ram Mandir, Gala No 5, Singh Ind. Estate,    </t>
  </si>
  <si>
    <t>#9ccbff</t>
  </si>
  <si>
    <t>#F9F7F7</t>
  </si>
  <si>
    <t>300.jpeg</t>
  </si>
  <si>
    <t>https://card.tap-savvy.com/SCS-BEARINGS/301</t>
  </si>
  <si>
    <t>SCS-BEARINGS</t>
  </si>
  <si>
    <t>info@scsindustrialsolutions.com</t>
  </si>
  <si>
    <t>Vastupal_Sanghavi</t>
  </si>
  <si>
    <t>SCS BEARINGS</t>
  </si>
  <si>
    <t>Vastupal N Sanghavi</t>
  </si>
  <si>
    <t>Director</t>
  </si>
  <si>
    <t>SCS is a leading industrial supplier with growing portfolio of engineered bearings and power transmission product brands with more than 25 years OF experience &amp; knowledge. We deal in all major reputed brands along with we have been importing spherical roller bearings from China. We work hard to create loyal relationships with our clients by our unparalleled commitment to customer care, quality products and efficient logistics.</t>
  </si>
  <si>
    <t>https://www.scsindustrialsolutions.com/</t>
  </si>
  <si>
    <t xml:space="preserve">Shop No. 26, 4th Floor, Alliance Building  Mumbai  Maharashtra  </t>
  </si>
  <si>
    <t>#ecd1d1</t>
  </si>
  <si>
    <t>#ea2121</t>
  </si>
  <si>
    <t>#d8d4d8</t>
  </si>
  <si>
    <t>#211e1e</t>
  </si>
  <si>
    <t>301.jpeg</t>
  </si>
  <si>
    <t>not working</t>
  </si>
  <si>
    <t>https://card.tap-savvy.com/VLITE-FURNITECH/302</t>
  </si>
  <si>
    <t>VLITE-FURNITECH</t>
  </si>
  <si>
    <t>vishnu@vlitefurnitech.com</t>
  </si>
  <si>
    <t>VISHNU_SHARMA</t>
  </si>
  <si>
    <t>VLITE FURNITECH</t>
  </si>
  <si>
    <t>VISHNU SHARMA</t>
  </si>
  <si>
    <t>Managing Partner</t>
  </si>
  <si>
    <t>Vlite Furnitech is an innovative idea of providing a new identity to the industry of office furniture manufacturing. The idea was implemented in 2008 and Vlite came into existence. From the day of establishment till the date, Vlite is potentially crossing the significant milestones in creations and innovations. We are currently leading among India’s most recommended brands in office furniture manufacturing. We create a wide range of modular and trendy chairs, tables and workstations.</t>
  </si>
  <si>
    <t>https://www.vlitefurnitech.com/</t>
  </si>
  <si>
    <t>C-329, 336 3rd Floor, Antop Hill, Ware Housing Company,</t>
  </si>
  <si>
    <t>#df1a1a</t>
  </si>
  <si>
    <t>#fffdfd</t>
  </si>
  <si>
    <t>302.jpeg</t>
  </si>
  <si>
    <t>https://card.tap-savvy.com/CHOPSTICK_TUSHAR-MAROLIA/306</t>
  </si>
  <si>
    <t>CHOPSTICK_TUSHAR-MAROLIA</t>
  </si>
  <si>
    <t xml:space="preserve">chopstick099@gmail.com
</t>
  </si>
  <si>
    <t>Tushar_Marolia</t>
  </si>
  <si>
    <t>Chopstick T-Shirt</t>
  </si>
  <si>
    <t>Tushar Marolia</t>
  </si>
  <si>
    <t>https://chopsticktshirt.com/</t>
  </si>
  <si>
    <t xml:space="preserve">Maruti Clothing,Chopstick T-Shirts,Plot no 711,Phase 2,New GIDC,Gundlav,Valsad - 396035  Valsad  Gujarat </t>
  </si>
  <si>
    <t>#e01717</t>
  </si>
  <si>
    <t>#420606</t>
  </si>
  <si>
    <t>#efecec</t>
  </si>
  <si>
    <t>306.jpeg</t>
  </si>
  <si>
    <t>https://card.tap-savvy.com/VAISHALINX_NAYAN-DOSHI/387</t>
  </si>
  <si>
    <t>VAISHALINX_NAYAN-DOSHI</t>
  </si>
  <si>
    <t>doshinayan7200@gmail.com</t>
  </si>
  <si>
    <t>Nayan_ Doshi</t>
  </si>
  <si>
    <t>Vaishali NX</t>
  </si>
  <si>
    <t>Nayan Ramesh Doshi</t>
  </si>
  <si>
    <t>Properiter</t>
  </si>
  <si>
    <t xml:space="preserve">Mens Ethnic Wear And Shirts Trousers Jeans Since 1985
</t>
  </si>
  <si>
    <t xml:space="preserve">11, Prasad Shopping Centre, Opp. Rly. Station Mumbai Maharashtra      </t>
  </si>
  <si>
    <t>#8a75bc</t>
  </si>
  <si>
    <t>#dfdbdb</t>
  </si>
  <si>
    <t>#887ea8</t>
  </si>
  <si>
    <t>#ede6e6</t>
  </si>
  <si>
    <t>387.jpeg</t>
  </si>
  <si>
    <t>https://card.tap-savvy.com/VAISHALINX_NAMDEV-DESHMUKH/402</t>
  </si>
  <si>
    <t>VAISHALINX_NAMDEV-DESHMUKH</t>
  </si>
  <si>
    <t>Namdev_Deshmukh</t>
  </si>
  <si>
    <t>VAISHALI NX</t>
  </si>
  <si>
    <t>Namdev Deshmukh</t>
  </si>
  <si>
    <t>Mens Ethnic Wear And Shirts Trousers Jeans Since 1985.</t>
  </si>
  <si>
    <t>#887ea9</t>
  </si>
  <si>
    <t>#ede6e7</t>
  </si>
  <si>
    <t>https://card.tap-savvy.com/VASUPATI-JEWELLERS_AVNIP-KOTHARI/403</t>
  </si>
  <si>
    <t>VASUPATI-JEWELLERS_AVNIP-KOTHARI</t>
  </si>
  <si>
    <r>
      <rPr>
        <u/>
        <sz val="10"/>
        <rFont val="Arial"/>
        <scheme val="minor"/>
      </rPr>
      <t>vasupatijewellers@gmail.com</t>
    </r>
  </si>
  <si>
    <t>AVNIP_KOTHARI</t>
  </si>
  <si>
    <r>
      <rPr>
        <sz val="11"/>
        <color theme="1"/>
        <rFont val="Arial"/>
        <scheme val="minor"/>
      </rPr>
      <t>AVNIP</t>
    </r>
    <r>
      <rPr>
        <sz val="11"/>
        <color theme="1"/>
        <rFont val="Arial"/>
        <scheme val="minor"/>
      </rPr>
      <t xml:space="preserve"> </t>
    </r>
    <r>
      <rPr>
        <sz val="11"/>
        <color theme="1"/>
        <rFont val="Arial"/>
        <scheme val="minor"/>
      </rPr>
      <t>KOTHARI</t>
    </r>
  </si>
  <si>
    <t>CREATIVE HEAD</t>
  </si>
  <si>
    <t>104, Giriraj Building, 1st Floor, 226/230, Mumbai-400002, Mumbai.  Mumbai  Maharashtra</t>
  </si>
  <si>
    <t>https://card.tap-savvy.com/VASUPATI-JEWELLERS_MUKESH-KOTHARI/404</t>
  </si>
  <si>
    <t>VASUPATI-JEWELLERS_MUKESH-KOTHARI</t>
  </si>
  <si>
    <r>
      <rPr>
        <u/>
        <sz val="10"/>
        <rFont val="Arial"/>
        <scheme val="minor"/>
      </rPr>
      <t>vasupatijewellers@gmail.com</t>
    </r>
  </si>
  <si>
    <t>MUKESH_KOTHARI</t>
  </si>
  <si>
    <r>
      <rPr>
        <sz val="11"/>
        <color theme="1"/>
        <rFont val="Arial"/>
        <scheme val="minor"/>
      </rPr>
      <t>MUKESH</t>
    </r>
    <r>
      <rPr>
        <sz val="11"/>
        <color theme="1"/>
        <rFont val="Arial"/>
        <scheme val="minor"/>
      </rPr>
      <t xml:space="preserve"> </t>
    </r>
    <r>
      <rPr>
        <sz val="11"/>
        <color theme="1"/>
        <rFont val="Arial"/>
        <scheme val="minor"/>
      </rPr>
      <t>KOTHARI</t>
    </r>
  </si>
  <si>
    <t>DIRECTOR</t>
  </si>
  <si>
    <t>https://card.tap-savvy.com/VASUPATI-JEWELLERS_MANSUKH-KOTHARI/405</t>
  </si>
  <si>
    <t>VASUPATI-JEWELLERS_MANSUKH-KOTHARI</t>
  </si>
  <si>
    <r>
      <rPr>
        <u/>
        <sz val="10"/>
        <rFont val="Arial"/>
        <scheme val="minor"/>
      </rPr>
      <t>vasupatijewellers@gmail.com</t>
    </r>
  </si>
  <si>
    <t>MANSUKH_KOTHARI</t>
  </si>
  <si>
    <r>
      <rPr>
        <sz val="11"/>
        <color theme="1"/>
        <rFont val="Helvetica, sans-serif"/>
      </rPr>
      <t>MANSUKH</t>
    </r>
    <r>
      <rPr>
        <sz val="11"/>
        <color theme="1"/>
        <rFont val="Helvetica, sans-serif"/>
      </rPr>
      <t xml:space="preserve"> </t>
    </r>
    <r>
      <rPr>
        <sz val="11"/>
        <color theme="1"/>
        <rFont val="Helvetica, sans-serif"/>
      </rPr>
      <t>KOTHARI</t>
    </r>
  </si>
  <si>
    <t>https://card.tap-savvy.com/VASUPATI-JEWELLERS_NISHI-KOTHARI/406</t>
  </si>
  <si>
    <t>VASUPATI-JEWELLERS_NISHI-KOTHARI</t>
  </si>
  <si>
    <r>
      <rPr>
        <u/>
        <sz val="10"/>
        <rFont val="Arial"/>
        <scheme val="minor"/>
      </rPr>
      <t>vasupatijewellers@gmail.com</t>
    </r>
  </si>
  <si>
    <t>Nishi_Kothari</t>
  </si>
  <si>
    <r>
      <rPr>
        <sz val="11"/>
        <color theme="1"/>
        <rFont val="Arial"/>
        <scheme val="minor"/>
      </rPr>
      <t>Nishi</t>
    </r>
    <r>
      <rPr>
        <sz val="11"/>
        <color theme="1"/>
        <rFont val="Arial"/>
        <scheme val="minor"/>
      </rPr>
      <t xml:space="preserve"> </t>
    </r>
    <r>
      <rPr>
        <sz val="11"/>
        <color theme="1"/>
        <rFont val="Arial"/>
        <scheme val="minor"/>
      </rPr>
      <t>Kothari</t>
    </r>
  </si>
  <si>
    <t>Platinum Head</t>
  </si>
  <si>
    <t>https://card.tap-savvy.com/MEGH-JEWELLERS_BHAVESH-SOLANKI/424</t>
  </si>
  <si>
    <t>MEGH-JEWELLERS_BHAVESH-SOLANKI</t>
  </si>
  <si>
    <t>bhavesh@gmail.com</t>
  </si>
  <si>
    <t>BHAVESH_SOLANKI</t>
  </si>
  <si>
    <t>MEGH JEWELLERS</t>
  </si>
  <si>
    <t>BHAVESH SUBHASH SOLANKI</t>
  </si>
  <si>
    <t>GENX JEWELLER</t>
  </si>
  <si>
    <r>
      <rPr>
        <sz val="11"/>
        <color theme="1"/>
        <rFont val="&quot;Times New Roman&quot;, serif"/>
      </rPr>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r>
  </si>
  <si>
    <t>Shop no 40, Dagina bazar, mumbadevi road,  Mumbai  Maharashtra</t>
  </si>
  <si>
    <t>#b555b5</t>
  </si>
  <si>
    <t>#ece8ec</t>
  </si>
  <si>
    <t>424.jpeg</t>
  </si>
  <si>
    <t>https://card.tap-savvy.com/KASHISH-FURNISHING_VISHAL-JAIN/448</t>
  </si>
  <si>
    <t>KASHISH-FURNISHING_VISHAL-JAIN</t>
  </si>
  <si>
    <t>vishal@kashishfrunishing.com</t>
  </si>
  <si>
    <t>Vishal_Jain</t>
  </si>
  <si>
    <t>Kashish Furnishing</t>
  </si>
  <si>
    <r>
      <rPr>
        <sz val="11"/>
        <color theme="1"/>
        <rFont val="Arial"/>
        <scheme val="minor"/>
      </rPr>
      <t>Vishal</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</si>
  <si>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</si>
  <si>
    <t>#d81111</t>
  </si>
  <si>
    <t>#faf5f5</t>
  </si>
  <si>
    <t>448.jpeg</t>
  </si>
  <si>
    <t>https://card.tap-savvy.com/KASHISH-FURNISHINGS_MANISH-JAIN/449</t>
  </si>
  <si>
    <t>KASHISH-FURNISHINGS_MANISH-JAIN</t>
  </si>
  <si>
    <r>
      <rPr>
        <u/>
        <sz val="10"/>
        <rFont val="Arial"/>
        <scheme val="minor"/>
      </rPr>
      <t>manishhingarh49@gmail.com</t>
    </r>
  </si>
  <si>
    <t>Manish_Jain</t>
  </si>
  <si>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</si>
  <si>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</si>
  <si>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#f7f7f8</t>
  </si>
  <si>
    <t>#000001</t>
  </si>
  <si>
    <t>#d81112</t>
  </si>
  <si>
    <t>#faf5f6</t>
  </si>
  <si>
    <t>https://card.tap-savvy.com/KASHISH-FURNISHING/450</t>
  </si>
  <si>
    <t>KASHISH-FURNISHING</t>
  </si>
  <si>
    <r>
      <rPr>
        <u/>
        <sz val="10"/>
        <rFont val="Arial"/>
        <scheme val="minor"/>
      </rPr>
      <t>info@kashishfurnishing.com</t>
    </r>
  </si>
  <si>
    <t>SALES_TEAM</t>
  </si>
  <si>
    <t>SALES TEAM</t>
  </si>
  <si>
    <t>Office</t>
  </si>
  <si>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</si>
  <si>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#f7f7f9</t>
  </si>
  <si>
    <t>#000002</t>
  </si>
  <si>
    <t>#d81113</t>
  </si>
  <si>
    <t>#faf5f7</t>
  </si>
  <si>
    <t>https://card.tap-savvy.com/KASHISH-ENTERPRISE_RAVI-JAIN/451</t>
  </si>
  <si>
    <t>KASHISH-ENTERPRISE_RAVI-JAIN</t>
  </si>
  <si>
    <r>
      <rPr>
        <u/>
        <sz val="10"/>
        <rFont val="Arial"/>
        <scheme val="minor"/>
      </rPr>
      <t>ravi@kashishfurnishing.com</t>
    </r>
  </si>
  <si>
    <t>RAVI_JAIN</t>
  </si>
  <si>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</si>
  <si>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</si>
  <si>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t>#f7f7f10</t>
  </si>
  <si>
    <t>#000003</t>
  </si>
  <si>
    <t>#d81114</t>
  </si>
  <si>
    <t>#faf5f8</t>
  </si>
  <si>
    <t xml:space="preserve"> </t>
  </si>
  <si>
    <t>fill details</t>
  </si>
  <si>
    <t>https://card.tap-savvy.com/WIN-AT-RELATIONSHIP_KUUNJAL-PAAL/452</t>
  </si>
  <si>
    <t>WIN-AT-RELATIONSHIP_KUUNJAL-PAAL</t>
  </si>
  <si>
    <t>contact@winatrelationshipsbykuunjalpaal.com</t>
  </si>
  <si>
    <t>Kuunjal_Paal</t>
  </si>
  <si>
    <t>Win at Relationships by Kuunjal Paal</t>
  </si>
  <si>
    <t>Coach Kuunjal Paal</t>
  </si>
  <si>
    <t>Personal &amp; Professional Relationship Coach</t>
  </si>
  <si>
    <t>Introducing Win at Relationships, founded by Kuunjal Paal – an ICF certified coach with 12 years of corporate expertise in People and Culture. With over 7000 individuals coached, Kuunjal specializes in personal and professional relationships, helping people leverage their strengths and achieve personal growth. For organizations, she has designed coaching programs that empower employees to excel. The second program focuses on transforming leaders into coaches, fostering a coaching culture.</t>
  </si>
  <si>
    <t>#1c1a1a</t>
  </si>
  <si>
    <t>#67be95</t>
  </si>
  <si>
    <t>#e4e2d8</t>
  </si>
  <si>
    <t>452.jpeg</t>
  </si>
  <si>
    <t>https://card.tap-savvy.com/KEY2HAPPYLIFEPVTLTD_MALLICKPAREKH/458</t>
  </si>
  <si>
    <t>KEY2HAPPYLIFEPVTLTD_MALLICKPAREKH</t>
  </si>
  <si>
    <t>mallickparekh@skyenterprises.in</t>
  </si>
  <si>
    <t>MALLICK_PAREKH</t>
  </si>
  <si>
    <t>KEY2HAPPYLIFE PVT LTD</t>
  </si>
  <si>
    <r>
      <rPr>
        <sz val="11"/>
        <color theme="1"/>
        <rFont val="Arial"/>
        <scheme val="minor"/>
      </rPr>
      <t>MALLICK</t>
    </r>
    <r>
      <rPr>
        <sz val="11"/>
        <color theme="1"/>
        <rFont val="Arial"/>
        <scheme val="minor"/>
      </rPr>
      <t xml:space="preserve"> </t>
    </r>
    <r>
      <rPr>
        <sz val="11"/>
        <color theme="1"/>
        <rFont val="Arial"/>
        <scheme val="minor"/>
      </rPr>
      <t>S</t>
    </r>
    <r>
      <rPr>
        <sz val="11"/>
        <color theme="1"/>
        <rFont val="Arial"/>
        <scheme val="minor"/>
      </rPr>
      <t xml:space="preserve"> </t>
    </r>
    <r>
      <rPr>
        <sz val="11"/>
        <color theme="1"/>
        <rFont val="Arial"/>
        <scheme val="minor"/>
      </rPr>
      <t>PAREKH</t>
    </r>
  </si>
  <si>
    <t>Founder &amp; Director</t>
  </si>
  <si>
    <t>Happy Life Has been in business for over 6 years and have helped thousands of people explore different parts of the world. We're passionate about travel and love nothing more than helping our clients create lasting memories. We feel immense pleasure to introduce ourselves as a leading "Tourism House in India". Though we have moved out of the incubation stage since last five years and are in the process of getting a strong foothold in today arena....</t>
  </si>
  <si>
    <t>202 Krishna Niwas  Mumbai  Maharashtra</t>
  </si>
  <si>
    <t>#dcdde4</t>
  </si>
  <si>
    <t>#acaeb2</t>
  </si>
  <si>
    <t>#201b1b</t>
  </si>
  <si>
    <t>https://card.tap-savvy.com/HAPPYLIFE_AMIT-ROY/459</t>
  </si>
  <si>
    <t>HAPPYLIFE_AMIT-ROY</t>
  </si>
  <si>
    <r>
      <rPr>
        <u/>
        <sz val="10"/>
        <rFont val="Arial"/>
        <scheme val="minor"/>
      </rPr>
      <t>amitroy@skyenterprises.in</t>
    </r>
  </si>
  <si>
    <t>Amit_Roy</t>
  </si>
  <si>
    <t>Amit C Roy</t>
  </si>
  <si>
    <t>Founder and Director</t>
  </si>
  <si>
    <t>#1b1919</t>
  </si>
  <si>
    <t>https://card.tap-savvy.com/KEY2HAPPYLIFEPVTLTD_NAVEENKHANNA/460</t>
  </si>
  <si>
    <t>KEY2HAPPYLIFEPVTLTD_NAVEENKHANNA</t>
  </si>
  <si>
    <r>
      <rPr>
        <u/>
        <sz val="10"/>
        <rFont val="Arial"/>
        <scheme val="minor"/>
      </rPr>
      <t>naveen_sky81@yahoo.com</t>
    </r>
  </si>
  <si>
    <t>Naveen_Khanna</t>
  </si>
  <si>
    <t>Naveen Khanna</t>
  </si>
  <si>
    <t>#cc2525</t>
  </si>
  <si>
    <t>#fdfdfd</t>
  </si>
  <si>
    <t>#d10808</t>
  </si>
  <si>
    <t>https://card.tap-savvy.com/VISHWAKARMA-INTERNATIONAL_SANJAY-GOYAL/488</t>
  </si>
  <si>
    <t>VISHWAKARMA-INTERNATIONAL_SANJAY-GOYAL</t>
  </si>
  <si>
    <r>
      <rPr>
        <u/>
        <sz val="10"/>
        <rFont val="Arial"/>
        <scheme val="minor"/>
      </rPr>
      <t>sanjaygoyal70@gmail.com</t>
    </r>
  </si>
  <si>
    <t>Sanjay_Goyal</t>
  </si>
  <si>
    <t>VISHWAKARMA INTERNATIONAL</t>
  </si>
  <si>
    <t>Sanjay Goyal</t>
  </si>
  <si>
    <r>
      <rPr>
        <sz val="11"/>
        <color theme="1"/>
        <rFont val="Arial"/>
        <scheme val="minor"/>
      </rPr>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r>
  </si>
  <si>
    <t>shop no.6, darshana apt, Mumbai, Maharashtra.</t>
  </si>
  <si>
    <t>#100e0e</t>
  </si>
  <si>
    <t>100e0e</t>
  </si>
  <si>
    <t>#e7dede</t>
  </si>
  <si>
    <t>488.jpeg</t>
  </si>
  <si>
    <t>https://card.tap-savvy.com/HARRY-BYCYCLE-RENTAL/704</t>
  </si>
  <si>
    <t>HARRY-BYCYCLE-RENTAL</t>
  </si>
  <si>
    <t>sumitkhutale8@gmail.com</t>
  </si>
  <si>
    <t>Harry</t>
  </si>
  <si>
    <t>Harry Bycycle Rental</t>
  </si>
  <si>
    <t>Cycle entrepreneur</t>
  </si>
  <si>
    <t>2018 All over Mumbai. We are 24*7 Just confirm your time before few hours or days Different cycles different rates? 80/120/150 per hour. 500 deposit. 500/700 per day. 1k deposit. 1500/2100 week. 2k deposit. 2500/3100/3500 month. 5k deposit + Id. For gear 100 extra We can deliver at your place. We charge for that according to km.</t>
  </si>
  <si>
    <t>#d2d3d2</t>
  </si>
  <si>
    <t>704.jpeg</t>
  </si>
  <si>
    <t>https://card.tap-savvy.com/CHOCOLATE-COSMOS_SIMRA-SONULE/805</t>
  </si>
  <si>
    <t>TEJAS-BODAWALA_COSMOS-AIRCON-PVT-LTD</t>
  </si>
  <si>
    <r>
      <rPr>
        <u/>
        <sz val="10"/>
        <rFont val="Helvetica, sans-serif"/>
      </rPr>
      <t>tejasbg@cosmosaircon.com</t>
    </r>
  </si>
  <si>
    <t>Tejas_Bodawala</t>
  </si>
  <si>
    <t>Cosmos Aircon Private Limited</t>
  </si>
  <si>
    <t>Tejas Ganeshchandra Bodawala</t>
  </si>
  <si>
    <t>Cosmos Aircon Pvt Ltd (CAPL) established in 1998. An ISO 9001-2015 certified company. We have more than 7500 + satisfied customers. Provides world class boutique HVAC solutions to high end Residential, Commercial, Industrial and Institutional buildings. Leveraging technology and embracing engineering expertise. Our strength lies in providing unique cooling solutions. Inhouse Design and experienced Execution Teams.</t>
  </si>
  <si>
    <t xml:space="preserve">101 ,1st Floor, Niraj Industrial Premises Co-operative Soc. Ltd.  Mumbai  Maharashtra  </t>
  </si>
  <si>
    <t>null</t>
  </si>
  <si>
    <t>1737172574_16bd5d0f7be1b116e965.png</t>
  </si>
  <si>
    <t>805.jpeg</t>
  </si>
  <si>
    <t>https://card.tap-savvy.com/NNP-LAWS-ASSOCIATES_NEHAL-PAREKH/731</t>
  </si>
  <si>
    <t>NNP-LAWS-ASSOCIATES_NEHAL-PAREKH</t>
  </si>
  <si>
    <t>nnplawassociates@gmail.com</t>
  </si>
  <si>
    <t>Nehal_Parekh</t>
  </si>
  <si>
    <t>NNP LAW ASSOCIATES</t>
  </si>
  <si>
    <t>Nehal Parekh</t>
  </si>
  <si>
    <t>High Court, Advocate</t>
  </si>
  <si>
    <t>Advocate Nehal Parekh is an alumni of Government Law College, Mumbai (2008-2011). She has worked with prestigious firms like PDS Legal for 3 1/2 Years and Economic Law Practice, Mumbai for 6 1/2 years Director at Mandukhlal Hiralal &amp; Company for 1 year and now is an independent practitioner. (Your friend In Law)</t>
  </si>
  <si>
    <t>#1c1919</t>
  </si>
  <si>
    <t>#11075d</t>
  </si>
  <si>
    <t>#f1e6e6</t>
  </si>
  <si>
    <t>731.jpeg</t>
  </si>
  <si>
    <t>https://card.tap-savvy.com/BNI-INDIA_NIKHIL-DESAI/744</t>
  </si>
  <si>
    <t>BNI-INDIA_NIKHIL-DESAI</t>
  </si>
  <si>
    <r>
      <rPr>
        <u/>
        <sz val="10"/>
        <rFont val="Arial"/>
        <scheme val="minor"/>
      </rPr>
      <t>nikhil@bni-india.in</t>
    </r>
  </si>
  <si>
    <t>Nikhil_Desai</t>
  </si>
  <si>
    <t>BNI</t>
  </si>
  <si>
    <t>Nikhil Desai</t>
  </si>
  <si>
    <t>Area Director (Mumbai North West), India</t>
  </si>
  <si>
    <t xml:space="preserve">C Wing 915, One BKC, BKC,     </t>
  </si>
  <si>
    <t>#ce2222</t>
  </si>
  <si>
    <t>#f8e5e5</t>
  </si>
  <si>
    <t>#1a1818</t>
  </si>
  <si>
    <t>744.jpeg</t>
  </si>
  <si>
    <t>https://card.tap-savvy.com/RajeshVakil_PrimeIndiaInternational/753</t>
  </si>
  <si>
    <t>RajeshVakil_PrimeIndiaInternational</t>
  </si>
  <si>
    <t>primecarb@hotmail.com</t>
  </si>
  <si>
    <t>Rajesh_Vakil</t>
  </si>
  <si>
    <t>Prime India International</t>
  </si>
  <si>
    <t>Rajesh M Vakil</t>
  </si>
  <si>
    <t>Prime India International, a pioneering Gas Carburizing Fluid Manufacturing company based in Mumbai since 1971. Prime India International's revolutionary Gas Carburizing Fluids, designed to enhance the performance and durability of your metal components.</t>
  </si>
  <si>
    <t>https://www.primeindiainternational.com/</t>
  </si>
  <si>
    <t xml:space="preserve">Mahalaxmi Industrial Estate, Gr. Flr , Unit 15  Mumbai  Maharashtra  </t>
  </si>
  <si>
    <t>753.jpeg</t>
  </si>
  <si>
    <t>https://card.tap-savvy.com/SHUBH-EXIM_AMIT-JAIN/759</t>
  </si>
  <si>
    <t>SHUBH-EXIM_AMIT-JAIN</t>
  </si>
  <si>
    <t xml:space="preserve">amit_jain357@yahoo.co.in
</t>
  </si>
  <si>
    <t>Amit_Jain</t>
  </si>
  <si>
    <t>SHUBH EXIM</t>
  </si>
  <si>
    <t>Amit Jain</t>
  </si>
  <si>
    <t>Managing Team</t>
  </si>
  <si>
    <t>One of the top Power tool &amp; Accessories companies that specialises in core cutting is SHUBH EXIM. We offer power tools that are both innovative and of high quality. For the finest customer experience, Pravin Machine Tools is renowned for its products that have undergone thorough testing for their unwavering quality, dependability, durability, and performance.</t>
  </si>
  <si>
    <t>5/5A, 1st Floor, 136/138, VV Chandan Street,</t>
  </si>
  <si>
    <t>#d27519</t>
  </si>
  <si>
    <t>759.jpeg</t>
  </si>
  <si>
    <t>https://card.tap-savvy.com/SHUBH-EXIM_HIMMAT-JAIN/760</t>
  </si>
  <si>
    <t>SHUBH-EXIM_HIMMAT-JAIN</t>
  </si>
  <si>
    <t>HIMMAT_JAIN</t>
  </si>
  <si>
    <t>HIMMAT JAIN</t>
  </si>
  <si>
    <t>#d27520</t>
  </si>
  <si>
    <t>#f8f6f7</t>
  </si>
  <si>
    <t>https://card.tap-savvy.com/SHUBH-EXIM_PRAVIN-JAIN/761</t>
  </si>
  <si>
    <t>SHUBH-EXIM_PRAVIN-JAIN</t>
  </si>
  <si>
    <t xml:space="preserve">pravin_jain357@yahoo.co.in
</t>
  </si>
  <si>
    <t>Pravin_Jain</t>
  </si>
  <si>
    <t>Pravin Jain</t>
  </si>
  <si>
    <t>#d27521</t>
  </si>
  <si>
    <t>#f8f6f8</t>
  </si>
  <si>
    <t>circle hex</t>
  </si>
  <si>
    <t>https://card.tap-savvy.com/SiddharthJainVelcordTextiles/762</t>
  </si>
  <si>
    <t>SiddharthJainVelcordTextiles</t>
  </si>
  <si>
    <t>siddharth@velcord.in</t>
  </si>
  <si>
    <t>Siddharth_Jain</t>
  </si>
  <si>
    <t>Velcord Textiles Private Limited</t>
  </si>
  <si>
    <t>Siddharth Jain</t>
  </si>
  <si>
    <t xml:space="preserve">Plot No. 23 Mira Coorporative Industrial Estate  Thane District  Maharashtra  </t>
  </si>
  <si>
    <t>#625858</t>
  </si>
  <si>
    <t>#fbfbfb</t>
  </si>
  <si>
    <t>#777477</t>
  </si>
  <si>
    <t>1734869611_9cdbe9a5d52590997f86.jpeg</t>
  </si>
  <si>
    <t>https://card.tap-savvy.com/MukeshNagarVelcordTextiles/763</t>
  </si>
  <si>
    <t>MukeshNagarVelcordTextiles</t>
  </si>
  <si>
    <r>
      <rPr>
        <u/>
        <sz val="10"/>
        <rFont val="&quot;Ysabeau Infant&quot;, sans-serif"/>
      </rPr>
      <t>mukesh.nagar@velcord.in</t>
    </r>
  </si>
  <si>
    <t>Mukesh_Nagar</t>
  </si>
  <si>
    <t>Mukesh Nagar</t>
  </si>
  <si>
    <t>GM - International Sales</t>
  </si>
  <si>
    <t>Plot No. 23 Mira Coorporative Industrial Estate  Thane District  Maharashtra</t>
  </si>
  <si>
    <t>#625859</t>
  </si>
  <si>
    <t>#777478</t>
  </si>
  <si>
    <t>1739443997_34ac0be73914d778e5e4.jpeg</t>
  </si>
  <si>
    <t>https://card.tap-savvy.com/SAMRUT-HOLDAYS_NIRAJ-LALWANI/765</t>
  </si>
  <si>
    <t>SAMRUT-HOLDAYS_NIRAJ-LALWANI</t>
  </si>
  <si>
    <t>samrutholidays@gmail.com</t>
  </si>
  <si>
    <t>Niraj_Lalwani</t>
  </si>
  <si>
    <t>Samrut Holidays</t>
  </si>
  <si>
    <t>Niraj Lalwani - BNI Triummph</t>
  </si>
  <si>
    <t>VOYAGE, EXPLORE, DISCOVER!!!! Customized package for both domestic and International.- involving your Flights</t>
  </si>
  <si>
    <t>#3249bd</t>
  </si>
  <si>
    <t>#ddbd71</t>
  </si>
  <si>
    <t>#2c43a0</t>
  </si>
  <si>
    <t>1736398114_4e1cbe43bebc902f3814.png</t>
  </si>
  <si>
    <t>765.jpeg</t>
  </si>
  <si>
    <t>FLIGHT BOOKING</t>
  </si>
  <si>
    <t>1736329849_bbd87be61da74ef4feaa.jpeg</t>
  </si>
  <si>
    <t>CUSTOMIZED HOLIDAY PACKAGES</t>
  </si>
  <si>
    <t>1736329860_c5063deba539c557819b.jpeg</t>
  </si>
  <si>
    <t>HOTEL RESERVATION</t>
  </si>
  <si>
    <t>1736329874_fde708b38d420716991a.jpeg</t>
  </si>
  <si>
    <t>CRUISE BOOKING</t>
  </si>
  <si>
    <t>1736329885_4efa854f7599ec652cc6.jpeg</t>
  </si>
  <si>
    <t>VISA SERVICES</t>
  </si>
  <si>
    <t>1736329897_d3dc573d3d8b5dbebb26.jpeg</t>
  </si>
  <si>
    <t>hex</t>
  </si>
  <si>
    <t>https://card.tap-savvy.com/3-CHEERS-ADS_SULAKSHANA-HEREKAR/769</t>
  </si>
  <si>
    <t>3-CHEERS-ADS_SULAKSHANA-HEREKAR</t>
  </si>
  <si>
    <t>sulakshana@3cheersads.com</t>
  </si>
  <si>
    <t>Sulakshana_Herekar</t>
  </si>
  <si>
    <t>3Cheers! Ads</t>
  </si>
  <si>
    <t>Sulakshana Khalil Herekar</t>
  </si>
  <si>
    <t>Owner</t>
  </si>
  <si>
    <t>Founder of 3Cheers! Ads, a full-service advertising agency offering ATL, BTL and Digital services, specializing in video production</t>
  </si>
  <si>
    <t xml:space="preserve">A-606, La Chapelle CHS, Evershine Nagar  Mumbai  Maharashtra  </t>
  </si>
  <si>
    <t>#b1e9e3</t>
  </si>
  <si>
    <t>#1e1d1d</t>
  </si>
  <si>
    <t>#d40202</t>
  </si>
  <si>
    <t>#eae5e5</t>
  </si>
  <si>
    <t>1737093927_3240349b102a4d2fda10.jpg</t>
  </si>
  <si>
    <t>769.jpeg</t>
  </si>
  <si>
    <t>https://card.tap-savvy.com/Qvitta-TheWriteMind/774</t>
  </si>
  <si>
    <t>Qvitta-TheWriteMind</t>
  </si>
  <si>
    <t>qvitta@gmail.com</t>
  </si>
  <si>
    <t>Qvitta_Chheda</t>
  </si>
  <si>
    <t>The WriteMind</t>
  </si>
  <si>
    <t>Qvitta Chheda</t>
  </si>
  <si>
    <t>Masters in Counseling Psychology | Psychological Counsellor | E- Consulting | Graphologist| Signature Analyst| Art Therapist| Dream Analyst🌻</t>
  </si>
  <si>
    <t>T-3/1204, Runwal Rosewood CHS,  Mumbai  Maharashtra</t>
  </si>
  <si>
    <t>#ccc4c4</t>
  </si>
  <si>
    <t>#1fb0ad</t>
  </si>
  <si>
    <t>#faeded</t>
  </si>
  <si>
    <t>774.jpeg</t>
  </si>
  <si>
    <t>https://card.tap-savvy.com/SR-STORE_ROSHAN-JAIN/798</t>
  </si>
  <si>
    <t>SR-STORE_ROSHAN-JAIN</t>
  </si>
  <si>
    <t>rbjain5@gmail.co</t>
  </si>
  <si>
    <t>Roshan_Jain</t>
  </si>
  <si>
    <t>SR Store</t>
  </si>
  <si>
    <t>Roshan Jain</t>
  </si>
  <si>
    <t>Founder</t>
  </si>
  <si>
    <t>SR Store (Navkar Apparels) was launched in 2014 with a vision to provide our customers with the latest trends in Fashion clothing and Accessories. Journey began with offering vintage clothing and in a span of just a year; SR STORE emerged as a leading Fashion destination. @ SR STORE, we are Redefining Style. Because Fashion changes every day, but the Style endures. We believe in being a step ahead in defining the trends and that is what keeps us passionate and driven @ STYLE REDEFINED.</t>
  </si>
  <si>
    <t xml:space="preserve">Shop no 2, Bhasin House, PD Hinduja road  Mumbai  Maharashtra  </t>
  </si>
  <si>
    <t>#3b9e7a</t>
  </si>
  <si>
    <t>798.jpeg</t>
  </si>
  <si>
    <t>https://card.tap-savvy.com/PDS-MFG_MANOJ-DIMRI/803</t>
  </si>
  <si>
    <t>PDS-MFG_MANOJ-DIMRI</t>
  </si>
  <si>
    <r>
      <rPr>
        <u/>
        <sz val="10"/>
        <rFont val="Arial"/>
        <scheme val="minor"/>
      </rPr>
      <t>manoj.dimri@pds-mfg.com</t>
    </r>
  </si>
  <si>
    <t>Manoj_Dimri</t>
  </si>
  <si>
    <t>Green Smart Shirts Limited</t>
  </si>
  <si>
    <t>Manoj Dimri</t>
  </si>
  <si>
    <t>CEO</t>
  </si>
  <si>
    <t>State of the Art Manufacturing Facility in Bangladesh, with over a million units production capacity.</t>
  </si>
  <si>
    <t>https://pdsltd.com/</t>
  </si>
  <si>
    <t>#bc080a</t>
  </si>
  <si>
    <t>#f9faf4</t>
  </si>
  <si>
    <t>#b50707</t>
  </si>
  <si>
    <t>803.jpeg</t>
  </si>
  <si>
    <t>https://card.tap-savvy.com/GATE-WAY-ABROAD_PRATIK-MALDE/804</t>
  </si>
  <si>
    <t>GATE-WAY-ABROAD_PRATIK-MALDE</t>
  </si>
  <si>
    <t xml:space="preserve">mumbai@gatewayabroad.in
</t>
  </si>
  <si>
    <t>Pratik_Malde</t>
  </si>
  <si>
    <t>Gateway Abroad Mumbai</t>
  </si>
  <si>
    <t>Pratik Lalit Malde</t>
  </si>
  <si>
    <t>Studied bachelor in management studies from University of Mumbai, then attended the Kingston University for his postgrad. With a MSc in Finance, i have paved a way towards building my own business. A vision of providing career-oriented services to students and changed it into a reality. We harbour good knowledge about studying and living in the UK. Our services are extended to Ireland, Australia, and Canada too</t>
  </si>
  <si>
    <t>https://www.gatewayabroad.com/</t>
  </si>
  <si>
    <t xml:space="preserve">The Playce, 1st Floor, Marathon Maxima, LBS Road  Mumbai  Maharashtra  </t>
  </si>
  <si>
    <t>804.jpeg</t>
  </si>
  <si>
    <t>pannel sent</t>
  </si>
  <si>
    <t>CHOCOLATE-COSMOS_SIMRA-SONULE</t>
  </si>
  <si>
    <r>
      <rPr>
        <u/>
        <sz val="10"/>
        <rFont val="Arial"/>
        <scheme val="minor"/>
      </rPr>
      <t>simranvsonule99.ss@gmail.com</t>
    </r>
  </si>
  <si>
    <t>Simran_Sonule</t>
  </si>
  <si>
    <t>Chocolate Cosmos</t>
  </si>
  <si>
    <t>Simran Vijay Sonule</t>
  </si>
  <si>
    <t>https://card.tap-savvy.com/NEENA-JAMDADE/807</t>
  </si>
  <si>
    <t>NEENA-JAMDADE</t>
  </si>
  <si>
    <t>neena@njdigit.com</t>
  </si>
  <si>
    <t>Neena_Jamdade</t>
  </si>
  <si>
    <t>NJ Digit</t>
  </si>
  <si>
    <t>Neena Bhartesh Jamdade</t>
  </si>
  <si>
    <t>Individual financial advisor</t>
  </si>
  <si>
    <t>Commerce graduate with post-graduation in finance from Karnataka University. In my early days of career, I have worked with Asian Markets and Bajaj Alliance General Insurance Started as an investor in 2012 and since 2015 have been managing portfolios of 50+ customers in Equity, Mutual Funds, PMS and Derivatives. Helping customers invest and grow their portfolios year on year with sound strategies, technical analysis, digital adoption, and industry trends.</t>
  </si>
  <si>
    <t>#2d2929</t>
  </si>
  <si>
    <t>1736400951_7646b1d0a18e19b0d341.png</t>
  </si>
  <si>
    <t>1736400951_d60ebd71b42eca0e7895.png</t>
  </si>
  <si>
    <t>https://card.tap-savvy.com/AMAN-MEMON/808</t>
  </si>
  <si>
    <t>AMAN-MEMON</t>
  </si>
  <si>
    <t>amanmemon46.am@gmail.com</t>
  </si>
  <si>
    <t>Aman_Memon</t>
  </si>
  <si>
    <t>Landmark Insurance Brokers Pvt Ltd</t>
  </si>
  <si>
    <t>Aman Aziz Memon</t>
  </si>
  <si>
    <t>Hey , Aman here . You can connect with me regarding all your insurance related product. Happy to connect.</t>
  </si>
  <si>
    <t xml:space="preserve">C-10.Arafat Society, ShantiNiketan BLDG,      </t>
  </si>
  <si>
    <t>#67045d</t>
  </si>
  <si>
    <t>#edd8d8</t>
  </si>
  <si>
    <t>#260c26</t>
  </si>
  <si>
    <t>#e9d7d7</t>
  </si>
  <si>
    <t>https://card.tap-savvy.com/NAMASTE_NEHA-MISHRA/810</t>
  </si>
  <si>
    <t>NAMASTE_NEHA-MISHRA</t>
  </si>
  <si>
    <t xml:space="preserve">Misneha2862@gmail.com
</t>
  </si>
  <si>
    <t>Neha_Mishra</t>
  </si>
  <si>
    <t>Namaste</t>
  </si>
  <si>
    <t>Neha Arun Mishra</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</si>
  <si>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t>
  </si>
  <si>
    <t>https://card.tap-savvy.com/Noor-Bhimani/811</t>
  </si>
  <si>
    <t>Noor-Bhimani</t>
  </si>
  <si>
    <t xml:space="preserve">noor@noorbhimani.com
</t>
  </si>
  <si>
    <t>Noor_Bhimani</t>
  </si>
  <si>
    <t>Affluence Coaching</t>
  </si>
  <si>
    <t>Noor Bhimani</t>
  </si>
  <si>
    <t>International Business Coach &amp; Trainer</t>
  </si>
  <si>
    <t>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t>
  </si>
  <si>
    <t xml:space="preserve">207, Shoppers point, S.V Road, Andheri West  Mumbai  Maharashtra  </t>
  </si>
  <si>
    <t>#f0f3f5</t>
  </si>
  <si>
    <t>#10101f</t>
  </si>
  <si>
    <t>#f5e0e0</t>
  </si>
  <si>
    <t>https://card.tap-savvy.com/MRJ-HOME-IMPROVEMENTS-PVT-LTD_RAJESH-AHUJA/817</t>
  </si>
  <si>
    <t>MRJ-HOME-IMPROVEMENTS-PVT-LTD_RAJESH-AHUJA</t>
  </si>
  <si>
    <t>rajesh@saviesahome.com</t>
  </si>
  <si>
    <t>Rajesh_Ahuja</t>
  </si>
  <si>
    <t>MRJ HOME IMPROVEMENTS PVT LTD</t>
  </si>
  <si>
    <t>Rajesh Thakur Ahuja</t>
  </si>
  <si>
    <t>Saviesa has been founded by the pioneers of modular kitchens in India. These highly customer–focused experts, the founding Saviesa, with their knowledge, insights and expertise, gained in the field over two decades, bring you world-standard modular kitchens</t>
  </si>
  <si>
    <t>https://www.saviesahome.com/</t>
  </si>
  <si>
    <t xml:space="preserve">Unit no. 6 Tukaram Bhandari compound  Mumbai  Maharashtra  </t>
  </si>
  <si>
    <t>#7518a4</t>
  </si>
  <si>
    <t>#e7dbdb</t>
  </si>
  <si>
    <t>#682694</t>
  </si>
  <si>
    <t>817.jpeg</t>
  </si>
  <si>
    <t>https://card.tap-savvy.com/PEST-RELIEF-SERVICES_SUNIL-AKHADE/819</t>
  </si>
  <si>
    <t>PEST-RELIEF-SERVICES_SUNIL-AKHADE</t>
  </si>
  <si>
    <t xml:space="preserve">pestreliefservices21@gmail.com
</t>
  </si>
  <si>
    <t>Sunil_Akhade</t>
  </si>
  <si>
    <t>Pest Relief Services</t>
  </si>
  <si>
    <t>Sunil Yashawant Akhade</t>
  </si>
  <si>
    <t>#c39696</t>
  </si>
  <si>
    <t>#050404</t>
  </si>
  <si>
    <t>1736400209_40cf77089672c6d48e21.png</t>
  </si>
  <si>
    <t>819.jpeg</t>
  </si>
  <si>
    <t>Residential Pest Control</t>
  </si>
  <si>
    <t>1734359977_08691c73ae7f2aca8dd5.webp</t>
  </si>
  <si>
    <t>Commercial Pest Control</t>
  </si>
  <si>
    <t>1734359988_87ef2632b45bac232d27.webp</t>
  </si>
  <si>
    <t>Pre-construction Pest Control</t>
  </si>
  <si>
    <t>1734359999_4b19a8698d57a9be3c0e.webp</t>
  </si>
  <si>
    <t>URL</t>
  </si>
  <si>
    <t>ROLE</t>
  </si>
  <si>
    <t>https://card.tap-savvy.com/AMITPATEL/823</t>
  </si>
  <si>
    <t>AMITPATEL</t>
  </si>
  <si>
    <t xml:space="preserve">imagestores09@gmail.com
</t>
  </si>
  <si>
    <t>Amit_Patel</t>
  </si>
  <si>
    <t>Image Stationery Stores</t>
  </si>
  <si>
    <t>Amit Patel</t>
  </si>
  <si>
    <t>Operation Head</t>
  </si>
  <si>
    <t xml:space="preserve">208, Bussa Industrial Estate, Shankar Rao Naram Path  Mumbai  Maharashtra  </t>
  </si>
  <si>
    <t>https://card.tap-savvy.com/Sudhaamshu/824</t>
  </si>
  <si>
    <t>Sudhaamshu</t>
  </si>
  <si>
    <t>sudhaamshu.mohandass@gmail.com</t>
  </si>
  <si>
    <t>Sudhaam_Shu</t>
  </si>
  <si>
    <t>Sudhaam Shu M</t>
  </si>
  <si>
    <t>https://card.tap-savvy.com/SUNIL-SHAH/825</t>
  </si>
  <si>
    <t>SUNIL-SHAH</t>
  </si>
  <si>
    <r>
      <rPr>
        <u/>
        <sz val="10"/>
        <rFont val="&quot;Lexend Peta&quot;, sans-serif"/>
      </rPr>
      <t>solution@chemtronicsindia.com</t>
    </r>
  </si>
  <si>
    <t>Sunil_Shah</t>
  </si>
  <si>
    <t>Chemtronics Technologies (India) pvt ltd</t>
  </si>
  <si>
    <t>Sunil Shah</t>
  </si>
  <si>
    <t>Chief Solution Oficer</t>
  </si>
  <si>
    <t>https://www.chemtronicsindia.com/</t>
  </si>
  <si>
    <t>https://card.tap-savvy.com/ANKIT_JAIN_TAP/828</t>
  </si>
  <si>
    <t>ANKIT_JAIN_TAP</t>
  </si>
  <si>
    <t>ankitghome18@gmail.com</t>
  </si>
  <si>
    <t>ANKIT_JAIN</t>
  </si>
  <si>
    <t>PROPERTY SERVICES</t>
  </si>
  <si>
    <t>ANKIT SHRIYANS JAIN</t>
  </si>
  <si>
    <t>Chief problem solving officer</t>
  </si>
  <si>
    <t>https://propertyservices.net.in/</t>
  </si>
  <si>
    <t xml:space="preserve">OFFICE NO 5, 2ND FLOOR , RAHIMTOOLA HOUSE , 7, HOMJI STREET, FORT  MUMBAI  MAHARASHTRA  </t>
  </si>
  <si>
    <t>#121212</t>
  </si>
  <si>
    <t>#f7f4f4</t>
  </si>
  <si>
    <t>https://card.tap-savvy.com/Nectar-Treatss_Hemmali-Nadiyana/829</t>
  </si>
  <si>
    <t>Nectar-Treatss_Hemmali-Nadiyana</t>
  </si>
  <si>
    <t>hemali.nadiyana@gmail.com</t>
  </si>
  <si>
    <t>Hemmali_Nadiyana</t>
  </si>
  <si>
    <t>Nectar Treatss</t>
  </si>
  <si>
    <t>Hemmali Tushar Nadiyana</t>
  </si>
  <si>
    <t>NectarTreatss is a 10+yrs young company . We are manufacturer of premium chocolates and dryfruit products with 200+ varities of products, we are hampers curator at pan india.</t>
  </si>
  <si>
    <t>https://www.nectartreatss.com/</t>
  </si>
  <si>
    <t>#85ac9b</t>
  </si>
  <si>
    <t>#603307</t>
  </si>
  <si>
    <t>#5b2706</t>
  </si>
  <si>
    <t>#df8b2f</t>
  </si>
  <si>
    <t>https://card.tap-savvy.com/AKASH-GJA/830</t>
  </si>
  <si>
    <t>AKASH-GJA</t>
  </si>
  <si>
    <t>galajainassociates@gmail.com</t>
  </si>
  <si>
    <t>Akash_Jain</t>
  </si>
  <si>
    <t>Gala Jain &amp; Associates</t>
  </si>
  <si>
    <t>Akash Ranjit Jain</t>
  </si>
  <si>
    <t>Chartered Accountant with 5+ years of experience in audit and assurance, financial accounting and reporting, Management consultancy (MIS), and taxation. Committed to providing the highest quality of service and maintaining the highest ethical standards.</t>
  </si>
  <si>
    <t>101, The Playce, Marathon Maxima  Mumbai  Maharashtra</t>
  </si>
  <si>
    <t>830.jpeg</t>
  </si>
  <si>
    <t>https://card.tap-savvy.com/LALIT-GJA/831</t>
  </si>
  <si>
    <t>LALIT-GJA</t>
  </si>
  <si>
    <r>
      <rPr>
        <u/>
        <sz val="10"/>
        <rFont val="Arial"/>
        <scheme val="minor"/>
      </rPr>
      <t>galajainassociates@gmail.com</t>
    </r>
  </si>
  <si>
    <t>Lalit_Devendra</t>
  </si>
  <si>
    <t>Lalit Devendra</t>
  </si>
  <si>
    <t>#d8d4d9</t>
  </si>
  <si>
    <t>https://card.tap-savvy.com/Gateway_Abroad_Nisha_Nair/833</t>
  </si>
  <si>
    <t>Gateway_Abroad_Nisha_Nair</t>
  </si>
  <si>
    <r>
      <rPr>
        <u/>
        <sz val="10"/>
        <rFont val="Satisfy, sans-serif"/>
      </rPr>
      <t>mumbai@gatewayabroad.in</t>
    </r>
  </si>
  <si>
    <t>Nisha_Nair</t>
  </si>
  <si>
    <t>Gateway Abroad</t>
  </si>
  <si>
    <t>Nisha Nair</t>
  </si>
  <si>
    <t>Manager</t>
  </si>
  <si>
    <r>
      <rPr>
        <sz val="10"/>
        <rFont val="Satisfy, sans-serif"/>
      </rPr>
      <t>Gateway Abroad, The Playce, 1st Floor, Marathon Maxima</t>
    </r>
    <r>
      <rPr>
        <sz val="10"/>
        <rFont val="Satisfy"/>
      </rPr>
      <t xml:space="preserve">  Mumbai  Maharashtra</t>
    </r>
  </si>
  <si>
    <t>cover page</t>
  </si>
  <si>
    <t>https://card.tap-savvy.com/Arihant-NX/835</t>
  </si>
  <si>
    <t>Arihant-NX</t>
  </si>
  <si>
    <r>
      <rPr>
        <u/>
        <sz val="10"/>
        <rFont val="Arial"/>
        <scheme val="minor"/>
      </rPr>
      <t>savlaanil00@gmail.com</t>
    </r>
  </si>
  <si>
    <t>Anil_Savla</t>
  </si>
  <si>
    <t>Anil R Savla</t>
  </si>
  <si>
    <t>Arihant-NX is leading wholesaler in the hardware industry established in the year 2002. With amazing experience of more than 20 years , Arihant-NX helps you to get the best products .</t>
  </si>
  <si>
    <r>
      <rPr>
        <sz val="10"/>
        <rFont val="Arial"/>
        <scheme val="minor"/>
      </rPr>
      <t>16/128, CCI Colony , Unnat Nagar 4, MG Road</t>
    </r>
    <r>
      <rPr>
        <sz val="10"/>
        <rFont val="Montserrat"/>
      </rPr>
      <t xml:space="preserve">  Mumbai  Maharashtra</t>
    </r>
  </si>
  <si>
    <t>#221b1b</t>
  </si>
  <si>
    <t>#2872b8</t>
  </si>
  <si>
    <t>#f5f5f5</t>
  </si>
  <si>
    <t>https://card.tap-savvy.com/Abhishek_Rao_Mks/836</t>
  </si>
  <si>
    <t>Abhishek_Rao_Mks</t>
  </si>
  <si>
    <r>
      <rPr>
        <u/>
        <sz val="10"/>
        <rFont val="&quot;Lexend Peta&quot;, sans-serif"/>
      </rPr>
      <t>mksstudio09@gmail.com</t>
    </r>
  </si>
  <si>
    <t>Abhishek_Rao</t>
  </si>
  <si>
    <t>Mks</t>
  </si>
  <si>
    <t>Abhishek Rao</t>
  </si>
  <si>
    <t>Business Head</t>
  </si>
  <si>
    <t>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t>
  </si>
  <si>
    <t>#727388</t>
  </si>
  <si>
    <t>#f2f1f1</t>
  </si>
  <si>
    <t>https://card.tap-savvy.com/Amal-Mukhopadhyay/837</t>
  </si>
  <si>
    <t>Amal-Mukhopadhyay</t>
  </si>
  <si>
    <r>
      <rPr>
        <u/>
        <sz val="10"/>
        <rFont val="Arial"/>
        <scheme val="minor"/>
      </rPr>
      <t>corporate@lorven.eu</t>
    </r>
  </si>
  <si>
    <t>Amal_Mukhopadhyay</t>
  </si>
  <si>
    <t>Lorven Biologics Germany GmbH</t>
  </si>
  <si>
    <t>Amal Mukhopadhyay</t>
  </si>
  <si>
    <t>https://card.tap-savvy.com/Mitulgada/838</t>
  </si>
  <si>
    <t>Mitulgada</t>
  </si>
  <si>
    <r>
      <rPr>
        <u/>
        <sz val="10"/>
        <rFont val="Arial"/>
        <scheme val="minor"/>
      </rPr>
      <t>mitulgada@glitorium.com</t>
    </r>
  </si>
  <si>
    <t>MITUL_GADA</t>
  </si>
  <si>
    <t>GLITORIUM - THE FINISHING TOUCH</t>
  </si>
  <si>
    <t>MITUL GADA</t>
  </si>
  <si>
    <t>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t>
  </si>
  <si>
    <t>https://http//www.glitorium.com/</t>
  </si>
  <si>
    <r>
      <rPr>
        <u/>
        <sz val="10"/>
        <rFont val="Arial"/>
        <scheme val="minor"/>
      </rPr>
      <t>Gala No. 8 - A, Laxmi Industrial Estate, New Link Rd</t>
    </r>
  </si>
  <si>
    <t>#4c444c</t>
  </si>
  <si>
    <t>#f9f1f1</t>
  </si>
  <si>
    <t>838.jpeg</t>
  </si>
  <si>
    <t>https://card.tap-savvy.com/3-Minds-Digital_Harnish-Shah/839</t>
  </si>
  <si>
    <t>3-Minds-Digital_Harnish-Shah</t>
  </si>
  <si>
    <r>
      <rPr>
        <u/>
        <sz val="10"/>
        <rFont val="Arial"/>
        <scheme val="minor"/>
      </rPr>
      <t>harnish@3mindsdigital.com</t>
    </r>
  </si>
  <si>
    <t>Harnish_Shah</t>
  </si>
  <si>
    <t>3 Minds Digital</t>
  </si>
  <si>
    <t>Harnish Shah</t>
  </si>
  <si>
    <t>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t>
  </si>
  <si>
    <t>https://3mindsdigital.com/</t>
  </si>
  <si>
    <r>
      <rPr>
        <sz val="10"/>
        <rFont val="Arial"/>
        <scheme val="minor"/>
      </rPr>
      <t>203, Akruti Star, MIDC Central Rd</t>
    </r>
    <r>
      <rPr>
        <sz val="10"/>
        <rFont val="Montserrat"/>
      </rPr>
      <t xml:space="preserve">  Mumbai  Maharashtra</t>
    </r>
  </si>
  <si>
    <t>#181818</t>
  </si>
  <si>
    <t>1735134959_103259994c3bf5aa5603.webp</t>
  </si>
  <si>
    <t>1735134959_018a7365a5deb1767526.webp</t>
  </si>
  <si>
    <t>https://card.tap-savvy.com/Rockpunksclothing/869</t>
  </si>
  <si>
    <t>Rockpunksclothing</t>
  </si>
  <si>
    <r>
      <rPr>
        <u/>
        <sz val="10"/>
        <rFont val="Arial"/>
        <scheme val="minor"/>
      </rPr>
      <t>Rockpunkstores@gmail.com</t>
    </r>
  </si>
  <si>
    <t>Aryan_Bafna</t>
  </si>
  <si>
    <t>ROCK PUNKS CLOTHING</t>
  </si>
  <si>
    <t>Aryan Bafna</t>
  </si>
  <si>
    <t>Hubtown Heaven, Matunga</t>
  </si>
  <si>
    <t>https://card.tap-savvy.com/Rahulsharmaphotography/870</t>
  </si>
  <si>
    <t>Rahulsharmaphotography</t>
  </si>
  <si>
    <r>
      <rPr>
        <u/>
        <sz val="10"/>
        <rFont val="Arial"/>
        <scheme val="minor"/>
      </rPr>
      <t>contact@rahulsharmaphotography.com</t>
    </r>
  </si>
  <si>
    <t>Rahul_Sharma</t>
  </si>
  <si>
    <t>Rahul Sharma Photography</t>
  </si>
  <si>
    <t>Rahul Tejas Sharma</t>
  </si>
  <si>
    <t>Photographer</t>
  </si>
  <si>
    <t>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t>
  </si>
  <si>
    <t>https://www.rahulsharmaphotography.com/</t>
  </si>
  <si>
    <t>Mumbai - India  Mumbai  Maharashtra</t>
  </si>
  <si>
    <t>#f3e8e8</t>
  </si>
  <si>
    <t>#faf1fa</t>
  </si>
  <si>
    <t>#141313</t>
  </si>
  <si>
    <t>1736493417_4b80fa905593f06f32eb.jpg</t>
  </si>
  <si>
    <t>1736493504_b24ab8852feadd58f725.jpg</t>
  </si>
  <si>
    <t>https://card.tap-savvy.com/Ramyachaturvedi/871</t>
  </si>
  <si>
    <t>Ramyachaturvedi</t>
  </si>
  <si>
    <r>
      <rPr>
        <u/>
        <sz val="10"/>
        <rFont val="Arial"/>
        <scheme val="minor"/>
      </rPr>
      <t>ramya.c@vchic.in</t>
    </r>
  </si>
  <si>
    <t>Ramya_Chaturvedi</t>
  </si>
  <si>
    <t>VChic Image Consultancy</t>
  </si>
  <si>
    <t>Ramya Rajesh Chaturvedi</t>
  </si>
  <si>
    <t>Image Consultant</t>
  </si>
  <si>
    <t>I make ordinary things extraordinary!</t>
  </si>
  <si>
    <t>https://www.vchic.in/</t>
  </si>
  <si>
    <r>
      <rPr>
        <sz val="10"/>
        <rFont val="Arial"/>
        <scheme val="minor"/>
      </rPr>
      <t>714/715, Tulsiani Chambers, 212,</t>
    </r>
    <r>
      <rPr>
        <sz val="10"/>
        <rFont val="Montserrat"/>
      </rPr>
      <t xml:space="preserve">  Mumbai  Maharashtra</t>
    </r>
  </si>
  <si>
    <t>#ce7373</t>
  </si>
  <si>
    <t>#f6f9ff</t>
  </si>
  <si>
    <t>#0052ff</t>
  </si>
  <si>
    <t>#f1eaea</t>
  </si>
  <si>
    <t>https://card.tap-savvy.com/Varshachaturvedi/872</t>
  </si>
  <si>
    <t>Varshachaturvedi</t>
  </si>
  <si>
    <r>
      <rPr>
        <u/>
        <sz val="10"/>
        <rFont val="Arial"/>
        <scheme val="minor"/>
      </rPr>
      <t>varsha.c@vchic.in</t>
    </r>
  </si>
  <si>
    <t>Varsha_Chaturvedi</t>
  </si>
  <si>
    <t>Varsha Rajesh Chaturvedi</t>
  </si>
  <si>
    <t>Founder - VChic Image Consultancy</t>
  </si>
  <si>
    <t>Our motto 'Be the True You' encapsulates our ultimate vision of enabling our clients to live a life of confidence, passion, and authenticity. We aim to provide quality services to our clients to help them discover their true self.</t>
  </si>
  <si>
    <r>
      <rPr>
        <sz val="10"/>
        <rFont val="Arial"/>
        <scheme val="minor"/>
      </rPr>
      <t>714/715, Tulsiani Chambers, 212,</t>
    </r>
    <r>
      <rPr>
        <sz val="10"/>
        <rFont val="Montserrat"/>
      </rPr>
      <t xml:space="preserve">  Mumbai  Maharashtra</t>
    </r>
  </si>
  <si>
    <t>#ce7374</t>
  </si>
  <si>
    <t>https://card.tap-savvy.com/Mourya-Enterprises_Rohan-Kadu/873</t>
  </si>
  <si>
    <t>Mourya-Enterprises_Rohan-Kadu</t>
  </si>
  <si>
    <r>
      <rPr>
        <u/>
        <sz val="10"/>
        <rFont val="Arial"/>
        <scheme val="minor"/>
      </rPr>
      <t>moryaenterprises2302@gmail.com</t>
    </r>
  </si>
  <si>
    <t>Rohan_Kadu</t>
  </si>
  <si>
    <t>Morya enterprises</t>
  </si>
  <si>
    <t>Rohan Sandeep Kadu</t>
  </si>
  <si>
    <t>Sole proprietor</t>
  </si>
  <si>
    <t>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t>
  </si>
  <si>
    <t>Saideep Building, Ground Floor, Maheshwari Park, At- Chambharli, Room-04 Tal- Khalapur, Dist- Raigad-410222  Rasayani  Maharashtra</t>
  </si>
  <si>
    <t>https://card.tap-savvy.com/ADVSAAURABHBCHANDDORKAR_CHANDORKAR&amp;ASSOCIATES/875</t>
  </si>
  <si>
    <t>ADVSAAURABHBCHANDDORKAR_CHANDORKAR&amp;ASSOCIATES</t>
  </si>
  <si>
    <r>
      <rPr>
        <u/>
        <sz val="10"/>
        <rFont val="Arial"/>
        <scheme val="minor"/>
      </rPr>
      <t>advsaaurabhbchanddorkar@gmail.com</t>
    </r>
  </si>
  <si>
    <t>Saaurabh_Chanddokar</t>
  </si>
  <si>
    <t>Chandorkar and Associates</t>
  </si>
  <si>
    <t>Adv Saaurabh B Chanddokar</t>
  </si>
  <si>
    <t>Founder &amp; Principal Consultant</t>
  </si>
  <si>
    <t> I am Adv Saaurabh B Chanddorkar &amp; my company is called Chandorkar &amp; Associates  We are into all kind of legal solutions for the last 5 years.  We are known for our legal expertise in the area of Registration of Trade Mark / Registration of Trust / Society / LLP / Company</t>
  </si>
  <si>
    <t>https://chandorkarandassociates.in/</t>
  </si>
  <si>
    <r>
      <rPr>
        <sz val="10"/>
        <rFont val="Arial"/>
        <scheme val="minor"/>
      </rPr>
      <t>24, Gr Floor, Sarvoday Building</t>
    </r>
    <r>
      <rPr>
        <sz val="10"/>
        <rFont val="Montserrat"/>
      </rPr>
      <t xml:space="preserve">  Mumbai  Maharashtra</t>
    </r>
  </si>
  <si>
    <t>#fef8f8</t>
  </si>
  <si>
    <t>#080707</t>
  </si>
  <si>
    <t>#ebdede</t>
  </si>
  <si>
    <t>https://card.tap-savvy.com/INNERSPACES_DHARNA/877</t>
  </si>
  <si>
    <t>INNERSPACES_DHARNA</t>
  </si>
  <si>
    <r>
      <rPr>
        <u/>
        <sz val="10"/>
        <rFont val="Arial"/>
        <scheme val="minor"/>
      </rPr>
      <t>dharnak@hotmail.com</t>
    </r>
  </si>
  <si>
    <t>Dharna_Gariba</t>
  </si>
  <si>
    <t>INNERSPACES</t>
  </si>
  <si>
    <t>Dharna Gariba</t>
  </si>
  <si>
    <t>Founder and lead designer</t>
  </si>
  <si>
    <t>We are an interior design firm offering designing, styling and complete end to end design solutions for your spaces,from residential to commercial,retail and hospitality we lend our design services for all areas.</t>
  </si>
  <si>
    <t>D n nagar, andheri west  Mumbai  Maharashtra</t>
  </si>
  <si>
    <t>#47474e</t>
  </si>
  <si>
    <t>#f3f0ed</t>
  </si>
  <si>
    <t>#67533d</t>
  </si>
  <si>
    <t>#e5dbdb</t>
  </si>
  <si>
    <t>877.jpeg</t>
  </si>
  <si>
    <t xml:space="preserve">product </t>
  </si>
  <si>
    <t>https://card.tap-savvy.com/SHEETAL-MOUTHFRESHNERS_SAMVEG-MEHTA/878</t>
  </si>
  <si>
    <t>SHEETAL-MOUTHFRESHNERS_SAMVEG-MEHTA</t>
  </si>
  <si>
    <r>
      <rPr>
        <u/>
        <sz val="10"/>
        <rFont val="Arial"/>
        <scheme val="minor"/>
      </rPr>
      <t>samveg.sm@gmail.com</t>
    </r>
  </si>
  <si>
    <t>Samveg_Mehta</t>
  </si>
  <si>
    <t>Sheetal Mouthfreshners</t>
  </si>
  <si>
    <t>Samveg Mehta</t>
  </si>
  <si>
    <t>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t>
  </si>
  <si>
    <t>https://www.sheetalmouthfreshners.in/</t>
  </si>
  <si>
    <t>*Sheetal Mouthfreshners* Office no. 109, Shri Ram Heights, Building No. 105, Opp. Pant Nagar Post Office, Pant Nagar, Ghatkopar East, Mumbai-400075  Mumbai  Maharashtra</t>
  </si>
  <si>
    <t>#ffab00</t>
  </si>
  <si>
    <t>#120212</t>
  </si>
  <si>
    <t>#ede2e2</t>
  </si>
  <si>
    <t>878.jpeg</t>
  </si>
  <si>
    <t>Mouth Freshner</t>
  </si>
  <si>
    <t>1734878870_49aa684afc144f3ae6d4.webp</t>
  </si>
  <si>
    <t>Dry Fruits</t>
  </si>
  <si>
    <t>1734878879_74445c798c30e88912d3.webp</t>
  </si>
  <si>
    <t>Corporate Gifting</t>
  </si>
  <si>
    <t>1734878890_9412d153869e6f50e74f.webp</t>
  </si>
  <si>
    <t>https://card.tap-savvy.com/ANUPALAN-ONLINE_DEEPAK-VARIYA/879</t>
  </si>
  <si>
    <t>ANUPALAN-ONLINE_DEEPAK-VARIYA</t>
  </si>
  <si>
    <r>
      <rPr>
        <u/>
        <sz val="10"/>
        <rFont val="Arial"/>
        <scheme val="minor"/>
      </rPr>
      <t>info@anupalanonline.com</t>
    </r>
  </si>
  <si>
    <t>Anupalan</t>
  </si>
  <si>
    <t>ANUPALAN ONLINE</t>
  </si>
  <si>
    <t>Deepak A Variya</t>
  </si>
  <si>
    <t>Anupalan is your e-Compliance Partner and a one stop portal for all your compliance obstacles. It’s user friendly software to ease company’s compliance for entrepreneur and professionals alike. We cater our clients in more than 30 industries with our decades of experience.</t>
  </si>
  <si>
    <t>https://www.anupalanonline.com/</t>
  </si>
  <si>
    <t>Off- 305, Kaveri Commercial Premises, Near Metro Station, Sakinaka,</t>
  </si>
  <si>
    <t>#fcf8f8</t>
  </si>
  <si>
    <t>#0e2353</t>
  </si>
  <si>
    <t>#57a73b</t>
  </si>
  <si>
    <t>#fcefef</t>
  </si>
  <si>
    <t>880.jpeg</t>
  </si>
  <si>
    <t>cover</t>
  </si>
  <si>
    <t>https://card.tap-savvy.com/DEEPAK-A-VARIYA-&amp;-CO._DEEPAK-VARIYA/880</t>
  </si>
  <si>
    <t>Deepak_Variya</t>
  </si>
  <si>
    <t>Deepak A. Variya &amp; Co.</t>
  </si>
  <si>
    <t>B.com, F.C.S, LLB</t>
  </si>
  <si>
    <t>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t>
  </si>
  <si>
    <t>https://www.davandco.com/</t>
  </si>
  <si>
    <t>Office No.305, Kaveri Commercial Premises, Saki Naka, Mumbai, Maharashtra 400072.</t>
  </si>
  <si>
    <t>#131517</t>
  </si>
  <si>
    <t>#2349c4</t>
  </si>
  <si>
    <t>https://card.tap-savvy.com/Xtasy_by_Megh/881</t>
  </si>
  <si>
    <t>Xtasy_by_Megh</t>
  </si>
  <si>
    <r>
      <rPr>
        <u/>
        <sz val="10"/>
        <rFont val="Arial"/>
        <scheme val="minor"/>
      </rPr>
      <t>meghshah2002@gmail.com</t>
    </r>
  </si>
  <si>
    <t>Megh_Shah</t>
  </si>
  <si>
    <t>Xtasy</t>
  </si>
  <si>
    <t>Megh Shah</t>
  </si>
  <si>
    <t>Head curator</t>
  </si>
  <si>
    <t>Custom jewelry manufacturer</t>
  </si>
  <si>
    <t>#9e1d3a</t>
  </si>
  <si>
    <t>1736414648_b08a90171a8ffcf71a85.png</t>
  </si>
  <si>
    <t>1736414803_46915eca4464a871fc9f.png</t>
  </si>
  <si>
    <t>https://card.tap-savvy.com/MOCKINGBIRD-STUDIOS_JAI-PANGAONKAR/882</t>
  </si>
  <si>
    <t>MOCKINGBIRD-STUDIOS_JAI-PANGAONKAR</t>
  </si>
  <si>
    <r>
      <rPr>
        <u/>
        <sz val="10"/>
        <rFont val="Arial"/>
        <scheme val="minor"/>
      </rPr>
      <t>jai@mockingbird.co.in</t>
    </r>
  </si>
  <si>
    <t>Jai_Pangaonkar</t>
  </si>
  <si>
    <t>Mockingbird Studios</t>
  </si>
  <si>
    <t>Jai Pangaonkar</t>
  </si>
  <si>
    <t>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t>
  </si>
  <si>
    <t>https://mockingbird.co.in/</t>
  </si>
  <si>
    <t>Dahisar Check Naka, 113, Sagar Industrial Estate, beside Mahanagar Gas Station,</t>
  </si>
  <si>
    <t>#d9d9d7</t>
  </si>
  <si>
    <t>#0c0101</t>
  </si>
  <si>
    <t>#0e0d0e</t>
  </si>
  <si>
    <t>#e7e7e7</t>
  </si>
  <si>
    <t>1733738314_c73d15ddf376d171f4cc.png</t>
  </si>
  <si>
    <t>https://card.tap-savvy.com/WEBINSIGHT_DINESH-SONI/884</t>
  </si>
  <si>
    <t>WEBINSIGHT_DINESH-SONI</t>
  </si>
  <si>
    <r>
      <rPr>
        <u/>
        <sz val="10"/>
        <rFont val="Arial, sans-serif"/>
      </rPr>
      <t>dinesh@webinsight.in</t>
    </r>
  </si>
  <si>
    <t>Dinesh_Soni</t>
  </si>
  <si>
    <t>Webinsight</t>
  </si>
  <si>
    <t>Dinesh Soni</t>
  </si>
  <si>
    <t>Founder &amp; Ceo</t>
  </si>
  <si>
    <t>Webinsight is an independent Web Development &amp; Digital Marketing Agency with the passion for crafting beautiful experiences. We are based out of Vasai, a beautiful suburb near Mumbai, and our office is located in Mumbai, INDIA.</t>
  </si>
  <si>
    <t>https://webinsight.in/</t>
  </si>
  <si>
    <t>#f7fdff</t>
  </si>
  <si>
    <t>#050106</t>
  </si>
  <si>
    <t>#0062a6</t>
  </si>
  <si>
    <t>1733674098_033f4022f182c86aa951.png</t>
  </si>
  <si>
    <t>address</t>
  </si>
  <si>
    <t>https://card.tap-savvy.com/White-Wish-co_DEVANSHI/886</t>
  </si>
  <si>
    <t>White-Wish-co_DEVANSHI</t>
  </si>
  <si>
    <r>
      <rPr>
        <u/>
        <sz val="10"/>
        <rFont val="Arial"/>
        <scheme val="minor"/>
      </rPr>
      <t>whitewishco@gmail.com</t>
    </r>
  </si>
  <si>
    <t>Devanshi_Shah</t>
  </si>
  <si>
    <t>White Wish Co.</t>
  </si>
  <si>
    <t>Devanshi Shah</t>
  </si>
  <si>
    <t>Co-founder</t>
  </si>
  <si>
    <t>#0a0909</t>
  </si>
  <si>
    <t>#f5f1f1</t>
  </si>
  <si>
    <t>1733674264_a658dfa91d2940ac282b.png</t>
  </si>
  <si>
    <t>https://card.tap-savvy.com/White-Wish-co_VIDHI/887</t>
  </si>
  <si>
    <t>White-Wish-co_VIDHI</t>
  </si>
  <si>
    <r>
      <rPr>
        <u/>
        <sz val="10"/>
        <rFont val="Arial"/>
        <scheme val="minor"/>
      </rPr>
      <t>whitewishco@gmail</t>
    </r>
  </si>
  <si>
    <t>Vidhi_Karia</t>
  </si>
  <si>
    <t>Vidhi Karia</t>
  </si>
  <si>
    <t>#0a0910</t>
  </si>
  <si>
    <t>#f5f1f2</t>
  </si>
  <si>
    <t>1734666251_5c9942d803885e352b94.png</t>
  </si>
  <si>
    <t>1734666251_4a8f191c7127fa7ffb8c.png</t>
  </si>
  <si>
    <t>social media</t>
  </si>
  <si>
    <t>https://card.tap-savvy.com/rajatkapoor/889</t>
  </si>
  <si>
    <t>rajatkapoor</t>
  </si>
  <si>
    <r>
      <rPr>
        <u/>
        <sz val="10"/>
        <rFont val="Arial"/>
        <scheme val="minor"/>
      </rPr>
      <t>rajat.kapoor@nsrm.ae</t>
    </r>
  </si>
  <si>
    <t>Rajat_Kapoor</t>
  </si>
  <si>
    <t>NSRM Taxation &amp; Accounting LLC</t>
  </si>
  <si>
    <t>Rajat Sitaram Kapoor</t>
  </si>
  <si>
    <r>
      <rPr>
        <u/>
        <sz val="10"/>
        <rFont val="Arial"/>
        <scheme val="minor"/>
      </rPr>
      <t>Beyond Limits Business Centre, 19th Floor, Exchange Tower, Business Bay, Dubai, UAE</t>
    </r>
    <r>
      <rPr>
        <u/>
        <sz val="10"/>
        <rFont val="Open Sans"/>
      </rPr>
      <t xml:space="preserve">  Dubai</t>
    </r>
  </si>
  <si>
    <t>#100f0f</t>
  </si>
  <si>
    <t>1736435927_b8cfe704ce22570d340a.jpg</t>
  </si>
  <si>
    <t>892.jpeg</t>
  </si>
  <si>
    <t>https://card.tap-savvy.com/VINAYAK-DENTAL-CLINIC_KARAN-GAIKWAD/892</t>
  </si>
  <si>
    <t>VINAYAK-DENTAL-CLINIC_KARAN-GAIKWAD</t>
  </si>
  <si>
    <r>
      <rPr>
        <u/>
        <sz val="10"/>
        <rFont val="Arial"/>
        <scheme val="minor"/>
      </rPr>
      <t>karangaikwad274@gmail.com</t>
    </r>
  </si>
  <si>
    <t>Dr.Karan_Gaikwad</t>
  </si>
  <si>
    <t>VINAYAK DENTAL CLINIC</t>
  </si>
  <si>
    <t>Dr.Karan V Gaikwad</t>
  </si>
  <si>
    <t>B.D.S., (Dental Surgeon)</t>
  </si>
  <si>
    <t>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t>
  </si>
  <si>
    <r>
      <rPr>
        <u/>
        <sz val="10"/>
        <rFont val="Arial"/>
        <scheme val="minor"/>
      </rPr>
      <t>G-198, Moogipa Arcade, Ashtavinayak Bldg, D.N Nagar,</t>
    </r>
  </si>
  <si>
    <t>#1aa9db</t>
  </si>
  <si>
    <t>#e0e2ed</t>
  </si>
  <si>
    <t>893.jpeg</t>
  </si>
  <si>
    <t>https://card.tap-savvy.com/THE-DENTAL-SUITE/893</t>
  </si>
  <si>
    <t>THE-DENTAL-SUITE</t>
  </si>
  <si>
    <t>The_Dental_Suite</t>
  </si>
  <si>
    <t>The Dental Suite</t>
  </si>
  <si>
    <t>Dental Clinic</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</si>
  <si>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t>
  </si>
  <si>
    <t>https://www.dentalsuite.in/</t>
  </si>
  <si>
    <t>Ground floor, Rishiket CHS, Next to KLS memorial hospital, N.T Malusare marg ( irla lane ), off S.V road, vile parle west, mumbai 400056.</t>
  </si>
  <si>
    <t>#fefeff</t>
  </si>
  <si>
    <t>#9696a3</t>
  </si>
  <si>
    <t>#077ef6</t>
  </si>
  <si>
    <t>#f4eeee</t>
  </si>
  <si>
    <t>894.jpeg</t>
  </si>
  <si>
    <t>https://card.tap-savvy.com/PENCIL-STROKE_MUSTAFA-DARUKHANAWALA/894</t>
  </si>
  <si>
    <t>PENCIL-STROKE_MUSTAFA-DARUKHANAWALA</t>
  </si>
  <si>
    <r>
      <rPr>
        <u/>
        <sz val="10"/>
        <rFont val="Arial"/>
        <scheme val="minor"/>
      </rPr>
      <t>info@pencilstroke.in</t>
    </r>
  </si>
  <si>
    <t>Mustafa_Mohammed</t>
  </si>
  <si>
    <t>Pencil Stroke</t>
  </si>
  <si>
    <t>Mustafa &amp; Mohammed</t>
  </si>
  <si>
    <t>Founder's</t>
  </si>
  <si>
    <t>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t>
  </si>
  <si>
    <t>https://www.pencilstroke.in/</t>
  </si>
  <si>
    <r>
      <rPr>
        <sz val="10"/>
        <rFont val="Arial"/>
        <scheme val="minor"/>
      </rPr>
      <t>Ashoka Shopping Centre, 228 1st floor, Dhobi Talao, Next to GT Hospital</t>
    </r>
    <r>
      <rPr>
        <sz val="10"/>
        <rFont val="Montserrat"/>
      </rPr>
      <t xml:space="preserve">  Mumbai  Maharashtra</t>
    </r>
  </si>
  <si>
    <t>#f5ef2f</t>
  </si>
  <si>
    <t>#080808</t>
  </si>
  <si>
    <t>#fff9f9</t>
  </si>
  <si>
    <t>895.jpeg</t>
  </si>
  <si>
    <t>https://card.tap-savvy.com/BLOSSOM_ZAINAB-CALCUTTAWALA/895</t>
  </si>
  <si>
    <t>BLOSSOM_ZAINAB-CALCUTTAWALA</t>
  </si>
  <si>
    <r>
      <rPr>
        <u/>
        <sz val="10"/>
        <rFont val="Arial"/>
        <scheme val="minor"/>
      </rPr>
      <t>murtazazainab84@gmail.com</t>
    </r>
  </si>
  <si>
    <t>Zainab_Calcuttawala</t>
  </si>
  <si>
    <t>Blossom</t>
  </si>
  <si>
    <t>Zainab Calcuttawala</t>
  </si>
  <si>
    <t>Self</t>
  </si>
  <si>
    <t>Certified Professional MUA</t>
  </si>
  <si>
    <t>#eccfcf</t>
  </si>
  <si>
    <t>#e5c3c3</t>
  </si>
  <si>
    <t>1734671640_e06beba0396af8e45654.jpg</t>
  </si>
  <si>
    <t>https://card.tap-savvy.com/P-S-CREATIONS_HETAAL-SETHIA/898</t>
  </si>
  <si>
    <t>P-S-CREATIONS_HETAAL-SETHIA</t>
  </si>
  <si>
    <r>
      <rPr>
        <u/>
        <sz val="10"/>
        <rFont val="Arial"/>
        <scheme val="minor"/>
      </rPr>
      <t>hetaaldsethia@gmail.com</t>
    </r>
  </si>
  <si>
    <t>Hetaal_Sethia</t>
  </si>
  <si>
    <t>P S Creation</t>
  </si>
  <si>
    <t>Hetaal D Sethia</t>
  </si>
  <si>
    <t>Fashion Designer</t>
  </si>
  <si>
    <t>At PS Creation, we design elegant, effortless pieces that suit every occasion. All our creations are rooted in conscious luxury, and contemporary interpretations of craft.Be unique you with PS creation.</t>
  </si>
  <si>
    <t>#191717</t>
  </si>
  <si>
    <t>#3919cc</t>
  </si>
  <si>
    <t>899.jpeg</t>
  </si>
  <si>
    <t>https://card.tap-savvy.com/HEAL-HEPLPING-LIVES_HABIBA-KUDRATI/899</t>
  </si>
  <si>
    <t>HEAL-HEPLPING-LIVES_HABIBA-KUDRATI</t>
  </si>
  <si>
    <t>habiba@healhelpinglives.com</t>
  </si>
  <si>
    <t>Habiba_Kudrati</t>
  </si>
  <si>
    <t>Heal Helping Lives</t>
  </si>
  <si>
    <t>Habiba M. Kudrati</t>
  </si>
  <si>
    <t>Counselling Psychologist</t>
  </si>
  <si>
    <t>I want to inspire people. I want someone to look at me and say, "Because of you I didn't give up."</t>
  </si>
  <si>
    <t>https://www.healhelpinglives.com/</t>
  </si>
  <si>
    <r>
      <rPr>
        <sz val="10"/>
        <rFont val="Arial"/>
        <scheme val="minor"/>
      </rPr>
      <t>Soningra polyclinic, Opp Saifee park, Helal building, Mazgaon</t>
    </r>
    <r>
      <rPr>
        <sz val="10"/>
        <rFont val="Montserrat"/>
      </rPr>
      <t xml:space="preserve">  Mumbai  Maharashtra</t>
    </r>
  </si>
  <si>
    <t>#070707</t>
  </si>
  <si>
    <t>1734886979_b9f665d1eb4b6e68de77.jpg</t>
  </si>
  <si>
    <t>900.jpeg</t>
  </si>
  <si>
    <t>https://card.tap-savvy.com/EVEN-BETTER-ADS_RAAHUUL-ADVANI/900</t>
  </si>
  <si>
    <t>EVEN-BETTER-ADS_RAAHUUL-ADVANI</t>
  </si>
  <si>
    <r>
      <rPr>
        <u/>
        <sz val="10"/>
        <rFont val="Arial"/>
        <scheme val="minor"/>
      </rPr>
      <t>raahuuladvani@gmail.com</t>
    </r>
  </si>
  <si>
    <t>Raahuul_Advani</t>
  </si>
  <si>
    <t>Even Better Ads</t>
  </si>
  <si>
    <t>Raahuul Narendra Advani</t>
  </si>
  <si>
    <t>At Even Better, we bring a wealth of expertise and a passionate team to deliver unmatched results. From strategic planning to creative campaigns, we empower your brand to thrive in the digital landscape. Our proven track record, innovative approaches, and client-centric focus make us your go-to partner for sustainable success. Trust us to elevate your brand, exceed your goals, and be your everlasting ally in conquering the digital realm.</t>
  </si>
  <si>
    <t>https://www.evenbetter.co.in/</t>
  </si>
  <si>
    <t>#edc540</t>
  </si>
  <si>
    <t>Brand Strategy</t>
  </si>
  <si>
    <t>1735185301_088bf94eb439e5b7a624.jpg</t>
  </si>
  <si>
    <t>Performance Marketing</t>
  </si>
  <si>
    <t>1735185312_84d6ad2b5b1c7e8b89c2.jpg</t>
  </si>
  <si>
    <t>Online PR</t>
  </si>
  <si>
    <t>1735185324_620e4a5526ff0150f85c.jpg</t>
  </si>
  <si>
    <t>Influencer Marketing</t>
  </si>
  <si>
    <t>1735185338_4dd664f1bd446fc86c63.jpg</t>
  </si>
  <si>
    <t>Web Development</t>
  </si>
  <si>
    <t>1735185352_2949d389a845f2545de0.jpg</t>
  </si>
  <si>
    <t>Ecommerce Development</t>
  </si>
  <si>
    <t>1735185367_a3155fc577c59eab318f.jpg</t>
  </si>
  <si>
    <t>Branding and Creatives</t>
  </si>
  <si>
    <t>1735185401_0a05790d618f94e5635d.jpg</t>
  </si>
  <si>
    <t>registered email</t>
  </si>
  <si>
    <t>https://card.tap-savvy.com/PiparaSancheti&amp;Associates_Priyank-Sancheti/901</t>
  </si>
  <si>
    <r>
      <rPr>
        <u/>
        <sz val="10"/>
        <rFont val="Arial"/>
        <scheme val="minor"/>
      </rPr>
      <t>priyanksancheti@gmail.com</t>
    </r>
  </si>
  <si>
    <t>Priyank_Sancheti</t>
  </si>
  <si>
    <t>Pipara Sancheti &amp; Associates</t>
  </si>
  <si>
    <t>Priyank Sancheti</t>
  </si>
  <si>
    <t>Ours is a firm of Chartered Accountants practicing in the name and style of M/s. Pipara Sancheti &amp; Associates duly registered with ICAI with Firm No. 147120W.</t>
  </si>
  <si>
    <t>https://www.piparasancheti.com/</t>
  </si>
  <si>
    <t>#620e7e</t>
  </si>
  <si>
    <t>#f2f2f2</t>
  </si>
  <si>
    <t>1734704436_2b444f113c6db986d6d9.png</t>
  </si>
  <si>
    <t>1734704436_5547edc1c22924ed55e5.png</t>
  </si>
  <si>
    <t>https://card.tap-savvy.com/ALICANTOS-STUDIO_HIMANI-JAIN/902</t>
  </si>
  <si>
    <r>
      <rPr>
        <u/>
        <sz val="10"/>
        <rFont val="Arial"/>
        <scheme val="minor"/>
      </rPr>
      <t>alicantosstudio@gmail.com</t>
    </r>
  </si>
  <si>
    <t>Himani_Jain</t>
  </si>
  <si>
    <t>Alicantos Studio</t>
  </si>
  <si>
    <t>Himani Jain</t>
  </si>
  <si>
    <t>Principle Designer</t>
  </si>
  <si>
    <t>#101010</t>
  </si>
  <si>
    <t>#c67c3f</t>
  </si>
  <si>
    <t>902.jpeg</t>
  </si>
  <si>
    <t>https://card.tap-savvy.com/SBC-Accounts&amp;FinancialServices_Sourabh-Chandorkar/909</t>
  </si>
  <si>
    <r>
      <rPr>
        <u/>
        <sz val="10"/>
        <rFont val="Arial"/>
        <scheme val="minor"/>
      </rPr>
      <t>info.sbcafs@gmail.com</t>
    </r>
  </si>
  <si>
    <t>Saurabh_Chandorkar</t>
  </si>
  <si>
    <t>SBC Accounts and Financial Services</t>
  </si>
  <si>
    <t>Saurabh Chandorkar</t>
  </si>
  <si>
    <t>https://card.tap-savvy.com/Avaran-Jewellery/921</t>
  </si>
  <si>
    <r>
      <rPr>
        <u/>
        <sz val="10"/>
        <rFont val="Arial"/>
        <scheme val="minor"/>
      </rPr>
      <t>avaranjewellry@gmail.com</t>
    </r>
  </si>
  <si>
    <t>Avaran_Jewellers</t>
  </si>
  <si>
    <t>Avaran jewellery</t>
  </si>
  <si>
    <t>Avaran Jewellers</t>
  </si>
  <si>
    <t>Jewellers</t>
  </si>
  <si>
    <t>#1c1b1b</t>
  </si>
  <si>
    <t>#f5f2f2</t>
  </si>
  <si>
    <t>#c6a12f</t>
  </si>
  <si>
    <t>921.jpeg</t>
  </si>
  <si>
    <t>https://card.tap-savvy.com/Spiritual-Healing-by-Khushnam/923</t>
  </si>
  <si>
    <t>khushnam.zubin@gmail.com</t>
  </si>
  <si>
    <t>Khushnam_Karanjia</t>
  </si>
  <si>
    <t>Spiritual Healing by Khushnam</t>
  </si>
  <si>
    <t>Khushnam Karanjia</t>
  </si>
  <si>
    <t>Hello! I am Khushnam, a skilled practitioner in both Craniosacral Therapy and Tarot Reading. With a deep understanding of the body's subtle energies through Craniosacral Therapy and an intuitive approach in Tarot, I offer healing and deep insights to those seeking balance and guidance.</t>
  </si>
  <si>
    <t>#bc9b3a</t>
  </si>
  <si>
    <t>#f9f6f6</t>
  </si>
  <si>
    <t>1734706113_9c84de2bd6c6b00abac4.png</t>
  </si>
  <si>
    <t>1734706113_bee3f1ffd9e81063090b.jpg</t>
  </si>
  <si>
    <t>https://card.tap-savvy.com/CAVAIBHAVPTHAKKAR_28022020/924</t>
  </si>
  <si>
    <r>
      <rPr>
        <u/>
        <sz val="10"/>
        <rFont val="Arial"/>
        <scheme val="minor"/>
      </rPr>
      <t>cavaibhavpthakkar@gmail.com</t>
    </r>
  </si>
  <si>
    <t>CA.VAIBHAV_THAKKAR</t>
  </si>
  <si>
    <t>V P THAKKAR &amp; CO</t>
  </si>
  <si>
    <t>CA VAIBHAV PRAVIN THAKKAR</t>
  </si>
  <si>
    <t>PROPRIETOR</t>
  </si>
  <si>
    <t xml:space="preserve">A/27, Harsha Apartment,  Mumbai  Maharashtra  </t>
  </si>
  <si>
    <t>#446daf</t>
  </si>
  <si>
    <t>#d0cad0</t>
  </si>
  <si>
    <t>1734706299_112e4133647ca03ee35f.png</t>
  </si>
  <si>
    <t>https://card.tap-savvy.com/Dinesh-Chaudhary&amp;co_Rishabh-Dinesh-Chaudhary/925</t>
  </si>
  <si>
    <r>
      <rPr>
        <u/>
        <sz val="10"/>
        <rFont val="Arial"/>
        <scheme val="minor"/>
      </rPr>
      <t>rishabhchaudhary@gmail.com</t>
    </r>
  </si>
  <si>
    <t>Rishabh_Chaudhary</t>
  </si>
  <si>
    <t>Dinesh Chaudhary &amp; co</t>
  </si>
  <si>
    <t>Rishabh Dinesh Chaudhary</t>
  </si>
  <si>
    <t>#143188</t>
  </si>
  <si>
    <t>1734706658_b8e498c77e50787bd0df.png</t>
  </si>
  <si>
    <t>1734706658_e3e7d487874a98951e47.png</t>
  </si>
  <si>
    <t>https://card.tap-savvy.com/Papercurrency_Ayushi-Shah/926</t>
  </si>
  <si>
    <r>
      <rPr>
        <u/>
        <sz val="10"/>
        <rFont val="Arial"/>
        <scheme val="minor"/>
      </rPr>
      <t>Aayushi@papercurrency.in</t>
    </r>
  </si>
  <si>
    <t>Ayushi_Shah</t>
  </si>
  <si>
    <t>Papercurrency Consultant</t>
  </si>
  <si>
    <t>Ayushi Shah</t>
  </si>
  <si>
    <t>#f1efef</t>
  </si>
  <si>
    <t>#029802</t>
  </si>
  <si>
    <t>1736412320_5b0e17f98c5cd93a5163.png</t>
  </si>
  <si>
    <t>1736412320_a00599224acc5d517f3d.png</t>
  </si>
  <si>
    <t>https://card.tap-savvy.com/Velcord-Textile-Pvt-Ltd_Anurag-Chaturvedi/929</t>
  </si>
  <si>
    <r>
      <rPr>
        <u/>
        <sz val="10"/>
        <rFont val="Arial"/>
        <scheme val="minor"/>
      </rPr>
      <t>anurag@velcord.in</t>
    </r>
  </si>
  <si>
    <t>Anurag_Chaturvedi</t>
  </si>
  <si>
    <t>Velcord Textiles Pvt. Ltd.</t>
  </si>
  <si>
    <t>Anurag Chaturvedi</t>
  </si>
  <si>
    <t>G.M.(Marketing) Whole Business</t>
  </si>
  <si>
    <t>https://http//www.corduroy.in/</t>
  </si>
  <si>
    <t>A/202, padmavati Palace, Nanda Patkar Road Navpada, Vile Parle East, Mumbai 57</t>
  </si>
  <si>
    <t>1739445152_94f24272221982ba0021.jpeg</t>
  </si>
  <si>
    <t>1734877664_d4246fa6882749defb07.png</t>
  </si>
  <si>
    <t>https://card.tap-savvy.com/Wrapsandtags_Shraddha-Shah/932</t>
  </si>
  <si>
    <r>
      <rPr>
        <u/>
        <sz val="10"/>
        <rFont val="Arial"/>
        <scheme val="minor"/>
      </rPr>
      <t>wrapsandtags@gmail.com</t>
    </r>
  </si>
  <si>
    <t>Shraddha_Shah</t>
  </si>
  <si>
    <t>Wraps and tags</t>
  </si>
  <si>
    <t>Shraddha Shah</t>
  </si>
  <si>
    <t>#ce3f3f</t>
  </si>
  <si>
    <t>#ebbc30</t>
  </si>
  <si>
    <t>932.jpeg</t>
  </si>
  <si>
    <t>https://card.tap-savvy.com/Simmone-SalonandSpa_Simmone-Dhanwani/934</t>
  </si>
  <si>
    <r>
      <rPr>
        <u/>
        <sz val="10"/>
        <rFont val="Arial"/>
        <scheme val="minor"/>
      </rPr>
      <t>simonessalonandspa@gmail.com</t>
    </r>
  </si>
  <si>
    <t>Simone_Dhanwani</t>
  </si>
  <si>
    <t>Simone salon and spa</t>
  </si>
  <si>
    <t>Simone Dhanwani</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</si>
  <si>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t>
  </si>
  <si>
    <t>https://simonesalon.in/</t>
  </si>
  <si>
    <t>#ffeded</t>
  </si>
  <si>
    <t>#473f3f</t>
  </si>
  <si>
    <t>#6f6f67</t>
  </si>
  <si>
    <t>#e8e8e8</t>
  </si>
  <si>
    <t>934.jpeg</t>
  </si>
  <si>
    <t>https://card.tap-savvy.com/TheGameDrive_Anosh-Koppikar/933</t>
  </si>
  <si>
    <t>anosh@thegamedrive.in</t>
  </si>
  <si>
    <t>Anosh_Koppikar</t>
  </si>
  <si>
    <t>The Game Drive</t>
  </si>
  <si>
    <t>Anosh Koppikar</t>
  </si>
  <si>
    <t>Creator</t>
  </si>
  <si>
    <t>A finance professional for close to 2 decades whose life revolves around the daily rigors of global and local financial markets and the stress, anxiety, ecstasy, and other extreme sentiments that come with it. Until recently little did people know about my other passions that run deeper within me—one has been with me ever since I was a child;—my love for Wildlife. . 30+ years since I first ventured into the jungle at Ranthambore National Park in the state of Rajasthan in India.</t>
  </si>
  <si>
    <t>https://www.thegamedrive.com/</t>
  </si>
  <si>
    <t>#9fec85</t>
  </si>
  <si>
    <t>#eef4ed</t>
  </si>
  <si>
    <t>933.jpeg</t>
  </si>
  <si>
    <t>https://www.instagram.com/thegamedrive/</t>
  </si>
  <si>
    <t>Kipling Country Pench Drive</t>
  </si>
  <si>
    <t>1734497348_e92013c8f833cd135aff.jpg</t>
  </si>
  <si>
    <t>The Sal-Kanha Drive</t>
  </si>
  <si>
    <t>1734497372_5ec39438d94baf8f235a.jpg</t>
  </si>
  <si>
    <t>https://card.tap-savvy.com/The-Game-Drive_Dipti-Thorat/936</t>
  </si>
  <si>
    <r>
      <rPr>
        <u/>
        <sz val="10"/>
        <rFont val="Arial"/>
        <scheme val="minor"/>
      </rPr>
      <t>dipti@thegamedrive.in</t>
    </r>
  </si>
  <si>
    <t>Dipti_Thorat</t>
  </si>
  <si>
    <t>Dipti Thorat</t>
  </si>
  <si>
    <t>Sales</t>
  </si>
  <si>
    <t>https://card.tap-savvy.com/The-Game-Drive_Aaina-Chavan/935</t>
  </si>
  <si>
    <r>
      <rPr>
        <u/>
        <sz val="10"/>
        <rFont val="Arial"/>
        <scheme val="minor"/>
      </rPr>
      <t>marketing@thegamedrive.in</t>
    </r>
  </si>
  <si>
    <t>Aaina_Chawan</t>
  </si>
  <si>
    <t>Aaina Chawan</t>
  </si>
  <si>
    <t>Marketing</t>
  </si>
  <si>
    <t>#9fec86</t>
  </si>
  <si>
    <t>https://card.tap-savvy.com/The-Game-Drive-Amita-Matkar/938</t>
  </si>
  <si>
    <r>
      <rPr>
        <u/>
        <sz val="10"/>
        <rFont val="Arial"/>
        <scheme val="minor"/>
      </rPr>
      <t>Operations@thegamedrive.in</t>
    </r>
  </si>
  <si>
    <t>Amita_Matkar</t>
  </si>
  <si>
    <t>Amita Matkar</t>
  </si>
  <si>
    <t>Operations</t>
  </si>
  <si>
    <t>#9fec87</t>
  </si>
  <si>
    <t>https://card.tap-savvy.com/Easy-Investo_Rahaman-Jamilur/939</t>
  </si>
  <si>
    <r>
      <rPr>
        <u/>
        <sz val="10"/>
        <rFont val="Arial"/>
        <scheme val="minor"/>
      </rPr>
      <t>rahaman.easyinvesto007@gmail.com</t>
    </r>
  </si>
  <si>
    <t>Rahaman_Jamilur</t>
  </si>
  <si>
    <t>Easy Investo</t>
  </si>
  <si>
    <t>Rahaman Jamilur</t>
  </si>
  <si>
    <t>Founder and CEO</t>
  </si>
  <si>
    <t>https://bento.me/jamilur-rahaman-</t>
  </si>
  <si>
    <t>1734495712_9e92417aae7faf6ff248.jpg</t>
  </si>
  <si>
    <t>1734496044_0e4fdf698db6ee559618.jpeg</t>
  </si>
  <si>
    <t>https://card.tap-savvy.com/Chaitali-Creations_Chaitali-Jhaveri/946</t>
  </si>
  <si>
    <r>
      <rPr>
        <u/>
        <sz val="10"/>
        <rFont val="Arial"/>
        <scheme val="minor"/>
      </rPr>
      <t>ask@chaitalicreation.com</t>
    </r>
  </si>
  <si>
    <t>Chaitali_ Jhaveri</t>
  </si>
  <si>
    <t>Chaitali Creation</t>
  </si>
  <si>
    <t>Chaitali Himanshu Jhaveri</t>
  </si>
  <si>
    <t>Chaitali Creation is a name that gives a better and beautiful look to the filmmaking process, named after our proprietor Chaitali Himanshu Jhaveri</t>
  </si>
  <si>
    <t>https://www.chaitalicreation.com/</t>
  </si>
  <si>
    <t>#7f1c1c</t>
  </si>
  <si>
    <t>#edeaea</t>
  </si>
  <si>
    <t>#e36e3e</t>
  </si>
  <si>
    <t>#eee9e5</t>
  </si>
  <si>
    <t>1733995131_3c8eb6220ff81b747c9d.png</t>
  </si>
  <si>
    <t>1734493960_46810d6cb2f31677da09.png</t>
  </si>
  <si>
    <t>Movie Making</t>
  </si>
  <si>
    <t>1734345233_44c9c59d81078e111a5e.png</t>
  </si>
  <si>
    <t>Webseries Making</t>
  </si>
  <si>
    <t>1734345246_df2c681b0ad075d7b258.png</t>
  </si>
  <si>
    <t>Album/Song Shoot</t>
  </si>
  <si>
    <t>1734345259_4b0a7e2b7d03c52434a0.png</t>
  </si>
  <si>
    <t>https://card.tap-savvy.com/Cosmic-Healings_Chaitali-Jhaveri/947</t>
  </si>
  <si>
    <r>
      <rPr>
        <u/>
        <sz val="10"/>
        <rFont val="Arial"/>
        <scheme val="minor"/>
      </rPr>
      <t>ask@cosmichealings.in</t>
    </r>
  </si>
  <si>
    <t>Cosmic_healing</t>
  </si>
  <si>
    <t>Cosmic Healings by Chaitali</t>
  </si>
  <si>
    <t>Spirutaul Guide</t>
  </si>
  <si>
    <t>https://www.cosmichealings.in/</t>
  </si>
  <si>
    <t>#079843</t>
  </si>
  <si>
    <t>#151415</t>
  </si>
  <si>
    <t>#f4f3f3</t>
  </si>
  <si>
    <t>1733995480_8c6df93ab8187adad752.png</t>
  </si>
  <si>
    <t>1734494115_763490e33bde06a94d1a.png</t>
  </si>
  <si>
    <t>Access Bar Healing</t>
  </si>
  <si>
    <t>1734344352_add033f919f76d0963ac.jpg</t>
  </si>
  <si>
    <t>Reiki Healing</t>
  </si>
  <si>
    <t>1734344372_43f8e07bd923138052a5.jpg</t>
  </si>
  <si>
    <t>Tarot Card Reading</t>
  </si>
  <si>
    <t>1734344390_767b3692bed5f4533aa8.jpg</t>
  </si>
  <si>
    <t>Energetic Facelift Healing</t>
  </si>
  <si>
    <t>1734344416_3a002ad0415055e9338f.jpg</t>
  </si>
  <si>
    <t>Magnified Healing</t>
  </si>
  <si>
    <t>1734344434_bb1fa70f7f92db2be018.jpg</t>
  </si>
  <si>
    <t>Lama Fera Healing</t>
  </si>
  <si>
    <t>1734344452_2cda689a471caa8b1b7f.jpg</t>
  </si>
  <si>
    <t>Bach Flower Healing</t>
  </si>
  <si>
    <t>1734344471_d4d9c146887b1ea606e9.jpg</t>
  </si>
  <si>
    <t>https://card.tap-savvy.com/Earthborn_Nikitaa-Shah/948</t>
  </si>
  <si>
    <r>
      <rPr>
        <u/>
        <sz val="10"/>
        <rFont val="Arial"/>
        <scheme val="minor"/>
      </rPr>
      <t>nikitaas.earthborn@gmail.com</t>
    </r>
  </si>
  <si>
    <t>Nikitaa_Shah</t>
  </si>
  <si>
    <t>Nikitaa's Earthborn</t>
  </si>
  <si>
    <t>Nikitaa Shah</t>
  </si>
  <si>
    <t>At Nikitaa's Earthborn, we believe in complete transparency and prioritize your well-being above all else. We understand that many conventional products in the market contain chemicals that can have detrimental effects on your skin and overall health. Our mission is to revolutionize the Indian market by creating and providing 100% pure organic, plant-derived, and vegan haircare and skincare products. GST No # 27AAXHA0697L1ZJ</t>
  </si>
  <si>
    <t>https://www.nikitaasearthborn.com/</t>
  </si>
  <si>
    <t>#f3eff1</t>
  </si>
  <si>
    <t>#d47350</t>
  </si>
  <si>
    <t>#faf3f3</t>
  </si>
  <si>
    <t>1734494340_82699a6588f4611073c4.jpg</t>
  </si>
  <si>
    <t>948.jpeg</t>
  </si>
  <si>
    <t>https://card.tap-savvy.com/PaperToProject_Jalpa-Shah/951</t>
  </si>
  <si>
    <r>
      <rPr>
        <u/>
        <sz val="10"/>
        <rFont val="Arial"/>
        <scheme val="minor"/>
      </rPr>
      <t>papertoproject@gmail.com</t>
    </r>
  </si>
  <si>
    <t>Jalpa_Shah</t>
  </si>
  <si>
    <t>Paper to Project</t>
  </si>
  <si>
    <t>Jalpa Shah</t>
  </si>
  <si>
    <t>Interior Designer</t>
  </si>
  <si>
    <t>Jalpa Shah, a highly skilled and creative interior designer with a passion for transforming spaces into captivating environments. With over 20 years of experience in the industry, Jalpa is known for her versatile design approach, seamlessly blending contemporary trends with timeless elegance. Her commitment to personalized and sustainable design has earned her recognition and praise, and she continues to be a tastemaker in the field.</t>
  </si>
  <si>
    <t>#eee8d4</t>
  </si>
  <si>
    <t>#5b3434</t>
  </si>
  <si>
    <t>951.jpeg</t>
  </si>
  <si>
    <t>Residential Interior designing</t>
  </si>
  <si>
    <t>1734495017_23373cbf1b4386dfa8ab.jpg</t>
  </si>
  <si>
    <t>Refurbishment Projects</t>
  </si>
  <si>
    <t>1734495133_d4ceb6422d7c274bed32.jpg</t>
  </si>
  <si>
    <t>3D Renders</t>
  </si>
  <si>
    <t>1734495080_1b3ccb071498b740ef59.jpg</t>
  </si>
  <si>
    <t>Consultation</t>
  </si>
  <si>
    <t>1734495097_728f40e0b1f6f918cf65.webp</t>
  </si>
  <si>
    <t>Execution</t>
  </si>
  <si>
    <t>1734495118_69356dde2999a4597ec4.png</t>
  </si>
  <si>
    <t>https://card.tap-savvy.com/Shodashi-Candles_Tejal-Solanki/952</t>
  </si>
  <si>
    <r>
      <rPr>
        <u/>
        <sz val="10"/>
        <rFont val="Arial"/>
        <scheme val="minor"/>
      </rPr>
      <t>shodashicandles@gmail.com</t>
    </r>
  </si>
  <si>
    <t>Tejal_Solanki</t>
  </si>
  <si>
    <t>Shodashi Candles &amp; More</t>
  </si>
  <si>
    <t>Tejal Solanki</t>
  </si>
  <si>
    <t>The completeness, beauty and purity signify Goddess Tripura Sundari also known as *Shodashi*, which exactly resonates with our Candles Our aesthetic candles are made up of pure organic soy wax and a blend of essential oils. Also, they are hand-poured and made with love and passion in small batches. Natural ingredients are used like pure soy and essential or Premium quality fragrance oils. And the colours in candles are chemical-free, non-toxic and skin-friendly.</t>
  </si>
  <si>
    <t>#e29898</t>
  </si>
  <si>
    <t>#171616</t>
  </si>
  <si>
    <t>#d8a1d8</t>
  </si>
  <si>
    <t>#030303</t>
  </si>
  <si>
    <t>952.jpeg</t>
  </si>
  <si>
    <t>https://card.tap-savvy.com/DATAMATICS_Sabha-Khan/953</t>
  </si>
  <si>
    <r>
      <rPr>
        <u/>
        <sz val="10"/>
        <rFont val="Arial"/>
        <scheme val="minor"/>
      </rPr>
      <t>sabha.khan@datamatics.com</t>
    </r>
  </si>
  <si>
    <t>Sabha_Khan</t>
  </si>
  <si>
    <t>Datamatics Global Services.LTD</t>
  </si>
  <si>
    <t>Sabha Khan</t>
  </si>
  <si>
    <t>Assistant Vice President</t>
  </si>
  <si>
    <t>Datamatics is a Digital Technologies, Operations, and Experiences company that enables enterprises to go Deep in Digital to boost their productivity, customer experience and competitive advantage.</t>
  </si>
  <si>
    <t>https://www.datamatics.com/</t>
  </si>
  <si>
    <t>#b82727</t>
  </si>
  <si>
    <t>#e8e7e7</t>
  </si>
  <si>
    <t>953.jpeg</t>
  </si>
  <si>
    <t>Digital Technologies</t>
  </si>
  <si>
    <t>1734582029_c60a9a474c852c0e8cd5.jpg</t>
  </si>
  <si>
    <t>Digital Operations</t>
  </si>
  <si>
    <t>1734582045_4fb8487131e5dbcefb2b.jpg</t>
  </si>
  <si>
    <t>Digital Experiences</t>
  </si>
  <si>
    <t>1734582057_91b5b802fc0e2e04868c.jpg</t>
  </si>
  <si>
    <t>https://card.tap-savvy.com/Seventeen-Events_Sourav-Mukherjee/954</t>
  </si>
  <si>
    <r>
      <rPr>
        <u/>
        <sz val="10"/>
        <rFont val="Arial"/>
        <scheme val="minor"/>
      </rPr>
      <t>sourav@seventeenevents.com</t>
    </r>
  </si>
  <si>
    <t>Seventeen_Events</t>
  </si>
  <si>
    <t>Seventeen Events Private Limited</t>
  </si>
  <si>
    <t>Sourav Mukherjee</t>
  </si>
  <si>
    <t>Seventeen Events is an experiential marketing company that’s about executing unique ideas and innovative solutions. We create vibrant, engaging experiences to bring your brand and consumers closer together, not just on ground, but also in the online space.</t>
  </si>
  <si>
    <t>https://www.seventeenevents.com/</t>
  </si>
  <si>
    <t>#fffbf7</t>
  </si>
  <si>
    <t>#5b5757</t>
  </si>
  <si>
    <t>#d4850e</t>
  </si>
  <si>
    <t>#f0eeee</t>
  </si>
  <si>
    <t>1733676897_bd8f0ad0e4989b8bb7c9.jpeg</t>
  </si>
  <si>
    <t>https://card.tap-savvy.com/Seventeen-Events_Bhavika-Trivedi/955</t>
  </si>
  <si>
    <r>
      <rPr>
        <u/>
        <sz val="10"/>
        <rFont val="Arial"/>
        <scheme val="minor"/>
      </rPr>
      <t>bhavika@seventeenevents.com</t>
    </r>
  </si>
  <si>
    <t>Bhavika_seventeen_Events</t>
  </si>
  <si>
    <t>Bhavika Trivedi</t>
  </si>
  <si>
    <t>Senior Executive Client Servicing</t>
  </si>
  <si>
    <t>#fffbf8</t>
  </si>
  <si>
    <t>#5b5758</t>
  </si>
  <si>
    <t>1733676956_b1e93d222f7d7c189072.jpeg</t>
  </si>
  <si>
    <t>https://card.tap-savvy.com/Seventeen-Events_Nayan-Sadhwani/956</t>
  </si>
  <si>
    <r>
      <rPr>
        <u/>
        <sz val="10"/>
        <rFont val="Arial"/>
        <scheme val="minor"/>
      </rPr>
      <t>nayan@seventeenevents.com</t>
    </r>
  </si>
  <si>
    <t>Nayan_Seventeen_Events</t>
  </si>
  <si>
    <t>Nayan Sadhwani</t>
  </si>
  <si>
    <t>Assistant Manager Client Servicing</t>
  </si>
  <si>
    <t>#fffbf9</t>
  </si>
  <si>
    <t>#5b5759</t>
  </si>
  <si>
    <t>1733677230_84aeb037cd50d0660395.jpeg</t>
  </si>
  <si>
    <t>https://card.tap-savvy.com/Seventeen-Events_Abbas-Sayyed/958</t>
  </si>
  <si>
    <r>
      <rPr>
        <u/>
        <sz val="10"/>
        <rFont val="Arial"/>
        <scheme val="minor"/>
      </rPr>
      <t>abbas@seventeenevents.com</t>
    </r>
  </si>
  <si>
    <t>Abbas Sayyed</t>
  </si>
  <si>
    <t>Production Manager</t>
  </si>
  <si>
    <t>#fffbf10</t>
  </si>
  <si>
    <t>#5b5760</t>
  </si>
  <si>
    <t>1733677854_7fe906d35e3b7880b038.jpeg</t>
  </si>
  <si>
    <t>https://card.tap-savvy.com/Seventeen-Events_Shruti-Panhale/959</t>
  </si>
  <si>
    <r>
      <rPr>
        <u/>
        <sz val="10"/>
        <rFont val="Arial"/>
        <scheme val="minor"/>
      </rPr>
      <t>shruti@seventeenevents.com</t>
    </r>
  </si>
  <si>
    <t>Shruti Panhale</t>
  </si>
  <si>
    <t>Client Servicing Executive</t>
  </si>
  <si>
    <t>#fffbf11</t>
  </si>
  <si>
    <t>#5b5761</t>
  </si>
  <si>
    <t>1733678285_5e48af698d87fd4e5493.jpeg</t>
  </si>
  <si>
    <t>https://card.tap-savvy.com/Seventeen-Events_Aftab-Khan/960</t>
  </si>
  <si>
    <r>
      <rPr>
        <u/>
        <sz val="10"/>
        <rFont val="Arial"/>
        <scheme val="minor"/>
      </rPr>
      <t>aftab@seventeenevents.com</t>
    </r>
  </si>
  <si>
    <t>Aftab Khan</t>
  </si>
  <si>
    <t>Assistant Manager Production</t>
  </si>
  <si>
    <t>#fffbf12</t>
  </si>
  <si>
    <t>#5b5762</t>
  </si>
  <si>
    <t>1733678531_72a21e71a99113effd88.jpeg</t>
  </si>
  <si>
    <t>https://card.tap-savvy.com/Seventeen-Events_Natasha-Devadiga/961</t>
  </si>
  <si>
    <r>
      <rPr>
        <u/>
        <sz val="10"/>
        <rFont val="Arial"/>
        <scheme val="minor"/>
      </rPr>
      <t>natasha@seventeenevents.com</t>
    </r>
  </si>
  <si>
    <t>Natasha Devadiga</t>
  </si>
  <si>
    <t>#fffbf13</t>
  </si>
  <si>
    <t>#5b5763</t>
  </si>
  <si>
    <t>1733679008_462b56f26ff4f71ab312.jpeg</t>
  </si>
  <si>
    <t>https://card.tap-savvy.com/Get-Set-Play-Events_Aruna-Karia/962</t>
  </si>
  <si>
    <r>
      <rPr>
        <u/>
        <sz val="10"/>
        <rFont val="Arial"/>
        <scheme val="minor"/>
      </rPr>
      <t>getsetplay2018@gmail.com</t>
    </r>
  </si>
  <si>
    <t>Aruna_karia</t>
  </si>
  <si>
    <t>Get-Set-Play Events</t>
  </si>
  <si>
    <t>Aruna Karia</t>
  </si>
  <si>
    <t>CEO and Event Planner</t>
  </si>
  <si>
    <t>We do events ranging from Birthday Parties, Pre / Post Wedding events, Society events, Cultural events, Corporate events, Milestone events, you name it.</t>
  </si>
  <si>
    <t>https://getsetplayevents.com/</t>
  </si>
  <si>
    <t>962.jpeg</t>
  </si>
  <si>
    <t>Birthday Parties</t>
  </si>
  <si>
    <t>1734583332_88e7d3e3416abd0594b2.jpg</t>
  </si>
  <si>
    <t>Corporate Events</t>
  </si>
  <si>
    <t>1734583345_8c9f5bc7c63676e55260.jpg</t>
  </si>
  <si>
    <t>Christmas Parties</t>
  </si>
  <si>
    <t>1734583357_7825bd3e4467571b3cec.jpg</t>
  </si>
  <si>
    <t>Get-To-Gether</t>
  </si>
  <si>
    <t>1734583373_7dc6f60295839be8f7a4.jpg</t>
  </si>
  <si>
    <t>Weddings</t>
  </si>
  <si>
    <t>1734583385_012e618dc01fdf3c06ba.jpg</t>
  </si>
  <si>
    <t>Theme Parties</t>
  </si>
  <si>
    <t>1734583397_c73052ea0829a9b6061c.jpg</t>
  </si>
  <si>
    <t>Outdoor Workshops</t>
  </si>
  <si>
    <t>1734583410_5d7f509b5c69c6f2a63c.jpg</t>
  </si>
  <si>
    <t>https://card.tap-savvy.com/VANSHIKA-PARMAR/986</t>
  </si>
  <si>
    <r>
      <rPr>
        <u/>
        <sz val="10"/>
        <rFont val="Arial"/>
        <scheme val="minor"/>
      </rPr>
      <t>itsvanshikaparmar@gmail.com</t>
    </r>
  </si>
  <si>
    <t>Vanshika_parmar</t>
  </si>
  <si>
    <t>Vanshika Parmar</t>
  </si>
  <si>
    <t>Influencer Marketer</t>
  </si>
  <si>
    <t>Vanshika here, on the lookout for outgoing and goal-oriented individuals who share a passion for new adventures By day, I navigate the dynamic realm of influencer relations and thrive on the excitement of influencer marketing. If you're up for a blend of ambition, exploration, and a dash of creativity, let's make some meaningful connections. Just tap and let the adventure begin....</t>
  </si>
  <si>
    <t>https://card.tap-savvy.com/VEDANT-SHELAR/987</t>
  </si>
  <si>
    <r>
      <rPr>
        <u/>
        <sz val="10"/>
        <rFont val="Arial"/>
        <scheme val="minor"/>
      </rPr>
      <t>vedant.shelar42@gmail.com</t>
    </r>
  </si>
  <si>
    <t>Vedant_shelar</t>
  </si>
  <si>
    <t>Vedant Shelar</t>
  </si>
  <si>
    <t>Gym Trainer</t>
  </si>
  <si>
    <t>Meet Vedant Shelar, a distinguished fitness trainer based in Mumbai, India. With a proven track record of excellence, Vedant has garnered numerous medals and accolades in the fitness arena. His dedication, expertise, and commitment to fitness have earned him a reputable standing in the industry. As a seasoned professional, Vedant Shelar continues to inspire and empower individuals to achieve their fitness goals with precision and passion.</t>
  </si>
  <si>
    <t>https://card.tap-savvy.com/GiftamStore_Om-Dave/1010</t>
  </si>
  <si>
    <r>
      <rPr>
        <u/>
        <sz val="10"/>
        <rFont val="Arial"/>
        <scheme val="minor"/>
      </rPr>
      <t>giftamstore@gmail.com</t>
    </r>
  </si>
  <si>
    <t>Om_dave</t>
  </si>
  <si>
    <t>Mauktik Retail Pvt Ltd</t>
  </si>
  <si>
    <t>Om Dave</t>
  </si>
  <si>
    <t>Giftam is your one-stop destination for an extensive array of products tailored to suit various needs. From corporate gifts, bulk purchases, to wholesale and wedding gifts, including special occasions like Diwali and thoughtful employee gifts—we have you covered. Our customization services offer a wide range of possibilities: personalize Polo T-Shirts, Caps, Pen drives, Keychains, Office bags, Watches, Water bottles, and much more.</t>
  </si>
  <si>
    <t>https://www.giftam.com/</t>
  </si>
  <si>
    <t>#f12f2f</t>
  </si>
  <si>
    <t>#ccb604</t>
  </si>
  <si>
    <t>https://card.tap-savvy.com/AshishLifeScience_DrSaurabh-Agarwal/1029</t>
  </si>
  <si>
    <r>
      <rPr>
        <u/>
        <sz val="10"/>
        <rFont val="Arial"/>
        <scheme val="minor"/>
      </rPr>
      <t>saurabh.agarwal@ashishlifescience.com</t>
    </r>
  </si>
  <si>
    <t>Ashish_life_science</t>
  </si>
  <si>
    <t>Ashish Life Science</t>
  </si>
  <si>
    <t>Dr Saurabh Agarwal</t>
  </si>
  <si>
    <t>Chief Marketing Officer</t>
  </si>
  <si>
    <t>Ashish Life Science Pvt Limited which is part of “Ashish Group of Industries” established in 1975. In the year 2002, we began our pharmaceutical manufacturing. Since inception, we have been serving customers Worldwide, delivering Veterinary products, no matter the size of the order. Over the years, we have built up a reputation for reliability and trust between us and our customers.</t>
  </si>
  <si>
    <t>https://www.ashishlifescience.com/</t>
  </si>
  <si>
    <t>#F7F7F7</t>
  </si>
  <si>
    <t>#21e090</t>
  </si>
  <si>
    <t>#faf6f6</t>
  </si>
  <si>
    <t>1022.jpeg</t>
  </si>
  <si>
    <t>1029.jpeg</t>
  </si>
  <si>
    <t>https://card.tap-savvy.com/AshishLifeScience_Amardeep-Athawaley/1022</t>
  </si>
  <si>
    <r>
      <rPr>
        <u/>
        <sz val="10"/>
        <rFont val="Arial"/>
        <scheme val="minor"/>
      </rPr>
      <t>amardeep.athawaley@ashishlifescience.com</t>
    </r>
  </si>
  <si>
    <t>Dr Amardeep Athawaley</t>
  </si>
  <si>
    <t>Manager-Marketing</t>
  </si>
  <si>
    <t>#F7F7F8</t>
  </si>
  <si>
    <t>#21e091</t>
  </si>
  <si>
    <t>#faf6f7</t>
  </si>
  <si>
    <t>https://card.tap-savvy.com/AshishLifeScience_Jayesh-Khatri/1023</t>
  </si>
  <si>
    <r>
      <rPr>
        <u/>
        <sz val="10"/>
        <rFont val="Arial"/>
        <scheme val="minor"/>
      </rPr>
      <t>jayesh.khatri@ashishlifescience.com</t>
    </r>
  </si>
  <si>
    <t>Jayesh Khatri</t>
  </si>
  <si>
    <t>Chief Operating Officer</t>
  </si>
  <si>
    <t>#F7F7F9</t>
  </si>
  <si>
    <t>#21e092</t>
  </si>
  <si>
    <t>#faf6f8</t>
  </si>
  <si>
    <t>https://card.tap-savvy.com/AshishLifeScience_Ashish-Shah/1024</t>
  </si>
  <si>
    <r>
      <rPr>
        <u/>
        <sz val="10"/>
        <rFont val="Arial"/>
        <scheme val="minor"/>
      </rPr>
      <t>ashish.shah@ashishlifescience.com</t>
    </r>
  </si>
  <si>
    <t>Ashish Shah</t>
  </si>
  <si>
    <t>Chief Financial Officer</t>
  </si>
  <si>
    <t>#F7F7F10</t>
  </si>
  <si>
    <t>#21e093</t>
  </si>
  <si>
    <t>#faf6f9</t>
  </si>
  <si>
    <t>https://card.tap-savvy.com/AshishLifeScience_Chirag-Shukla/1025</t>
  </si>
  <si>
    <r>
      <rPr>
        <u/>
        <sz val="10"/>
        <rFont val="Arial"/>
        <scheme val="minor"/>
      </rPr>
      <t>chirag.shukla@ashishlifescience.com</t>
    </r>
  </si>
  <si>
    <t>Chirag Shukla</t>
  </si>
  <si>
    <t>Assistant Manager -International Marketing</t>
  </si>
  <si>
    <t>#F7F7F11</t>
  </si>
  <si>
    <t>#000004</t>
  </si>
  <si>
    <t>#21e094</t>
  </si>
  <si>
    <t>#faf6f10</t>
  </si>
  <si>
    <t>1026.jpeg</t>
  </si>
  <si>
    <t>https://card.tap-savvy.com/AshishLifeScience_Vivek-Kedia/1026</t>
  </si>
  <si>
    <r>
      <rPr>
        <u/>
        <sz val="10"/>
        <rFont val="Arial"/>
        <scheme val="minor"/>
      </rPr>
      <t>vivek.kedia@ashishlifescience.com</t>
    </r>
  </si>
  <si>
    <t>Vivek Kedia</t>
  </si>
  <si>
    <t>#F7F7F12</t>
  </si>
  <si>
    <t>#000005</t>
  </si>
  <si>
    <t>#21e095</t>
  </si>
  <si>
    <t>#faf6f11</t>
  </si>
  <si>
    <t>https://card.tap-savvy.com/AshishLifeScience_Jaiprakash-Todi/1028</t>
  </si>
  <si>
    <r>
      <rPr>
        <u/>
        <sz val="10"/>
        <rFont val="Arial"/>
        <scheme val="minor"/>
      </rPr>
      <t>jaiprakash.todi@ashishlifecience.com</t>
    </r>
  </si>
  <si>
    <t>Jaiprakash Todi</t>
  </si>
  <si>
    <t>GM - Strategy,Business Excellence and MD Office</t>
  </si>
  <si>
    <t>#F7F7F13</t>
  </si>
  <si>
    <t>#000006</t>
  </si>
  <si>
    <t>#21e096</t>
  </si>
  <si>
    <t>#faf6f12</t>
  </si>
  <si>
    <r>
      <rPr>
        <u/>
        <sz val="10"/>
        <rFont val="Arial"/>
        <scheme val="minor"/>
      </rPr>
      <t>saurabh.agarwal@ashishlifescience.com</t>
    </r>
  </si>
  <si>
    <t>#F7F7F14</t>
  </si>
  <si>
    <t>#000007</t>
  </si>
  <si>
    <t>#21e097</t>
  </si>
  <si>
    <t>#faf6f13</t>
  </si>
  <si>
    <t>card.tap-savvy.com/AshishLifeScience_Nirdesh-Kumar/1030</t>
  </si>
  <si>
    <r>
      <rPr>
        <u/>
        <sz val="10"/>
        <rFont val="Arial"/>
        <scheme val="minor"/>
      </rPr>
      <t>nirdesh.kumar@ashishlifescience.com</t>
    </r>
  </si>
  <si>
    <t>Nirdesh Kumar</t>
  </si>
  <si>
    <t>Vice president - Human Resources and Administration</t>
  </si>
  <si>
    <t>#F7F7F15</t>
  </si>
  <si>
    <t>#000008</t>
  </si>
  <si>
    <t>#21e098</t>
  </si>
  <si>
    <t>#faf6f14</t>
  </si>
  <si>
    <t>https://card.tap-savvy.com/AshishLifeScience_Pooja-Karnik/1031</t>
  </si>
  <si>
    <r>
      <rPr>
        <u/>
        <sz val="10"/>
        <rFont val="Arial"/>
        <scheme val="minor"/>
      </rPr>
      <t>pooja.karnik@ashishlifescience.com</t>
    </r>
  </si>
  <si>
    <t>Pooja Karnik</t>
  </si>
  <si>
    <t>Assistant Manager-International Marketing</t>
  </si>
  <si>
    <t>#F7F7F16</t>
  </si>
  <si>
    <t>#000009</t>
  </si>
  <si>
    <t>#21e099</t>
  </si>
  <si>
    <t>#faf6f15</t>
  </si>
  <si>
    <t>1032.jpeg</t>
  </si>
  <si>
    <t>https://card.tap-savvy.com/AshishLifeScience_DrKirankumar-Madpathi/1032</t>
  </si>
  <si>
    <r>
      <rPr>
        <u/>
        <sz val="10"/>
        <rFont val="Arial"/>
        <scheme val="minor"/>
      </rPr>
      <t>kirankumar.madpathi@ashishlifescience.com</t>
    </r>
  </si>
  <si>
    <t>Dr Kirankumar Madpathi</t>
  </si>
  <si>
    <t>Product Manager</t>
  </si>
  <si>
    <t>#F7F7F17</t>
  </si>
  <si>
    <t>#000010</t>
  </si>
  <si>
    <t>#21e100</t>
  </si>
  <si>
    <t>#faf6f16</t>
  </si>
  <si>
    <t>https://card.tap-savvy.com/AshishLifeScience_Raujesh-Agarrwal/1033</t>
  </si>
  <si>
    <r>
      <rPr>
        <u/>
        <sz val="10"/>
        <rFont val="Arial"/>
        <scheme val="minor"/>
      </rPr>
      <t>raujesh@ashishlifescience.com</t>
    </r>
  </si>
  <si>
    <t>Raujesh Agarrwal</t>
  </si>
  <si>
    <t>#F7F7F18</t>
  </si>
  <si>
    <t>#000011</t>
  </si>
  <si>
    <t>#21e101</t>
  </si>
  <si>
    <t>#faf6f17</t>
  </si>
  <si>
    <t>https://card.tap-savvy.com/AshishLifeScience_Nilesh-Chavan/1034</t>
  </si>
  <si>
    <r>
      <rPr>
        <u/>
        <sz val="10"/>
        <rFont val="Arial"/>
        <scheme val="minor"/>
      </rPr>
      <t>nilesh.chavan@ashishlifescience.com</t>
    </r>
  </si>
  <si>
    <t>Nilesh Chavan</t>
  </si>
  <si>
    <t>Manager-Salesforce Champion</t>
  </si>
  <si>
    <t>#F7F7F19</t>
  </si>
  <si>
    <t>#000012</t>
  </si>
  <si>
    <t>#21e102</t>
  </si>
  <si>
    <t>#faf6f18</t>
  </si>
  <si>
    <t>1035.jpeg</t>
  </si>
  <si>
    <t>https://card.tap-savvy.com/AshishLifeScience_Sutanu-Nayak/1035</t>
  </si>
  <si>
    <r>
      <rPr>
        <u/>
        <sz val="10"/>
        <rFont val="Arial"/>
        <scheme val="minor"/>
      </rPr>
      <t>sutanu.nayak@ashishlifescience.com</t>
    </r>
  </si>
  <si>
    <t>Sutanu Nayak</t>
  </si>
  <si>
    <t>Assistant General Manager - Business Development</t>
  </si>
  <si>
    <t>#F7F7F20</t>
  </si>
  <si>
    <t>#000013</t>
  </si>
  <si>
    <t>#21e103</t>
  </si>
  <si>
    <t>#faf6f19</t>
  </si>
  <si>
    <t>card.tap-savvy.com/AshishLifeScience_Ronitt-Agarrwal/1038</t>
  </si>
  <si>
    <r>
      <rPr>
        <u/>
        <sz val="10"/>
        <rFont val="Arial"/>
        <scheme val="minor"/>
      </rPr>
      <t>ronitt@ashishlifescience@gmail.com</t>
    </r>
  </si>
  <si>
    <t>Ronitt Agarwal Agarwal</t>
  </si>
  <si>
    <t>Manager - Business Development</t>
  </si>
  <si>
    <t>#F7F7F21</t>
  </si>
  <si>
    <t>#000014</t>
  </si>
  <si>
    <t>#21e104</t>
  </si>
  <si>
    <t>#faf6f20</t>
  </si>
  <si>
    <r>
      <rPr>
        <u/>
        <sz val="10"/>
        <rFont val="sans-serif"/>
      </rPr>
      <t>amardeep.athawaley@ashishlifescience.com</t>
    </r>
  </si>
  <si>
    <t>Dr. Amardeep Athawale</t>
  </si>
  <si>
    <t>#F7F7F22</t>
  </si>
  <si>
    <t>#000015</t>
  </si>
  <si>
    <t>#21e105</t>
  </si>
  <si>
    <t>#faf6f21</t>
  </si>
  <si>
    <t>https://card.tap-savvy.com/AshishLifeScience_Mr.Abdulla-Fatiya/1096</t>
  </si>
  <si>
    <r>
      <rPr>
        <u/>
        <sz val="10"/>
        <rFont val="sans-serif"/>
      </rPr>
      <t>abdulla.fatiya@ashishlifescience.com</t>
    </r>
  </si>
  <si>
    <t>Mr. Abdulla Fatiya</t>
  </si>
  <si>
    <t>Chief Digital Officer</t>
  </si>
  <si>
    <t>#F7F7F23</t>
  </si>
  <si>
    <t>#000016</t>
  </si>
  <si>
    <t>#21e106</t>
  </si>
  <si>
    <t>#faf6f22</t>
  </si>
  <si>
    <t>https://card.tap-savvy.com/AshishLifeScience_DrKonstantin-Popov/1039</t>
  </si>
  <si>
    <r>
      <rPr>
        <u/>
        <sz val="10"/>
        <rFont val="Arial"/>
        <scheme val="minor"/>
      </rPr>
      <t>konstantin.popov@ashishlifescience.com</t>
    </r>
  </si>
  <si>
    <t>Ашиш Наука о жизни</t>
  </si>
  <si>
    <t>Доктор Константин Попов</t>
  </si>
  <si>
    <t>Директор</t>
  </si>
  <si>
    <t>В Ashish Life Science Pvt Limited (ALS) мы верим в формирование ценностей в экосистеме «человек-животное». Наш ассортимент передовых ветеринарных продуктов, производственная инфраструктура мирового уровня и подход, основанный на взаимоотношениях, являются свидетельством этого убеждения. Основываясь на этом убеждении, мы многократно выросли с момента основания в 2002 году как компания-производитель ветеринарных фармацевтических препаратов.</t>
  </si>
  <si>
    <t>#F7F7F24</t>
  </si>
  <si>
    <t>#000017</t>
  </si>
  <si>
    <t>#21e107</t>
  </si>
  <si>
    <t>#faf6f23</t>
  </si>
  <si>
    <t>LEAVE THIS</t>
  </si>
  <si>
    <t>GO ON 200 - 260</t>
  </si>
  <si>
    <t>ok</t>
  </si>
  <si>
    <t>Stage</t>
  </si>
  <si>
    <t>Image</t>
  </si>
  <si>
    <t>IMage</t>
  </si>
  <si>
    <t>Datamatics_Anup-Sharma</t>
  </si>
  <si>
    <t>anup.sharma@datamatics.com</t>
  </si>
  <si>
    <t>Anup_Sharma</t>
  </si>
  <si>
    <t>Datamatics</t>
  </si>
  <si>
    <t>Anup Sharma</t>
  </si>
  <si>
    <t>Corporate Administration Head</t>
  </si>
  <si>
    <t>1734582188_b6e1a8917f233938fe41.png</t>
  </si>
  <si>
    <t>https://card.tap-savvy.com/I-Fly-Now_Kunal-Ramchandani/1013</t>
  </si>
  <si>
    <t>Kunalr@iflynow.in</t>
  </si>
  <si>
    <t>Kunal_Ramchandani_206</t>
  </si>
  <si>
    <t>I Fly Now</t>
  </si>
  <si>
    <t>Kunal Ramchandani</t>
  </si>
  <si>
    <t>Co - Founder</t>
  </si>
  <si>
    <t>Ever since the Wright Brothers made flying a reality, the world became a smaller place. It suddenly became possible to fly across the world to any destination at a time of your choice. And it is that spirit that becomes the bedrock for everything that ‘I Fly Now’ stands for – we are ‘ready to go’ whenever you are.</t>
  </si>
  <si>
    <t>https://www.iflynow.in/</t>
  </si>
  <si>
    <t>#ff8506</t>
  </si>
  <si>
    <t>1013.jpeg</t>
  </si>
  <si>
    <t>Delhi to Melbourne</t>
  </si>
  <si>
    <t>1734581360_bafd6f7c423287e2c930.jpg</t>
  </si>
  <si>
    <t>Delhi to Sydney</t>
  </si>
  <si>
    <t>1734581375_967825e6c316caa93b11.jpg</t>
  </si>
  <si>
    <t>Mumbai to Melbourne</t>
  </si>
  <si>
    <t>1734581389_3020a68497af85fac70d.jpg</t>
  </si>
  <si>
    <t>Hyderabad to Melbourne</t>
  </si>
  <si>
    <t>1734581407_6189cdf58953b0e86877.jpg</t>
  </si>
  <si>
    <t>Bangalore to Melbourne via Delhi</t>
  </si>
  <si>
    <t>1734581438_d3c853c96e7a50a00ecd.jpg</t>
  </si>
  <si>
    <t>https://card.tap-savvy.com/Turtledownunder_Abhishek-Sonthalia/1014</t>
  </si>
  <si>
    <t>abhisheks@turtledownunder.com.au</t>
  </si>
  <si>
    <t>Kunal_Ramchandani_207</t>
  </si>
  <si>
    <t>Turtle Down Under</t>
  </si>
  <si>
    <t>Abhishek Sonthalia</t>
  </si>
  <si>
    <t>Turtle Down Under currently focuses on Australia and is committed to helping travellers explore and unite with this exotic part of our world. As an ITO, Turtle Down Under also specializes in aiding Travel Agencies to cater to the varying demands of the ‘ever-excited, always curious traveller’. Our mission is to provide instant solutions to agencies as they look to support their customers. We are all about empowering your travel agency to do what it does best – delight the customer.</t>
  </si>
  <si>
    <t>https://www.turtledownunder.com.au/</t>
  </si>
  <si>
    <t>#22104c</t>
  </si>
  <si>
    <t>#688eda</t>
  </si>
  <si>
    <t>1018.jpeg</t>
  </si>
  <si>
    <t>Gold Coast City Escape</t>
  </si>
  <si>
    <t>1734580156_193adca855138f920527.jpg</t>
  </si>
  <si>
    <t>Cairns Escape</t>
  </si>
  <si>
    <t>1734580177_c3ba25455aa782826389.jpg</t>
  </si>
  <si>
    <t>Melbourne City Escape</t>
  </si>
  <si>
    <t>1734580191_8302593565ad547dd17c.jpg</t>
  </si>
  <si>
    <t>Sydney Escape</t>
  </si>
  <si>
    <t>1734580204_600465157d8ac008fe1b.jpg</t>
  </si>
  <si>
    <t>https://card.tap-savvy.com/Turtledownunder_Chander-Chhabriya/1016</t>
  </si>
  <si>
    <t>siddhesh@turtledownunder.com.au</t>
  </si>
  <si>
    <t>Kunal_Ramchandani_208</t>
  </si>
  <si>
    <t>Turtle Down Under (DMC - Australia &amp; Newzealand)</t>
  </si>
  <si>
    <t>Siddhesh Sunil Subhedar</t>
  </si>
  <si>
    <t>Sales Head</t>
  </si>
  <si>
    <t>https://turtledownunder.com.au/</t>
  </si>
  <si>
    <r>
      <rPr>
        <u/>
        <sz val="10"/>
        <rFont val="Arial"/>
        <scheme val="minor"/>
      </rPr>
      <t>60 Albert Rd, South Melbourne VIC 3205</t>
    </r>
  </si>
  <si>
    <t>#fcfcfc</t>
  </si>
  <si>
    <t>https://card.tap-savvy.com/TurtleDownUnder/1017</t>
  </si>
  <si>
    <t>sales@turtledownunder.com.au</t>
  </si>
  <si>
    <t>Kunal_Ramchandani_209</t>
  </si>
  <si>
    <t>Turtle Down Under Australia and NewZealand</t>
  </si>
  <si>
    <t>Dmc</t>
  </si>
  <si>
    <t>https://card.tap-savvy.com/Turtledownunder_Kunal-Ramchandani/1018</t>
  </si>
  <si>
    <t>kunalr@turtledownunder.com.au</t>
  </si>
  <si>
    <t>Kunal_Ramchandani_210</t>
  </si>
  <si>
    <t>General Manager</t>
  </si>
  <si>
    <t>VishalSignages_Vishal-Salvi</t>
  </si>
  <si>
    <t>vishalsignages24@gmail.com</t>
  </si>
  <si>
    <t xml:space="preserve">Mr.Vishal_Salvi_211	</t>
  </si>
  <si>
    <t>VIshal Signages</t>
  </si>
  <si>
    <t>Mr.Vishal Salvi</t>
  </si>
  <si>
    <t xml:space="preserve">New Daya Sagar , Near V.S.Residency,Ghatkopar West, Mumbai-400084      </t>
  </si>
  <si>
    <t>#fffafa</t>
  </si>
  <si>
    <t>#410202</t>
  </si>
  <si>
    <t>#fffbfb</t>
  </si>
  <si>
    <t>Stalwart-World_Divyashika_Gupta</t>
  </si>
  <si>
    <r>
      <rPr>
        <u/>
        <sz val="10"/>
        <rFont val="Arial"/>
        <scheme val="minor"/>
      </rPr>
      <t>divya@stalwartworld.com</t>
    </r>
  </si>
  <si>
    <t>Divyashikha_Gupta</t>
  </si>
  <si>
    <t>Stalwart world</t>
  </si>
  <si>
    <t>Divyashikha Gupta</t>
  </si>
  <si>
    <t>CEO and Managing Director - Group</t>
  </si>
  <si>
    <t>Stalwart World truly believes in independence, responsibility, transparency, professionalism, accountability and code of ethics, which are the basic tenets of corporate governance. We always seeks to achieve optimum performance at all levels in adopting and adhering to best corporate governance practices. Stalwart World has always focused on corporate governance as a means to maximize long-term stakeholders’ value through disciplined and sustained growth and value creation.</t>
  </si>
  <si>
    <t>https://www.stalwartplugnplay.com/</t>
  </si>
  <si>
    <t>#06005a</t>
  </si>
  <si>
    <t>#ea5e05</t>
  </si>
  <si>
    <t>1734624541_2fa459901bdeb7e4503e.jpeg</t>
  </si>
  <si>
    <t>Stalwart-Management-Consulting_Adityavikram-Gupta</t>
  </si>
  <si>
    <t>aditya@stalwartmanagement.com</t>
  </si>
  <si>
    <t>Adityavikram_Gupta</t>
  </si>
  <si>
    <t>Stalwart Management Consulting</t>
  </si>
  <si>
    <t>Adityavikram Gupta</t>
  </si>
  <si>
    <t>Director - Recruitment, HR Strategy and Consulting</t>
  </si>
  <si>
    <t>Established in 2009, the Stalwart World group of companies have established their credentials as premiere service providers in the sphere of Human Resources. We leverage the capabilities of our two group companies – Stalwart Management Consulting and Stalwart Hitech Consulting LLP – to offer comprehensive solutions for our clients’ ongoing manpower needs in the areas of Talent Acquisition, HR Strategy, Learning &amp; Development, PMS, Leadership Coaching, etc</t>
  </si>
  <si>
    <t>https://www.stalwartmanagement.com/</t>
  </si>
  <si>
    <t>#ea5e06</t>
  </si>
  <si>
    <t>1060.jpeg</t>
  </si>
  <si>
    <t>aakshae_group_company</t>
  </si>
  <si>
    <t>shubhankar_1998@yahoo.com</t>
  </si>
  <si>
    <t>Shubhankar_Das</t>
  </si>
  <si>
    <t>Aakshae Group Of Companies</t>
  </si>
  <si>
    <t>Shubhankar Das</t>
  </si>
  <si>
    <t>We at AAKSHAE GROUP OF COMPANIES wanted to take this opportunity to introduce our group of companies that are involved in various sectors such as infrastructure, healthcare, agriculture, aquaculture, and chemical industries. We pride ourselves on our commitment to excellence and our dedication towards delivering high-quality products and services to our valued customers.</t>
  </si>
  <si>
    <t>1080.jpeg</t>
  </si>
  <si>
    <t>Hex code &amp; Cover page</t>
  </si>
  <si>
    <t>AISSHPRA-GEMS-AND-JEWELS_SAUMITRA-SARAF</t>
  </si>
  <si>
    <t xml:space="preserve">saumitra3000@gmail.com
</t>
  </si>
  <si>
    <t>Saumitra_Saraf</t>
  </si>
  <si>
    <t>Aisshpra Gems and Jewels</t>
  </si>
  <si>
    <t>Saumitra Saraf</t>
  </si>
  <si>
    <t>Aisshpra jewels is best jewellery shop in Gorakhpur. 75 years of Independent India and 82 years of the Hari Prasad Gopi Krishna Saraf Group, resulted in the formation of its evolved identity AISSHPRA GEMS &amp; JEWELS. The fundamental existence has been revamped to cater to the needs of the newer audience in and around Uttar Pradesh. We are most trusted jewellery brand in Uttar Pradesh.</t>
  </si>
  <si>
    <t>https://www.aisshpra.com/</t>
  </si>
  <si>
    <t>Gopi Gali, Hindi Bazar, Gorakhpur, Uttar Pradesh,273007.</t>
  </si>
  <si>
    <t>INSYNC-ANALYTICS_GUNBIR-SETHI</t>
  </si>
  <si>
    <t>gsethi@insyncanalytics.com</t>
  </si>
  <si>
    <t>Gunbir_Gauba</t>
  </si>
  <si>
    <t>InSync Analytics</t>
  </si>
  <si>
    <t>Gunbir Sethi Gauba</t>
  </si>
  <si>
    <t>Co-Founder &amp; CEO</t>
  </si>
  <si>
    <t>We create exceptional customized consensus, financial models and data sets that are a perfect solution for our buy-side clients investment analysis needs. We do that by combining our 15+ years of human-centered financial modeling and data expertise with the scale and accuracy of real-time analytics, technology and automation.</t>
  </si>
  <si>
    <t>https://insyncanalytics.com/</t>
  </si>
  <si>
    <t>#dc7831</t>
  </si>
  <si>
    <t>1734877195_4ae87ee58926aac95d0d.png</t>
  </si>
  <si>
    <t>1106.jpeg</t>
  </si>
  <si>
    <t>ISTARI</t>
  </si>
  <si>
    <t>1734876925_9f14c049b04109eeac5d.jpg</t>
  </si>
  <si>
    <t>Pre IPO Model</t>
  </si>
  <si>
    <t>1734876939_bfd6c34daa11ef932cdb.jpg</t>
  </si>
  <si>
    <t>Mapped Dataset</t>
  </si>
  <si>
    <t>1734876952_93a2a47c5b3549cd6432.jpg</t>
  </si>
  <si>
    <t>Dedicated Analyst</t>
  </si>
  <si>
    <t>1734876963_ae66b4b1dfd8eb42b053.jpg</t>
  </si>
  <si>
    <t>Consensus Estimate</t>
  </si>
  <si>
    <t>1734877307_3d54bb08657020cd5221.jpg</t>
  </si>
  <si>
    <t>Company Models</t>
  </si>
  <si>
    <t>1734877318_ca39d2faebbbaca3e5aa.jpg</t>
  </si>
  <si>
    <t>INSYNC-ANALYTICS_ABHIJEET-AKASH</t>
  </si>
  <si>
    <t>abhijeet.akash@insyncanalytics.com</t>
  </si>
  <si>
    <t>Abhijeet_Akash</t>
  </si>
  <si>
    <t>Abhijeet Akash</t>
  </si>
  <si>
    <t>Chief Business Development Officer</t>
  </si>
  <si>
    <t>Abhijeet has been with InSync for over 10 years and served as Head of Business Development in Mumbai, India. He understands client business challenges/requirements and mobilizing teams to create valuable solutions that drive business results. Abhijeet is responsible for on-boarding clients, identifying leads, and tracking users. He also maintains a good working relationship with all on InSync’s clients. He has Bachelor of Engineering, and a Post Graduate Diploma (PGDBM) in Finance from Mumbai.</t>
  </si>
  <si>
    <t>#dc7832</t>
  </si>
  <si>
    <t>1734877103_e6e0d39716403419174e.jpg</t>
  </si>
  <si>
    <t>https://card.tap-savvy.com/ASK-KONSULTANCY_BUSHRA-VORA/1110</t>
  </si>
  <si>
    <t>officeaskkonsultancy@gmail.com</t>
  </si>
  <si>
    <t>Bushra_Vora_Ask_konsultancy</t>
  </si>
  <si>
    <t>ask konsultancy architects &amp; designers</t>
  </si>
  <si>
    <t>Bushra Vora</t>
  </si>
  <si>
    <t>Designer</t>
  </si>
  <si>
    <t>ask konsultancy architects &amp; designers is a prominent architecture and interior design firm that offers everything from design consultancy to turnkey solutions for architectural and interior projects. And we’re known for our professionalism, creativity, and versatility. But more than anything, we’re loved for our timely execution, cost-effective designs, and personalized touch to everything we do.</t>
  </si>
  <si>
    <t>https://www.askkonsultancy.com/</t>
  </si>
  <si>
    <r>
      <rPr>
        <u/>
        <sz val="10"/>
        <rFont val="Arial"/>
        <scheme val="minor"/>
      </rPr>
      <t>409, 4th floor, vakratunda corporate park,Vishwesvar road nagar, Near Udipi vihar hotel, Goregaon- East, Mumbai.</t>
    </r>
  </si>
  <si>
    <t>#d07a24</t>
  </si>
  <si>
    <t>#eadddd</t>
  </si>
  <si>
    <t>1734347678_51174fcce572d463a874.png</t>
  </si>
  <si>
    <t>1110.jpeg</t>
  </si>
  <si>
    <t>card.tap-savvy.com/ASK-KONSULTANCY_JYOTI-MISHRA/1111</t>
  </si>
  <si>
    <t>jyotiaskkonsultancy@gmail.com</t>
  </si>
  <si>
    <t>Jyoti_Mishra_Ask_konsultancy</t>
  </si>
  <si>
    <t>Jyoti Mishra</t>
  </si>
  <si>
    <r>
      <rPr>
        <u/>
        <sz val="10"/>
        <rFont val="Arial"/>
        <scheme val="minor"/>
      </rPr>
      <t>409, 4th floor, vakratunda corporate park,Vishwesvar road nagar, Near Udipi vihar hotel, Goregaon- East, Mumbai.</t>
    </r>
  </si>
  <si>
    <t>#fff9f10</t>
  </si>
  <si>
    <t>#d07a25</t>
  </si>
  <si>
    <t>1734347704_f7a24936bacedb5828b4.png</t>
  </si>
  <si>
    <t>card.tap-savvy.com/ASK-KONSULTANCY_MITALI-RAUT/1112</t>
  </si>
  <si>
    <t>mitaliaskkonsultancy@gmail.com</t>
  </si>
  <si>
    <t>Mitali_Raut_Ask_konsultancy</t>
  </si>
  <si>
    <t>Mitali Raut</t>
  </si>
  <si>
    <t>Admin Head</t>
  </si>
  <si>
    <r>
      <rPr>
        <u/>
        <sz val="10"/>
        <rFont val="Arial"/>
        <scheme val="minor"/>
      </rPr>
      <t>409, 4th floor, vakratunda corporate park,Vishwesvar road nagar, Near Udipi vihar hotel, Goregaon- East, Mumbai.</t>
    </r>
  </si>
  <si>
    <t>#fff9f11</t>
  </si>
  <si>
    <t>#d07a26</t>
  </si>
  <si>
    <t>1734347727_e3710e2cfa86ff09c7e4.png</t>
  </si>
  <si>
    <t>https://card.tap-savvy.com/ASK-KONSULTANCY_RANJANA-UPADHYAY/1113</t>
  </si>
  <si>
    <t>Ranjana_Upadhyay_Ask_konsultancy</t>
  </si>
  <si>
    <t>Ranjana Upadhyay</t>
  </si>
  <si>
    <r>
      <rPr>
        <u/>
        <sz val="10"/>
        <rFont val="Arial"/>
        <scheme val="minor"/>
      </rPr>
      <t>409, 4th floor, vakratunda corporate park,Vishwesvar road nagar, Near Udipi vihar hotel, Goregaon- East, Mumbai.</t>
    </r>
  </si>
  <si>
    <t>#fff9f12</t>
  </si>
  <si>
    <t>#d07a27</t>
  </si>
  <si>
    <t>NEELS-DIVIIINE-SOUL_NEELU-KUMAR</t>
  </si>
  <si>
    <t>neelujkumar@gmail.com</t>
  </si>
  <si>
    <t>Neelu_Kumar</t>
  </si>
  <si>
    <t>Neel's Diviiine Soul</t>
  </si>
  <si>
    <t>Neelu Kumar</t>
  </si>
  <si>
    <t>Astro-Numerologist</t>
  </si>
  <si>
    <t>Neel's Divine, with a stellar 5-star Google rating, offers astrology, numerology, tarot, vaastu, spiritual healing, and therapy. Trusted globally, they blend these sciences, serving over 10k clients, prioritizing confidentiality, and evolving through feedback. They're a beacon of guidance and solace.</t>
  </si>
  <si>
    <t>https://www.neelsdivinesoul.com/</t>
  </si>
  <si>
    <t>#0b0a0a</t>
  </si>
  <si>
    <t>#371994</t>
  </si>
  <si>
    <t>1734584508_d92e28493adc6d89d77c.jpeg</t>
  </si>
  <si>
    <t>1736419308_b07e1f94bed8aefce3b2.jpg</t>
  </si>
  <si>
    <t>Councilor</t>
  </si>
  <si>
    <t>1734584274_f49e2afc6a280cb7faa0.jpg</t>
  </si>
  <si>
    <t>Spiritual Logo Designer</t>
  </si>
  <si>
    <t>1734584290_dc527ee2ad932264804d.png</t>
  </si>
  <si>
    <t>Planetary Allignment Chart</t>
  </si>
  <si>
    <t>1734584302_b810703b175c2008b70f.jpg</t>
  </si>
  <si>
    <t>Numerology</t>
  </si>
  <si>
    <t>1734584315_fb39b3065e9a83627059.jpg</t>
  </si>
  <si>
    <t>Vastu Reading</t>
  </si>
  <si>
    <t>1734584329_6d17170e8f89c739295a.jpg</t>
  </si>
  <si>
    <t>1734584342_fafb62978d4a52e598a2.jpeg</t>
  </si>
  <si>
    <t>Yearly Prediction</t>
  </si>
  <si>
    <t>1734584355_8d803bf69877781542db.jpg</t>
  </si>
  <si>
    <t>THETAPEGASSI_Nniki-Hingad</t>
  </si>
  <si>
    <t>nhpegasi@gmail.com</t>
  </si>
  <si>
    <t>Nniki_Hingad</t>
  </si>
  <si>
    <t>Thetapegassi</t>
  </si>
  <si>
    <t>Nniki Hingad</t>
  </si>
  <si>
    <t>Naturally procured Theta Pegasi essential oils work effectively on cellular levels of the body. It can be used for introducing certain specific kinds of frequencies/roles in the aura. e.g. relaxation, mood enhancement, or general well-being. When used frequently it supports a healthy lifestyle, immune system, respiratory system, digestive system, nervous system, and a balanced mental, emotional, and physical body.</t>
  </si>
  <si>
    <t>https://www.thetapegaasi.com/</t>
  </si>
  <si>
    <t>#efefef</t>
  </si>
  <si>
    <t>#a3b39b</t>
  </si>
  <si>
    <t>1116.jpeg</t>
  </si>
  <si>
    <t>ARETE_Amii-Vikas-Mediratta</t>
  </si>
  <si>
    <t>ami.arete@gmail.com</t>
  </si>
  <si>
    <t>Amii_Mediratta</t>
  </si>
  <si>
    <t>ARETE</t>
  </si>
  <si>
    <t>Amii Vikas Mediratta</t>
  </si>
  <si>
    <t>Dermatoglyphics consultant, NLP Counsellor, Parenting Coach, Memory Trainer.</t>
  </si>
  <si>
    <t>You may try as many keys as you want and struggle with opening a lock. However, it will open up in a fraction of a second once you find the correct key. Each individual is unique and capable to excel based on his / her inborn potential and innate talent. Dermatoglyphics is that key to unlock your innate talent, your inborn potential. This science has been the part of our culture since ancient times &amp; has a mention in our ancient scripture- Samudrika Shastra.</t>
  </si>
  <si>
    <t>#dbc8c8</t>
  </si>
  <si>
    <t>#322c2c</t>
  </si>
  <si>
    <t>#281628</t>
  </si>
  <si>
    <t>#f2dcdc</t>
  </si>
  <si>
    <t>1733383125_1e0204b62fbf1d164a63.jpeg</t>
  </si>
  <si>
    <t>1736419946_df16c86cfe1e635d6f11.jpeg</t>
  </si>
  <si>
    <t>SPECTACLE-O&amp;C-CLINIC_NANDKISHOR-AMBURLE</t>
  </si>
  <si>
    <t>spectacleocclinic@gmail.com</t>
  </si>
  <si>
    <t>Nandkishor_Amburle</t>
  </si>
  <si>
    <t>Spectacle 'o' &amp; 'c' clinic</t>
  </si>
  <si>
    <t>Nandkishor V Amburle</t>
  </si>
  <si>
    <t>#200257</t>
  </si>
  <si>
    <t>#fefefe</t>
  </si>
  <si>
    <t>BACKPACK-TRAVELLERS_NITISH-SAWANT</t>
  </si>
  <si>
    <t>info.backpacktravellers@gmail.com</t>
  </si>
  <si>
    <t>Nitish_Sawant</t>
  </si>
  <si>
    <t>Backpack Travellers</t>
  </si>
  <si>
    <t>Nitish Sawant</t>
  </si>
  <si>
    <t>#4ba5ef</t>
  </si>
  <si>
    <t>#fefbfb</t>
  </si>
  <si>
    <t>#022280</t>
  </si>
  <si>
    <t>1119.jpeg</t>
  </si>
  <si>
    <t>Honeymoon Tour Package</t>
  </si>
  <si>
    <t>1734587214_ecea56c36ac5a6d84f9f.jpg</t>
  </si>
  <si>
    <t>Kerala Tour</t>
  </si>
  <si>
    <t>1734587226_0387ad7f121b741e28e1.jpg</t>
  </si>
  <si>
    <t>Himachal Delight</t>
  </si>
  <si>
    <t>1734587239_1bf43f46ab83ea2936e1.jpg</t>
  </si>
  <si>
    <t>Sikkim Delight</t>
  </si>
  <si>
    <t>1734587251_2c52f421b59bf2071403.jpg</t>
  </si>
  <si>
    <t>MNA&amp;Associates_Advocates_Megha-Agrawwal</t>
  </si>
  <si>
    <t>mna@mnaassociates.in</t>
  </si>
  <si>
    <t>Megha_Agrawwal</t>
  </si>
  <si>
    <t>MNA &amp; Associates,Advocates</t>
  </si>
  <si>
    <t>Megha Agrawwal</t>
  </si>
  <si>
    <t>MNA is based at Mumbai (India) focusing on Property laws, Legal Drafting of Agreements, Deeds &amp; Conveyancing, General Corporate &amp; Commercial advisory, Intellectual Property laws &amp; Testamentary Laws, POSH Practice. MNA is amongst the few law firms who are exclusively practicing in deeds and Conveyancing which makes it most reliable option when it comes to any kind of documentation ranging from small letter to complex agreements and at the same time it caters various industry viz.</t>
  </si>
  <si>
    <t>unit no 6 , koteshwar Apartment,Near Regency Hotel , Andheri (East)</t>
  </si>
  <si>
    <t>#0149e6</t>
  </si>
  <si>
    <t>#fffcfc</t>
  </si>
  <si>
    <t>1121.jpeg</t>
  </si>
  <si>
    <t>Property Laws</t>
  </si>
  <si>
    <t>1734587802_7779fec1c0ceee590330.jpg</t>
  </si>
  <si>
    <t>Deeds and Conveyancing</t>
  </si>
  <si>
    <t>1734587814_6161080587dba5c02935.jpg</t>
  </si>
  <si>
    <t>General, Corporate and Commercial Advisory</t>
  </si>
  <si>
    <t>1734587826_02d98679f89dffc76b0a.jpg</t>
  </si>
  <si>
    <t>Startup Consultancy</t>
  </si>
  <si>
    <t>1734587839_8fb6bfb3a1bd723392f0.jpg</t>
  </si>
  <si>
    <t>Intellectual Propery Rights</t>
  </si>
  <si>
    <t>1734587851_98aba079bc389d1ab6e9.jpg</t>
  </si>
  <si>
    <t>Testamentary Laws</t>
  </si>
  <si>
    <t>1734587863_db75e8dec53522cdcfd3.jpg</t>
  </si>
  <si>
    <t>Prevention of Sexual Harrasment</t>
  </si>
  <si>
    <t>1734587873_31c36efaeb9b433eba72.jpg</t>
  </si>
  <si>
    <t>NILOY-DAS_LST</t>
  </si>
  <si>
    <t>niloydaslst@gmail.com</t>
  </si>
  <si>
    <t>Niloy_Das</t>
  </si>
  <si>
    <t>Lizard's Skin Tattoo</t>
  </si>
  <si>
    <t>Niloy Das</t>
  </si>
  <si>
    <t>Artist &amp; Founder</t>
  </si>
  <si>
    <t>In 2010 we started a dream, wrapped with dream, passion, zeal and futurism. While baby steps had been taken at that time, LIZARD'S SKIN TATTOOS has proudly crossed more than 14 years in the business. As the best tattoo artists in Kolkata started with the firm and trusted hands, nurtured with the caring hands of Punam Barua Das and with all the support of our experienced and perceptive team of best custom tattoo artists now we are proud to be known as the best tattoo studio in Kolkata.</t>
  </si>
  <si>
    <t>https://www.lizardsskintattoos.com/</t>
  </si>
  <si>
    <t>#e6e9d2</t>
  </si>
  <si>
    <t>#5f5ae8</t>
  </si>
  <si>
    <t>1125.jpeg</t>
  </si>
  <si>
    <t>Cover and Address</t>
  </si>
  <si>
    <t>SUCHARITA-PAIK_FASHION</t>
  </si>
  <si>
    <t>info@sucharita.in</t>
  </si>
  <si>
    <t>Sucharita_Paik</t>
  </si>
  <si>
    <t>Sucharita Paik</t>
  </si>
  <si>
    <t>Fashion Entrepreneur</t>
  </si>
  <si>
    <t>We started this brand with the vision of paying homage to the supreme craftmanship of India with the sole aim of uplifting our artisans and keeping their work alive during the hard times of pandemic. We seek to create contemporary ethnic and cocktail wear with unique variations in our silhouettes. We engage in Luxury Pret and create exquisite ensembles with contemporary embroidery using traditional techniques.</t>
  </si>
  <si>
    <t>https://sucharita.in/</t>
  </si>
  <si>
    <t>#282828</t>
  </si>
  <si>
    <t>#757375</t>
  </si>
  <si>
    <t>1126.jpeg</t>
  </si>
  <si>
    <t>Peristiwa-Planners_Rhythm-Bhatia</t>
  </si>
  <si>
    <t>peristiwa.planner@gmail.com</t>
  </si>
  <si>
    <t>Rhythm_Bhatia</t>
  </si>
  <si>
    <t>Peristiwa Planner</t>
  </si>
  <si>
    <t>Rhythm Bhatia</t>
  </si>
  <si>
    <t>#aea7d5</t>
  </si>
  <si>
    <t>#d0cce4</t>
  </si>
  <si>
    <t>1130.jpeg</t>
  </si>
  <si>
    <t>Events</t>
  </si>
  <si>
    <t>1734716597_011abc28748ac5061583.jpg</t>
  </si>
  <si>
    <t>Camping</t>
  </si>
  <si>
    <t>1734716609_2f8dc2b6d9e66a0f31a2.jpg</t>
  </si>
  <si>
    <t>Stay</t>
  </si>
  <si>
    <t>1734716623_0410906c8177202af6fc.jpg</t>
  </si>
  <si>
    <t>AvanStrate_Akarsh-Hebbar</t>
  </si>
  <si>
    <t>Akarsh.k.hebbar@avanstrate.com</t>
  </si>
  <si>
    <t>Akarsh_Hebbar</t>
  </si>
  <si>
    <t>AvanStrate</t>
  </si>
  <si>
    <t>Akarsh K Hebbar</t>
  </si>
  <si>
    <t>Global Managing Director, Display and Semiconductor</t>
  </si>
  <si>
    <t>AvanStrate Inc - 1-11-1 Nishi - Gotanda, Shinagawa-ku, Tokyo, 141-0031, Japan</t>
  </si>
  <si>
    <t>#212e78</t>
  </si>
  <si>
    <t>#213b83</t>
  </si>
  <si>
    <t>1734876530_f8097676d5037940ca11.jpeg</t>
  </si>
  <si>
    <t>1133.jpeg</t>
  </si>
  <si>
    <t>Cover and address</t>
  </si>
  <si>
    <t>ChandraTradingCompany_Pritesh-Sanghavi</t>
  </si>
  <si>
    <t>pritesh1046@gmail.com</t>
  </si>
  <si>
    <t>Pritesh_Sanghavi</t>
  </si>
  <si>
    <t>Chandra Trading company</t>
  </si>
  <si>
    <t>Pritesh Sanghavi</t>
  </si>
  <si>
    <t>GM</t>
  </si>
  <si>
    <t>#0fab0f</t>
  </si>
  <si>
    <t>#000600</t>
  </si>
  <si>
    <t>1135.jpeg</t>
  </si>
  <si>
    <t>Dentales-OptimumDentalCare</t>
  </si>
  <si>
    <t>dentalesdentalcare@gmail.com</t>
  </si>
  <si>
    <t>Dr.Kajal_Desai</t>
  </si>
  <si>
    <t>Dentales-Optimum Dental Care</t>
  </si>
  <si>
    <t>Dr.Kajal Desai</t>
  </si>
  <si>
    <t>Chief Dental Surgeon</t>
  </si>
  <si>
    <t>#676767</t>
  </si>
  <si>
    <t>#61a52c</t>
  </si>
  <si>
    <t>1137.jpeg</t>
  </si>
  <si>
    <t>Zankhana-Bhansali&amp;Associates_Zakhana-Bhansali</t>
  </si>
  <si>
    <t>zankhana.bhansali@gmail.com</t>
  </si>
  <si>
    <t>Zankhana_Bhansali</t>
  </si>
  <si>
    <t>Zankhana Bhansali &amp; Association</t>
  </si>
  <si>
    <t>Zankhana Bhansali</t>
  </si>
  <si>
    <t>#024c85</t>
  </si>
  <si>
    <t>1734711339_94baba9d3e0f7100bcbc.png</t>
  </si>
  <si>
    <t>Address</t>
  </si>
  <si>
    <t>Nakshatra_Prachi-Saraf</t>
  </si>
  <si>
    <t>nakshatra.prachi@gmail.com</t>
  </si>
  <si>
    <t>Prachi_Saraf</t>
  </si>
  <si>
    <t>NAKSHATRA</t>
  </si>
  <si>
    <t>Prachi Saraf</t>
  </si>
  <si>
    <t>A compassionate Numerologist, Tarot Reader, Vaastu consultant, Crystal healer and life coach by profession based out of Kolkata, India with 5 years of experience in helping people gain insights into their lives through the power of energies. I help people who feel stuck in their life journey such as in Career, Relationship, Finances or Health and guide them to achieve balance and abundance in their lives through result-oriented program.</t>
  </si>
  <si>
    <t>1734712274_c229c915434ba49daf42.jpeg</t>
  </si>
  <si>
    <t>hex and cover</t>
  </si>
  <si>
    <t>Holiday-Tribe-India_Prathamesh-Gamre</t>
  </si>
  <si>
    <t>Holidaytribeindia@gmail.com</t>
  </si>
  <si>
    <t>Prathamesh_Gamre</t>
  </si>
  <si>
    <t>Holiday Tribe India</t>
  </si>
  <si>
    <t>Prathamesh Ranjeet Gamre</t>
  </si>
  <si>
    <t>Meet Prathamesh, the dynamic leader at the helm of Holiday Tribe India. With a passion for travel and a keen business acumen, Prathmesh has spearheaded innovative strategies that have propelled the company to new heights in the ever-evolving travel industry. As CEO, he is committed to delivering exceptional experiences and shaping the future of travel.</t>
  </si>
  <si>
    <t>Vidyanagari Marg, Santacruz-East, Mumbai-400098.</t>
  </si>
  <si>
    <t>#d5cece</t>
  </si>
  <si>
    <t>#d0b70f</t>
  </si>
  <si>
    <t>#fff5f5</t>
  </si>
  <si>
    <t>1734713362_6b4c0e0056c383c52bee.jpeg</t>
  </si>
  <si>
    <t>Goodluck-Opticians</t>
  </si>
  <si>
    <t>rajivkakka@hotmail.com</t>
  </si>
  <si>
    <t>Goodluck_Opticians</t>
  </si>
  <si>
    <t>Goodluck Opticians</t>
  </si>
  <si>
    <r>
      <rPr>
        <u/>
        <sz val="10"/>
        <color rgb="FF1155CC"/>
        <rFont val="Arial"/>
      </rPr>
      <t>6, Kastur Mahal, Opp Canara Bank,stn. Road,Sion, Mumbai 400022  Mumbai  Maharashtr</t>
    </r>
    <r>
      <rPr>
        <sz val="10"/>
        <rFont val="Arial"/>
      </rPr>
      <t>a</t>
    </r>
  </si>
  <si>
    <t>#fef7fe</t>
  </si>
  <si>
    <t>#080708</t>
  </si>
  <si>
    <t>1734713861_b9ca0a6c376a131dfa5f.jpeg</t>
  </si>
  <si>
    <t>Ronald-Soans</t>
  </si>
  <si>
    <t>ronaldsoans@prudentconnect.com</t>
  </si>
  <si>
    <t>Ronald_Soans</t>
  </si>
  <si>
    <t>Ronald Soans</t>
  </si>
  <si>
    <t>Financial Planner</t>
  </si>
  <si>
    <t>With 13 Years of experience in the Financial Industry (Mutual Fund &amp; Insurance). I'm a Business Owner (Financial Planner) since 2021 &amp; have successfully guided numerous individuals &amp; families to achieve their financial goals through personalized financial planning &amp; investment strategies. Offering them a wide range of investment options such as mutual fund, insurance, stockbroking, fixed-income products, &amp; properties as well as lending solutions accessible through dedicated web &amp; app platforms.</t>
  </si>
  <si>
    <t>https://www.fundzbazar.com/customisedlinkregistration/7c7723/2364257c7723246c3c7c77235e6d3a246c3c21713d3f6326</t>
  </si>
  <si>
    <t>#d8b228</t>
  </si>
  <si>
    <t>1735891485_005b754b4c90eb712342.jpeg</t>
  </si>
  <si>
    <t>1734715177_76f52bd62343aa6ad238.jpeg</t>
  </si>
  <si>
    <t>Investment Planning</t>
  </si>
  <si>
    <t>1735914067_b4af7427ee03a90041e3.png</t>
  </si>
  <si>
    <t>Goal Based Investing</t>
  </si>
  <si>
    <t>1735914159_cc5cfa8d8550945f4061.png</t>
  </si>
  <si>
    <t>Insurance Planning</t>
  </si>
  <si>
    <t>1735914246_b19cad378ab90f45d836.png</t>
  </si>
  <si>
    <t>Retirement Planning</t>
  </si>
  <si>
    <t>1735914291_6a17e8bcf8d6c68b3c5e.png</t>
  </si>
  <si>
    <t>Mutual Funds</t>
  </si>
  <si>
    <t>1735914379_7d8e54810c3b4b63cb1c.png</t>
  </si>
  <si>
    <t>Insurance</t>
  </si>
  <si>
    <t>1735914462_5405dbb6b05b9b031a6f.png</t>
  </si>
  <si>
    <t>Stock Broking</t>
  </si>
  <si>
    <t>1735914524_7cde05ab3bc97f446290.png</t>
  </si>
  <si>
    <t>hex and add</t>
  </si>
  <si>
    <t>SARIKA-SHIRSAT</t>
  </si>
  <si>
    <t>11sarika1982@gmail.com</t>
  </si>
  <si>
    <t>Sarika_Shirsat</t>
  </si>
  <si>
    <t>Sarika Shirsat</t>
  </si>
  <si>
    <t>Import Export Expert</t>
  </si>
  <si>
    <t>NAYAK-PHARMA_DHARAM-SHAH</t>
  </si>
  <si>
    <t>pharmnayak@gmail.com</t>
  </si>
  <si>
    <t>Dharam_Shah</t>
  </si>
  <si>
    <t>Nayak Pharma</t>
  </si>
  <si>
    <t>Dharam Shah</t>
  </si>
  <si>
    <t>Been serving healthcare industry since last 25 years.Presence Pan Mumbai across major institutions, MCGM hospital, State Government Hospitals, Railway and Defence/Navy sector.</t>
  </si>
  <si>
    <t>#3ba0a0</t>
  </si>
  <si>
    <t>1171.jpeg</t>
  </si>
  <si>
    <t>Consumables</t>
  </si>
  <si>
    <t>1734715847_fbe410c6ec9b4581b1f0.jpg</t>
  </si>
  <si>
    <t>Injectable/Syrups</t>
  </si>
  <si>
    <t>1734715859_b56ed0b3258fbdbe19a5.jpg</t>
  </si>
  <si>
    <t>Cream Ointment</t>
  </si>
  <si>
    <t>1734715871_32db3a7b2349e973dacb.jpg</t>
  </si>
  <si>
    <t>Tablets Capsules</t>
  </si>
  <si>
    <t>1734715883_03dc44914a763f3cad20.jpg</t>
  </si>
  <si>
    <t>Surgical Products</t>
  </si>
  <si>
    <t>1734715897_e8281ff53ef36e94a612.jpg</t>
  </si>
  <si>
    <t>Medical Equipment</t>
  </si>
  <si>
    <t>1734715909_ea6d83743b81797d09af.jpg</t>
  </si>
  <si>
    <t>Laboratory Reagants</t>
  </si>
  <si>
    <t>1734715923_20665fa18aaf58290534.jpg</t>
  </si>
  <si>
    <t>SPECTRE_ANIRBAN-BASU</t>
  </si>
  <si>
    <t>anirban@spectre.net.in</t>
  </si>
  <si>
    <t>Anirban_Basu</t>
  </si>
  <si>
    <t>Spectre - Corporate Finance Solution LLP</t>
  </si>
  <si>
    <t>Anirban Basu</t>
  </si>
  <si>
    <t>249 Jodhpur Park  Kolkata  West Bengal</t>
  </si>
  <si>
    <t>1734716070_627df05e974b9ce84fe0.jpeg</t>
  </si>
  <si>
    <t xml:space="preserve">hex  </t>
  </si>
  <si>
    <t>SPECTRE_RITWIK-BHAWSINGHKA</t>
  </si>
  <si>
    <t>ritwik@spectre.net.in</t>
  </si>
  <si>
    <t>Ritwik_Bhawsinghka</t>
  </si>
  <si>
    <t>Ritwik Bhawsinghka</t>
  </si>
  <si>
    <t>Associate Director</t>
  </si>
  <si>
    <t>1734716134_dd69654385b7f2929431.jpeg</t>
  </si>
  <si>
    <t>add</t>
  </si>
  <si>
    <t>PURVA-FARM_AAPPA-GAIKWAD</t>
  </si>
  <si>
    <t>purvafarmresortandrestaurant@gmail.com</t>
  </si>
  <si>
    <t>Aappa_Gaikwad</t>
  </si>
  <si>
    <t>Purva Farm - Resort &amp; Restaurant</t>
  </si>
  <si>
    <t>Aappa Gaikwad</t>
  </si>
  <si>
    <t>Welcome to Purva Farms: where luxury meets nature. Our serene retreat offers elegantly designed accommodations surrounded by lush greenery. Indulge in farm-to-table dining and outdoor activities, promising a rejuvenating escape from city life. Welcome to your oasis of tranquility.</t>
  </si>
  <si>
    <t>#eab312</t>
  </si>
  <si>
    <t>#fffefe</t>
  </si>
  <si>
    <t>#14b128</t>
  </si>
  <si>
    <t>#edeceb</t>
  </si>
  <si>
    <t>1175.jpeg</t>
  </si>
  <si>
    <t>Shree_Ganesh_Refrigeration</t>
  </si>
  <si>
    <r>
      <rPr>
        <u/>
        <sz val="10"/>
        <rFont val="Arial, sans-serif"/>
      </rPr>
      <t>shreeganeshservice12@gmail.com</t>
    </r>
  </si>
  <si>
    <t>Shree Ganesh Refrigeration</t>
  </si>
  <si>
    <r>
      <rPr>
        <sz val="10"/>
        <rFont val="Arial, sans-serif"/>
      </rPr>
      <t>Office No.04, Sunshine Height Achole Road, Opp Sunshine garden, Nallasopara (East) 401209</t>
    </r>
    <r>
      <rPr>
        <sz val="10"/>
        <rFont val="Arial"/>
      </rPr>
      <t xml:space="preserve">  Mumbai  Maharashtra</t>
    </r>
  </si>
  <si>
    <t>#e04343</t>
  </si>
  <si>
    <t>1176.jpeg</t>
  </si>
  <si>
    <t>ISHIKA-SHARMA</t>
  </si>
  <si>
    <r>
      <rPr>
        <u/>
        <sz val="10"/>
        <rFont val="Arial"/>
        <scheme val="minor"/>
      </rPr>
      <t>ishika.sharma@nuvama.com</t>
    </r>
  </si>
  <si>
    <t>Ishika_Sharma</t>
  </si>
  <si>
    <t>Ishika Sharma</t>
  </si>
  <si>
    <t>Senior Priveledged Relationship Manager</t>
  </si>
  <si>
    <t>#3f0887</t>
  </si>
  <si>
    <t>#cc4314</t>
  </si>
  <si>
    <t>#fff7f7</t>
  </si>
  <si>
    <t>1736422709_3967a29134724f972e96.png</t>
  </si>
  <si>
    <t>1736422709_8c1218d6f8dbb058f6eb.jpeg</t>
  </si>
  <si>
    <t>TRAVEZY_PARESH-MEHTA</t>
  </si>
  <si>
    <r>
      <rPr>
        <u/>
        <sz val="10"/>
        <rFont val="Arial"/>
        <scheme val="minor"/>
      </rPr>
      <t>info@travezy.in</t>
    </r>
  </si>
  <si>
    <t>Paresh_Mehta</t>
  </si>
  <si>
    <t>TRAVEZY</t>
  </si>
  <si>
    <t>Paresh Mehta</t>
  </si>
  <si>
    <t>Travezy is one of the fast growing travel brands in India that exclusively caters to the unique needs of travellers world wide. With a global approach and local knowledge, we take your holiday experience across globe to an all-new level.</t>
  </si>
  <si>
    <t>https://www.travezy.in/</t>
  </si>
  <si>
    <t>#1f53b0</t>
  </si>
  <si>
    <t>#d8b23d</t>
  </si>
  <si>
    <t>1180.jpeg</t>
  </si>
  <si>
    <t>International Tours</t>
  </si>
  <si>
    <t>1734719941_5a5ebfe2af39bf71146b.jpg</t>
  </si>
  <si>
    <t>Domestic Tours</t>
  </si>
  <si>
    <t>1734719955_b16d6631ab767f4401a6.jpg</t>
  </si>
  <si>
    <t>1734719983_d56c1d13143abfad496d.jpg</t>
  </si>
  <si>
    <t>ASIAN-PAINTS_LALIT-KUMAR</t>
  </si>
  <si>
    <t>lalitkushwaha7050@gmail.com</t>
  </si>
  <si>
    <t>Lalit_Kumar</t>
  </si>
  <si>
    <t>Asian Paints</t>
  </si>
  <si>
    <t>Lalit Kumar</t>
  </si>
  <si>
    <t>Painter</t>
  </si>
  <si>
    <t>"Meet Lalit Kumar , a cornerstone of our painting company's artistic prowess. With a blend of technical precision and creative flair, Lalit Kumar elevates every project to a masterpiece. Their keen eye for detail and commitment to excellence ensure that each brushstroke brings our clients' visions to life with unparalleled craftsmanship. Join us in celebrating Lalit Kumar's talent as they continue to inspire awe and set the standard for excellence in our industry.</t>
  </si>
  <si>
    <t>#d64343</t>
  </si>
  <si>
    <t>no qr no cover add</t>
  </si>
  <si>
    <t>KASHVI'S-CARDIAC-CARE_DR.AMIT-GANGWANI</t>
  </si>
  <si>
    <r>
      <rPr>
        <u/>
        <sz val="10"/>
        <rFont val="Arial"/>
        <scheme val="minor"/>
      </rPr>
      <t>dramitgangawani12@gmail.com</t>
    </r>
  </si>
  <si>
    <t>Dr.Amit_Gangawani</t>
  </si>
  <si>
    <t>Kashvi's Cardiac Care</t>
  </si>
  <si>
    <t>Dr. Amit S Gangawani</t>
  </si>
  <si>
    <t>Senior Interventional Cardiologist</t>
  </si>
  <si>
    <t>Introducing Dr.Amit, a leading interventional cardiologist dedicated to saving lives and improving heart health. With extensive expertise in minimally invasive procedures and a compassionate approach to patient care, Dr. Amit is at the forefront of cutting-edge treatments for cardiovascular diseases. As a trusted expert in the field, Dr. Amit G Gangwani is committed to providing personalized care and innovative solutions to enhance the well-being of every patient.</t>
  </si>
  <si>
    <t>cover and hex</t>
  </si>
  <si>
    <t>RASHI-AIRCONS_RAJESH-RAJANI</t>
  </si>
  <si>
    <r>
      <rPr>
        <u/>
        <sz val="10"/>
        <rFont val="&quot;Times New Roman&quot;, serif"/>
      </rPr>
      <t>connect@rashiaircons.com</t>
    </r>
  </si>
  <si>
    <t>Rajesh_Rajani</t>
  </si>
  <si>
    <t>Rashi Aircons</t>
  </si>
  <si>
    <t>Rajesh Rajani</t>
  </si>
  <si>
    <t>Longer than a decade ago, the founders started out with a vision of serving customers with products and services in the field of Heating, Ventilation and Air conditioning. Today, Rashi Aircons has carved out a space for itself and worked with a number of esteemed clients belonging to the Residential, Commercial, Real Estate, Corporate and Hospitality Industry across the country.</t>
  </si>
  <si>
    <t>https://www.rashiaircons.com/</t>
  </si>
  <si>
    <t>#2177cc</t>
  </si>
  <si>
    <t>#fdfafa</t>
  </si>
  <si>
    <t>1734876195_d48151fe5b8cda0d264e.jpeg</t>
  </si>
  <si>
    <t>RSquare-Beer-Shop</t>
  </si>
  <si>
    <r>
      <rPr>
        <u/>
        <sz val="10"/>
        <rFont val="sans-serif"/>
      </rPr>
      <t>pratikgurav123@gmail.com</t>
    </r>
  </si>
  <si>
    <t>Pratiek_Gurav</t>
  </si>
  <si>
    <t>R Square Beer Shop</t>
  </si>
  <si>
    <t>Pratiek Gurav</t>
  </si>
  <si>
    <t>#feed00</t>
  </si>
  <si>
    <t>Sunil-zanjugade</t>
  </si>
  <si>
    <r>
      <rPr>
        <u/>
        <sz val="10"/>
        <rFont val="sans-serif"/>
      </rPr>
      <t>sunil.zanjugade@gmail.com</t>
    </r>
  </si>
  <si>
    <t>Sunil_Zanjugade</t>
  </si>
  <si>
    <t>NILL</t>
  </si>
  <si>
    <t>Sunil Zanjugade</t>
  </si>
  <si>
    <t>Post Production Supervisor</t>
  </si>
  <si>
    <t>RUCHIRA_Pure_Veg_Restaurant_and_BHOJNALAYA</t>
  </si>
  <si>
    <r>
      <rPr>
        <u/>
        <sz val="10"/>
        <rFont val="Belanosima, sans-serif"/>
      </rPr>
      <t>Ruchira@bhojnalaya.com</t>
    </r>
  </si>
  <si>
    <t>RUCHIRA</t>
  </si>
  <si>
    <t>RUCHIRA Pure Veg Restaurant &amp; BHOJNALAYA</t>
  </si>
  <si>
    <t>The Best Pure Veg Food Restaurant and Bhojnalay in Trumbakeshwar.</t>
  </si>
  <si>
    <t>https://www.dinustatteidli.com/</t>
  </si>
  <si>
    <t>#ff9d00</t>
  </si>
  <si>
    <t>#f99906</t>
  </si>
  <si>
    <t>Maya's-salon&amp;Academy</t>
  </si>
  <si>
    <r>
      <rPr>
        <u/>
        <sz val="10"/>
        <rFont val="Arial"/>
        <scheme val="minor"/>
      </rPr>
      <t>mayassalon@gmail.com</t>
    </r>
  </si>
  <si>
    <t>Maya_salon_academy</t>
  </si>
  <si>
    <t>Maya's Salon &amp; Academy</t>
  </si>
  <si>
    <t>Salon Business</t>
  </si>
  <si>
    <r>
      <rPr>
        <sz val="10"/>
        <rFont val="Arial"/>
        <scheme val="minor"/>
      </rPr>
      <t>Book G2, Radhakunj Building, Ram Maruti Rd, near Ranka jewellers, Naupada, Thane West, Thane, Maharashtra 400602</t>
    </r>
    <r>
      <rPr>
        <sz val="10"/>
        <rFont val="Montserrat"/>
      </rPr>
      <t xml:space="preserve">  Thane  Maharashtra</t>
    </r>
  </si>
  <si>
    <t>#f6e2e2</t>
  </si>
  <si>
    <t>GoldenHourHospital_DrSantanu-Kumar-Sahu</t>
  </si>
  <si>
    <r>
      <rPr>
        <u/>
        <sz val="10"/>
        <rFont val="&quot;Times New Roman&quot;, serif"/>
      </rPr>
      <t>goldenhourhospital994@gmail.com</t>
    </r>
  </si>
  <si>
    <t>Dr.Santanu_Sahu</t>
  </si>
  <si>
    <t>Golden Hour Hospital</t>
  </si>
  <si>
    <t>Dr.Santanu Kumar Sahu</t>
  </si>
  <si>
    <t>MBBS(DNB),FNB(Critical Care Medicine) ,Consultant Critical Care Specialist</t>
  </si>
  <si>
    <t>"15 Years" Exp EX Ragistrar : Maulana Aajad Medical College EX. Consultant :Ragistrar : Global Hospital, Maunt Abu (Rajasthan) EX. Consultant : Gitanjali Medical College, Udaypur (Rajasthan) EX. Consultant : Apolo Hospital, Ahmedabad (Gujrat) EX. Consultant : All Is Well Hospital, Burhanpur</t>
  </si>
  <si>
    <r>
      <rPr>
        <sz val="10"/>
        <rFont val="&quot;Times New Roman&quot;, serif"/>
      </rPr>
      <t>Dnyanranjan Tower, Near Surana Building, Anand Nagar, Bhusawal. Dist:- Jalgaon -425201.</t>
    </r>
    <r>
      <rPr>
        <sz val="10"/>
        <rFont val="Times New Roman"/>
      </rPr>
      <t xml:space="preserve">  Bhusawal  Maharashtra</t>
    </r>
  </si>
  <si>
    <t>#c5d4cb</t>
  </si>
  <si>
    <t>#b5a220</t>
  </si>
  <si>
    <t>1189.jpeg</t>
  </si>
  <si>
    <t>PadmawatiJewellers_Manish-Lunkad</t>
  </si>
  <si>
    <r>
      <rPr>
        <u/>
        <sz val="10"/>
        <rFont val="sans-serif"/>
      </rPr>
      <t>lunkad88@gmail.com</t>
    </r>
  </si>
  <si>
    <t>Manish_Lunkad</t>
  </si>
  <si>
    <t>Padmavati Jewellers</t>
  </si>
  <si>
    <t>Manish Lunkad</t>
  </si>
  <si>
    <t>Owner/Proprietor</t>
  </si>
  <si>
    <t>cover and add</t>
  </si>
  <si>
    <t>MeraakiSolutions_Nidhi-Gaglani</t>
  </si>
  <si>
    <r>
      <rPr>
        <u/>
        <sz val="10"/>
        <rFont val="&quot;Times New Roman&quot;, serif"/>
      </rPr>
      <t>meraakiisolutions@gmail.com</t>
    </r>
  </si>
  <si>
    <t>Nidhi_Gaglani</t>
  </si>
  <si>
    <t>MERAAKII SOLUTIONS</t>
  </si>
  <si>
    <t>Nidhi Gaglani</t>
  </si>
  <si>
    <t>Nidhi Gaglani, founder of Meraaki Solutions, leads one of top graphic design agency known for turning ideas into stunning visuals. With years of experience, she's driven by a passion for design and innovation, pushing creative boundaries to deliver exceptional results for clients.</t>
  </si>
  <si>
    <t>#751a79</t>
  </si>
  <si>
    <t>#f9f0f0</t>
  </si>
  <si>
    <t>#ffb500</t>
  </si>
  <si>
    <t>1191.jpeg</t>
  </si>
  <si>
    <t>TahaanPestSolutionsLLP_Zoheb-Shaikh</t>
  </si>
  <si>
    <r>
      <rPr>
        <u/>
        <sz val="10"/>
        <rFont val="sans-serif"/>
      </rPr>
      <t>joheb@tahaanpestsolutions.com</t>
    </r>
  </si>
  <si>
    <t>Zoheb_Shaikh</t>
  </si>
  <si>
    <t>Tahaan Pest Solutions LLP</t>
  </si>
  <si>
    <t>Zoheb Shaikh</t>
  </si>
  <si>
    <t>https://www.tahaanpestsolutions.com/</t>
  </si>
  <si>
    <t>#0775b8</t>
  </si>
  <si>
    <t>#cc0000</t>
  </si>
  <si>
    <t>1192.jpeg</t>
  </si>
  <si>
    <t>SoulfulDesignsLLP_Harshal-Thore</t>
  </si>
  <si>
    <r>
      <rPr>
        <u/>
        <sz val="10"/>
        <rFont val="sans-serif"/>
      </rPr>
      <t>Soulfuldesignsllp@gmail.com</t>
    </r>
  </si>
  <si>
    <t>Harshal_Thore</t>
  </si>
  <si>
    <t>Soulful Designs LLP</t>
  </si>
  <si>
    <t>BNI Harshal Arun Thore INC</t>
  </si>
  <si>
    <t>We at Soulful Designs LLP, dedicate ourselves to plan and execute our client’s spaces reflecting their soul. Be it residential or commercial space, we believe in investing our heart and soul in carving &amp; creating the best for the best!</t>
  </si>
  <si>
    <t>#610090</t>
  </si>
  <si>
    <t>#534298</t>
  </si>
  <si>
    <t>1736446705_b5bf2a458de9d72b39fa.jpeg</t>
  </si>
  <si>
    <t>1193.jpeg</t>
  </si>
  <si>
    <t>KUDE-INVESTMENT_SHANTANU-KUDE</t>
  </si>
  <si>
    <r>
      <rPr>
        <u/>
        <sz val="10"/>
        <rFont val="sans-serif"/>
      </rPr>
      <t>SHANTANUKUDE@GMAIL.COM</t>
    </r>
  </si>
  <si>
    <t>Shantanu_Kude</t>
  </si>
  <si>
    <t>KUDE INVESTMENT</t>
  </si>
  <si>
    <t>Shantanu Kude</t>
  </si>
  <si>
    <t>Financial Advisor</t>
  </si>
  <si>
    <t>https://shantanukude.fundexpert.net/</t>
  </si>
  <si>
    <t>#393938</t>
  </si>
  <si>
    <t>1195.jpeg</t>
  </si>
  <si>
    <t>ImaxOpticals&amp;Watches_Monali-Gada</t>
  </si>
  <si>
    <t>Monali</t>
  </si>
  <si>
    <t>Imax Opticals And Watches</t>
  </si>
  <si>
    <t>Owner &amp; Eye-Wear Stylist</t>
  </si>
  <si>
    <t>Welcome to the world of designer Eye-wear, Expert Eye-Care &amp; ExclusiveWatches.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</si>
  <si>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t>1736508113_4c8241e293d0025bcf46.jpg</t>
  </si>
  <si>
    <t>1736507942_cd58752b827696c813e4.jpg</t>
  </si>
  <si>
    <t>Ready to send</t>
  </si>
  <si>
    <t>Kothari-Investments_Harsh-Kothari</t>
  </si>
  <si>
    <r>
      <rPr>
        <u/>
        <sz val="10"/>
        <rFont val="sans-serif"/>
      </rPr>
      <t>harsh@kothariinvestments.com</t>
    </r>
  </si>
  <si>
    <t>Harsh_Kothari</t>
  </si>
  <si>
    <t>Kothari Investments</t>
  </si>
  <si>
    <t>Harsh Kothari</t>
  </si>
  <si>
    <t>Founder - Kothari Investments</t>
  </si>
  <si>
    <t>Established in 2017, we are a Mumbai based wealth management firm.Our niche is to construct a unique &amp; customized investment portfolio for our clients (HNIs,NRIs,MSMEs and family offices) with high focus on liquidity,divisibility &amp; superior risk adjusted returns over long periods of time using Mutual Funds, PMS,AIFs,structured products,REITs,fixed deposits &amp; derivatives. Harsh has worked with renowned mutual fund companies like (HSBC &amp; Mirae Asset Mutual Fund) for over 5 years from 2012-2017.</t>
  </si>
  <si>
    <t>https://www.kothariinvestments.com/</t>
  </si>
  <si>
    <r>
      <rPr>
        <sz val="10"/>
        <rFont val="sans-serif"/>
      </rPr>
      <t>A-709, Neelkanth Business Park</t>
    </r>
    <r>
      <rPr>
        <sz val="10"/>
        <rFont val="sans-serif"/>
      </rPr>
      <t xml:space="preserve">  Mumbai  Maharashtra</t>
    </r>
  </si>
  <si>
    <t>1197.jpeg</t>
  </si>
  <si>
    <t>ScaleUpConsultants_CA-Pratik-Damani</t>
  </si>
  <si>
    <r>
      <rPr>
        <u/>
        <sz val="10"/>
        <rFont val="sans-serif"/>
      </rPr>
      <t>pratik.bniace@gmail.com</t>
    </r>
  </si>
  <si>
    <t>CA.Pratik_Damani</t>
  </si>
  <si>
    <t>Scale Up Consultants</t>
  </si>
  <si>
    <t>CA Pratik Damani</t>
  </si>
  <si>
    <t>303B Steel Chambers</t>
  </si>
  <si>
    <t>#fdfcfc</t>
  </si>
  <si>
    <t>1198.jpeg</t>
  </si>
  <si>
    <t>TEE-ESSTYLE-LLP_Devesh-Singh</t>
  </si>
  <si>
    <r>
      <rPr>
        <u/>
        <sz val="10"/>
        <rFont val="sans-serif"/>
      </rPr>
      <t>esstyle.in@gmail.com</t>
    </r>
  </si>
  <si>
    <t>Devesh_Singh</t>
  </si>
  <si>
    <t>TEE ESSTYLE LLP</t>
  </si>
  <si>
    <t>Devesh R. Singh</t>
  </si>
  <si>
    <t>77188 61824</t>
  </si>
  <si>
    <t>https://www.esstyle.in/</t>
  </si>
  <si>
    <t>1734845200_9381fe7bf3e0a656c4fe.jpeg</t>
  </si>
  <si>
    <t>Zipper</t>
  </si>
  <si>
    <t>1734842183_ffd67ce52ccf0fcefc03.jpeg</t>
  </si>
  <si>
    <t>Sustainable Hoodies</t>
  </si>
  <si>
    <t>1734843424_d5d1b60ec89ce9af6758.jpeg</t>
  </si>
  <si>
    <t>Sustainable Polo T-shirts</t>
  </si>
  <si>
    <t>1734843446_9e7f7b1a918525612cde.jpeg</t>
  </si>
  <si>
    <t>Pima Cotton Polo T-shirts</t>
  </si>
  <si>
    <t>1734843461_ee56cd4e48c6c91c94bb.jpeg</t>
  </si>
  <si>
    <t>Sustainable T-shirt 3D Crew Neck</t>
  </si>
  <si>
    <t>1734843476_f541c91d719653738682.jpeg</t>
  </si>
  <si>
    <t>Mobilitee Polyster Tshirt</t>
  </si>
  <si>
    <t>1734843516_03ff1f18996c2d0cd1c1.jpeg</t>
  </si>
  <si>
    <t>Sports Crew Tshirt</t>
  </si>
  <si>
    <t>1734843537_f5fb6ec38710cff52905.jpeg</t>
  </si>
  <si>
    <t>Food-Lexicon-Pvt-Ltd_RubyRay</t>
  </si>
  <si>
    <r>
      <rPr>
        <u/>
        <sz val="10"/>
        <rFont val="sans-serif"/>
      </rPr>
      <t>rubyray4@gmail.com</t>
    </r>
  </si>
  <si>
    <t>Ruby_Ray</t>
  </si>
  <si>
    <t>Food Lexicon Pvt Ltd</t>
  </si>
  <si>
    <t>Ruby Ray</t>
  </si>
  <si>
    <t>1734845304_f946c76dbf1968dd4ecb.jpeg</t>
  </si>
  <si>
    <t>HSR-Creation_Devendra-Kothari</t>
  </si>
  <si>
    <r>
      <rPr>
        <u/>
        <sz val="10"/>
        <rFont val="Arial"/>
        <scheme val="minor"/>
      </rPr>
      <t>hsrcreationinfo@gmail.com</t>
    </r>
  </si>
  <si>
    <t>Devendra_Kothari</t>
  </si>
  <si>
    <t>Tales of Fabric</t>
  </si>
  <si>
    <t>Devendra Kothari</t>
  </si>
  <si>
    <t>We are manufacturer of Ethnic Fabric.Our designs are Fusion of Indian Traditional and Western Touch. To Embrace the vividness of colours we keep our Fabrics 100% Dyable. At tales of Fabric we intend to create a tale behind everyy fabric.</t>
  </si>
  <si>
    <t>#816205</t>
  </si>
  <si>
    <t>#e3e3e3</t>
  </si>
  <si>
    <t>1201.jpeg</t>
  </si>
  <si>
    <t>HSR-Creation_Darshan-Sanghavi</t>
  </si>
  <si>
    <r>
      <rPr>
        <u/>
        <sz val="10"/>
        <rFont val="Arial"/>
        <scheme val="minor"/>
      </rPr>
      <t>hsrcreationinfo@gmail.com</t>
    </r>
  </si>
  <si>
    <t>Darshan_Sanghavi</t>
  </si>
  <si>
    <t>Darshan Sanghavi</t>
  </si>
  <si>
    <t>#816206</t>
  </si>
  <si>
    <t>#e3e3e4</t>
  </si>
  <si>
    <t>RAJENDRA-BHANUSHALI_CREATIVE-PLUS-NETTRADE-LLP</t>
  </si>
  <si>
    <r>
      <rPr>
        <u/>
        <sz val="10"/>
        <rFont val="Arial"/>
        <scheme val="minor"/>
      </rPr>
      <t>rajbhanushali1970@gmail.com</t>
    </r>
  </si>
  <si>
    <t>Rajendra_Bhanushali</t>
  </si>
  <si>
    <t>Creative Plus Nettrade LLP</t>
  </si>
  <si>
    <t>Rajendra Bhanushali</t>
  </si>
  <si>
    <t>Creative Plus Nettrade LLP is a leading computer and related service provider in Mumbai. Established 30 years ago, this firm has provided its service to almost all parts of Mumbai and its Suburbs. We deliver day to day service to all our customer and also to companies, institutions and firms.</t>
  </si>
  <si>
    <t>https://www.creativellp.com/</t>
  </si>
  <si>
    <t>702/A, Damji Shamji Corporate Square, Laxmi Nagar, Ghatkopar East, Mumbai 400075</t>
  </si>
  <si>
    <t>#589c46</t>
  </si>
  <si>
    <t>1203.jpeg</t>
  </si>
  <si>
    <t>Workstation Laptop / All in one Pc</t>
  </si>
  <si>
    <t>1734608184_f20d6686c6ce3fddd750.jpg</t>
  </si>
  <si>
    <t>Printer / Scanner / UPS</t>
  </si>
  <si>
    <t>1734608202_72bdc97cc5804679b1b3.jpg</t>
  </si>
  <si>
    <t>Networking Infra-structure solutions</t>
  </si>
  <si>
    <t>1734608221_247fc39764682b20b6d8.jpg</t>
  </si>
  <si>
    <t>Firewall</t>
  </si>
  <si>
    <t>1734608242_a0ac59054e5a989d9e6e.jpg</t>
  </si>
  <si>
    <t>Server With Virtualisation System</t>
  </si>
  <si>
    <t>1734608261_54fb547582f7154ea785.jpg</t>
  </si>
  <si>
    <t>Backup Sysytem</t>
  </si>
  <si>
    <t>1734608284_05f839bd64c9f9c43b35.jpeg</t>
  </si>
  <si>
    <t>Security System</t>
  </si>
  <si>
    <t>1734608309_a7ada859eb1da23c3e73.jpg</t>
  </si>
  <si>
    <t>SAMEER-KHETANI_CREATIVE-PLUS-NETTRADE-LLP</t>
  </si>
  <si>
    <r>
      <rPr>
        <u/>
        <sz val="10"/>
        <rFont val="Arial"/>
        <scheme val="minor"/>
      </rPr>
      <t>khetani@hotmail.com</t>
    </r>
  </si>
  <si>
    <t>Sameer_Khetani</t>
  </si>
  <si>
    <t>Sameer Khetani</t>
  </si>
  <si>
    <t>#fff7f8</t>
  </si>
  <si>
    <t>#589c47</t>
  </si>
  <si>
    <t>add cover page</t>
  </si>
  <si>
    <t>ImaxOpticals&amp;Watches</t>
  </si>
  <si>
    <r>
      <rPr>
        <u/>
        <sz val="10"/>
        <rFont val="sans-serif"/>
      </rPr>
      <t>monali.imax@gmail.com</t>
    </r>
  </si>
  <si>
    <t>IMAX_Opticals</t>
  </si>
  <si>
    <t>IMAX OPTICALS AND WATCHES</t>
  </si>
  <si>
    <t>IMAX Opticals &amp; Watches</t>
  </si>
  <si>
    <t>Welcome to the world of designer Eye-wear, Expert Eye-Care &amp; Exclusive 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</si>
  <si>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r>
      <rPr>
        <u/>
        <sz val="10"/>
        <rFont val="sans-serif"/>
      </rPr>
      <t>Patel House, Mahatma Gandhi Rd, Navpada, Vile Parle East, Vile Parle, Mumbai, Maharashtra 400057</t>
    </r>
  </si>
  <si>
    <t>1206.jpeg</t>
  </si>
  <si>
    <t>J-MADHU-ADVERTISING&amp;MARKETING-PVT-LTD_PRAKASH-KONAR</t>
  </si>
  <si>
    <r>
      <rPr>
        <u/>
        <sz val="10"/>
        <rFont val="Arial"/>
        <scheme val="minor"/>
      </rPr>
      <t>jmadvprint@gmail.com</t>
    </r>
  </si>
  <si>
    <t>Prakash_Konar</t>
  </si>
  <si>
    <t>J MADHU ADVT &amp; MKTG PVT LTD</t>
  </si>
  <si>
    <t>Prakash Konar</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</si>
  <si>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t>
  </si>
  <si>
    <t>https://www.jmbrand.in/</t>
  </si>
  <si>
    <t>#3f87d2</t>
  </si>
  <si>
    <t>1207.jpeg</t>
  </si>
  <si>
    <t>Roll-up Standee</t>
  </si>
  <si>
    <t>1734847091_2fed3db14f7fd2c1a141.jpeg</t>
  </si>
  <si>
    <t>L Standee</t>
  </si>
  <si>
    <t>1734846813_4c5290e5fe9d3289bdce.jpeg</t>
  </si>
  <si>
    <t>Table Top Standee</t>
  </si>
  <si>
    <t>1734847080_68aa0d72010ea425c47b.jpeg</t>
  </si>
  <si>
    <t>Promotion Table</t>
  </si>
  <si>
    <t>1734847106_6e87d01d928c236f0df6.jpeg</t>
  </si>
  <si>
    <t>X Standees</t>
  </si>
  <si>
    <t>1734847055_b16ed91e2150d7421879.jpeg</t>
  </si>
  <si>
    <t>Canvas and Suboard frame</t>
  </si>
  <si>
    <t>1734847042_ce6ec8f42880dc87a67f.jpeg</t>
  </si>
  <si>
    <t>JM-ANNA-IDLI-CAFE-PVT-LTD_PRAKASH-KONAR</t>
  </si>
  <si>
    <r>
      <rPr>
        <u/>
        <sz val="10"/>
        <rFont val="sans-serif"/>
      </rPr>
      <t>info@annaidlicafe.com</t>
    </r>
  </si>
  <si>
    <t>JM Anna Idly Cafe Pvt Ltd</t>
  </si>
  <si>
    <t>The appetizing taste of JM Idly is what precedes its Name and the reason is the years of authenticity and Traditional recipe passed down from my grandma that Is now an intrinsic quality. We started our business 20 years back on Mumbai soil. My grandma used to sell idly for one rupee at that time. The business grew each day and over the years we have accumulated a wealth of knowledge to sustain a profitable business and expand the profits with the franchisee chain model.</t>
  </si>
  <si>
    <t>https://www.annaidly.in/</t>
  </si>
  <si>
    <t>#3b8f64</t>
  </si>
  <si>
    <t>#eeeaea</t>
  </si>
  <si>
    <t>Food</t>
  </si>
  <si>
    <t>1734624779_d52eab754655380d8075.png</t>
  </si>
  <si>
    <t>Bevrages</t>
  </si>
  <si>
    <t>1734624797_16769c1c1856b0ca2779.png</t>
  </si>
  <si>
    <t>1734624898_28c80201498751c74059.png</t>
  </si>
  <si>
    <t>ALLURE&amp;ADORN_POOJA-GUPTA</t>
  </si>
  <si>
    <r>
      <rPr>
        <u/>
        <sz val="10"/>
        <rFont val="Helvetica, sans-serif"/>
      </rPr>
      <t>gupta.pooja@hotmail.com</t>
    </r>
  </si>
  <si>
    <t>Pooja_Gupta</t>
  </si>
  <si>
    <t>Allure &amp; Adorn</t>
  </si>
  <si>
    <t>Pooja Gupta</t>
  </si>
  <si>
    <t>Entrepreneur</t>
  </si>
  <si>
    <t>Pooja Gupta is an innovative entrepreneur and the founder of Allure and Adorn, a startup specializing in high-quality sling straps and lanyards. With a keen eye for design and a passion for fashion accessories, Pooja launched Allure and Adorn to offer stylish and functional products that cater to both everyday users and professionals. Her brand is quickly gaining recognition for its unique blend of aesthetics and practicality, making a mark in the fashion and accessories industry.</t>
  </si>
  <si>
    <t>#986f76</t>
  </si>
  <si>
    <t>add location</t>
  </si>
  <si>
    <t>AKASH-ENTERPRISES_DINESH-TORASKAR</t>
  </si>
  <si>
    <r>
      <rPr>
        <u/>
        <sz val="10"/>
        <rFont val="sans-serif"/>
      </rPr>
      <t>akashenterprise87@gmail.com</t>
    </r>
  </si>
  <si>
    <t>Dinesh_Toraskar</t>
  </si>
  <si>
    <t>Akash Enterprises</t>
  </si>
  <si>
    <t>Dinesh Toraskar</t>
  </si>
  <si>
    <t>1734874849_20c2763433b8951a498c.webp</t>
  </si>
  <si>
    <t>FOOT-FUEL_PREETI-JAIN</t>
  </si>
  <si>
    <r>
      <rPr>
        <u/>
        <sz val="10"/>
        <rFont val="Arial"/>
        <scheme val="minor"/>
      </rPr>
      <t>foot_fuel@yahoo.com</t>
    </r>
  </si>
  <si>
    <t>Preeti_Jain</t>
  </si>
  <si>
    <t>Foot Fuel</t>
  </si>
  <si>
    <t>Preeti Jain</t>
  </si>
  <si>
    <t>Footwear Designer</t>
  </si>
  <si>
    <t>Walk the World in Style with Foot Fuel. We believe in the power of exquisite craftsmanship and natural materials to create pieces that resonate with your ideal aesthetic. Here, amidst the clinking of beads, we handcraft footwear that becomes an extension of your personality The background of several generations of shoemaking within the company was the ground for a versatile collection of styles.</t>
  </si>
  <si>
    <t>#c4b036</t>
  </si>
  <si>
    <t>#d4aa2f</t>
  </si>
  <si>
    <t>1733571131_e558ee41c13de2ba8441.jpg</t>
  </si>
  <si>
    <t>1211.jpeg</t>
  </si>
  <si>
    <t>VIBRANT-DESI_KAPIL-VAID</t>
  </si>
  <si>
    <r>
      <rPr>
        <u/>
        <sz val="10"/>
        <rFont val="Arial"/>
        <scheme val="minor"/>
      </rPr>
      <t>kapilvaid3177@gmail.com</t>
    </r>
  </si>
  <si>
    <t>Kapil_Vaid</t>
  </si>
  <si>
    <t>Vibrant Desi</t>
  </si>
  <si>
    <t>Kapil Vaid</t>
  </si>
  <si>
    <t>Kapil Vaid, founder of Vibrant Desi, is dedicated to promoting Indian heritage through traditional sarees and bandhani. His brand blends age-old craftsmanship with contemporary designs, bringing the rich, colorful fabrics of India to a global audience. Kapil's commitment to quality and authenticity has made Vibrant Desi a renowned name.</t>
  </si>
  <si>
    <t>#f4d859</t>
  </si>
  <si>
    <t>#100210</t>
  </si>
  <si>
    <t>#fff4f4</t>
  </si>
  <si>
    <t>Bandhani Saree</t>
  </si>
  <si>
    <t>1733570448_e2ae9ae261394dffd279.jpg</t>
  </si>
  <si>
    <t>Silk Saree</t>
  </si>
  <si>
    <t>1733570461_ce6081ed4111ecf70f37.jpg</t>
  </si>
  <si>
    <t>Cotton Saree</t>
  </si>
  <si>
    <t>1733570471_0a3e7b8c8402b942ef44.jpg</t>
  </si>
  <si>
    <t>Patola Sarees</t>
  </si>
  <si>
    <t>1733570480_90f856d463cc6eaf9621.jpg</t>
  </si>
  <si>
    <t>SATISH-D-UPADHYAY</t>
  </si>
  <si>
    <r>
      <rPr>
        <u/>
        <sz val="10"/>
        <rFont val="sans-serif"/>
      </rPr>
      <t>satish@rupadhyay.in</t>
    </r>
  </si>
  <si>
    <t>Satish_Upadhyay</t>
  </si>
  <si>
    <t>DALAL SATISH D UPADHYAY</t>
  </si>
  <si>
    <t>Satish D Upadhyay</t>
  </si>
  <si>
    <t>At Dalal Satish D Upadhyay, we specialize in facilitating international trade of agricultural commodities through brokerage and indenting services since our establishment in 2004 by Mr. Satish D Upadhyay.</t>
  </si>
  <si>
    <t>TRIPLE_AAA_Pure_Veg_Restaurant_BHOJNALAYA</t>
  </si>
  <si>
    <r>
      <rPr>
        <u/>
        <sz val="10"/>
        <rFont val="sans-serif"/>
      </rPr>
      <t>Ruchira@bhojnalaya.com</t>
    </r>
  </si>
  <si>
    <t>AAA</t>
  </si>
  <si>
    <t>AAA Ruchira</t>
  </si>
  <si>
    <t>AAA Pure Veg Restaurant &amp; BHOJNALAYA</t>
  </si>
  <si>
    <r>
      <rPr>
        <sz val="10"/>
        <rFont val="sans-serif"/>
      </rPr>
      <t>RUCHIRA, At post trambakeshwar front of kushavarta kund Besid luxminaryan mandir</t>
    </r>
    <r>
      <rPr>
        <sz val="10"/>
        <rFont val="sans-serif"/>
      </rPr>
      <t xml:space="preserve">  Nashik 422212  Maharashtra</t>
    </r>
  </si>
  <si>
    <t>#f13c3c</t>
  </si>
  <si>
    <t>#dddcdd</t>
  </si>
  <si>
    <t>1215.jpeg</t>
  </si>
  <si>
    <t>ATUL-PARIKH</t>
  </si>
  <si>
    <r>
      <rPr>
        <u/>
        <sz val="10"/>
        <rFont val="Arial"/>
        <scheme val="minor"/>
      </rPr>
      <t>atulparikh_111@yahoo.in</t>
    </r>
  </si>
  <si>
    <t>Atul_Parikh</t>
  </si>
  <si>
    <t>Host Of The Day</t>
  </si>
  <si>
    <t>Atul Parikh</t>
  </si>
  <si>
    <t>Host &amp; Anchor</t>
  </si>
  <si>
    <t>Ladies and Gentlemen, prepare to be dazzled! Known for his electrifying presence, sharp wit, and undeniable charm, Atul is a master of ceremonies like no other. With years of experience and a knack for keeping audiences on the edge of their seats, he's here to ensure that tonight is nothing short of spectacular. So sit back, relax, and let the incomparable Atul Parikh take you on journey.</t>
  </si>
  <si>
    <t>#b01e1e</t>
  </si>
  <si>
    <t>AAYUSHMAN-AMAN-MAHESHWARI</t>
  </si>
  <si>
    <r>
      <rPr>
        <u/>
        <sz val="10"/>
        <rFont val="Arial"/>
        <scheme val="minor"/>
      </rPr>
      <t>ayushmanaman@gmail.com</t>
    </r>
  </si>
  <si>
    <t>Aman_Maheshwari</t>
  </si>
  <si>
    <t>Aman Maheshwari</t>
  </si>
  <si>
    <t>Anchor / Actor / Corporate Emcee</t>
  </si>
  <si>
    <t>Aman Maheshwari is a dynamic corporate emcee, actor, and anchor known for his engaging stage presence and versatility. With extensive experience in both entertainment and corporate events, he effortlessly blends professionalism with charisma. Aman's ability to connect with diverse audiences and keep the energy high makes him a top choice for hosting high-profile events. His passion and adaptability ensure every occasion is memorable and flawlessly executed.</t>
  </si>
  <si>
    <t>#f4f2f2</t>
  </si>
  <si>
    <t>1221.jpeg</t>
  </si>
  <si>
    <t>Dhrisha-Jewels-Private-Limited_Sunny-Mehta</t>
  </si>
  <si>
    <r>
      <rPr>
        <u/>
        <sz val="10"/>
        <rFont val="Arial"/>
        <scheme val="minor"/>
      </rPr>
      <t>dhrishajewelspvtltd@outlook.com</t>
    </r>
  </si>
  <si>
    <t>Sunny_Mehta</t>
  </si>
  <si>
    <t>Dhrisha Jewels Private Limited</t>
  </si>
  <si>
    <t>Sunny Mehta</t>
  </si>
  <si>
    <t>Manufacturers of diamond jewellery, specialised in South-Indian traditional Diamond jewellery since 1995. It is located at Ramwadi, Mumbai.</t>
  </si>
  <si>
    <t>#1d3633</t>
  </si>
  <si>
    <t>#d0d621</t>
  </si>
  <si>
    <t>#cfcf27</t>
  </si>
  <si>
    <t>1226.jpeg</t>
  </si>
  <si>
    <t>Eastern-Financiers-Limited_Tina-Jain</t>
  </si>
  <si>
    <r>
      <rPr>
        <u/>
        <sz val="10"/>
        <rFont val="&quot;Times New Roman&quot;, serif"/>
      </rPr>
      <t>tina@easternfin.com</t>
    </r>
  </si>
  <si>
    <t>Eastern_Finance</t>
  </si>
  <si>
    <t>Eastern Financiers Limited</t>
  </si>
  <si>
    <t>Tina Jain</t>
  </si>
  <si>
    <t>Social media &amp; communication Manager</t>
  </si>
  <si>
    <t>#2c1c71</t>
  </si>
  <si>
    <t>#c23636</t>
  </si>
  <si>
    <t>#f5efef</t>
  </si>
  <si>
    <t>Eastern-Financiers-Limited_Ambrish-Agarwal</t>
  </si>
  <si>
    <r>
      <rPr>
        <u/>
        <sz val="10"/>
        <rFont val="sans-serif"/>
      </rPr>
      <t>ambrish@easternfin.com</t>
    </r>
  </si>
  <si>
    <t>Ambrish Agarwal</t>
  </si>
  <si>
    <t>#2c1c72</t>
  </si>
  <si>
    <t>#c23637</t>
  </si>
  <si>
    <t>Eastern-Financiers-Limited_Abhishek-Agarwal</t>
  </si>
  <si>
    <r>
      <rPr>
        <u/>
        <sz val="10"/>
        <rFont val="sans-serif"/>
      </rPr>
      <t>abhishekeasternfin.com</t>
    </r>
  </si>
  <si>
    <t>Abhishek Agarwal</t>
  </si>
  <si>
    <t>#2c1c73</t>
  </si>
  <si>
    <t>#c23638</t>
  </si>
  <si>
    <t>Eastern-Financiers-Limited_Ajay-Agarwal</t>
  </si>
  <si>
    <r>
      <rPr>
        <u/>
        <sz val="10"/>
        <rFont val="sans-serif"/>
      </rPr>
      <t>ajayagarwal@easternfin.com</t>
    </r>
  </si>
  <si>
    <t>Ajay Agarwal</t>
  </si>
  <si>
    <t>#2c1c74</t>
  </si>
  <si>
    <t>#c23639</t>
  </si>
  <si>
    <t>Eastern-Financiers-Limited_Pankaj-Kumar-Chaudhary</t>
  </si>
  <si>
    <r>
      <rPr>
        <u/>
        <sz val="10"/>
        <rFont val="sans-serif"/>
      </rPr>
      <t>pankajchaudhary@easternfin.com</t>
    </r>
  </si>
  <si>
    <t>Pankaj Kumar Chaudhary</t>
  </si>
  <si>
    <t>Head-Business Development</t>
  </si>
  <si>
    <t>#2c1c75</t>
  </si>
  <si>
    <t>#c23640</t>
  </si>
  <si>
    <t>1228.jpeg</t>
  </si>
  <si>
    <t>Global-Copier-resource-PTE-LTD_Aatish-Patel</t>
  </si>
  <si>
    <r>
      <rPr>
        <u/>
        <sz val="10"/>
        <rFont val="sans-serif"/>
      </rPr>
      <t>copier@gcr.com.sg</t>
    </r>
  </si>
  <si>
    <t>Aatish_Patel</t>
  </si>
  <si>
    <t>Global Copier Resource Pte Ltd - Singapore</t>
  </si>
  <si>
    <t>Aatish Patel</t>
  </si>
  <si>
    <t>Leading supplier in South East Asia since 2010. We supply high-quality used copiers, multifunction printers, duplicators, wide-format printers, plotters, and high-speed production machines of global brands.</t>
  </si>
  <si>
    <t>#1765b1</t>
  </si>
  <si>
    <t>1229.jpeg</t>
  </si>
  <si>
    <t>SWEET-FASHION_RAKESH-LAKHOTIA</t>
  </si>
  <si>
    <r>
      <rPr>
        <u/>
        <sz val="10"/>
        <rFont val="&quot;Times New Roman&quot;, serif"/>
      </rPr>
      <t>fashionkstw@gmail.com</t>
    </r>
  </si>
  <si>
    <t>Rakesh_Lakhotia</t>
  </si>
  <si>
    <t>Sweet Fashion</t>
  </si>
  <si>
    <t>Rakesh Lakhotia</t>
  </si>
  <si>
    <t>Shop No.21, Ground floor, Mhatre pen Building,  Mumbai  Maharashtra</t>
  </si>
  <si>
    <t>#bcdbcb</t>
  </si>
  <si>
    <t>#161616</t>
  </si>
  <si>
    <t>1230.jpeg</t>
  </si>
  <si>
    <t>PARA-KIDS-N-MEN'S-CLOTHING_Pooja-Jhunjhunwala</t>
  </si>
  <si>
    <r>
      <rPr>
        <u/>
        <sz val="10"/>
        <rFont val="sans-serif"/>
      </rPr>
      <t>para.kidswear@gmail.com</t>
    </r>
  </si>
  <si>
    <t>Pooja_Jhunjhunwala</t>
  </si>
  <si>
    <t>PARA</t>
  </si>
  <si>
    <t>Pooja Jhunjhunwala</t>
  </si>
  <si>
    <t>PARA was started by Sister duo of Pooja &amp; Rachna Agarwal. They have studied fashion designing from NIFT &amp; SNDT respectively, both reputed institutions of Mumbai. At the beginning of their career they have gained experience under well known designers like Payal Singhal, Rock S, Arjun Khanna &amp; Krishna Mehta. After gaining practical experience from the above mentioned designers the sisters started their own brand, PARA based out of Mumbai.</t>
  </si>
  <si>
    <t>#2d3318</t>
  </si>
  <si>
    <t>1231.jpeg</t>
  </si>
  <si>
    <t>ASTRIX_Illuminar-Ventures-Pvt-Ltd_Saket-Dongre</t>
  </si>
  <si>
    <r>
      <rPr>
        <u/>
        <sz val="10"/>
        <rFont val="Belanosima, sans-serif"/>
      </rPr>
      <t>saket@astrixev.com</t>
    </r>
  </si>
  <si>
    <t>Saket_Dongre</t>
  </si>
  <si>
    <t>Asrtrix</t>
  </si>
  <si>
    <t>Saket Dongre</t>
  </si>
  <si>
    <t>Founder &amp; CEO</t>
  </si>
  <si>
    <t>#eae7e7</t>
  </si>
  <si>
    <t>1232.jpeg</t>
  </si>
  <si>
    <t>GrowPro-Technology_Karan-Dabrai</t>
  </si>
  <si>
    <t>karan@growpro.co.in</t>
  </si>
  <si>
    <t>Karan_Dabrai</t>
  </si>
  <si>
    <t>GrowPro Technology</t>
  </si>
  <si>
    <t>Karan Dabrai GrowPro Hydroponics</t>
  </si>
  <si>
    <t>At GrowPro we fabricate, install and offer services to enable our customers grow their own fresh, pesticide-free food completely without soil- hydroponically. We also supply veggies, herbs and salad greens all grown in our rooftop farm in Mumbai</t>
  </si>
  <si>
    <t>https://growpro.co.in/</t>
  </si>
  <si>
    <t>#72c083</t>
  </si>
  <si>
    <t>1233.jpeg</t>
  </si>
  <si>
    <t>Sshades_Dhiirraj-Chhadwa</t>
  </si>
  <si>
    <r>
      <rPr>
        <u/>
        <sz val="10"/>
        <rFont val="Belanosima, sans-serif"/>
      </rPr>
      <t>ddc@shadesdecor.com</t>
    </r>
  </si>
  <si>
    <t>Dhiirraj_Chhadwa</t>
  </si>
  <si>
    <t>Sshades</t>
  </si>
  <si>
    <t>Dhiirraj Chhadwa</t>
  </si>
  <si>
    <t>Shades is a unique building design firm that works as a one-stop resource point for its clients in the construction industry. Shades provides a platform of services to builders with specialized and customized designs and efficient on-time implementation of projects.</t>
  </si>
  <si>
    <t>https://shadesdecor.com/</t>
  </si>
  <si>
    <r>
      <rPr>
        <u/>
        <sz val="10"/>
        <rFont val="Belanosima, sans-serif"/>
      </rPr>
      <t>1/2, 1st floor,Parikh Building, Mahatma Gandhi Road,Above Shilpa Diamonds, opp sejal jewellers, Ghatkopar- East, Mumbai 400077.</t>
    </r>
  </si>
  <si>
    <t>#33b4e8</t>
  </si>
  <si>
    <t>1234.jpeg</t>
  </si>
  <si>
    <t>Rashi-Trending-Gadgets_Shweta-Girme</t>
  </si>
  <si>
    <r>
      <rPr>
        <u/>
        <sz val="10"/>
        <rFont val="Satisfy, sans-serif"/>
      </rPr>
      <t>rahulgrime@gmail.com</t>
    </r>
  </si>
  <si>
    <t>Shweta_Girme</t>
  </si>
  <si>
    <t>Rashi Trending Gadgets</t>
  </si>
  <si>
    <t>Shweta Girme</t>
  </si>
  <si>
    <t>#f8f5f5</t>
  </si>
  <si>
    <t>1235.jpeg</t>
  </si>
  <si>
    <t>Nidhiti_Pankti-Choksi</t>
  </si>
  <si>
    <r>
      <rPr>
        <u/>
        <sz val="10"/>
        <rFont val="Arial"/>
        <scheme val="minor"/>
      </rPr>
      <t>modi.pankti@gmail.com</t>
    </r>
  </si>
  <si>
    <t>Pankti_Choksi</t>
  </si>
  <si>
    <t>Nidhiti</t>
  </si>
  <si>
    <t>Pankti Choksi</t>
  </si>
  <si>
    <t>Fashion Jewellery Designer</t>
  </si>
  <si>
    <t>Where elegance meets sophistication, and style meets substance. Our journey began with a passion for creating unique, high-quality jewelry that makes a statement. Founded in 2013 by 3 sisters, Niyati Mehta, Pankti Choksi and Nidhi Modi, Nidhiti has evolved into a trusted name in the fashion industry, synonymous with luxury and craftsmanship. At NIDHITI, we promise to deliver: - Exquisite craftsmanship - High-quality materials - Unique and trendy designs - A personalized shopping experience.</t>
  </si>
  <si>
    <t>#daa55a</t>
  </si>
  <si>
    <t>Nidhiti_Niyati-Mehta</t>
  </si>
  <si>
    <r>
      <rPr>
        <u/>
        <sz val="10"/>
        <rFont val="Arial"/>
        <scheme val="minor"/>
      </rPr>
      <t>niyati.giriraj@gmail.com</t>
    </r>
  </si>
  <si>
    <t>Niyati_Mehta</t>
  </si>
  <si>
    <t>Niyati Mehta</t>
  </si>
  <si>
    <t>#f8f5f6</t>
  </si>
  <si>
    <t>NIPPON-LIFE-INSURANCE_10001</t>
  </si>
  <si>
    <r>
      <rPr>
        <u/>
        <sz val="10"/>
        <rFont val="Arial"/>
        <scheme val="minor"/>
      </rPr>
      <t>rahul.ss.sharma@relianceada.com</t>
    </r>
  </si>
  <si>
    <t>Rahul_Sharma_Reliance</t>
  </si>
  <si>
    <t>Reliance - Nipon Life Insurance</t>
  </si>
  <si>
    <t>Rahul Sharma</t>
  </si>
  <si>
    <t>Marketing Head</t>
  </si>
  <si>
    <t>Reliance Nippon Life Insurance Company Limited is amongst the leading private sector life insurance companies in India in terms of individual WRP (weighted received premium) and new business WRP. The company is one of the largest non-banks-supported private life insurers with over 10 million policyholders*, a strong distribution network of 713 offices and 61,036 advisors as on March 31, 2024. The company holds a of 98.74% as on March 31, 2024.</t>
  </si>
  <si>
    <t>1238.jpeg</t>
  </si>
  <si>
    <t>AARTI-AGRAWAL</t>
  </si>
  <si>
    <r>
      <rPr>
        <u/>
        <sz val="10"/>
        <rFont val="Arial"/>
        <scheme val="minor"/>
      </rPr>
      <t>anuti28@gmail.com</t>
    </r>
  </si>
  <si>
    <t>Aarti_Agrawal</t>
  </si>
  <si>
    <t>Aarti Agrawal</t>
  </si>
  <si>
    <t>As a seasoned content writer since 2000, I have catered to global clients, leveraging my Master’s in Psychology and Diploma in Journalism &amp; Mass Communication. Based in Mumbai, I excel in creating compelling content across diverse industries, including Health, Hospitality, Technology, Sports, and more. My expertise in simplifying complex concepts and efficient project management ensures top-notch content delivery, making me one of the best content writers in Mumbai.</t>
  </si>
  <si>
    <t>1239.jpeg</t>
  </si>
  <si>
    <t>PANCHDEV-TRADERS_RAMASHANKAR-PATEL</t>
  </si>
  <si>
    <r>
      <rPr>
        <u/>
        <sz val="10"/>
        <rFont val="Arial"/>
        <scheme val="minor"/>
      </rPr>
      <t>panchdev_traders@yahoo.co.in</t>
    </r>
  </si>
  <si>
    <t>Ramashankar_Patel</t>
  </si>
  <si>
    <t>Panchdev Traders</t>
  </si>
  <si>
    <t>Ramashankar Patel</t>
  </si>
  <si>
    <t>#bb0808</t>
  </si>
  <si>
    <t>1240.jpeg</t>
  </si>
  <si>
    <t>LOVELY-MIX-CO_LOVELY-JAGTIANI</t>
  </si>
  <si>
    <r>
      <rPr>
        <u/>
        <sz val="10"/>
        <rFont val="Arial"/>
        <scheme val="minor"/>
      </rPr>
      <t>lovelytwist3@gmail.com</t>
    </r>
  </si>
  <si>
    <t>Lovely_Jagtiani</t>
  </si>
  <si>
    <t>Lovely Mix Co.</t>
  </si>
  <si>
    <t>Lovely Jagtiani</t>
  </si>
  <si>
    <t>#e6d222</t>
  </si>
  <si>
    <t>#fefdfd</t>
  </si>
  <si>
    <t>1241.jpeg</t>
  </si>
  <si>
    <t>VASTRA-BY-MALA-MUNDE_MALA-MUNDE</t>
  </si>
  <si>
    <r>
      <rPr>
        <u/>
        <sz val="10"/>
        <rFont val="Arial"/>
        <scheme val="minor"/>
      </rPr>
      <t>labelvastra@yahoo.com</t>
    </r>
  </si>
  <si>
    <t>Mala_Munde</t>
  </si>
  <si>
    <t>Vastra By Mala Munde</t>
  </si>
  <si>
    <t>Mala Munde</t>
  </si>
  <si>
    <t>#262323</t>
  </si>
  <si>
    <t>#d2a82c</t>
  </si>
  <si>
    <t>#fdfbfb</t>
  </si>
  <si>
    <t>Panel sent</t>
  </si>
  <si>
    <t>Krisha-Mehta</t>
  </si>
  <si>
    <r>
      <rPr>
        <u/>
        <sz val="10"/>
        <rFont val="sans-serif"/>
      </rPr>
      <t>krishamehta22@yahoo.com</t>
    </r>
  </si>
  <si>
    <t>Krisha_Mehta</t>
  </si>
  <si>
    <t>Krisha Mehta</t>
  </si>
  <si>
    <t>Jainco-Consulting-India-Private-Limited_Kejal-punamia</t>
  </si>
  <si>
    <r>
      <rPr>
        <u/>
        <sz val="10"/>
        <rFont val="sans-serif"/>
      </rPr>
      <t>kejal.punamia@jaincotech.com</t>
    </r>
  </si>
  <si>
    <t>Kejal_Punamia</t>
  </si>
  <si>
    <t>Jainco Consulting India Private Limited</t>
  </si>
  <si>
    <t>Kejal Punamia</t>
  </si>
  <si>
    <t>Magaging Director</t>
  </si>
  <si>
    <t>1250.jpeg</t>
  </si>
  <si>
    <t>Mahir-Consultancy-Pvt-Ltd_Ravi-Ahuja</t>
  </si>
  <si>
    <r>
      <rPr>
        <u/>
        <sz val="10"/>
        <rFont val="Arial"/>
        <scheme val="minor"/>
      </rPr>
      <t>ravi.ahuja@dyt.co.in</t>
    </r>
  </si>
  <si>
    <t>Ravi_Ahuja</t>
  </si>
  <si>
    <t>Mahir Consultancy Pvt Ltd</t>
  </si>
  <si>
    <t>Ravi Ahuja</t>
  </si>
  <si>
    <t>Co-Founder / Director</t>
  </si>
  <si>
    <t>DisplayYourTalent is a unique platform that is a one stop source for all those who have a talent. On this website, you can promote your talent, buy channel slots to display your talent and more. DisplayYourTalent is a one of a kind talent promotion website. We create opportunities for talents - from beginners to pros - so that you can excel in their fields! Also, we send out notifications to big companies and production houses to update them about the talents we have onboard.</t>
  </si>
  <si>
    <t>https://dyt.co.in/</t>
  </si>
  <si>
    <t>Dinesh-Chaudhary-&amp;-co_Dinesh-Chaudhary</t>
  </si>
  <si>
    <r>
      <rPr>
        <u/>
        <sz val="10"/>
        <rFont val="sans-serif"/>
      </rPr>
      <t>dinesh@dcncca.com</t>
    </r>
  </si>
  <si>
    <t>Dinesh_Chaudhary</t>
  </si>
  <si>
    <t>Dinesh Chaudhary</t>
  </si>
  <si>
    <t>1736492020_fedd82822f71fb3dd64f.png</t>
  </si>
  <si>
    <t>1736492020_1594f77b325666fa7b5f.jpg</t>
  </si>
  <si>
    <t>HEALING-ARTS-CENTRE_RINKAL-SHAH</t>
  </si>
  <si>
    <r>
      <rPr>
        <u/>
        <sz val="10"/>
        <rFont val="Arial"/>
        <scheme val="minor"/>
      </rPr>
      <t>rinkishah109@gmail.com</t>
    </r>
  </si>
  <si>
    <t>Rinkal</t>
  </si>
  <si>
    <t>HEALING ARTS CENTRE</t>
  </si>
  <si>
    <t>#b69229</t>
  </si>
  <si>
    <t>Singing Bowls Session</t>
  </si>
  <si>
    <t>1736491859_f40495701ccf98ec2b50.jpeg</t>
  </si>
  <si>
    <t>Property Vastu Healing</t>
  </si>
  <si>
    <t>1736491870_65906b2d127123a1b851.jpeg</t>
  </si>
  <si>
    <t>Brain Tunning fork Therapy</t>
  </si>
  <si>
    <t>1736491899_f502f9d724bb797145f7.jpeg</t>
  </si>
  <si>
    <t>Tunning fork Therapy for client</t>
  </si>
  <si>
    <t>1736491909_1072eadefc3be8a261cf.jpeg</t>
  </si>
  <si>
    <t>Distance healing for Hospitalized patient</t>
  </si>
  <si>
    <t>1736491921_0f5d730a3cc1033affb9.jpeg</t>
  </si>
  <si>
    <t>Sangam-Mart_Suraj-Upadhyay</t>
  </si>
  <si>
    <r>
      <rPr>
        <u/>
        <sz val="10"/>
        <rFont val="sans-serif"/>
      </rPr>
      <t>sangammart51@gmail.com</t>
    </r>
  </si>
  <si>
    <t>Suraj_Upadhyay</t>
  </si>
  <si>
    <t>SANGAM MART</t>
  </si>
  <si>
    <t>Suraj Upadhyay</t>
  </si>
  <si>
    <t>1739444187_db085881f0c8394ecc35.jpeg</t>
  </si>
  <si>
    <t>Velcord-Textiles-Pvt-Ltd_Pankaj-Sonawane</t>
  </si>
  <si>
    <r>
      <rPr>
        <u/>
        <sz val="10"/>
        <rFont val="sans-serif"/>
      </rPr>
      <t>pankaj@velcord.in</t>
    </r>
  </si>
  <si>
    <t>Pankaj_Sonawane</t>
  </si>
  <si>
    <t>Velcord Textiles Pvt Ltd</t>
  </si>
  <si>
    <t>Pankaj Sonawane</t>
  </si>
  <si>
    <t>Marketing Manager</t>
  </si>
  <si>
    <t>1257.jpeg</t>
  </si>
  <si>
    <t>Synthetic-Molecules-Private-Limited_Akshay-Thakur</t>
  </si>
  <si>
    <r>
      <rPr>
        <u/>
        <sz val="10"/>
        <rFont val="Arial"/>
        <scheme val="minor"/>
      </rPr>
      <t>Akshay.thakur@syntheticmolecules.com</t>
    </r>
  </si>
  <si>
    <t>Akshay_Thakur</t>
  </si>
  <si>
    <t>Synthetic Molecules Private Limited</t>
  </si>
  <si>
    <t>Akshay Thakur</t>
  </si>
  <si>
    <t>Synthetic Molecules Pvt Ltd (SMPL) is an established pharmaceutical manufacturer and trading house. Commencing the business in the year 2003 under the leadership of Mr. Kishore Thakur, who has an expertise in this field, we cater the ranges of Intermediates, Active Pharma Ingredients, Vitamins and Specialty Chemicals to domestic as well as international markets.</t>
  </si>
  <si>
    <t>https://www.syntheticmolecules.com/</t>
  </si>
  <si>
    <t>308, Highway Commercial Centre, I.B Patel Road, Off Western express Highway, Goregaon- East, Mumbai-400063</t>
  </si>
  <si>
    <t>#260303</t>
  </si>
  <si>
    <t>#70aaba</t>
  </si>
  <si>
    <t>Synthetic-Molecules-Private-Limited_Kishor-Thakur</t>
  </si>
  <si>
    <r>
      <rPr>
        <u/>
        <sz val="10"/>
        <rFont val="Arial"/>
        <scheme val="minor"/>
      </rPr>
      <t>kthakur28@rediffmail.com</t>
    </r>
  </si>
  <si>
    <t>Kishor_Thakur</t>
  </si>
  <si>
    <t>Kishor Thakur</t>
  </si>
  <si>
    <t>#260304</t>
  </si>
  <si>
    <t>#f5f5f6</t>
  </si>
  <si>
    <t>1734869464_d78b0977228870393a40.jpeg</t>
  </si>
  <si>
    <t>FACETS-HONG-KONG-LIMITED_Kunal-Jain</t>
  </si>
  <si>
    <r>
      <rPr>
        <u/>
        <sz val="10"/>
        <rFont val="Arial"/>
        <scheme val="minor"/>
      </rPr>
      <t>kunalajain@gmail.com</t>
    </r>
  </si>
  <si>
    <t>Kunal_Jain</t>
  </si>
  <si>
    <t>FACETS HONG KONG LIMITED</t>
  </si>
  <si>
    <t>Kunal Jain</t>
  </si>
  <si>
    <t>Mr. Kunal joined the family jewelry business after graduating in business studies, where he became a jewellery expert at the starting stage of his career. He is an expert at product design and understanding consumer behavior. Kunal A. Jain has spent his jewellery career spanning about 15 years &amp; is responsible for overall technical operations, product development and sales and marketing of Facets which he founded in 2007.</t>
  </si>
  <si>
    <t>#233962</t>
  </si>
  <si>
    <t>#e6e6e6</t>
  </si>
  <si>
    <t>1734868566_4bb8834b46bc84a78502.jpeg</t>
  </si>
  <si>
    <t>90-Prints_Narendra-Verat</t>
  </si>
  <si>
    <r>
      <rPr>
        <u/>
        <sz val="10"/>
        <rFont val="Arial"/>
        <scheme val="minor"/>
      </rPr>
      <t>Info@90prints.com</t>
    </r>
  </si>
  <si>
    <t>Narendra_Verat</t>
  </si>
  <si>
    <t>90 Prints</t>
  </si>
  <si>
    <t>Narendra Verat</t>
  </si>
  <si>
    <t>What are you Looking for ? 1) "Dairy" Quantity Start from Just 100 pcs 2) "Calendar" Quantity Start from Just 100 pcs 3) Publishing Books 4) Mono Carton 5) Labels &amp; Sticker (Roll &amp; Sheet Based) Shape Cutting</t>
  </si>
  <si>
    <t>1271.jpeg</t>
  </si>
  <si>
    <t>SHETH-DENTAL-CLINIC_DR.NOMAL-SHETH</t>
  </si>
  <si>
    <r>
      <rPr>
        <u/>
        <sz val="10"/>
        <rFont val="Arial"/>
        <scheme val="minor"/>
      </rPr>
      <t>dentalsheth@gmail.com</t>
    </r>
  </si>
  <si>
    <t>Dr.Nomal_Sheth</t>
  </si>
  <si>
    <t>Sheth Dental Clinic</t>
  </si>
  <si>
    <t>Dr. Nomal Sheth</t>
  </si>
  <si>
    <t>MDS,BDS (Reg No.A-16193)</t>
  </si>
  <si>
    <t>Dr. Nomal Sheth is a specialist (MDS in conservative dentistry and Endodontics) practicing since 13 years. She is expertise in saving teeth giving a conservative dimension to dentistry. Sheth dental clinic is equipped with a state-of-the-art facilities and has team of experts of implants , dentures, aligners, pediatric dentistry and many more.She is also an entrepreneur and innovator in dentistry. She has given many national level lectures and bagged with nationaland interawards and publication.</t>
  </si>
  <si>
    <t>C1 Priyadarshini CHS, 77, Shantipath, Garodia Nagar, Ghatkopar East, Mumbai, Maharashtra- 400077.</t>
  </si>
  <si>
    <t>#085064</t>
  </si>
  <si>
    <t>#0cb7e5</t>
  </si>
  <si>
    <t>#ebeded</t>
  </si>
  <si>
    <t>1366.jpeg</t>
  </si>
  <si>
    <t>Root Canal Treatment</t>
  </si>
  <si>
    <t>1734868234_0bc15d322a49e61e71d9.jpeg</t>
  </si>
  <si>
    <t>Cleaning of Teeth</t>
  </si>
  <si>
    <t>1734868244_4ffe0796093c3958347f.jpeg</t>
  </si>
  <si>
    <t>Dentures</t>
  </si>
  <si>
    <t>1734868265_0bdfefa2561fe6112851.jpeg</t>
  </si>
  <si>
    <t>Individual Dental Wellness Plan</t>
  </si>
  <si>
    <t>1734868276_db21de4342356e895fc7.jpeg</t>
  </si>
  <si>
    <t>Family Dental Wellness Plan</t>
  </si>
  <si>
    <t>1734868288_f3bcac29a79a22a39a4c.jpeg</t>
  </si>
  <si>
    <t>Startup Dental Wellness Plan</t>
  </si>
  <si>
    <t>1734868301_4ece15c1f16b6495f996.jpeg</t>
  </si>
  <si>
    <t>Corporate Dental Wellness Plan</t>
  </si>
  <si>
    <t>1734868312_ea64253f967b5ba171d8.jpeg</t>
  </si>
  <si>
    <t>LUCENT-GARDENS-PVT-LTD_DILIP-MURKUTE/1366</t>
  </si>
  <si>
    <r>
      <rPr>
        <u/>
        <sz val="10"/>
        <rFont val="sans-serif"/>
      </rPr>
      <t>dilip@lucentcorporation.com</t>
    </r>
  </si>
  <si>
    <t>Dilip_Murkute</t>
  </si>
  <si>
    <t>Lucent Gardens Pvt. Ltd</t>
  </si>
  <si>
    <t>Dilip Murkute</t>
  </si>
  <si>
    <t>#0b4e2d</t>
  </si>
  <si>
    <t>1734675531_f16050c497711a583f8f.jpeg</t>
  </si>
  <si>
    <t>1734675531_f959b545308b3e6393c4.jpeg</t>
  </si>
  <si>
    <t>DrMayankDoshi-Dentalclinic</t>
  </si>
  <si>
    <r>
      <rPr>
        <u/>
        <sz val="10"/>
        <rFont val="sans-serif"/>
      </rPr>
      <t>drmayank18@gmail.com</t>
    </r>
  </si>
  <si>
    <t>Dr.Mayank_Doshi</t>
  </si>
  <si>
    <t>Dr Mayank Doshi's Microdentistry &amp; DIgital Dental Centre</t>
  </si>
  <si>
    <t>Dr Mayank Doshi</t>
  </si>
  <si>
    <t>https://www.doshidental.in/</t>
  </si>
  <si>
    <r>
      <rPr>
        <sz val="10"/>
        <rFont val="sans-serif"/>
      </rPr>
      <t>Shop no.2 Vasant Aishwariya CHS, Mathuradas Extension Road,</t>
    </r>
    <r>
      <rPr>
        <sz val="10"/>
        <rFont val="sans-serif"/>
      </rPr>
      <t xml:space="preserve">  Mumbai  Maharashtra</t>
    </r>
  </si>
  <si>
    <t>#1ef5be</t>
  </si>
  <si>
    <t>DHRISHA-JEWELS-PRIVATE-LIMITED_DAINIK-GOTHI/</t>
  </si>
  <si>
    <r>
      <rPr>
        <u/>
        <sz val="8"/>
        <rFont val="Arial"/>
      </rPr>
      <t>dhrishajewelspvtltd@outlook.com</t>
    </r>
  </si>
  <si>
    <t>Dainik_Gothi</t>
  </si>
  <si>
    <t>Dainik Gothi</t>
  </si>
  <si>
    <t>Sales Executive</t>
  </si>
  <si>
    <t>MAHAVIR-HARDWARE-STUDIO_RAMESH-JAIN</t>
  </si>
  <si>
    <r>
      <rPr>
        <u/>
        <sz val="8"/>
        <rFont val="sans-serif"/>
      </rPr>
      <t>mahavirhardwarestudio@gmail.com</t>
    </r>
  </si>
  <si>
    <t>RAMESH_JAIN</t>
  </si>
  <si>
    <t>MAHAVIR HARDWARE STUDIO</t>
  </si>
  <si>
    <t>RAMESH JAIN</t>
  </si>
  <si>
    <t>OWNER</t>
  </si>
  <si>
    <t>NIKITA-HARDWARE_BHAGWAN-JAIN</t>
  </si>
  <si>
    <r>
      <rPr>
        <u/>
        <sz val="8"/>
        <rFont val="Arial"/>
      </rPr>
      <t>nikitahardware@gmail.com</t>
    </r>
  </si>
  <si>
    <t>BHAGWAN_JAIN</t>
  </si>
  <si>
    <t>NIKITA HARDWARE</t>
  </si>
  <si>
    <t>BHAGWAN JAIN</t>
  </si>
  <si>
    <t>1734866593_12c663ff8d2c45c92f26.png</t>
  </si>
  <si>
    <t>LEADERSHIP-WITH-DEEPA_DEEPA-PADDA</t>
  </si>
  <si>
    <r>
      <rPr>
        <u/>
        <sz val="8"/>
        <rFont val="sans-serif"/>
      </rPr>
      <t>d@leadershipwithdeepa.com</t>
    </r>
  </si>
  <si>
    <t>DEEPA_PADDA</t>
  </si>
  <si>
    <t>LEADERSHIP WITH DEEPA</t>
  </si>
  <si>
    <t>DEEPA PADDA</t>
  </si>
  <si>
    <t>FOUNDER</t>
  </si>
  <si>
    <t>#f8f8f8</t>
  </si>
  <si>
    <t>1379.jpeg</t>
  </si>
  <si>
    <t>GLISNA_NIRALI-CHARANIYA</t>
  </si>
  <si>
    <r>
      <rPr>
        <u/>
        <sz val="8"/>
        <rFont val="Arial"/>
        <scheme val="minor"/>
      </rPr>
      <t>NFO@GLISNA.COM</t>
    </r>
  </si>
  <si>
    <t>MRS.NIRALI_CHARANIYA</t>
  </si>
  <si>
    <t>GLISNA</t>
  </si>
  <si>
    <t>MRS.NIRALI CHARANIYA</t>
  </si>
  <si>
    <t>FOUNDER &amp; CEO</t>
  </si>
  <si>
    <t>#0f4c0f</t>
  </si>
  <si>
    <t>1734851350_ddf0a43a887cbb47b243.png</t>
  </si>
  <si>
    <t>Hair Care Products</t>
  </si>
  <si>
    <t>1734852287_813d5415352812d2363e.webp</t>
  </si>
  <si>
    <t>Skin Care Products</t>
  </si>
  <si>
    <t>1734852300_c719c299ecbb844b0bd6.webp</t>
  </si>
  <si>
    <t>Combo</t>
  </si>
  <si>
    <t>1734852316_08970e086798a018e331.jpg</t>
  </si>
  <si>
    <t>ONE-CLICK-LOGISTICS-INDIA-LIMITED_MAHESH-BHANUSHALI/1380</t>
  </si>
  <si>
    <r>
      <rPr>
        <u/>
        <sz val="8"/>
        <rFont val="sans-serif"/>
      </rPr>
      <t>mahesh@1click.co.in</t>
    </r>
  </si>
  <si>
    <t>Mahesh_Bhanushali</t>
  </si>
  <si>
    <t>One Click Logistics India Limited</t>
  </si>
  <si>
    <t>Mahesh Bhanushali</t>
  </si>
  <si>
    <t>OneClick is a dynamic and professional freight forwarding and logistics company, renowned for its proficiency in the fastest and safest cargo delivery. We aim to provide customers in the field of Freight Forwarding and Warehousing that corresponds well with extensive business solutions all over the world. As a leading freight forwarding company with an experience of 20 years, we feel happy to personalize all our services in accordance with the customers’ needs and logistics flow.</t>
  </si>
  <si>
    <t>https://www.1click.co.in/</t>
  </si>
  <si>
    <t>#1e8fd6</t>
  </si>
  <si>
    <t>Air Frieght</t>
  </si>
  <si>
    <t>1734851497_13bcc7b2a29e29935e46.jpg</t>
  </si>
  <si>
    <t>Ocean Frieght</t>
  </si>
  <si>
    <t>1734851509_e1516efd0e80bb4e9410.jpg</t>
  </si>
  <si>
    <t>Warehousing</t>
  </si>
  <si>
    <t>1734851519_6d04a7749b468f8e00e8.jpg</t>
  </si>
  <si>
    <t>image</t>
  </si>
  <si>
    <t>Society-Stores</t>
  </si>
  <si>
    <t>Society-Stores-Laxmichand-Gada</t>
  </si>
  <si>
    <t>Society-Stores_Manan-Gada</t>
  </si>
  <si>
    <t>Urbansports_Antonio-D'silva-School</t>
  </si>
  <si>
    <t>Urbansports_Marine-Drive-Hindu-Gym</t>
  </si>
  <si>
    <t>Urbansports_MAHALAXMI-EVERGREEN-IND.-ESTATE</t>
  </si>
  <si>
    <t>Urbansports_Dadar-Antonia-D%E2%80%99silva-High-School</t>
  </si>
  <si>
    <t>Urbansports_SHIVAJI-PARK-ANTONIO-D'SILVA-TECHNICALh-SCHOOL</t>
  </si>
  <si>
    <t>Urbansports_SHIVAJI-PARK-The-Park-Club</t>
  </si>
  <si>
    <t>Urbansports_SANTACRUZ-BALKANJI</t>
  </si>
  <si>
    <t>Urbansports_Juhu-Ritambhara-College</t>
  </si>
  <si>
    <t>Urbansports_Prabodhan-Thackrey</t>
  </si>
  <si>
    <t>Urbansports_ANDHERI-JANKI-DEVI-SCHOOL</t>
  </si>
  <si>
    <t>Urbansports_PRABODHAN-KRIDA-Bhawan</t>
  </si>
  <si>
    <t>Urbansports_SWAMI-VIVEKANAND-SCHOOL</t>
  </si>
  <si>
    <t>Urbansports_Thakur-INTERNATIONAL-SCHOOL</t>
  </si>
  <si>
    <t>Urbansports_I.C.-Colony-C.P.-Goenka-School</t>
  </si>
  <si>
    <t>Urbansports_CHOGALE-H.-SCHOOL</t>
  </si>
  <si>
    <t>Urbansports_FIVE-GARDEN-ST.JOSEPH-SCHOOL</t>
  </si>
  <si>
    <t>Urbansports_GOREGAON-BANGUR-NAGAR</t>
  </si>
  <si>
    <t>Urbansports_NARAYAN-GURU-College</t>
  </si>
  <si>
    <t>Urbansports_ST-XAVIERS-SCHOOL</t>
  </si>
  <si>
    <t>Urbansports_TERNA-COLLEGE</t>
  </si>
  <si>
    <t>Urbansports_N.R.-BHAGAT-SCHOOL</t>
  </si>
  <si>
    <t>Urbansports_C.P.-Goenka-School</t>
  </si>
  <si>
    <t>Urbansports_UPVAN-LAKE</t>
  </si>
  <si>
    <t>Urbansports_RUSTOMJEE-INT.-SCHOOL</t>
  </si>
  <si>
    <t>Urbansports_Indo-Scot-Globa.-School</t>
  </si>
  <si>
    <t>Urbansports_Terna-Sports-Turf</t>
  </si>
  <si>
    <t>Urbansports_Asalfa</t>
  </si>
  <si>
    <t>Urbansports_NES-Bhandup-Turf</t>
  </si>
  <si>
    <t>Urbansports-Cooperage</t>
  </si>
  <si>
    <t>Urbansports_SVIS</t>
  </si>
  <si>
    <t>data not found</t>
  </si>
  <si>
    <t>BIOPOLE_AKSHATA-JOSHI</t>
  </si>
  <si>
    <t>akshata@biopole.in</t>
  </si>
  <si>
    <t>Akshata_Biopole</t>
  </si>
  <si>
    <t>Biopole</t>
  </si>
  <si>
    <t>Akshata Joshi</t>
  </si>
  <si>
    <t>Channel Sales Specialist</t>
  </si>
  <si>
    <t>At Biopole, our products begin with nature and end with purpose. Using sustainably sourced raw materials, we craft high-quality additives like antioxidants, antiozonants &amp; antifungal agents without compromising the ecosystems we depend on. From field to finish, each step in our process honors biodiversity, transforming responsibly gathered resources into powerful additives that enhance durability and performance—because a better product shouldn’t come at the earth’s expense.</t>
  </si>
  <si>
    <t>https://www.biopole.in/</t>
  </si>
  <si>
    <t>1733396502_3f721ff0bdbf6adeca6e.png</t>
  </si>
  <si>
    <t>BIOPOLE_KEDAR-JADHAV</t>
  </si>
  <si>
    <t>kedarjadhav@biopole.in</t>
  </si>
  <si>
    <t>Kedar_Biopole</t>
  </si>
  <si>
    <t>Kedar Jadhav</t>
  </si>
  <si>
    <t>Technical Manager</t>
  </si>
  <si>
    <t>https://biopole.in</t>
  </si>
  <si>
    <t>1733396644_486e5567540d4f57218e.png</t>
  </si>
  <si>
    <t>BIOPOLE_MIHIIKA-A-SAMPAT</t>
  </si>
  <si>
    <t>mihiikaasampat@elastochemie.com</t>
  </si>
  <si>
    <t>Mahika_Sampade</t>
  </si>
  <si>
    <t>Mihiika A Sampat</t>
  </si>
  <si>
    <t>www.biopole.in</t>
  </si>
  <si>
    <t>1733393529_9b3a0de816a15d418f76.jpg</t>
  </si>
  <si>
    <t>1733393529_78c83f4561466577717a.png</t>
  </si>
  <si>
    <t>NISARG-GANDHI</t>
  </si>
  <si>
    <t>nisarggandhi2242@gmail.com</t>
  </si>
  <si>
    <t>Nisarg_Gandhi</t>
  </si>
  <si>
    <t>NISARG GANDHI DESIGNS</t>
  </si>
  <si>
    <t>NISARG GANDHI</t>
  </si>
  <si>
    <t>The Freelancer</t>
  </si>
  <si>
    <t>You are not reading even 10% of what and who I am, for that you'd have to connect with me. But you may think what is in it for you? You will meet someone who is dedicated, passionate and above all a creative person who will, with an experience over 6+ years, give you the best of the ideas and designs.</t>
  </si>
  <si>
    <t>https://just-feel-555523.framer.app/</t>
  </si>
  <si>
    <t>1733384615_d01cfa7f8338b56c5199.jpeg</t>
  </si>
  <si>
    <t>AIR-TECH-PNEUMATICS_NITIN-GHADGE</t>
  </si>
  <si>
    <t>airtechnitin@gmail.com</t>
  </si>
  <si>
    <t>AIrtech_Nitin</t>
  </si>
  <si>
    <t>AIR TECH PNEUMATICS</t>
  </si>
  <si>
    <t>NITIN S GHADGE</t>
  </si>
  <si>
    <t>Empowering precision with AIR TECH PNEUMATIC. Crafting excellence in pneumatic valves &amp; accessories.</t>
  </si>
  <si>
    <t>1733465693_b2003f3a77c4cf056d77.png</t>
  </si>
  <si>
    <t>1733465938_71a61ae92b8487065668.jpeg</t>
  </si>
  <si>
    <t>KVAR_VIBHA-MEHTA</t>
  </si>
  <si>
    <t>connect@kvar.design</t>
  </si>
  <si>
    <t>Vibha_Mehta</t>
  </si>
  <si>
    <t>KVAR</t>
  </si>
  <si>
    <t>Vibha Mehta</t>
  </si>
  <si>
    <t>Founder &amp; Principal Designer</t>
  </si>
  <si>
    <t>Head of Design, an internationally acclaimed interior designer, brings a decade of experience in styling private homes, hotels, and palaces worldwide. With an impressive portfolio that includes iconic spaces such as Taj Mahal Palace Towers in Mumbai, The Lake Palace Udaipur, and Hotel Du Collectionneur Paris, she collaborates with renowned designers for design and styling on a global scale.</t>
  </si>
  <si>
    <t>https://www.kvar.design/</t>
  </si>
  <si>
    <t>1735623401_23c02716ee04aca93eab.jpeg</t>
  </si>
  <si>
    <t>1734678790_92a4690b55f93ed7f8b9.png</t>
  </si>
  <si>
    <t>KVAR_KUNAL-MEHTA</t>
  </si>
  <si>
    <t>Kunal_Mehta</t>
  </si>
  <si>
    <t>Kunal Mehta</t>
  </si>
  <si>
    <t>Principal Designer of KVAR, seamlessly merges his business acumen with a passion for interior design. Armed with a Masters in Business Management &amp; International Marketing from the University of Hertfordshire, Hatfield – London, he channels his expertise into crafting extraordinary interior spaces.</t>
  </si>
  <si>
    <t>https://kanchidesigns.com/</t>
  </si>
  <si>
    <t>1735623893_374b177e41d34dfad3d9.jpg</t>
  </si>
  <si>
    <t>1734678200_1dfea370a7a547bc0fa3.png</t>
  </si>
  <si>
    <t>GRAS-I</t>
  </si>
  <si>
    <t>enquiry@grasi.in</t>
  </si>
  <si>
    <t>Grasi</t>
  </si>
  <si>
    <t>Gras Impex Pvt Ltd</t>
  </si>
  <si>
    <t>LLumar India</t>
  </si>
  <si>
    <t>Surface Solution</t>
  </si>
  <si>
    <t>Founded in 1997, we have gained significant experience and expertise in surface solutions over the past two decades. As a reputable player in the industry today, we are consistently striving to offer innovative and high-quality solutions that cater to all customer needs while standing head-to-head with future trends.</t>
  </si>
  <si>
    <t>https://www.grasi.in/</t>
  </si>
  <si>
    <t>1733815417_6ddfc0722275278c0242.png</t>
  </si>
  <si>
    <t>EVEN-BETTER-ADS_TUSHAR-BOTHRA</t>
  </si>
  <si>
    <t>tushar.evenbetter@gmail.com</t>
  </si>
  <si>
    <t>Tushar</t>
  </si>
  <si>
    <t>Tushar Bothra</t>
  </si>
  <si>
    <t>BD Manager/Executive</t>
  </si>
  <si>
    <t>https://evenbetter.co.in/</t>
  </si>
  <si>
    <t>1735184997_2820f59f8fc97a740b81.jpeg</t>
  </si>
  <si>
    <t>BNI-TRIUMMPH_SAPNA-NARULA</t>
  </si>
  <si>
    <t>BNI-TRIUMMPH_VISHWAS-K-BAVISI</t>
  </si>
  <si>
    <t>LLumar_Autoclinic_Sagar-Jetva</t>
  </si>
  <si>
    <t>INVENTO-RESTAURANT-AND-CATERING-SERVICES_ARUN-GUPTA</t>
  </si>
  <si>
    <t>INVENTO RESTAURANT AND CATERING SERVICES</t>
  </si>
  <si>
    <t>ARUN GUPTA</t>
  </si>
  <si>
    <t>1735903637_fefdfdded4444cabded3.jpeg</t>
  </si>
  <si>
    <t>1734770702_85774216bc9ca058c793.jpg</t>
  </si>
  <si>
    <t>BNI-TRIUMMPH_URWIZ-CHAWDA</t>
  </si>
  <si>
    <t>URWIZ CHAWDA BNI TRIUMMPH</t>
  </si>
  <si>
    <t>1735877601_6ae7cd9c39a5c4be0adf.png</t>
  </si>
  <si>
    <t>1735877601_92c215ad9bf59cdbba20.png</t>
  </si>
  <si>
    <t>BNI-TRIUMMPH_HARSHA-NACHNE</t>
  </si>
  <si>
    <t>Bfit by Harsha</t>
  </si>
  <si>
    <t>HARSHA NACHNE BNI TRIUMMPH</t>
  </si>
  <si>
    <t>Nutritionist</t>
  </si>
  <si>
    <t>I am a passionate Nutritionist helping individuals to live a healthy life by making dietary changes.</t>
  </si>
  <si>
    <t>1735878217_e2bd2bf86cd2165dd6ef.png</t>
  </si>
  <si>
    <t>1735878217_87a8a4f13d49d671c47d.png</t>
  </si>
  <si>
    <t>Kabirr Zariwala</t>
  </si>
  <si>
    <t>Web Colors Digital</t>
  </si>
  <si>
    <t>OPC-ASSET-SLOUTIONS-PVT-LTD_R-VENKATASAN</t>
  </si>
  <si>
    <t>OPC Asset Solutions Pvt Ltd</t>
  </si>
  <si>
    <t>R Venkatasan</t>
  </si>
  <si>
    <t>At OPC Asset Solutions, we help your business retain its competitive edge by empowering you to keep up with the latest technology and infrastructure without worrying about huge investments. It is a known fact that , organizations succeed only by concentrating on its core business rather than grappling with asset management, cost of ownership, rapid obsolescence, skyrocketing technology upgrade costs etc.</t>
  </si>
  <si>
    <t>https://www.opc.co.in/</t>
  </si>
  <si>
    <t>1736404429_fb146a41233cecc7bae6.png</t>
  </si>
  <si>
    <t>OPC-ASSET-SOLUTIONS-PVT-LTD_PARAG-KAPASI</t>
  </si>
  <si>
    <t>PARAG KAPASI</t>
  </si>
  <si>
    <t>Executive Director</t>
  </si>
  <si>
    <t>1736405388_351c6d0fc812fde42be9.png</t>
  </si>
  <si>
    <t>Jyoti-Mishra_Affable-Property-Consultants</t>
  </si>
  <si>
    <t>Affable Property Consultants</t>
  </si>
  <si>
    <t>#000018</t>
  </si>
  <si>
    <t>1736504996_fcffc76f2c7d0ea96982.jpg</t>
  </si>
  <si>
    <t>Sneha</t>
  </si>
  <si>
    <t>Mahadev Enterprise</t>
  </si>
  <si>
    <t>Sales Director</t>
  </si>
  <si>
    <t>We are leading manufacturer of we spoke Outdoor furniture. We were closely with builders resort owners, and hotels across India.</t>
  </si>
  <si>
    <t>#000019</t>
  </si>
  <si>
    <t>1736436041_383ecf070f7ebfa8a7f1.jpeg</t>
  </si>
  <si>
    <t>1736436041_445e367f7d78a39bc62a.jpeg</t>
  </si>
  <si>
    <t>Chandan-Saple_Mahaveer-Motors</t>
  </si>
  <si>
    <t>Mahaveer Motors</t>
  </si>
  <si>
    <t>Chandan Saple</t>
  </si>
  <si>
    <t>Hello Chandan this side from Mahaveer Motors which is manged by Big Boy Bakes. We are into buying and selling of old and new two and four wheelers.</t>
  </si>
  <si>
    <t>#000020</t>
  </si>
  <si>
    <t>1736442555_fb51dbfa7c3964422d69.jpeg</t>
  </si>
  <si>
    <t>1739779989_7a9b47392faf1253ebe3.jpeg</t>
  </si>
  <si>
    <t>Drashti-Sapra_A-to-Z-Services</t>
  </si>
  <si>
    <t>A to Z Services</t>
  </si>
  <si>
    <t>Drashti Sapra</t>
  </si>
  <si>
    <t>Legal Consultant</t>
  </si>
  <si>
    <t>#000021</t>
  </si>
  <si>
    <t>1736783548_827f30b67830f2e78837.jpg</t>
  </si>
  <si>
    <t>1736783548_1f3f93f94cae751257ce.jpg</t>
  </si>
  <si>
    <t>VishVibesbySaloni</t>
  </si>
  <si>
    <t>Saloni Kothari</t>
  </si>
  <si>
    <t>Saloni is a certified nutritionist, NLP practitioner and Life Coach. She has worked with individuals to asses their current dietary habits, identify areas for improvement, and develop personalized plans to help clients achieve their health goals. She has also worked with groups and organizations to develop educational programs and initiatives aimed at promoting healthy eating habits and preventing nutrition-related health problems. She has been a regular speaker at colleges and corporates sharing knowledge and her life transformational journey. Her experience of 7 years have Transformed more than 1000 lives.</t>
  </si>
  <si>
    <t>https://salonikothari.in/</t>
  </si>
  <si>
    <t>#000022</t>
  </si>
  <si>
    <t>1737183142_5599c875af25ff11770c.jpg</t>
  </si>
  <si>
    <t>1737038668_1fd2b364c828e8d45cb1.jpeg</t>
  </si>
  <si>
    <t>RAJMANI-KORI</t>
  </si>
  <si>
    <t>LIC , Mediclaim</t>
  </si>
  <si>
    <t>Rajmani Kori</t>
  </si>
  <si>
    <t>Consultant</t>
  </si>
  <si>
    <t>"As a dedicated LIC and Mediclaim agent, I am committed to helping you secure your financial future and protect your health. With extensive experience and in-depth knowledge of insurance products, I provide tailored solutions that meet your unique needs and goals. My priority is to offer reliable and transparent advice, ensuring you have peace of mind and confidence in your coverage. Let’s work together to build a safer and healthier tomorrow."</t>
  </si>
  <si>
    <t>https://licindia.in</t>
  </si>
  <si>
    <t>#000023</t>
  </si>
  <si>
    <t>1737033117_96f090943e01cd8fe6f6.png</t>
  </si>
  <si>
    <t>1737032931_6302f7a5dfe9af16a520.jpg</t>
  </si>
  <si>
    <t>MOHIT_STYLE_STUDIO</t>
  </si>
  <si>
    <t>MOHIT STYLE STUDIO</t>
  </si>
  <si>
    <t>MOHIT SHARMA</t>
  </si>
  <si>
    <t>"At MOHIT STYLE STUDIO, we are dedicated to providing exceptional barbering services with a personal touch. Led by Mohit, our skilled team of professionals is committed to delivering top-notch haircuts, shaves, and grooming experiences that leave you looking and feeling your best. We pride ourselves on creating a welcoming and stylish environment where every client feels valued and appreciated. Come visit us and discover why MOHIT STYLE STUDIO is the go-to destination for all your grooming needs."</t>
  </si>
  <si>
    <t>#000024</t>
  </si>
  <si>
    <t>1737043790_3426aeb14ecf8f5d4cac.png</t>
  </si>
  <si>
    <t>1737045175_1da49313ddfcc6f08743.jpg</t>
  </si>
  <si>
    <t>SOCIAL-OUTREACH_PREKSHA-JAIN/282</t>
  </si>
  <si>
    <t>Socialoutstrech</t>
  </si>
  <si>
    <t>Preksha Jain</t>
  </si>
  <si>
    <t>www.socialoutstrech.com</t>
  </si>
  <si>
    <t>#000025</t>
  </si>
  <si>
    <t>Sona-TV-Centre_Sampatraj-J-Surana</t>
  </si>
  <si>
    <t>Sona TV Centre &amp; Furniture</t>
  </si>
  <si>
    <t>Sona TV Centre</t>
  </si>
  <si>
    <t>#000026</t>
  </si>
  <si>
    <t>1737275074_d12a227d06786a60a560.png</t>
  </si>
  <si>
    <t>MANEK-GUPTA_VITERRA-THE-AGRICULTURE-NETWORK</t>
  </si>
  <si>
    <t>Standard Chartered Bank</t>
  </si>
  <si>
    <t>Archit Mantri</t>
  </si>
  <si>
    <t>Team Leader Acquisition</t>
  </si>
  <si>
    <t>#000027</t>
  </si>
  <si>
    <t>ARCHIT-MANTRI</t>
  </si>
  <si>
    <t>White Company</t>
  </si>
  <si>
    <t>Abhayraj Singh Kohli</t>
  </si>
  <si>
    <t>98214 22333</t>
  </si>
  <si>
    <t>#000028</t>
  </si>
  <si>
    <t>WHITE-COMPANY_ABHAYRAJ-SINGH-KOHLI</t>
  </si>
  <si>
    <t>PureDust</t>
  </si>
  <si>
    <t>Surbhi Mantri</t>
  </si>
  <si>
    <t>Co founder</t>
  </si>
  <si>
    <t>https://amzn.to/363ljfM</t>
  </si>
  <si>
    <t>#000029</t>
  </si>
  <si>
    <t>1738397980_28eca98d8a9bbb73f58d.png</t>
  </si>
  <si>
    <t>PURE-DUST_SURBHI-MANTRI</t>
  </si>
  <si>
    <t>M/s. Global Nanotech</t>
  </si>
  <si>
    <t>Mr. Jinesh S. Shah</t>
  </si>
  <si>
    <t>Gnano Is An Engineering Company Based In Mumbai, India. The Team Has Over 14 Years Of Experience Designing And Manufacturing Battery Equipment Ranging From Small Scale R&amp;D To Large Scale Manufacturing.</t>
  </si>
  <si>
    <t>www.gnanoworld.com</t>
  </si>
  <si>
    <t>#000030</t>
  </si>
  <si>
    <t>1739259155_c00ec529c53131d73e55.jpeg</t>
  </si>
  <si>
    <t>1739259155_a00031423b79399cbc00.png</t>
  </si>
  <si>
    <t>M-s-Global-Nanotech_Mr-Jinesh-S-Shah</t>
  </si>
  <si>
    <t>Madhavbaug Tardeo Clinic</t>
  </si>
  <si>
    <t>Dr. Anagha Vivek Kharolkar</t>
  </si>
  <si>
    <t>Doctor- Ayurved</t>
  </si>
  <si>
    <t>Specialized in doing advanced therapies that are Non-invasive &amp; effective in reversing Lifestyle disorders like- Chronic Heart Disease, Diabetes, High BP (Hypertension), Obesity, High Cholesterol, Thyroid disease, Joint pain (Arthritis), Cervical &amp; Lumbar Spondylosis, Help you in Diagnosis, Do Expert Doctor's Consultation -Ayurvedic Medicines, Panchakarma treatments, Exercise &amp; Lifestyle modification -Diet Kits -Investigations &amp; Monitoring</t>
  </si>
  <si>
    <t>https://madhavbaug.org</t>
  </si>
  <si>
    <t>#000031</t>
  </si>
  <si>
    <t>Ira-Jain_Velcord-Textile</t>
  </si>
  <si>
    <t>Velcord</t>
  </si>
  <si>
    <t>Ira</t>
  </si>
  <si>
    <t>Since inception in 1981, Velcord Textiles Pvt. Ltd. has been continuously expanding to meet the market demand for superior quality fabrics. Headquartered in Mumbai, the commercial capital of India, Velcord’s manufacturing operations are strategically spread throughout western India. Catering exclusively to international brands as well as the garment export markets for several years, Velcord is known for its high quality standards, timely deliveries and superb customer service</t>
  </si>
  <si>
    <t>https://corduroy.in</t>
  </si>
  <si>
    <t>username</t>
  </si>
  <si>
    <t>password</t>
  </si>
  <si>
    <t>BNI_Triummph</t>
  </si>
  <si>
    <t>BNI_Lighthouse</t>
  </si>
  <si>
    <t>Bajaj@123</t>
  </si>
  <si>
    <t>BNI_Infinite</t>
  </si>
  <si>
    <t>Kashish_Furnishing</t>
  </si>
  <si>
    <t>Vasupati_Jewellers</t>
  </si>
  <si>
    <t>AshishLifeScience</t>
  </si>
  <si>
    <t>Game_Drive</t>
  </si>
  <si>
    <t>sr.no</t>
  </si>
  <si>
    <t>url_name</t>
  </si>
  <si>
    <t>url_code</t>
  </si>
  <si>
    <t>qr_image</t>
  </si>
  <si>
    <t>company_name</t>
  </si>
  <si>
    <t>full_name</t>
  </si>
  <si>
    <t>designation</t>
  </si>
  <si>
    <t>about_company</t>
  </si>
  <si>
    <t>primary_contact</t>
  </si>
  <si>
    <t>email on card</t>
  </si>
  <si>
    <t>whatsapp_number</t>
  </si>
  <si>
    <t>primary_address</t>
  </si>
  <si>
    <t>location_link</t>
  </si>
  <si>
    <t>website</t>
  </si>
  <si>
    <t>template_id</t>
  </si>
  <si>
    <t>qrcode_1733503752.png</t>
  </si>
  <si>
    <t>Peninsula Corporate Park, Ganapatrao Kadam Marg, Lower Parel, Lower Parel West, Mumbai Maharasthra</t>
  </si>
  <si>
    <t>aditya.bhat@azbpartners.com</t>
  </si>
  <si>
    <t>7th Floor, Embassy Icon, Infantry Road, Bangalore Karnataka</t>
  </si>
  <si>
    <t>BRIJESH-RATHOD</t>
  </si>
  <si>
    <t>qrcode_1733509113.png</t>
  </si>
  <si>
    <t>brijeshrathod892@gmail.com</t>
  </si>
  <si>
    <t>Mumbai.</t>
  </si>
  <si>
    <t>qrcode_1735133239.png</t>
  </si>
  <si>
    <t>Antop Hill Ware Housing Co. Limited, Unit No. C-339, V.I.T. College Road, MUMBAI Maharashtra</t>
  </si>
  <si>
    <t>qrcode_1736395239.png</t>
  </si>
  <si>
    <t>qrcode_1733502236.png</t>
  </si>
  <si>
    <t>jasshah456@gmail.com</t>
  </si>
  <si>
    <t>qrcode_1733509635.png</t>
  </si>
  <si>
    <t>RAAJEEV MEHTA ATUL MEHTA</t>
  </si>
  <si>
    <t>rajeev.mehta73@gmail.com</t>
  </si>
  <si>
    <t>qrcode_1733509807.png</t>
  </si>
  <si>
    <t>dhirajpokharana1982@gmail.com</t>
  </si>
  <si>
    <t>Store No.U/, S.S.S Nagar, Koliwada, Sion, Mumbai-400 037.</t>
  </si>
  <si>
    <t>qrcode_1733512961.png</t>
  </si>
  <si>
    <t>5555setuz@gmail.com</t>
  </si>
  <si>
    <t>Unit No. 3, 4, 5, 6, First floor, Sheetal Industrial Estate,</t>
  </si>
  <si>
    <t>qrcode_1733510391.png</t>
  </si>
  <si>
    <t>vinaygpathak@gmail.com</t>
  </si>
  <si>
    <t>412-415, Tulsiani Chambers, Nariman Point.</t>
  </si>
  <si>
    <t>sahilpunmiya786@gmail.com</t>
  </si>
  <si>
    <t>No.2, Ram Mandir, Gala No 5, Singh Ind. Estate,</t>
  </si>
  <si>
    <t>qrcode_1733510835.png</t>
  </si>
  <si>
    <t>Shop No. 26, 4th Floor, Alliance Building Mumbai Maharashtra</t>
  </si>
  <si>
    <t>qrcode_1733514258.png</t>
  </si>
  <si>
    <t>accounts@vlitefurnitech.com</t>
  </si>
  <si>
    <t>chopstick099@gmail.com</t>
  </si>
  <si>
    <t>Maruti Clothing,Chopstick T-Shirts,Plot no 711,Phase 2,New GIDC,Gundlav,Valsad - 396035 Valsad Gujarat</t>
  </si>
  <si>
    <t>qrcode_1733511138.png</t>
  </si>
  <si>
    <t>Srishti Mansukh Kothari</t>
  </si>
  <si>
    <t>srishti.kothari14@gmail.com</t>
  </si>
  <si>
    <t>104, Giriraj Building, 1st Floor, 226/230, Mumbai Maharastra</t>
  </si>
  <si>
    <t>qrcode_1733511732.png</t>
  </si>
  <si>
    <t>Mens Ethnic Wear And Shirts Trousers Jeans Since 1985</t>
  </si>
  <si>
    <t>11, Prasad Shopping Centre, Opp. Rly. Station Mumbai Maharashtra</t>
  </si>
  <si>
    <t>qrcode_1733512532.png</t>
  </si>
  <si>
    <t>qrcode_1733511358.png</t>
  </si>
  <si>
    <t>AVNIP KOTHARI</t>
  </si>
  <si>
    <t>104, Giriraj Building, 1st Floor, 226/230, Mumbai-400002, Mumbai. Mumbai Maharashtra</t>
  </si>
  <si>
    <t>qrcode_1733511402.png</t>
  </si>
  <si>
    <t>MUKESH KOTHARI</t>
  </si>
  <si>
    <t>qrcode_1733511468.png</t>
  </si>
  <si>
    <t>MANSUKH KOTHARI</t>
  </si>
  <si>
    <t>qrcode_1733511570.png</t>
  </si>
  <si>
    <t>Nishi Kothari</t>
  </si>
  <si>
    <t>qrcode_1733512772.png</t>
  </si>
  <si>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</si>
  <si>
    <t>bhaveshs309@gmail.com</t>
  </si>
  <si>
    <t>Shop no 40, Dagina bazar, mumbadevi road, Mumbai Maharashtra</t>
  </si>
  <si>
    <t>Vishal P Jain</t>
  </si>
  <si>
    <t>qrcode_1733513012.png</t>
  </si>
  <si>
    <t>Manish Jain</t>
  </si>
  <si>
    <t>manishhingarh49@gmail.com</t>
  </si>
  <si>
    <t>RAVI P JAIN</t>
  </si>
  <si>
    <t>qrcode_1733513710.png</t>
  </si>
  <si>
    <t>kuunjalpaal@gmail.com</t>
  </si>
  <si>
    <t>qrcode_1733513976.png</t>
  </si>
  <si>
    <t>MALLICK S PAREKH</t>
  </si>
  <si>
    <t>202 Krishna Niwas Mumbai Maharashtra</t>
  </si>
  <si>
    <t>qrcode_1733514093.png</t>
  </si>
  <si>
    <t>amit.primera@gmail.com</t>
  </si>
  <si>
    <t>naveen_sky81@yahoo.com</t>
  </si>
  <si>
    <t>qrcode_1733514587.png</t>
  </si>
  <si>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</si>
  <si>
    <t>sanjaygoyal70@gmail.com</t>
  </si>
  <si>
    <t>qrcode_1733513835.png</t>
  </si>
  <si>
    <t>qrcode_1737172652.png</t>
  </si>
  <si>
    <t>Tejas is highly passionate about providing world-class Air-conditioning experience to their clients, he has 25 years of rich experience in the HVAC industry. He strongly believes that a precise harmony between temperature, humidity, and indoor air quality is needed for a comfortable ambience. Tejas started HVAC journey from Surat and to pursue his dreams reached the City of dreams Mumbai and established CAPL in the year 2000. The past 25 years were an eventful one wherein Turn-Key HVAC Solutions were provided to various clients from high-end residential to commercial to industrial segments.</t>
  </si>
  <si>
    <t>admin@cosmosaircon.com</t>
  </si>
  <si>
    <t>101 ,1st Floor, Niraj Industrial Premises Co-operative Soc. Ltd. Mumbai Maharashtra</t>
  </si>
  <si>
    <t>https://cosmosaircon.com/</t>
  </si>
  <si>
    <t>qrcode_1736395780.png</t>
  </si>
  <si>
    <t>qrcode_1736397563.png</t>
  </si>
  <si>
    <t>nikhil@bni-india.in</t>
  </si>
  <si>
    <t>C Wing 915, One BKC, BKC,</t>
  </si>
  <si>
    <t>Mahalaxmi Industrial Estate, Gr. Flr , Unit 15 Mumbai Maharashtra</t>
  </si>
  <si>
    <t>amit_jain357@yahoo.co.in</t>
  </si>
  <si>
    <t>pravin_jain357@yahoo.co.in</t>
  </si>
  <si>
    <t>qrcode_1733521200.png</t>
  </si>
  <si>
    <t>Velcord Textiles Pvt. Ltd., Plot No. 23, Mira Cooperative Industrial Estate, Thane District , Pin 401107, India</t>
  </si>
  <si>
    <t>qrcode_1733521306.png</t>
  </si>
  <si>
    <t>qrcode_1736411780.png</t>
  </si>
  <si>
    <t>7, Citi Mall, New Link Road, Andheri West, Mumbai - 400053</t>
  </si>
  <si>
    <t>https://www.google.com/maps/place/Citi+Mall/@19.1386235,72.8314387,15z/data=!4m6!3m5!1s0x3be7b63cd0ce884f:0x5a3f9df6a2063fc5!8m2!3d19.1386235!4d72.8314387!16s%2Fg%2F11bz_0d2_n?entry=ttu&amp;g_ep=EgoyMDI0MTAxNi4wIKXMDSoASAFQAw%3D%3D</t>
  </si>
  <si>
    <t>http://www.samrutholidays.com/</t>
  </si>
  <si>
    <t>qrcode_1733571702.png</t>
  </si>
  <si>
    <t>Sulakshana Herekar</t>
  </si>
  <si>
    <t>3Cheers! is a full-service brand agency, offering creative services in ATL, BTL and Digital. From designing brand communication, to creating content for the digital space, to producing corporate videos... we offer all creative services under one roof. In a span of 7 years, we have built a portfolio that includes projects done for corporates like Reliance General Insurance, ICICI Prudential, Kokan Bazar, Reliance Smart Money, Tata AIA, Edelweiss, Sterling and Wilson (Shapoorji Pallonji Group), Western Railway, Saviesa Modular Furniture, Evowood, Marathon Trends, among others.</t>
  </si>
  <si>
    <t>A-606, La Chapelle, Evershine Nagar, Mumbai - 400064, Maharashtra</t>
  </si>
  <si>
    <t>https://3cheersads.com/</t>
  </si>
  <si>
    <t>qrcode_1733521596.png</t>
  </si>
  <si>
    <t>Masters in Counseling Psychology | Psychological Counsellor | E- Consulting | Graphologist| Signature Analyst| Art Therapist| Dream Analyst??</t>
  </si>
  <si>
    <t>lavchheda@gmail.com</t>
  </si>
  <si>
    <t>T-3/1204, Runwal Rosewood CHS, Mumbai Maharashtra</t>
  </si>
  <si>
    <t>qrcode_1733521793.png</t>
  </si>
  <si>
    <t>lalijain@gmail.com</t>
  </si>
  <si>
    <t>Shop no 2, Bhasin House, PD Hinduja road Mumbai Maharashtra</t>
  </si>
  <si>
    <t>qrcode_1733522121.png</t>
  </si>
  <si>
    <t>dimri.manoj@gmail.com</t>
  </si>
  <si>
    <t>qrcode_1733522289.png</t>
  </si>
  <si>
    <t>pratikmalde86@gmail.com</t>
  </si>
  <si>
    <t>The Playce, 1st Floor, Marathon Maxima, LBS Road Mumbai Maharashtra</t>
  </si>
  <si>
    <t>qrcode_1733522670.png</t>
  </si>
  <si>
    <t>simranvsonule99.ss@gmail.com</t>
  </si>
  <si>
    <t>qrcode_1733522808.png</t>
  </si>
  <si>
    <t>neenajamdade@gmail.com</t>
  </si>
  <si>
    <t>Mumbai</t>
  </si>
  <si>
    <t>https://njdigit.com/</t>
  </si>
  <si>
    <t>qrcode_1733522523.png</t>
  </si>
  <si>
    <t>C-10.Arafat Society, ShantiNiketan BLDG,</t>
  </si>
  <si>
    <t>qrcode_1733522970.png</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</si>
  <si>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 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 Saviesa has been founded by the pioneers of modular kitchens in India. These highly customer–focused experts, the founding Saviesa, with their knowledge, insights and expertise, gained in the field over two decades, bring you world-standard modular kitchens UNDEFINED UNDEFINED UNDEFINED UNDEFINED UNDEFINED NectarTreatss is a 10+yrs young company . We are manufacturer of premium chocolates and dryfruit products with 200+ varities of products, we are hampers curator at pan india. Chartered Accountant with 5+ years of experience in audit and assurance, financial accounting and reporting, Management consultancy (MIS), and taxation. Committed to providing the highest quality of service and maintaining the highest ethical standards. Chartered Accountant with 5+ years of experience in audit and assurance, financial accounting and reporting, Management consultancy (MIS), and taxation. Committed to providing the highest quality of service and maintaining the highest ethical standards. UNDEFINED Arihant-NX is leading wholesaler in the hardware industry established in the year 2002. With amazing experience of more than 20 years , Arihant-NX helps you to get the best products . 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 UNDEFINED 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 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 UNDEFINED 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 I make ordinary things extraordinary! Our motto 'Be the True You' encapsulates our ultimate vision of enabling our clients to live a life of confidence, passion, and authenticity. We aim to provide quality services to our clients to help them discover their true self. 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 Ÿ I am Adv Saaurabh B Chanddorkar &amp; my company is called Chandorkar &amp; Associates Ÿ We are into all kind of legal solutions for the last 5 years. Ÿ We are known for our legal expertise in the area of Registration of Trade Mark / Registration of Trust / Society / LLP / Company We are an interior design firm offering designing, styling and complete end to end design solutions for your spaces,from residential to commercial,retail and hospitality we lend our design services for all areas. 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 Anupalan is your e-Compliance Partner and a one stop portal for all your compliance obstacles. It’s user friendly software to ease company’s compliance for entrepreneur and professionals alike. We cater our clients in more than 30 industries with our decades of experience. 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 Custom jewelry manufacturer 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 Webinsight is an independent Web Development &amp; Digital Marketing Agency with the passion for crafting beautiful experiences. We are based out of Vasai, a beautiful suburb near Mumbai, and our office is located in Mumbai, INDIA. UNDEFINED UNDEFINED UNDEFINED 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 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Certified Professional MUA At PS Creation, we design elegant, effortless pieces that suit every occasion. All our creations are rooted in conscious luxury, and contemporary interpretations of craft.Be unique you with PS creation. I want to inspire people. I want someone to look at me and say, Because of you I didn't give up."</t>
  </si>
  <si>
    <t>Misneha2862@gmail.com</t>
  </si>
  <si>
    <t>qrcode_1733523034.png</t>
  </si>
  <si>
    <t>noor@noorbhimani.com</t>
  </si>
  <si>
    <t>207, Shoppers point, S.V Road, Andheri West Mumbai Maharashtra</t>
  </si>
  <si>
    <t>qrcode_1733523214.png</t>
  </si>
  <si>
    <t>Unit no. 6 Tukaram Bhandari compound Mumbai Maharashtra</t>
  </si>
  <si>
    <t>qrcode_1733523376.png</t>
  </si>
  <si>
    <t>At Pest Relief Services, we take pride in being a full-service professional pest control and bird netting corporation dedicated to safeguarding your health and property.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</si>
  <si>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sunil.akhade29@gmail.com</t>
  </si>
  <si>
    <t>Unit No. 6, Tukaram Bhandari Compound, Charkop Village, Charkop, Kandivali West, Mumbai - 400067</t>
  </si>
  <si>
    <t>https://pestreliefservices.com/</t>
  </si>
  <si>
    <t>qrcode_1733523464.png</t>
  </si>
  <si>
    <t>imagestores09@gmail.com</t>
  </si>
  <si>
    <t>208, Bussa Industrial Estate, Shankar Rao Naram Path Mumbai Maharashtra</t>
  </si>
  <si>
    <t>qrcode_1733523525.png</t>
  </si>
  <si>
    <t>qrcode_1733523622.png</t>
  </si>
  <si>
    <t>solution@chemtronicsindia.com</t>
  </si>
  <si>
    <t>qrcode_1736765503.png</t>
  </si>
  <si>
    <t>OFFICE NO 5, 2ND FLOOR , RAHIMTOOLA HOUSE , 7, HOMJI STREET, FORT MUMBAI MAHARASHTRA</t>
  </si>
  <si>
    <t>qrcode_1733523834.png</t>
  </si>
  <si>
    <t>qrcode_1734451869.png</t>
  </si>
  <si>
    <t>calalitgala@gmail.com</t>
  </si>
  <si>
    <t>101, The Playce, Marathon Maxima Mumbai Maharashtra</t>
  </si>
  <si>
    <t>qrcode_1734452100.png</t>
  </si>
  <si>
    <t>qrcode_1733524143.png</t>
  </si>
  <si>
    <t>mumbai@gatewayabroad.in</t>
  </si>
  <si>
    <t>Gateway Abroad, The Playce, 1st Floor, Marathon Maxima Mumbai Maharashtra</t>
  </si>
  <si>
    <t>darshilsavla853@gmail.com</t>
  </si>
  <si>
    <t>16/128, CCI Colony , Unnat Nagar 4, MG Road Mumbai Maharashtra</t>
  </si>
  <si>
    <t>abhishek.mksstudios@gmail.com</t>
  </si>
  <si>
    <t>corporate@lorven.eu</t>
  </si>
  <si>
    <t>gadamitul@gmail.com</t>
  </si>
  <si>
    <t>Gala No. 8 - A, Laxmi Industrial Estate, New Link Rd</t>
  </si>
  <si>
    <t>qrcode_1735134701.png</t>
  </si>
  <si>
    <t>At 3 Minds Digital, our dedicated team is committed to delivering exceptional services that drive mutual growth. With a focus on collaboration and innovation, we ensure that every partnership with us is a winning proposition. Our expert team combines experience and expertise to provide tailored solutions that meet your needs and propel your brand growth. We understand that your success is our success, and that's why we strive for win-win outcomes in every endeavour. For us, WIN WIN WIN focuses on win for the client, win for the team, and win for the company.</t>
  </si>
  <si>
    <t>harnish5393@gmail.com</t>
  </si>
  <si>
    <t>203, Akruti Star, MIDC Central Rd Mumbai Maharashtra</t>
  </si>
  <si>
    <t>Rockpunkstores@gmail.com</t>
  </si>
  <si>
    <t>qrcode_1733524261.png</t>
  </si>
  <si>
    <t>I am a multi-faceted photographer and artist. My photography could be described as life’s many compositions with the panorama of landscapes, the beauty of still life, and the realism of urban life. My goal is to bring to the palette the various marvels of life’s everyday wonders by utilizing my passion and vision of that certain moment in time. As an appreciator of realism and the abstract, my photography is honest, kind, at times humorous, and always done with passion</t>
  </si>
  <si>
    <t>Rahulsharma131193@gmail.com</t>
  </si>
  <si>
    <t>Mumbai - India Mumbai Maharashtra</t>
  </si>
  <si>
    <t>qrcode_1733524338.png</t>
  </si>
  <si>
    <t>714/715, Tulsiani Chambers, 212, Mumbai Maharashtra</t>
  </si>
  <si>
    <t>qrcode_1733524410.png</t>
  </si>
  <si>
    <t>qrcode_1733524499.png</t>
  </si>
  <si>
    <t>moryaenterprises002@gmail.com</t>
  </si>
  <si>
    <t>Saideep Building, Ground Floor, Maheshwari Park, At- Chambharli, Room-04 Tal- Khalapur, Dist- Raigad-410222 Rasayani Maharashtra</t>
  </si>
  <si>
    <t>qrcode_1733524744.png</t>
  </si>
  <si>
    <t>advsaaurabhbchanddorkar@gmail.com</t>
  </si>
  <si>
    <t>24, Gr Floor, Sarvoday Building Mumbai Maharashtra</t>
  </si>
  <si>
    <t>qrcode_1733524982.png</t>
  </si>
  <si>
    <t>dharnak@hotmail.com</t>
  </si>
  <si>
    <t>D n nagar, andheri west Mumbai Maharashtra</t>
  </si>
  <si>
    <t>qrcode_1733525079.png</t>
  </si>
  <si>
    <t>samveg.sm@gmail.com</t>
  </si>
  <si>
    <t>*Sheetal Mouthfreshners* Office no. 109, Shri Ram Heights, Building No. 105, Opp. Pant Nagar Post Office, Pant Nagar, Ghatkopar East, Mumbai-400075 Mumbai Maharashtra</t>
  </si>
  <si>
    <t>qrcode_1733524642.png</t>
  </si>
  <si>
    <t>info@anupalanonline.com</t>
  </si>
  <si>
    <t>qrcode_1733525181.png</t>
  </si>
  <si>
    <t>meghshah2002@gmail.com</t>
  </si>
  <si>
    <t>qrcode_1733524876.png</t>
  </si>
  <si>
    <t>Welcome to Mockingbird Studios – where walls burst with creativity and style! With more than ten years of experience and five branches across the nation, Mockingbird Studios is your go-to destination for vibrant wall graphics that bring life and character to any space. Our team is all about breaking boundaries and reimagining the world of interior design. As a company, we’ve honed our skills over the years, creating durable, captivating wall graphics that make an impact.</t>
  </si>
  <si>
    <t>jai@mockingbird.co.in</t>
  </si>
  <si>
    <t>qrcode_1733525280.png</t>
  </si>
  <si>
    <t>Dinesh Soni Website Design Development</t>
  </si>
  <si>
    <t>dinesh@webinsight.in</t>
  </si>
  <si>
    <t>qrcode_1733645707.png</t>
  </si>
  <si>
    <t>whitewishco@gmail.com</t>
  </si>
  <si>
    <t>qrcode_1733645843.png</t>
  </si>
  <si>
    <t>qrcode_1733645993.png</t>
  </si>
  <si>
    <t>He is an expert in taxation be it direct, indirect, or international taxation. Experience in audit and taxation of corporates in technology, talent management, tours &amp; travels, chemicals, and textiles sector. In his professional career he has spent years learning everything there is to know about various industries involving business setup to Domestic and International taxation laws and loan arrangements. He is a Certified Fraud Investigator and Fellow Member of the Institute of Chartered Accountants of India.</t>
  </si>
  <si>
    <t>rajat@nsrm.in</t>
  </si>
  <si>
    <t>Beyond Limits Business Centre, 19th Floor, Exchange Tower, Business Bay, Dubai, UAE Dubai</t>
  </si>
  <si>
    <t>https://nsrm.ae/</t>
  </si>
  <si>
    <t>qrcode_1733646341.png</t>
  </si>
  <si>
    <t>karangaikwad274@gmail.com</t>
  </si>
  <si>
    <t>G-198, Moogipa Arcade, Ashtavinayak Bldg, D.N Nagar,</t>
  </si>
  <si>
    <t>qrcode_1734931503.png</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</si>
  <si>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The Dental Suite is well endowed with cutting-edge 21st century technology and latest suite-like amenities to add to our flair and style. Being a multi-speciality centre, we provide an array of dental treatments that restore the health of your mouth and improve the beauty of your smile, all this under one roof, with Class…Comfort…Care So walk in and discover how a new smile can transform your life!!!</t>
  </si>
  <si>
    <t>dr.sanketvb@gmail.com</t>
  </si>
  <si>
    <t>qrcode_1733646654.png</t>
  </si>
  <si>
    <t>Headed by young, experienced professionals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Our motive being to create brand building and brand sustaining ideas we create ideas in all spheres of customer interface… mass media, retail, customer relationship management, etc.</t>
  </si>
  <si>
    <t>info@pencilstroke.in</t>
  </si>
  <si>
    <t>Ashoka Shopping Centre, 228 1st floor, Dhobi Talao, Next to GT Hospital Mumbai Maharashtra</t>
  </si>
  <si>
    <t>qrcode_1733646782.png</t>
  </si>
  <si>
    <t>murtazainab84@gmail.com</t>
  </si>
  <si>
    <t>qrcode_1733647277.png</t>
  </si>
  <si>
    <t>hetaaldsethia@gmail.com</t>
  </si>
  <si>
    <t>qrcode_1733647402.png</t>
  </si>
  <si>
    <t>habibakudrati@gmail.com</t>
  </si>
  <si>
    <t>Soningra polyclinic, Opp Saifee park, Helal building, Mazgaon Mumbai Maharashtra</t>
  </si>
  <si>
    <t>qrcode_1733647520.png</t>
  </si>
  <si>
    <t>raahuuladvani@gmail.com</t>
  </si>
  <si>
    <t>Worli</t>
  </si>
  <si>
    <t>PiparaSancheti&amp;Associates_Priyank-Sancheti</t>
  </si>
  <si>
    <t>qrcode_1733647115.png</t>
  </si>
  <si>
    <t>The firm is engaged in providing services in the field of Domestic Taxation Solutions, International Taxation Solutions, Indirect Taxation Solutions, Accounts Process Outsourcing and Audits. Our client-base includes clients from various industries vis-a-vis Gems and Jewellery, Textile and Fashion Apparel, Logistics, Metal Industry, Electronic, Plywood and Hardware, Dealers and Retailers. Over the years we have developed professional relationship with various professionals in field on Company Secretary, Lawyers, Financial Advisors, Stock Brokers and Consultancy Firms by rendering services to their satisfaction.</t>
  </si>
  <si>
    <t>priyanksancheti@gmail.com</t>
  </si>
  <si>
    <t>228/229, Majestic Shopping Center, Opera House, Charni Road Mumbai – 400004.</t>
  </si>
  <si>
    <t>ALICANTOS-STUDIO_HIMANI-JAIN</t>
  </si>
  <si>
    <t>qrcode_1733647634.png</t>
  </si>
  <si>
    <t>alicantosstudio@gmail.com</t>
  </si>
  <si>
    <t>SBC-Accounts&amp;FinancialServices_Sourabh-Chandorkar</t>
  </si>
  <si>
    <t>qrcode_1733647784.png</t>
  </si>
  <si>
    <t>info.sbcafs@gmail.com</t>
  </si>
  <si>
    <t>Avaran-Jewellery</t>
  </si>
  <si>
    <t>qrcode_1733648938.png</t>
  </si>
  <si>
    <t>avaranjewellery@gmail.com</t>
  </si>
  <si>
    <t>Spiritual-Healing-by-Khushnam</t>
  </si>
  <si>
    <t>qrcode_1733649048.png</t>
  </si>
  <si>
    <t>Tarot Card Reader / Craniosacral Therapist</t>
  </si>
  <si>
    <t>CAVAIBHAVPTHAKKAR_28022020</t>
  </si>
  <si>
    <t>qrcode_1733649167.png</t>
  </si>
  <si>
    <t>cavaibhavpthakkar@gmail.com</t>
  </si>
  <si>
    <t>A/27, Harsha Apartment, Mumbai Maharashtra</t>
  </si>
  <si>
    <t>Dinesh-Chaudhary&amp;co_Rishabh-Dinesh-Chaudhary</t>
  </si>
  <si>
    <t>qrcode_1733649285.png</t>
  </si>
  <si>
    <t>rishabhdchaudhary@gmail.com</t>
  </si>
  <si>
    <t>Papercurrency_Ayushi-Shah</t>
  </si>
  <si>
    <t>qrcode_1736412403.png</t>
  </si>
  <si>
    <t>Driven by a passion for helping businesses navigate uncertainty, Ms. Ayushi Shah founded PaperCurrency Consultants. She recognized the growing need for proactive risk management and envisioned a firm dedicated to empowering businesses to thrive in today’s complex world. Her commitment to client success and a proactive approach to risk management has been the cornerstone of the firm’s success. She has past work-ex with big fours for 5 years and has served clients across Media &amp; Entertainment, IT &amp; ITES, Manufacturing sector, Pharma, FMCG, etc.. She has also led various internal audits, IFC documentation and review, SOP design &amp; implementation assignments, DB Audits, stock audits, due diligence, etc. for various clients.</t>
  </si>
  <si>
    <t>Aayushi@papercurrency.in</t>
  </si>
  <si>
    <t>A/202, padmavati Palace, Nanda Patkar Road, Vile Parle East, Mumbai 400057</t>
  </si>
  <si>
    <t>https://papercurrency.in/</t>
  </si>
  <si>
    <t>Velcord-Textile-Pvt-Ltd_Anurag-Chaturvedi</t>
  </si>
  <si>
    <t>qrcode_1733649606.png</t>
  </si>
  <si>
    <t>anurag@velcord.in</t>
  </si>
  <si>
    <t>Plot no.23, Mira Co-Op Industrial Estate, Kashi Mira, Near State Bank of India, Mira Road (E), Thane-401107.</t>
  </si>
  <si>
    <t>https://goo.gl/maps/5f4U2rFq2ARt1WVC8</t>
  </si>
  <si>
    <t>https://corduroy.in/</t>
  </si>
  <si>
    <t>Wrapsandtags_Shraddha-Shah</t>
  </si>
  <si>
    <t>qrcode_1733649748.png</t>
  </si>
  <si>
    <t>Wrapsandtags is a gifting assistance company. We make personalised gifts and hampers. We understand your needs, like, taste and budget and curate gifts and hampers according to that. It is to make gifting experience easy for you.</t>
  </si>
  <si>
    <t>shah.shraddha22@gmail.com</t>
  </si>
  <si>
    <t>TheGameDrive_Anosh-Koppikar</t>
  </si>
  <si>
    <t>qrcode_1733649862.png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</si>
  <si>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</si>
  <si>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Anosh.koppikar@gmail.com</t>
  </si>
  <si>
    <t>Simmone-SalonandSpa_Simmone-Dhanwani</t>
  </si>
  <si>
    <t>qrcode_1733650768.png</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</si>
  <si>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 Runway shows , various films , ad campaigns , fashion shows all are a part of it … Professional hair dressing books are also published by her for trained professionals . She has trained and inspired more than 25000 hairdressers .. As a constant source of inspiration millions of shows and seminars are also being conducted . With great technical expertise , creativity and an experienced team we promise superior level of services along with a great future</t>
  </si>
  <si>
    <t>simonedhanwani@gmail.com</t>
  </si>
  <si>
    <t>Simone Salon, Spa &amp; Academy, JP Road, Jeet Nagar, Versova, Andheri West, Mumbai, Maharashtra, India</t>
  </si>
  <si>
    <t>The-Game-Drive_Dipti-Thorat</t>
  </si>
  <si>
    <t>qrcode_1733649939.png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</si>
  <si>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 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</si>
  <si>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The-Game-Drive_Aaina-Chavan</t>
  </si>
  <si>
    <t>qrcode_1733650410.png</t>
  </si>
  <si>
    <t>The-Game-Drive-Amita-Matkar</t>
  </si>
  <si>
    <t>qrcode_1733650465.png</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</si>
  <si>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</si>
  <si>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Easy-Investo_Rahaman-Jamilur</t>
  </si>
  <si>
    <t>qrcode_1733650898.png</t>
  </si>
  <si>
    <t>Serial Entrepreneur 🌟Investor 💫 Philanthropist ⚡️| Part-time developer🧑🏻‍💻, full-time adventurer 🤩| Aspiring tech giant | Founder &amp; CEO @ Easy Investo |Bat🦇Man of coding (not really!) | 🌟Miles🛣️ To🍁 Go 🗺 Before I 💫Sleep ✌️|AI&amp;ML🤖|#Web3 🌐</t>
  </si>
  <si>
    <t>jamilurrahman313@gmail.com</t>
  </si>
  <si>
    <t>Chaitali-Creations_Chaitali-Jhaveri</t>
  </si>
  <si>
    <t>qrcode_1733651118.png</t>
  </si>
  <si>
    <t>ask@chaitalicreation.com</t>
  </si>
  <si>
    <t>Cosmic-Healings_Chaitali-Jhaveri</t>
  </si>
  <si>
    <t>qrcode_1733479892.png</t>
  </si>
  <si>
    <t>I AM CHAITALI HIMANSHU JHAVERI, FROM MUMBAI, INDIA.THE LAND OF SAGES &amp; HERMITS WHO DEVELOPED THE TRANSCENDENTAL MEDITATION, THE ANCIENT WAYS OF HEALINGS THROUGH DIFFERENT MODALITIES AND SOUL ENERGIES. My aim is to be helpful and guide people in their spiritual journey to empower them with hope, vision, knowledge and happiness. Which is possible only if they know how important it is to keep their lives balanced mentally, physically and spiritually at the soul level, for a better living in a more peaceful environment. And the time for you starts NOW....!!!</t>
  </si>
  <si>
    <t>Earthborn_Nikitaa-Shah</t>
  </si>
  <si>
    <t>qrcode_1733651218.png</t>
  </si>
  <si>
    <t>Embrace the transformative journey to gorgeous hair only with Nikitaa's Earthborn Haircare Products and let your hair dance with vitality. We've harnessed the power of nature to deliver a range of meticulously crafted formulas that fight dullness, dandruff, and limpness. Prepare to shine brighter than ever before &amp; say hello to hair that defies gravity and never settles for anything less than perfection!</t>
  </si>
  <si>
    <t>nikitaas.earthborn@gmail.com</t>
  </si>
  <si>
    <t>Road No. 6 Ex, Trimurti Apartment, Opp. S.T.S. Mission School/ Dayanand School, Next to UCO Bank, Trimurti Rd, Near Paras Paanwala, Malad, Navy Colony, Mamledarwadi, Malad West, Mumbai, Maharashtra 400064, India</t>
  </si>
  <si>
    <t>PaperToProject_Jalpa-Shah</t>
  </si>
  <si>
    <t>qrcode_1734006339.png</t>
  </si>
  <si>
    <t>papertoproject@gmail.com</t>
  </si>
  <si>
    <t>Shodashi-Candles_Tejal-Solanki</t>
  </si>
  <si>
    <t>qrcode_1734006778.png</t>
  </si>
  <si>
    <t>shodashicandles@gmail.com</t>
  </si>
  <si>
    <t>DATAMATICS_Sabha-Khan</t>
  </si>
  <si>
    <t>qrcode_1734006925.png</t>
  </si>
  <si>
    <t>sabha.khan@datamatics.com</t>
  </si>
  <si>
    <t>Seventeen-Events_Sourav-Mukherjee</t>
  </si>
  <si>
    <t>qrcode_1736929496.png</t>
  </si>
  <si>
    <t>sourav@seventeenevents.com</t>
  </si>
  <si>
    <t>Seventeen-Events_Bhavika-Trivedi</t>
  </si>
  <si>
    <t>qrcode_1736929587.png</t>
  </si>
  <si>
    <t>Seventeen-Events_Nayan-Sadhwani</t>
  </si>
  <si>
    <t>qrcode_1736929656.png</t>
  </si>
  <si>
    <t>Seventeen-Events_Abbas-Sayyed</t>
  </si>
  <si>
    <t>qrcode_1736929780.png</t>
  </si>
  <si>
    <t>Seventeen-Events_Shruti-Panhale</t>
  </si>
  <si>
    <t>qrcode_1736929835.png</t>
  </si>
  <si>
    <t>Seventeen-Events_Aftab-Khan</t>
  </si>
  <si>
    <t>qrcode_1736929896.png</t>
  </si>
  <si>
    <t>Seventeen-Events_Natasha-Devadiga</t>
  </si>
  <si>
    <t>qrcode_1736929951.png</t>
  </si>
  <si>
    <t>Get-Set-Play-Events_Aruna-Karia</t>
  </si>
  <si>
    <t>qrcode_1734583510.png</t>
  </si>
  <si>
    <t>arunakaria78@gmail.com</t>
  </si>
  <si>
    <t>VANSHIKA-PARMAR</t>
  </si>
  <si>
    <t>itsparmarvanshika@gmail.com</t>
  </si>
  <si>
    <t>VEDANT-SHELAR</t>
  </si>
  <si>
    <t>qrcode_1734009069.png</t>
  </si>
  <si>
    <t>vedant.shelar42@gmail.com</t>
  </si>
  <si>
    <t>GiftamStore_Om-Dave</t>
  </si>
  <si>
    <t>qrcode_1734009373.png</t>
  </si>
  <si>
    <t>giftamstore@gmail.com</t>
  </si>
  <si>
    <t>Udaipur, Rajasthan.</t>
  </si>
  <si>
    <t>AshishLifeScience_Amardeep-Athawaley</t>
  </si>
  <si>
    <t>qrcode_1736931670.png</t>
  </si>
  <si>
    <t>saurabh.agarwal@ashishlifescience</t>
  </si>
  <si>
    <t>AshishLifeScience_Jayesh-Khatri</t>
  </si>
  <si>
    <t>qrcode_1736931718.png</t>
  </si>
  <si>
    <t>AshishLifeScience_Ashish-Shah</t>
  </si>
  <si>
    <t>qrcode_1736931783.png</t>
  </si>
  <si>
    <t>AshishLifeScience_Chirag-Shukla</t>
  </si>
  <si>
    <t>qrcode_1736931918.png</t>
  </si>
  <si>
    <t>AshishLifeScience_Vivek-Kedia</t>
  </si>
  <si>
    <t>qrcode_1736932022.png</t>
  </si>
  <si>
    <t>AshishLifeScience_Jaiprakash-Todi</t>
  </si>
  <si>
    <t>qrcode_1736932357.png</t>
  </si>
  <si>
    <t>AshishLifeScience_DrSaurabh-Agarwal</t>
  </si>
  <si>
    <t>qrcode_1736932467.png</t>
  </si>
  <si>
    <t>card.tap-savvy.com</t>
  </si>
  <si>
    <t>qrcode_1736932576.png</t>
  </si>
  <si>
    <t>AshishLifeScience_Pooja-Karnik</t>
  </si>
  <si>
    <t>qrcode_1736932664.png</t>
  </si>
  <si>
    <t>AshishLifeScience_DrKirankumar-Madpathi</t>
  </si>
  <si>
    <t>qrcode_1736932751.png</t>
  </si>
  <si>
    <t>AshishLifeScience_Raujesh-Agarrwal</t>
  </si>
  <si>
    <t>qrcode_1736932836.png</t>
  </si>
  <si>
    <t>AshishLifeScience_Nilesh-Chavan</t>
  </si>
  <si>
    <t>qrcode_1736932918.png</t>
  </si>
  <si>
    <t>AshishLifeScience_Sutanu-Nayak</t>
  </si>
  <si>
    <t>qrcode_1736932996.png</t>
  </si>
  <si>
    <t>AshishLifeScience_Ronitt-Agarrwal</t>
  </si>
  <si>
    <t>qrcode_1736933354.png</t>
  </si>
  <si>
    <t>AshishLifeScience_Mr.Abdulla-Fatiya</t>
  </si>
  <si>
    <t>qrcode_1736933275.png</t>
  </si>
  <si>
    <t>qrcode_1734010034.png</t>
  </si>
  <si>
    <t>anupsharma@datamatics.com</t>
  </si>
  <si>
    <t>I-Fly-Now_Kunal-Ramchandani</t>
  </si>
  <si>
    <t>qrcode_1734011053.png</t>
  </si>
  <si>
    <t>India</t>
  </si>
  <si>
    <t>Turtledownunder_Abhishek-Sonthalia</t>
  </si>
  <si>
    <t>qrcode_1734011231.png</t>
  </si>
  <si>
    <t>Dubai</t>
  </si>
  <si>
    <t>Turtledownunder_Chander-Chhabriya</t>
  </si>
  <si>
    <t>qrcode_1734011348.png</t>
  </si>
  <si>
    <t>60 Albert Rd, South Melbourne VIC 3205</t>
  </si>
  <si>
    <t>TurtleDownUnder</t>
  </si>
  <si>
    <t>qrcode_1734011464.png</t>
  </si>
  <si>
    <t>Turtledownunder_Kunal-Ramchandani</t>
  </si>
  <si>
    <t>qrcode_1734011606.png</t>
  </si>
  <si>
    <t>qrcode_1734012646.png</t>
  </si>
  <si>
    <t>vishalsalvi458@gmail.com</t>
  </si>
  <si>
    <t>New Daya Sagar , Near V.S.Residency,Ghatkopar West, Mumbai-400084</t>
  </si>
  <si>
    <t>qrcode_1734012778.png</t>
  </si>
  <si>
    <t>divya@stalwartworld.com</t>
  </si>
  <si>
    <t>qrcode_1734012864.png</t>
  </si>
  <si>
    <t>AAKSHAE-GROUP-OF-COMPANIES_SHUBHANKAR-DAS</t>
  </si>
  <si>
    <t>qrcode_1734013322.png</t>
  </si>
  <si>
    <t>shubhankar_1998@yahoo.co.in</t>
  </si>
  <si>
    <t>qrcode_1734013467.png</t>
  </si>
  <si>
    <t>aishwarya@aisshpra.com</t>
  </si>
  <si>
    <t>qrcode_1734013979.png</t>
  </si>
  <si>
    <t>qrcode_1734014106.png</t>
  </si>
  <si>
    <t>ASK-KONSULTANCY_BUSHRA-VORA</t>
  </si>
  <si>
    <t>qrcode_1733573060.png</t>
  </si>
  <si>
    <t>409, 4th floor, vakratunda corporate park,Vishwesvar road nagar, Near Udipi vihar hotel, Goregaon- East, Mumbai.</t>
  </si>
  <si>
    <t>ASK-KONSULTANCY_JYOTI-MISHRA</t>
  </si>
  <si>
    <t>qrcode_1733574126.png</t>
  </si>
  <si>
    <t>ASK-KONSULTANCY_MITALI-RAUT</t>
  </si>
  <si>
    <t>qrcode_1736417662.png</t>
  </si>
  <si>
    <t>ASK-KONSULTANCY_RANJANA-UPADHYAY</t>
  </si>
  <si>
    <t>qrcode_1736418779.png</t>
  </si>
  <si>
    <t>qrcode_1734014255.png</t>
  </si>
  <si>
    <t>qrcode_1734014355.png</t>
  </si>
  <si>
    <t>ARETE_AMI-MEDIRATA</t>
  </si>
  <si>
    <t>qrcode_1733491233.png</t>
  </si>
  <si>
    <t>amivikas@gmail.com</t>
  </si>
  <si>
    <t>qrcode_1734014803.png</t>
  </si>
  <si>
    <t>nakiambs@gmail.com</t>
  </si>
  <si>
    <t>qrcode_1734015158.png</t>
  </si>
  <si>
    <t>MNA&amp;Associates-Advocates_Megha-Agrawwal</t>
  </si>
  <si>
    <t>qrcode_1734015356.png</t>
  </si>
  <si>
    <t>mnaandassociates@gmail.com</t>
  </si>
  <si>
    <t>qrcode_1734015485.png</t>
  </si>
  <si>
    <t>Kolkata</t>
  </si>
  <si>
    <t>qrcode_1734015772.png</t>
  </si>
  <si>
    <t>qrcode_1734015934.png</t>
  </si>
  <si>
    <t>rhythmbhatia83@gmail.com</t>
  </si>
  <si>
    <t>qrcode_1734016900.png</t>
  </si>
  <si>
    <t>https://www.avanstrate.com/english/</t>
  </si>
  <si>
    <t>qrcode_1734017016.png</t>
  </si>
  <si>
    <t>qrcode_1734017165.png</t>
  </si>
  <si>
    <t>qrcode_1734017545.png</t>
  </si>
  <si>
    <t>qrcode_1734017722.png</t>
  </si>
  <si>
    <t>prachi7251998@gmail.com</t>
  </si>
  <si>
    <t>qrcode_1734020388.png</t>
  </si>
  <si>
    <t>qrcode_1734020826.png</t>
  </si>
  <si>
    <t>Optician Shop</t>
  </si>
  <si>
    <t>6, Kastur Mahal, Opp Canara Bank,stn. Road,Sion, Mumbai 400022 Mumbai Maharashtra</t>
  </si>
  <si>
    <t>qrcode_1734020934.png</t>
  </si>
  <si>
    <t>.</t>
  </si>
  <si>
    <t>RONALD SOANS</t>
  </si>
  <si>
    <t>(Financial Planner)</t>
  </si>
  <si>
    <t>With 13+ yrs of experience in the Financial Industry, I specialize in Mutual Fund, Insurance, and Comprehensive Financial Planning. Since 2021, I’ve guided numerous Individuals and Families achieve their financial goals through Personalized Smart Investment Strategies. As an AMFI-registered MFD and Channel Partner with Prudent Corporate Advisory Services Ltd., I leverage their platform, fundzbazar.com, to offer diverse investment solutions to my Clients which includes Mutual Fund, Insurance, Stockbroking (Smallcase), Fixed-Income Products, Property Investments, and Loans. From Goal Based Investment to Retirement Planning and Wealth Creation, I ensure my Client's Investment journey is seamless and tailored to their goals. Do you Need guidance with your Financial Planning? Click Enquiry to choose the Product/Services you need assistance with, and I’ll connect with you to guide you further!</t>
  </si>
  <si>
    <t>qrcode_1734021189.png</t>
  </si>
  <si>
    <t>qrcode_1734022535.png</t>
  </si>
  <si>
    <t>qrcode_1734023123.png</t>
  </si>
  <si>
    <t>249 Jodhpur Park Kolkata West Bengal</t>
  </si>
  <si>
    <t>qrcode_1734023388.png</t>
  </si>
  <si>
    <t>qrcode_1734062081.png</t>
  </si>
  <si>
    <t>Karjat</t>
  </si>
  <si>
    <t>qrcode_1734062172.png</t>
  </si>
  <si>
    <t>shreeganeshservice12@gmail.com</t>
  </si>
  <si>
    <t>Office No.04, Sunshine Height Achole Road, Opp Sunshine garden, Nallasopara (East) 401209 Mumbai Maharashtra</t>
  </si>
  <si>
    <t>qrcode_1734062370.png</t>
  </si>
  <si>
    <t>Nuvama</t>
  </si>
  <si>
    <t>ishika.sharma@nuvama.com</t>
  </si>
  <si>
    <t>qrcode_1734062453.png</t>
  </si>
  <si>
    <t>travezy.in@gmail.com</t>
  </si>
  <si>
    <t>qrcode_1734062623.png</t>
  </si>
  <si>
    <t>qrcode_1734062846.png</t>
  </si>
  <si>
    <t>dramitgangwani12@gmail.com</t>
  </si>
  <si>
    <t>qrcode_1734063136.png</t>
  </si>
  <si>
    <t>connect@rashiaircons.com</t>
  </si>
  <si>
    <t>qrcode_1734063260.png</t>
  </si>
  <si>
    <t>pratikgurav123@gmail.com</t>
  </si>
  <si>
    <t>qrcode_1734063344.png</t>
  </si>
  <si>
    <t>sunil.zanjugade@gmail.com</t>
  </si>
  <si>
    <t>qrcode_1734063519.png</t>
  </si>
  <si>
    <t>Restaurant</t>
  </si>
  <si>
    <t>dinu.waghmare@gmail.com</t>
  </si>
  <si>
    <t>qrcode_1734063690.png</t>
  </si>
  <si>
    <t>mayassalon@gmail.com</t>
  </si>
  <si>
    <t>Book G2, Radhakunj Building, Ram Maruti Rd, near Ranka jewellers, Naupada, Thane West, Thane, Maharashtra 400602 Thane Maharashtra</t>
  </si>
  <si>
    <t>qrcode_1734064019.png</t>
  </si>
  <si>
    <t>goldenhourhospital994@gmail.com</t>
  </si>
  <si>
    <t>Dnyanranjan Tower, Near Surana Building, Anand Nagar, Bhusawal. Dist:- Jalgaon -425201. Bhusawal Maharashtra</t>
  </si>
  <si>
    <t>qrcode_1734064322.png</t>
  </si>
  <si>
    <t>manishlunkad9999@gmail.com</t>
  </si>
  <si>
    <t>Jalgaon</t>
  </si>
  <si>
    <t>qrcode_1734064490.png</t>
  </si>
  <si>
    <t>meraakiisolutions@gmail.com</t>
  </si>
  <si>
    <t>qrcode_1734064631.png</t>
  </si>
  <si>
    <t>Mumbai is the commercial capital of India, and there are a large number of business establishments and residential and commercial complexes. The health-conscious people of Mumbai aspire for a hygienic environment at home and office. Insects like cockroaches, mosquitoes, and bedbugs can cause serious health damage, and pest control or removal is the only solution. Our pest control services in Mumbai are the best in business as we focus on systematic investigation, advanced technology, protective safeguards, and efficient treatment plans. Our pest control service covers Independent houses, residential complexes, and commercial properties. In Mumbai &amp; Navi Mumbai, home and commercial property owners can rely on us for clean, healthy, and spotless premises.</t>
  </si>
  <si>
    <t>joheb@tahaanpestsolutions.com</t>
  </si>
  <si>
    <t>qrcode_1734840213.png</t>
  </si>
  <si>
    <t>BNI Harshal Arun Thore</t>
  </si>
  <si>
    <t>We at Soul Designs LLP, dedicate ourselves to plan and execute our clients space reflecting their soul. Be it commercial or residential, we believe in investing our heart and soul in carving and creating best for the best!</t>
  </si>
  <si>
    <t>Soulfuldesignsllp@gmail.com</t>
  </si>
  <si>
    <t>qrcode_1734721098.png</t>
  </si>
  <si>
    <t>SHANTANUKUDE@GMAIL.COM</t>
  </si>
  <si>
    <t>qrcode_1736507813.png</t>
  </si>
  <si>
    <t>monali.imax@gmail.com</t>
  </si>
  <si>
    <t>qrcode_1734348612.png</t>
  </si>
  <si>
    <t>Kothari Investments is an entity focused on providing customized wealth management &amp; financial planning solutions to individuals, families &amp; organizations while keeping in mind their long term objectives, goals and risk profile. We also offer services like estate planning &amp; financial consulting in order to ensure that there is a smooth transition of wealth to future generations.</t>
  </si>
  <si>
    <t>harshkothari777@gmail.com</t>
  </si>
  <si>
    <t>A-709, Neelkanth Business Park Mumbai Maharashtra</t>
  </si>
  <si>
    <t>qrcode_1734350276.png</t>
  </si>
  <si>
    <t>pratik.bniace@gmail.com</t>
  </si>
  <si>
    <t>qrcode_1734350594.png</t>
  </si>
  <si>
    <t>Dev BNI ACE JIO CONCLAVE</t>
  </si>
  <si>
    <t>T-shirt Manufacturing</t>
  </si>
  <si>
    <t>esstyle.in@gmail.com</t>
  </si>
  <si>
    <t>qrcode_1734845401.png</t>
  </si>
  <si>
    <t>rubyray4@gmail.com</t>
  </si>
  <si>
    <t>Kolkata.</t>
  </si>
  <si>
    <t>qrcode_1733569599.png</t>
  </si>
  <si>
    <t>kotharidev1991@gmail.com</t>
  </si>
  <si>
    <t>qrcode_1733569814.png</t>
  </si>
  <si>
    <t>dsanghavi93@gmail.com</t>
  </si>
  <si>
    <t>qrcode_1734005863.png</t>
  </si>
  <si>
    <t>rajbhanushali1970@gmail.com</t>
  </si>
  <si>
    <t>qrcode_1734005457.png</t>
  </si>
  <si>
    <t>khetani@hotmail.com</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</si>
  <si>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 J M Brand Promotion is based in Mumbai-Maharashtra and proud to announce that we are one of the leading Retail Advertisement solution providers for last 20 years. We cover BTL activities through our strong network in PAN India level Basis.</t>
  </si>
  <si>
    <t>prakash.konar@gmail.com</t>
  </si>
  <si>
    <t>28, Mumbai Samachar Marg, 1st Floor, Rajabahadur Building, Fort, Mumbai – 400001.</t>
  </si>
  <si>
    <t>qrcode_1734847309.png</t>
  </si>
  <si>
    <t>qrcode_1734004708.png</t>
  </si>
  <si>
    <t>gupta.pooja@hotmail.com</t>
  </si>
  <si>
    <t>qrcode_1734004523.png</t>
  </si>
  <si>
    <t>akashenterprise87@gmail.com</t>
  </si>
  <si>
    <t>qrcode_1733996714.png</t>
  </si>
  <si>
    <t>foot_fuel@yahoo.com</t>
  </si>
  <si>
    <t>https://footfuel.in/</t>
  </si>
  <si>
    <t>DESI-VIBRANT_KAPIL-VAID</t>
  </si>
  <si>
    <t>qrcode_1733849838.png</t>
  </si>
  <si>
    <t>kapilvaid3177@gmail.com</t>
  </si>
  <si>
    <t>accounts@rupadhyay.in</t>
  </si>
  <si>
    <t>Ruchira@bhojnalaya.com</t>
  </si>
  <si>
    <t>RUCHIRA, At post trambakeshwar front of kushavarta kund Besid luxminaryan mandir Nashik 422212 Maharashtra</t>
  </si>
  <si>
    <t>qrcode_1736492798.png</t>
  </si>
  <si>
    <t>atulparikh_111@yahoo.in</t>
  </si>
  <si>
    <t>aayushmanaman@gmail.com</t>
  </si>
  <si>
    <t>qrcode_1733802856.png</t>
  </si>
  <si>
    <t>dhrishajewelspvtltd@outlook.com</t>
  </si>
  <si>
    <t>tina@easternfin.com</t>
  </si>
  <si>
    <t>qrcode_1733996381.png</t>
  </si>
  <si>
    <t>copier@gcr.com.sg</t>
  </si>
  <si>
    <t>qrcode_1734872907.png</t>
  </si>
  <si>
    <t>odds.events@gmail.com</t>
  </si>
  <si>
    <t>Shop No.21, Ground floor, Mhatre pen Building, Mumbai Maharashtra</t>
  </si>
  <si>
    <t>qrcode_1734873035.png</t>
  </si>
  <si>
    <t>para.kidswear@gmail.com</t>
  </si>
  <si>
    <t>qrcode_1733817878.png</t>
  </si>
  <si>
    <t>saket@astrixev.com</t>
  </si>
  <si>
    <t>qrcode_1740658657.png</t>
  </si>
  <si>
    <t>qrcode_1733810826.png</t>
  </si>
  <si>
    <t>ddc@shadesdecor.com</t>
  </si>
  <si>
    <t>1/2, 1st floor,Parikh Building, Mahatma Gandhi Road,Above Shilpa Diamonds, opp sejal jewellers, Ghatkopar- East, Mumbai 400077.</t>
  </si>
  <si>
    <t>qrcode_1733810707.png</t>
  </si>
  <si>
    <t>rahulgrime@gmail.com</t>
  </si>
  <si>
    <t>qrcode_1733810338.png</t>
  </si>
  <si>
    <t>modi.pankti@gmail.com</t>
  </si>
  <si>
    <t>qrcode_1733810509.png</t>
  </si>
  <si>
    <t>admin panel</t>
  </si>
  <si>
    <t>qrcode_1733810145.png</t>
  </si>
  <si>
    <t>anuti28@gmail.com</t>
  </si>
  <si>
    <t>qrcode_1733809988.png</t>
  </si>
  <si>
    <t>panchdev_traders@yahoo.co.in</t>
  </si>
  <si>
    <t>qrcode_1733807832.png</t>
  </si>
  <si>
    <t>lovelytwist3@gmail.com</t>
  </si>
  <si>
    <t>qrcode_1733807579.png</t>
  </si>
  <si>
    <t>labelvastra@yahoo.com</t>
  </si>
  <si>
    <t>krishamehta22@yahoo.com</t>
  </si>
  <si>
    <t>qrcode_1734870284.png</t>
  </si>
  <si>
    <t>We create opportunities for talents - from beginners to pros - so that you can excel in their fields! Also, we send out notifications to big companies and production houses to update them about the talents we have onboard. We bring together a whole team of studios, artists, talent managers, production house tie-ups under one roof. We ensure modelling jobs for children, teens and adults.</t>
  </si>
  <si>
    <t>displayyourtalent01@gmail.com</t>
  </si>
  <si>
    <t>SMIT-SHAH_BNI-INFINITE</t>
  </si>
  <si>
    <t>C D S &amp; Associates</t>
  </si>
  <si>
    <t>Smit Shah</t>
  </si>
  <si>
    <t>smitn.shah@gmail.com</t>
  </si>
  <si>
    <t>qrcode_1734869991.png</t>
  </si>
  <si>
    <t>1734869891_065056126aaaa88d9414.png</t>
  </si>
  <si>
    <t>dinesh@dcncca.com</t>
  </si>
  <si>
    <t>qrcode_1733807076.png</t>
  </si>
  <si>
    <t>5D Healer</t>
  </si>
  <si>
    <t>rinkishah109@gmail.com</t>
  </si>
  <si>
    <t>G-30 Ram Darshan Building oppRam mandir, near mahila Sangh school Subhash road vile parle east</t>
  </si>
  <si>
    <t>sangammart51@gmail.com</t>
  </si>
  <si>
    <t>qrcode_1733806945.png</t>
  </si>
  <si>
    <t>GM-Sales &amp; Marketing</t>
  </si>
  <si>
    <t>pankaj@velcord.in</t>
  </si>
  <si>
    <t>qrcode_1733674763.png</t>
  </si>
  <si>
    <t>akshay2102@gmail.com</t>
  </si>
  <si>
    <t>qrcode_1733675432.png</t>
  </si>
  <si>
    <t>qrcode_1733806333.png</t>
  </si>
  <si>
    <t>kunalajain@gmail.com</t>
  </si>
  <si>
    <t>Mumbai, India</t>
  </si>
  <si>
    <t>qrcode_1733806052.png</t>
  </si>
  <si>
    <t>Info@90prints.com</t>
  </si>
  <si>
    <t>qrcode_1733803458.png</t>
  </si>
  <si>
    <t>dentalsheth@gmail.com</t>
  </si>
  <si>
    <t>LUCENT-GARDENS-PVT-LTD_DILIP-MURKUTE</t>
  </si>
  <si>
    <t>qrcode_1733803223.png</t>
  </si>
  <si>
    <t>dilip@lucentcorporation.com</t>
  </si>
  <si>
    <t>qrcode_1733801454.png</t>
  </si>
  <si>
    <t>Dental surgeon</t>
  </si>
  <si>
    <t>Welcome to Dr Mayank Doshi‘s Micro dentistry and Digital dental Centre, a state of our dental clinic located in the heart of Kandivali West, Mumbai led by the renowned Dr Mayank Doshi, a National Speaker and expert in Digital and advanced dental care and Dr Prachi Doshi, A compassionate and skilled dentist dedicated to providing personalised and high quality treatments. We are committed to providing exceptional patient Centred dental services using latest technologies and techniques We specialised in Dental implants in-house Aligners Certified Invisalign provider Smile designing Veneers Digital and Conventional Dentures Micro dentistry, Gum treatment, Wisdom tooth removal, Braces, Root canal treatment Teeth fillings Caps and bridges, Teeth cleaning Teeth whitening at our clinic. We emphasise precision and comfort through cutting edge tools like microscopes, rubberdams, and digital workflow for diagnostic and treatment planning. Whether you are looking to restore your smile or improve your oral health. We are here to ensure a seamless and personalised experience. Your journey to a healthier brighter. Smile begins with us.</t>
  </si>
  <si>
    <t>drmayank18@gmail.com</t>
  </si>
  <si>
    <t>Shop no.2 Vasant Aishwariya CHS, Mathuradas Extension Road, Mumbai Maharashtra</t>
  </si>
  <si>
    <t>https://g.co/kgs/6rtQjNp</t>
  </si>
  <si>
    <t>DHRISHA-JEWELS-PRIVATE-LIMITED_DAINIK-GOTHI</t>
  </si>
  <si>
    <t>qrcode_1733803028.png</t>
  </si>
  <si>
    <t>Manufacturers of diamond jewellery, specialised in South-Indian traditional Diamond jewellery since 1995. It is located at Ramwadi, Mumbai. Sunny Mehta (Director) - +91 9821359662</t>
  </si>
  <si>
    <t>mahavirhardwarestudio@gmail.com</t>
  </si>
  <si>
    <t>nikitahardware@gmail.com</t>
  </si>
  <si>
    <t>’m not just another leadership coach. With 18 years of enriching experience and having empowered over 300,000 professionals, I transform leadership practices with a blend of practical wisdom and deep insights. Having travelled to over 80 countries, I bring a rich, global perspective to my training, shaping leaders who thrive on diversity and dynamic challenges.</t>
  </si>
  <si>
    <t>d@leadershipwithdeepa.com</t>
  </si>
  <si>
    <t>https://leadershipwithdeepa.com/</t>
  </si>
  <si>
    <t>qrcode_1734857647.png</t>
  </si>
  <si>
    <t>Nirali Charaniya, a Chartered Accountant by profession and a devoted mother, was inspired by her daughter to seek natural effective solutions for harmless skincare and haircare. She decided to blend her professional skills with her passion for Ayurveda, which lead to the making of Glisna.</t>
  </si>
  <si>
    <t>NFO@GLISNA.COM</t>
  </si>
  <si>
    <t>205-Rk Prime, Near Nana Mava Circle - Rajkot- 360005, Gujarat - INDIA</t>
  </si>
  <si>
    <t>https://glisna.com/</t>
  </si>
  <si>
    <t>ONE-CLICK-LOGISTICS-INDIA-LIMITED_MAHESH-BHANUSHALI</t>
  </si>
  <si>
    <t>qrcode_1733800955.png</t>
  </si>
  <si>
    <t>mahesh@1click.co.in</t>
  </si>
  <si>
    <t>IRON-PARADISE-THE-CLUB-HOUSE_KUNAL-KISHOR-KERKAR</t>
  </si>
  <si>
    <t>IRON PARADISE THE CLUB HOUSE</t>
  </si>
  <si>
    <t>KUNAL KISHOR KERKAR</t>
  </si>
  <si>
    <t>kunalkishorkerkar83@gmail.com</t>
  </si>
  <si>
    <t>GRAS-I_BINITA-ZAVERI</t>
  </si>
  <si>
    <t>qrcode_1733342623.png</t>
  </si>
  <si>
    <t>1733562454_611282eff8a35c89a0e4.png</t>
  </si>
  <si>
    <t>826.jpeg</t>
  </si>
  <si>
    <t>Binita Zaveri</t>
  </si>
  <si>
    <t>Admin Director</t>
  </si>
  <si>
    <t>114, Shivai Industrial Estate, Behind Mc Donald, Mumbai-400089,Maharashtra.</t>
  </si>
  <si>
    <t>GRAS-I_AKHILESH-MATHUR</t>
  </si>
  <si>
    <t>1733562490_c0f684f03cb6a0332eea.png</t>
  </si>
  <si>
    <t>Akhilesh Mathur</t>
  </si>
  <si>
    <t>Manager Key accounts</t>
  </si>
  <si>
    <t>GRAS_I-AMOL-PARSE</t>
  </si>
  <si>
    <t>1733562618_33defaf74081161122d2.jpeg</t>
  </si>
  <si>
    <t>Amole Parse</t>
  </si>
  <si>
    <t>Brand and Marketing Manager</t>
  </si>
  <si>
    <t>GRAS-I_BHAVESH-OZA</t>
  </si>
  <si>
    <t>1733562647_0d69595569aab7e1ed2a.png</t>
  </si>
  <si>
    <t>Bhavesh Oza</t>
  </si>
  <si>
    <t>Regional Sales Manager (West)</t>
  </si>
  <si>
    <t>GRAS-I_DEVANG-RAMI</t>
  </si>
  <si>
    <t>1733562665_f69d695d22a3a83c586f.png</t>
  </si>
  <si>
    <t>Devang Rami</t>
  </si>
  <si>
    <t>Business Development Manager (Gujarat)</t>
  </si>
  <si>
    <t>GRAS-I_KC-MOHAN</t>
  </si>
  <si>
    <t>1733562688_8d2396f9f07ce12d9bd2.png</t>
  </si>
  <si>
    <t>KC Mohan</t>
  </si>
  <si>
    <t>RSM South</t>
  </si>
  <si>
    <t>GRAS-I_PRITESH-PRAJAPATI</t>
  </si>
  <si>
    <t>1733562832_4b38e5201cd615629131.bin</t>
  </si>
  <si>
    <t>Pritesh Prajapati</t>
  </si>
  <si>
    <t>Manager Institutional Sales</t>
  </si>
  <si>
    <t>GRAS-I_BHARAT-PANDYA</t>
  </si>
  <si>
    <t>1733562850_e18c977335c558956cb4.png</t>
  </si>
  <si>
    <t>Bharat Pandya</t>
  </si>
  <si>
    <t>Account Manager</t>
  </si>
  <si>
    <t>GRAS-I_SIDDHARTH-ZAVERI</t>
  </si>
  <si>
    <t>1733562879_6ace7ebebe7cb3fcc19c.png</t>
  </si>
  <si>
    <t>Siddharth Zaveri</t>
  </si>
  <si>
    <t>Marketing Director</t>
  </si>
  <si>
    <t>GRAS-I_SHOBBHIT-ZAVERI</t>
  </si>
  <si>
    <t>1733562898_4f0f68430bd735739087.png</t>
  </si>
  <si>
    <t>Shobbhit Zaveri</t>
  </si>
  <si>
    <t>GRAS-I_ASHOK-SINGH</t>
  </si>
  <si>
    <t>1733562989_6b99fe708d1ec6c0e846.bin</t>
  </si>
  <si>
    <t>Ashok Singh</t>
  </si>
  <si>
    <t>GRAS-I_SIDDHESH-KHEDEKAR</t>
  </si>
  <si>
    <t>1733563007_5878b91f62d40bbf5e62.png</t>
  </si>
  <si>
    <t>Siddhesh Khedkar</t>
  </si>
  <si>
    <t>Territory Sales Manager</t>
  </si>
  <si>
    <t>GRAS-I_SANDEEP-ARORA</t>
  </si>
  <si>
    <t>1733563023_1551349864b7f9cd5da6.png</t>
  </si>
  <si>
    <t>Sandeep Arora</t>
  </si>
  <si>
    <t>Area sales manager (Mumbai)</t>
  </si>
  <si>
    <t>GRAS-I-ASHUTOSH-CHAPTEKAR</t>
  </si>
  <si>
    <t>1733563047_289fcfa88277c9e0ab5f.png</t>
  </si>
  <si>
    <t>Ashutosh Chaptekar</t>
  </si>
  <si>
    <t>Sr. Sales Exec (Pune and Rom)</t>
  </si>
  <si>
    <t>GRAS-I_DEEPAKKUMAR-DAS</t>
  </si>
  <si>
    <t>1733563072_1d7175cfb5b6e61b3014.png</t>
  </si>
  <si>
    <t>Deepak Kumar</t>
  </si>
  <si>
    <t>Area sales manager (Delhi &amp; NCR)</t>
  </si>
  <si>
    <t>GRAS-I_RAM-GUJJAR</t>
  </si>
  <si>
    <t>1733563110_57d343818e5e2b63b0ef.png</t>
  </si>
  <si>
    <t>Ram Gujjar</t>
  </si>
  <si>
    <t>Territory Sales Manager (North)</t>
  </si>
  <si>
    <t>GRAS-I_KAUSTAV-CHAUDHARY</t>
  </si>
  <si>
    <t>Kaustav Chaudary</t>
  </si>
  <si>
    <t>Territory Sales Manager (East)</t>
  </si>
  <si>
    <t>GRAS-I_K.V.S.-PRASAD</t>
  </si>
  <si>
    <t>KVS Prasad</t>
  </si>
  <si>
    <t>Regional Sales Manager (South)</t>
  </si>
  <si>
    <t>GRAS-I_M-SURIYA</t>
  </si>
  <si>
    <t>Basith Ahmed</t>
  </si>
  <si>
    <t>Manager OECD - South Division</t>
  </si>
  <si>
    <t>GRAS-I_DHIRENDRA-KULKARNI</t>
  </si>
  <si>
    <t>Dhirendra Kulkarni</t>
  </si>
  <si>
    <t>Business Development Manager (Karnataka)</t>
  </si>
  <si>
    <t>GRAS-I_SHIVRAJ-SINGH</t>
  </si>
  <si>
    <t>Shivraj Singh</t>
  </si>
  <si>
    <t>Business Development Manager (AP&amp;Telangana)</t>
  </si>
  <si>
    <t>LLumar-India_McLaren-Track-Day-2024</t>
  </si>
  <si>
    <t>qrcode_1734461180.png</t>
  </si>
  <si>
    <t>McLaren Track Day 2024</t>
  </si>
  <si>
    <t>In Association with LLumar</t>
  </si>
  <si>
    <t>Here’s a gift card specially curated for you, Mr. Vishan Shah!</t>
  </si>
  <si>
    <t>Show the physical card to any LLumar AFC across India and get a flat 20% off on LLumar PPF for your next car</t>
  </si>
  <si>
    <t>LLumar-India_McLaren-Track-Day-2024_Vishan-Shah</t>
  </si>
  <si>
    <t>qrcode_1734469920.png</t>
  </si>
  <si>
    <t>Vishan Singh</t>
  </si>
  <si>
    <t>LLumar-India_McLaren-Track-Day-2024_Sandeep-Gandhi</t>
  </si>
  <si>
    <t>qrcode_1734470181.png</t>
  </si>
  <si>
    <t>Sandeep Gandhi</t>
  </si>
  <si>
    <t>Here’s a gift card specially curated for you, Mr. Sandeep Gandhi!</t>
  </si>
  <si>
    <t>LLumar-India_McLaren-Track-Day-2024_Mohit-Chuganee</t>
  </si>
  <si>
    <t>qrcode_1734470368.png</t>
  </si>
  <si>
    <t>Mohit Chuganee</t>
  </si>
  <si>
    <t>Here’s a gift card specially curated for you, Mr. Mohit Chuganee!</t>
  </si>
  <si>
    <t>LLumar-India-McLaren-Track-Day-2024_Bharat-Shomi</t>
  </si>
  <si>
    <t>qrcode_1734470559.png</t>
  </si>
  <si>
    <t>Bharat Shomi</t>
  </si>
  <si>
    <t>Here’s a gift card specially curated for you, Mr. Bharat Shomi!</t>
  </si>
  <si>
    <t>LLumar-India-McLaren-Track-Day-2024_Abhishek-Agarwal</t>
  </si>
  <si>
    <t>qrcode_1734470760.png</t>
  </si>
  <si>
    <t>Here’s a gift card specially curated for you, Mr. Abhishek Agarwal!</t>
  </si>
  <si>
    <t>LLumar-India-McLaren-Track-Day-2024_Vikas-Anand</t>
  </si>
  <si>
    <t>qrcode_1734470943.png</t>
  </si>
  <si>
    <t>Vikas Anand</t>
  </si>
  <si>
    <t>Here’s a gift card specially curated for you, Mr. Vikas Anand!</t>
  </si>
  <si>
    <t>LLumar-India-McLaren-Track-Day-2024_Rahul-Yadav</t>
  </si>
  <si>
    <t>qrcode_1734471171.png</t>
  </si>
  <si>
    <t>Rahul Yadav</t>
  </si>
  <si>
    <t>Here’s a gift card specially curated for you, Mr. Rahul Yadav!</t>
  </si>
  <si>
    <t>LLumar-India-McLaren-Track-Day-2024_Samsher-Singh</t>
  </si>
  <si>
    <t>qrcode_1734471363.png</t>
  </si>
  <si>
    <t>Samsher Singh</t>
  </si>
  <si>
    <t>Here’s a gift card specially curated for you, Mr.Samsher Singh!</t>
  </si>
  <si>
    <t>LLumar-India-McLaren-Track-Day-2024-Aryan-Dandhania</t>
  </si>
  <si>
    <t>qrcode_1734471576.png</t>
  </si>
  <si>
    <t>Aryan Dhandiya</t>
  </si>
  <si>
    <t>Here’s a gift card specially curated for you, Mr. Aryan Dhandiya!</t>
  </si>
  <si>
    <t>LLumar-India-McLaren-Track-Day-2024_Faiz-Rezwan</t>
  </si>
  <si>
    <t>qrcode_1734471768.png</t>
  </si>
  <si>
    <t>Faiz Rezwan</t>
  </si>
  <si>
    <t>Here’s a gift card specially curated for you, Mr.Faiz Rezwan!</t>
  </si>
  <si>
    <t>LLumar-India-McLaren-Track-Day-2024_Bharat-Reddy</t>
  </si>
  <si>
    <t>qrcode_1734471981.png</t>
  </si>
  <si>
    <t>Bharat Reddy</t>
  </si>
  <si>
    <t>Here’s a gift card specially curated for you, Mr. Bharat Reddy!</t>
  </si>
  <si>
    <t>LLumar-India-McLaren-Track-Day-2024-Vinay-Mohan</t>
  </si>
  <si>
    <t>qrcode_1734472153.png</t>
  </si>
  <si>
    <t>Vinay Mohan</t>
  </si>
  <si>
    <t>Here’s a gift card specially curated for you, Mr. Vinay Mohan!</t>
  </si>
  <si>
    <t>LLumar_Autologix_Karthik-Bhandari</t>
  </si>
  <si>
    <t>qrcode_1734472333.png</t>
  </si>
  <si>
    <t>AUTOLOGIX</t>
  </si>
  <si>
    <t>Karthik Bhandari</t>
  </si>
  <si>
    <t>18/1C, Saur Urja Marg, Sahibabad Industrial Area, Ghaziabad, Uttar Pradesh, 201017</t>
  </si>
  <si>
    <t>Rikam-Enterprises_Piyush-Dhawan</t>
  </si>
  <si>
    <t>qrcode_1734472481.png</t>
  </si>
  <si>
    <t>RIKAM</t>
  </si>
  <si>
    <t>Piyush Dhawan</t>
  </si>
  <si>
    <t>Shed No 135 A, HSIIDC, Industrial Area, Sector 31, Faridabad, Haryana, 121003</t>
  </si>
  <si>
    <t>LLumar_Rainbow_Balwant-Singh</t>
  </si>
  <si>
    <t>qrcode_1734472604.png</t>
  </si>
  <si>
    <t>RAINBOW</t>
  </si>
  <si>
    <t>Balwant Singh</t>
  </si>
  <si>
    <t>99994 15021</t>
  </si>
  <si>
    <t>B7, Ground Floor, Mansarover Garden, New Delhi, Delhi 110015</t>
  </si>
  <si>
    <t>LLumar-Detailing-Bull_Ved-Prakash</t>
  </si>
  <si>
    <t>qrcode_1734472755.png</t>
  </si>
  <si>
    <t>DETAILING BULL</t>
  </si>
  <si>
    <t>Ved Prakash</t>
  </si>
  <si>
    <t>98110 54686</t>
  </si>
  <si>
    <t>A 212, Sector 83, Phase-2, Noida, Uttar Pradesh 201302, Near Sec 83 Metro station</t>
  </si>
  <si>
    <t>LLumar_Deepikadiya_Deepika-Jaiswal</t>
  </si>
  <si>
    <t>qrcode_1734472891.png</t>
  </si>
  <si>
    <t>DEEPIKADIYA</t>
  </si>
  <si>
    <t>Deepika Jaiswal</t>
  </si>
  <si>
    <t>98380 98389</t>
  </si>
  <si>
    <t>Lane Number 2, Vijay Nagar, Ekta Nagar, Lucknow, Uttar Pradesh 226014</t>
  </si>
  <si>
    <t>LLumar_SD-Jaipur_Ravi-Dewani</t>
  </si>
  <si>
    <t>qrcode_1734473031.png</t>
  </si>
  <si>
    <t>SD JAIPUR</t>
  </si>
  <si>
    <t>Ravi Dewani</t>
  </si>
  <si>
    <t>99291 88222</t>
  </si>
  <si>
    <t>14, Gautam Marg, Nemi Nagar, Vaishali Nagar, Jaipur, Rajasthan 302021</t>
  </si>
  <si>
    <t>LLumar_Pitstop_Manmeet-Ahluwalia</t>
  </si>
  <si>
    <t>qrcode_1734473155.png</t>
  </si>
  <si>
    <t>PITSTOP CHD</t>
  </si>
  <si>
    <t>Manmeet S Ahluwalia</t>
  </si>
  <si>
    <t>97804 47244</t>
  </si>
  <si>
    <t>PLOT D-59, PHASE-5, SECTOR-58, INDUSTRIAL AREA, MOHALI, PUNJAB 160055</t>
  </si>
  <si>
    <t>LLumar_Studio-J-Guntur_Abhishek-Juneja</t>
  </si>
  <si>
    <t>qrcode_1734473281.png</t>
  </si>
  <si>
    <t>STUDIO J GUNTUR</t>
  </si>
  <si>
    <t>Abhishek Juneja</t>
  </si>
  <si>
    <t>96185 90444</t>
  </si>
  <si>
    <t>Door No: 3, Tholla Shop Center, 1-94/2, Pattabhipuram Rd, Krishna Nagar, Guntur, Andhra Pradesh 522006</t>
  </si>
  <si>
    <t>LLumar_Studio-J-Vijaywada_Aseem-Juneja</t>
  </si>
  <si>
    <t>qrcode_1734473431.png</t>
  </si>
  <si>
    <t>STUDIO J VIJAYWADA</t>
  </si>
  <si>
    <t>Aseem Juneja</t>
  </si>
  <si>
    <t>90529 61144</t>
  </si>
  <si>
    <t>Studio J, 52-1/3-1A, NH5, Vetinarary Colony, Road No. 2, Vijaywada - 520008</t>
  </si>
  <si>
    <t>LLumar_Pacompro_Mithru-Parthipan</t>
  </si>
  <si>
    <t>qrcode_1734473560.png</t>
  </si>
  <si>
    <t>PACOMPRO</t>
  </si>
  <si>
    <t>Mithru Parthipan</t>
  </si>
  <si>
    <t>99430 44485</t>
  </si>
  <si>
    <t>Avinashi Rd, Chinniampalayam, Rangasamy Gounden Pudur, Coimbatore, Tamil Nadu 641062</t>
  </si>
  <si>
    <t>LLumar_Autograde_Ankur</t>
  </si>
  <si>
    <t>qrcode_1734473706.png</t>
  </si>
  <si>
    <t>AUTOGRADE</t>
  </si>
  <si>
    <t>Ankur</t>
  </si>
  <si>
    <t>98841 09855</t>
  </si>
  <si>
    <t>600015, 14, South Ave, Srinagar Colony, Kotturpuram, Chennai, Tamil Nadu 600025</t>
  </si>
  <si>
    <t>LLumar_Xtremegraphix_Chirayu-Bendre</t>
  </si>
  <si>
    <t>qrcode_1734473832.png</t>
  </si>
  <si>
    <t>XTREMEGRAPHIX</t>
  </si>
  <si>
    <t>Chirayu Bendre</t>
  </si>
  <si>
    <t>97694 80999</t>
  </si>
  <si>
    <t>Bungalow No 10 Kalanagar, Bandra east, Mumbai 400051</t>
  </si>
  <si>
    <t>LLumar_Prodetail_Sameer-Shah</t>
  </si>
  <si>
    <t>qrcode_1734473956.png</t>
  </si>
  <si>
    <t>PRODETAIL</t>
  </si>
  <si>
    <t>Sameer Shah</t>
  </si>
  <si>
    <t>92255 15522</t>
  </si>
  <si>
    <t>Shop # 5 &amp; 6, Shriban CHS, FC Road, Shivaji Nagar, Pune 411016</t>
  </si>
  <si>
    <t>LLumar_Motor-Artz_Sufiyan</t>
  </si>
  <si>
    <t>qrcode_1734474082.png</t>
  </si>
  <si>
    <t>MOTOR ARTZ</t>
  </si>
  <si>
    <t>Sufiyan</t>
  </si>
  <si>
    <t>99755 98174</t>
  </si>
  <si>
    <t>Godown, Sr No 105, 20, Kondhwa Main Rd, opp. S K (HP) Petrol Pump, near Talab Factory, Kondhwa Budruk, Pune, Maharashtra 411048</t>
  </si>
  <si>
    <t>LLumar-Autozville_Ambrose</t>
  </si>
  <si>
    <t>qrcode_1734474188.png</t>
  </si>
  <si>
    <t>AUTOZVILLE</t>
  </si>
  <si>
    <t>Ambrose</t>
  </si>
  <si>
    <t>93700 17994</t>
  </si>
  <si>
    <t>Aundh - Baner Link Road Opposite aditi reberra apartment, near Jupiter Hospital, Baner, Pune, Maharashtra 411045</t>
  </si>
  <si>
    <t>LLumar_Wiper-Auto_Ankush-Gourshettiwar</t>
  </si>
  <si>
    <t>qrcode_1734474316.png</t>
  </si>
  <si>
    <t>WIPER AUTO</t>
  </si>
  <si>
    <t>Ankush Gourshettiwar</t>
  </si>
  <si>
    <t>75077 11776</t>
  </si>
  <si>
    <t>Society, opposite to La Vida Loca, Pimple Saudagar, Pimpri-Chinchwad, Maharashtra 411027</t>
  </si>
  <si>
    <t>LLumar_Detailing-Expert_Prashant-Thakor</t>
  </si>
  <si>
    <t>qrcode_1734595969.png</t>
  </si>
  <si>
    <t>DETAILING EXPERT</t>
  </si>
  <si>
    <t>Prashant Thakor</t>
  </si>
  <si>
    <t>95864 61141</t>
  </si>
  <si>
    <t>Behind Verantis Flat, Near Nisarg Bungalow, Hebatpur Cross Road, Thaltej, Ahemadabad</t>
  </si>
  <si>
    <t>LLumar_RPR_Ritweek-Ray</t>
  </si>
  <si>
    <t>qrcode_1734596061.png</t>
  </si>
  <si>
    <t>RPR</t>
  </si>
  <si>
    <t>Ritweek Ray</t>
  </si>
  <si>
    <t>95837 77567</t>
  </si>
  <si>
    <t>LLumar-Prime-Car_Ashu</t>
  </si>
  <si>
    <t>qrcode_1734596334.png</t>
  </si>
  <si>
    <t>PRIME CAR</t>
  </si>
  <si>
    <t>Ashu</t>
  </si>
  <si>
    <t>98753 38477</t>
  </si>
  <si>
    <t>Ground Floor, AQ6, next to Kia Showroom, AQ Block, Sector V, Bidhannagar, Kolkata, West Bengal 700091</t>
  </si>
  <si>
    <t>LLumar_Poona-Motors_Anup-Chauhan</t>
  </si>
  <si>
    <t>qrcode_1734596517.png</t>
  </si>
  <si>
    <t>POONA MOTORS</t>
  </si>
  <si>
    <t>ANUP CHAUHAN</t>
  </si>
  <si>
    <t>93714 67878</t>
  </si>
  <si>
    <t>Poona Motors pvt Ltd Camp Shop No. 2404, East Street, behind Corporation Bank, Agarwal Colony, Sadar Bazaar, Pune, Maharashtra 411001 020 2634 2249</t>
  </si>
  <si>
    <t>LLumar_Motor-Artz_Salman</t>
  </si>
  <si>
    <t>qrcode_1734596793.png</t>
  </si>
  <si>
    <t>Motor Artz</t>
  </si>
  <si>
    <t>Salman</t>
  </si>
  <si>
    <t>LLumar_Always-Dry-Lucknow_Aditya-Jaiswal</t>
  </si>
  <si>
    <t>qrcode_1734597270.png</t>
  </si>
  <si>
    <t>Always Dry Lucknow</t>
  </si>
  <si>
    <t>Aditya Jaiswal</t>
  </si>
  <si>
    <t>LLumar_Autologix_Manish-Gupta</t>
  </si>
  <si>
    <t>qrcode_1734597500.png</t>
  </si>
  <si>
    <t>Autologix</t>
  </si>
  <si>
    <t>Manish Gupta</t>
  </si>
  <si>
    <t>LLumar_Detailing-Bull_Khailendra-Singh</t>
  </si>
  <si>
    <t>qrcode_1734597705.png</t>
  </si>
  <si>
    <t>Detailing Bull</t>
  </si>
  <si>
    <t>Khailendra Singh</t>
  </si>
  <si>
    <t>LLumar_Tyres-Shoppe_Mohit-Jain</t>
  </si>
  <si>
    <t>qrcode_1734599313.png</t>
  </si>
  <si>
    <t>Tyres Shoppe</t>
  </si>
  <si>
    <t>Mohit Jain</t>
  </si>
  <si>
    <t>LLumar_Always-Dry-NewDelhi_Vijay</t>
  </si>
  <si>
    <t>qrcode_1734599585.png</t>
  </si>
  <si>
    <t>Always Dry New Delhi</t>
  </si>
  <si>
    <t>Vijay</t>
  </si>
  <si>
    <t>LLumar_Auto-Clinic_Vaibhav-Solanki</t>
  </si>
  <si>
    <t>qrcode_1734600066.png</t>
  </si>
  <si>
    <t>Auto Clinic</t>
  </si>
  <si>
    <t>Vaibhav Solanki</t>
  </si>
  <si>
    <t>LLumar_Pro-Detail_Harsh-Gandhi</t>
  </si>
  <si>
    <t>qrcode_1734600217.png</t>
  </si>
  <si>
    <t>Pro Detail</t>
  </si>
  <si>
    <t>Harsh Gandhi</t>
  </si>
  <si>
    <t>LLumar_Poona-Motors_Vinit-Chauhan</t>
  </si>
  <si>
    <t>qrcode_1734600739.png</t>
  </si>
  <si>
    <t>Poona Motors</t>
  </si>
  <si>
    <t>Vinit Chauhan</t>
  </si>
  <si>
    <t>partner</t>
  </si>
  <si>
    <t>Llumar_Bhawani-Motors_Yamank-Pattidar</t>
  </si>
  <si>
    <t>qrcode_1734600956.png</t>
  </si>
  <si>
    <t>Bhawani Motors</t>
  </si>
  <si>
    <t>Yamank Pattidar</t>
  </si>
  <si>
    <t>LLumar_The-Detailing-Studio_Jay-Devecha</t>
  </si>
  <si>
    <t>qrcode_1734601126.png</t>
  </si>
  <si>
    <t>The Detailing Studio</t>
  </si>
  <si>
    <t>Jay Devecha</t>
  </si>
  <si>
    <t>LLumar_Detailing-Xpert_Masoom-Shah</t>
  </si>
  <si>
    <t>qrcode_1734601330.png</t>
  </si>
  <si>
    <t>Detailing Xpert</t>
  </si>
  <si>
    <t>Masoom Shah</t>
  </si>
  <si>
    <t>LLumar_DetailingDada_Subhojeet-Chaterjee</t>
  </si>
  <si>
    <t>qrcode_1734601590.png</t>
  </si>
  <si>
    <t>Detailing Dada</t>
  </si>
  <si>
    <t>Subhojeet Chaterjee</t>
  </si>
  <si>
    <t>LLumar_PerronMarketersAndDistributors_Anchit</t>
  </si>
  <si>
    <t>qrcode_1734601765.png</t>
  </si>
  <si>
    <t>Perron Marketing</t>
  </si>
  <si>
    <t>Anchit</t>
  </si>
  <si>
    <t>LLumar_Bajoria-Car-Care_Suyash-Bajoria</t>
  </si>
  <si>
    <t>qrcode_1734601959.png</t>
  </si>
  <si>
    <t>Bajoria Car Care</t>
  </si>
  <si>
    <t>Suyash Bajoria</t>
  </si>
  <si>
    <t>LLumar_Bajoria-Car-Care_Suresh-Bajoria</t>
  </si>
  <si>
    <t>qrcode_1734602026.png</t>
  </si>
  <si>
    <t>Suresh Bajoria</t>
  </si>
  <si>
    <t>LLumar_Mquik_Mehul-Desai</t>
  </si>
  <si>
    <t>qrcode_1734602147.png</t>
  </si>
  <si>
    <t>MQuik</t>
  </si>
  <si>
    <t>Mehul Desai</t>
  </si>
  <si>
    <t>DR.KAPIL-JAIN_BNI-INFINITE</t>
  </si>
  <si>
    <t>qrcode_1733387804.png</t>
  </si>
  <si>
    <t>1733301191_0ae6aad68eec15c295cc.webp</t>
  </si>
  <si>
    <t>1263.jpeg</t>
  </si>
  <si>
    <t>Dr.Jain’s Smile World Dental Clinic</t>
  </si>
  <si>
    <t>Dr.Kapil Jain Bni Infinite</t>
  </si>
  <si>
    <t>Dentist</t>
  </si>
  <si>
    <t>Welcome to Smile World Dental Clinic, where we specialize in providing top-notch dental care for children and expert orthodontic treatments, including braces. Our friendly team is dedicated to creating a comfortable, fun, and stress-free environment for kids, ensuring their oral health is in the best hands. From preventive care to advanced orthodontics, we’re committed to brightening every smile!</t>
  </si>
  <si>
    <t>theltinfinite@gmail.com</t>
  </si>
  <si>
    <t>Shop No.18 , Bhushan Heritage , Chiku Wadi , Borivali West , Mumbai 400092</t>
  </si>
  <si>
    <t>https://www.smileworlddental.in/</t>
  </si>
  <si>
    <t>SEEMA-MAKWANA_BNI-INFINITE</t>
  </si>
  <si>
    <t>qrcode_1733390122.png</t>
  </si>
  <si>
    <t>1733389933_420d9639e9a10afa6e29.jpeg</t>
  </si>
  <si>
    <t>1272.jpeg</t>
  </si>
  <si>
    <t>SaffronBizz Solutions LLP</t>
  </si>
  <si>
    <t>Seema Makwana Bni Infinite</t>
  </si>
  <si>
    <t>HR Recruitment</t>
  </si>
  <si>
    <t>We are a Young and Dynamic company with a Team of core expertise in fulfilling all kinds of Human Resource requirements. We started primarily as a recruitment Focused Company, our Natural&amp; Positive, progression has been into Human Resource Consulting Saffron Bizz Solutions LLP is specialized in providing HR Services on PAN India. We have Qualified and Industry Expertise in the team who dedicatedly works to hire the best talent from the industry and to give the best HR Solutions.</t>
  </si>
  <si>
    <t>506, Devraj Mall, Harishankar Joshi Road, Maratha Colony, Jumboking Building, Dahisar - East, Mumbai - 400068.</t>
  </si>
  <si>
    <t>http://www.saffronhr.com</t>
  </si>
  <si>
    <t>PRASANNA-KHARE_BNI-INFINITE</t>
  </si>
  <si>
    <t>qrcode_1733390324.png</t>
  </si>
  <si>
    <t>1274.jpeg</t>
  </si>
  <si>
    <t>Yellow Dot Media &amp; Entertainment</t>
  </si>
  <si>
    <t>Prasanna Khare Bni Infinite</t>
  </si>
  <si>
    <t>Bispoke Celebrity Management Agency</t>
  </si>
  <si>
    <t>Yellow Dot is a bespoke celebrity management agency that specializes in providing a wide range of celebrities for various brand-related activities. Our services include brand endorsements, celebrity appearances, live performances, in-film promotions, digital promotions, and more. We prides ourselves in recommending and providing celebrities who align with brand’s preferences and budget, using scientific brand and celebrity mapping techniques.</t>
  </si>
  <si>
    <t>C-1101 Dheeraj Hill View Tower, Siddharth Nagar, Borovali East, Mumbai 400066</t>
  </si>
  <si>
    <t>https://www.yellowdot.in</t>
  </si>
  <si>
    <t>DEVANSHI-SHAH_BNI-INFINITE</t>
  </si>
  <si>
    <t>qrcode_1733390437.png</t>
  </si>
  <si>
    <t>1733390423_a7926d79f0d4be997634.jpg</t>
  </si>
  <si>
    <t>1275.jpeg</t>
  </si>
  <si>
    <t>Adih Biztech Private Limited</t>
  </si>
  <si>
    <t>Devanshi Shah Bni Infinite</t>
  </si>
  <si>
    <t>Company Secretary</t>
  </si>
  <si>
    <t>Instabizfilings is a brand name of Adih Biztech Private Limited, an Indian Company registered under the Companies Act, 2013. Instabizfilings is an online platform providing gamut of services viz. Business Registration and Licenses, Compliance services related to Companies, LLP, RBI, XBRL etc. With Instabizfilings, we want to combine technology with traditional system and provide a 360 degree of top-quality services. Our Mission is to provide our services at a very affordable rate which is convenient for anyone wishing to start their business. To partner with professionals and provide them with the necessary resources to handle clients efficiently. To provide User-friendly, Efficient and Secure experience to our clientele and partners</t>
  </si>
  <si>
    <t>3rd Floor, Vasu Villa, Amar Jyoti Compound, Opposite MTNL Telephone Exchange, S V Road, Kandivali (West), Mumbai - 400101</t>
  </si>
  <si>
    <t>https://instabizfilings.com/</t>
  </si>
  <si>
    <t>KRUPA-MEHTA_BNI-INFINITE</t>
  </si>
  <si>
    <t>qrcode_1733390582.png</t>
  </si>
  <si>
    <t>1733390602_096bbcbdaddf2bc6d939.jpg</t>
  </si>
  <si>
    <t>1276.jpeg</t>
  </si>
  <si>
    <t>Krupamehtaspakwan</t>
  </si>
  <si>
    <t>Krupa mehta Bni Infinite</t>
  </si>
  <si>
    <t>Healthy food service</t>
  </si>
  <si>
    <t>We serve Healthy soulful food 😋</t>
  </si>
  <si>
    <t>A/1 , hare Krishna apt Sarojni Naidu road</t>
  </si>
  <si>
    <t>www.kmspakwan.com</t>
  </si>
  <si>
    <t>ASHAY-SAVE_BNI-INFINITE</t>
  </si>
  <si>
    <t>qrcode_1733390955.png</t>
  </si>
  <si>
    <t>1733390782_749d5cfb453e1426d078.jpeg</t>
  </si>
  <si>
    <t>1277.jpeg</t>
  </si>
  <si>
    <t>Lakshya Consultancy Services</t>
  </si>
  <si>
    <t>Ashay Save Bni Infinite</t>
  </si>
  <si>
    <t>Website Design &amp; Development</t>
  </si>
  <si>
    <t>We Are Only &amp; Only Specialised for Creating Story by Dynamic / CMS / Brand Awareness / Mobile Responsive Website Design &amp; Development From Last 15 Years. Shopping Cart With Whats App / SSL Domain &amp; Hosting / Fully E-commerce Portal / Whats App Integration/ Visitor Counting / SEO / Mobile Version / Google Mapping &amp; Google Analytics / Payment Gateway</t>
  </si>
  <si>
    <t>Borivali West</t>
  </si>
  <si>
    <t>https://lakshyacs.com/</t>
  </si>
  <si>
    <t>PRAVEEN-VISHWAKARMA_BNI-INFINITE</t>
  </si>
  <si>
    <t>qrcode_1733391143.png</t>
  </si>
  <si>
    <t>1733391084_80b152fa46ecb3a118b6.jpeg</t>
  </si>
  <si>
    <t>1278.jpeg</t>
  </si>
  <si>
    <t>Praveen Vaastu</t>
  </si>
  <si>
    <t>Praveen Vishwakarma Bni Infinite</t>
  </si>
  <si>
    <t>Vaastu Consultant</t>
  </si>
  <si>
    <t>Praveen Vaastu is a Remedial Vaastu consultation company that uses the ancient knowledge of Vaastu in modern aesthetics of a space and delivers clients do-able, reasonable and practical solutions.</t>
  </si>
  <si>
    <t>N 2001 Marina Enclave, 90 feet road, Malad West, Mumbai 400095</t>
  </si>
  <si>
    <t>www.angelswork.in</t>
  </si>
  <si>
    <t>1279.jpeg</t>
  </si>
  <si>
    <t>Smit Shah Bni Infinite</t>
  </si>
  <si>
    <t>63, 1st Floor, Raghuleela Mega Mall, Kandivali West, Mumbai 400067</t>
  </si>
  <si>
    <t>MOHIT-MEHTA_BNI-INFINITE</t>
  </si>
  <si>
    <t>qrcode_1733391397.png</t>
  </si>
  <si>
    <t>1733391384_b4a4476a9cb8b4a26885.jpg</t>
  </si>
  <si>
    <t>1280.jpeg</t>
  </si>
  <si>
    <t>GIFTING AFFAIR</t>
  </si>
  <si>
    <t>Mohit Mehta Bni Infinite</t>
  </si>
  <si>
    <t>Gifting</t>
  </si>
  <si>
    <t>5000+Products acrossproduct range starts from 5rs to 5lac rupees. different categories for Corporates. Sourcing Specialist. Gifting Expert.</t>
  </si>
  <si>
    <t>79773 30377</t>
  </si>
  <si>
    <t>104 Akansha Arcade Near Sona Shopping Centre Kandivali West Mumbai 400067</t>
  </si>
  <si>
    <t>www.giftingaffair.com</t>
  </si>
  <si>
    <t>CHIRAG-JAIN_BNI-INFINITE</t>
  </si>
  <si>
    <t>qrcode_1733391657.png</t>
  </si>
  <si>
    <t>1733391605_92c27a102a3bd44c269d.jpeg</t>
  </si>
  <si>
    <t>1281.jpeg</t>
  </si>
  <si>
    <t>-Line-OO VARDHMAN MOBILE</t>
  </si>
  <si>
    <t>Chirag jain Bni Infinite</t>
  </si>
  <si>
    <t>Mobile phones and accessories</t>
  </si>
  <si>
    <t>OlineO Vardhman Mobile is a leading retail chain with a strong e-commerce platform, offering a wide range of smartphones and smart gadgets from top brands. With over two decades of experience, it was one of the pioneers in providing door-to-door services in this niche along with seamless after sales services.</t>
  </si>
  <si>
    <t>Shop no -1,2 mehta nivas ,main Carter road opp to Kasturba police station and next to Laxmi sweets</t>
  </si>
  <si>
    <t>MITHEEL-JAGADA_BNI-INFINITE</t>
  </si>
  <si>
    <t>qrcode_1733392322.png</t>
  </si>
  <si>
    <t>1733392271_f6c0bf252ddaa55bec7e.png</t>
  </si>
  <si>
    <t>1282.jpeg</t>
  </si>
  <si>
    <t>Mondial MMX Financial Distributors Pvt. Ltd.</t>
  </si>
  <si>
    <t>Mitheel Jagada Bni Infinite</t>
  </si>
  <si>
    <t>General Insurance</t>
  </si>
  <si>
    <t>Mondial MMX is Multi-Company General Insurance Solution Provider with 25 Years of Rich experience. We deal with all Private General Insurance Companies, enabling us to offer the best comprehensive Sampoorna Suraksha Solutions which covers Sufficient Health Cover, Critical Illness Cover, Personal Accidental Cover &amp; Home Cover. At Mondial MMX, we prioritize understanding your unique requirements and recommending the most cost-effective and suitable options available in this competitive market. Our philosophy is simple: We don’t Sell; we help you Buy. As a fully digital enterprise, we provide our products and services across India and globally, ensuring seamless and efficient service delivery.</t>
  </si>
  <si>
    <t>331, Gundecha Industrial Complex, Next to Growels 101, Aakurli Road, Kandivali (East), Mumbai - 400 101, Maharashtra, India.</t>
  </si>
  <si>
    <t>https://www.mondialmmx.com/</t>
  </si>
  <si>
    <t>VICKY-BAFNA_BNI-INFINITE</t>
  </si>
  <si>
    <t>qrcode_1733392423.png</t>
  </si>
  <si>
    <t>1733392376_59f9521b69d97d203fac.jpeg</t>
  </si>
  <si>
    <t>1283.jpeg</t>
  </si>
  <si>
    <t>NAVKAR FURNISHING SINCE 1996</t>
  </si>
  <si>
    <t>Vicky Bafna Bni Infinite</t>
  </si>
  <si>
    <t>HOME FURNISHING MFG</t>
  </si>
  <si>
    <t>Established in 1996, Navkar Furnishings is a trusted name in the furnishing industry, offering a wide range of products including sofas, curtains, wallpapers, blinds, mattresses, and dining chairs. With five manufacturing units located in Rajasthan, Bhiwandi, Charkop, Oshiwara, and Gorai, they ensure top-notch quality and innovation. Their products are known for comfort, style, and durability, catering to both residential and commercial markets.</t>
  </si>
  <si>
    <t>STUDIO NO 4, SHRI VINAYAK CHS, PLOT NO 226, DR B A ROAD, SECTOR NO 5, CHARKOP MARKET, NEAR SHIV SUPER MARKET, KANDIVALI WEST. MUMBAI 400067</t>
  </si>
  <si>
    <t>www.navkarfurnishing.in</t>
  </si>
  <si>
    <t>MUSTAFA-SHABBIR_BNI-INFINITE</t>
  </si>
  <si>
    <t>qrcode_1733392874.png</t>
  </si>
  <si>
    <t>1733392819_afa5c9e3248529d30be2.jpg</t>
  </si>
  <si>
    <t>1733309434_9e2a230f3c7f69bd4334.png</t>
  </si>
  <si>
    <t>Regal Glass House</t>
  </si>
  <si>
    <t>Mustafa Shabbir Bni Infinite</t>
  </si>
  <si>
    <t>Glass &amp; Mirrors</t>
  </si>
  <si>
    <t>Deal in all kinds of Glasses and Mirrors since 2005. We provide custom made mirrors and glasses for the interior decor of your homes and offices. We are one stop solution for all your interior and exterior glass solutions. We manufacture LED Mirrors and Lacquered Glasses. We have a showroom in Mira Road and Factory in Vasai.</t>
  </si>
  <si>
    <t>90-92, Gharat Compound, Umar Compound, Sopara Phata, NH 48, Vasai (E)</t>
  </si>
  <si>
    <t>www.kanchbazaar.com</t>
  </si>
  <si>
    <t>VISHAL-PANCHAL_BNI-INFINITE</t>
  </si>
  <si>
    <t>qrcode_1733392949.png</t>
  </si>
  <si>
    <t>1733392932_4146357cc10d03f29ef0.jpg</t>
  </si>
  <si>
    <t>1285.jpeg</t>
  </si>
  <si>
    <t>Swastik Industries</t>
  </si>
  <si>
    <t>Vishal Panchal Bni Infinite</t>
  </si>
  <si>
    <t>Acrylic fabrication (Retail branding)</t>
  </si>
  <si>
    <t>We manufacture product display stands, cosmetic display stands, advertising &amp; promotional display stands along with inshop branding &amp; signages. We also provide services like laser cutting, CNC routing and flat bed UV printing.</t>
  </si>
  <si>
    <t>48/49, Om Sai Sadan Compound, Opp metro pillar no 467, Ashok Nagar, Near Hub mall, Goregaon East, Mumbai - 400063</t>
  </si>
  <si>
    <t>www.swastikindustries.org</t>
  </si>
  <si>
    <t>HARDIK-GADHIA_BNI-INFINITE</t>
  </si>
  <si>
    <t>qrcode_1733394219.png</t>
  </si>
  <si>
    <t>1733394172_6aa63c634966c5862b5e.jpg</t>
  </si>
  <si>
    <t>1286.jpeg</t>
  </si>
  <si>
    <t>Mangalam</t>
  </si>
  <si>
    <t>Hardik Gadhia Bni Infinite</t>
  </si>
  <si>
    <t>Mensclothing</t>
  </si>
  <si>
    <t>We are in stitching of formals for mens. Also we sell readymade kurtas and tshirts. We also provide rental ethnics.</t>
  </si>
  <si>
    <t>SHOP 13, B-51, SECTOR 3, SHANTI NAGAR, MIRA ROAD EAST, THANE</t>
  </si>
  <si>
    <t>https://wa.me/c/917977239342</t>
  </si>
  <si>
    <t>LAVESH-KOTHARI_BNI-INFINITE</t>
  </si>
  <si>
    <t>qrcode_1733394543.png</t>
  </si>
  <si>
    <t>1733394528_310f3ade7c975fb6a601.jpeg</t>
  </si>
  <si>
    <t>1287.jpeg</t>
  </si>
  <si>
    <t>Dharma ply and laminate studio</t>
  </si>
  <si>
    <t>Lavesh kothari Bni Infinite</t>
  </si>
  <si>
    <t>Plywood and laminates</t>
  </si>
  <si>
    <t>3 outlets in mumbai Warehouse at Jogeshwari More than 500 sheets of laminate display since 1986</t>
  </si>
  <si>
    <t>Ng estate 14 15 near old petrol pump mira bhayander road mira rd east thane 401007</t>
  </si>
  <si>
    <t>KRUPA-SHAH_BNI-INFINITE</t>
  </si>
  <si>
    <t>qrcode_1733394697.png</t>
  </si>
  <si>
    <t>1733394654_be10c96140063035122d.jpeg</t>
  </si>
  <si>
    <t>1288.jpeg</t>
  </si>
  <si>
    <t>PEARL TRAVELS</t>
  </si>
  <si>
    <t>Krupa Shah Bni Infinite</t>
  </si>
  <si>
    <t>TOURS AND TRAVELS</t>
  </si>
  <si>
    <t>Pearl Travels is full service travel company for Staycation, Domestic , International and MICE Packages . We also do B2B DMC for Maldives, Mauritius, Thailand and Vietnam</t>
  </si>
  <si>
    <t>Shop No 2, Om Matruchaya, Ashok Nagar, Kandivali East, Mumbai 400101</t>
  </si>
  <si>
    <t>www.pearltravels.in</t>
  </si>
  <si>
    <t>VIKAASH-VERMA-BNI-INFINITE</t>
  </si>
  <si>
    <t>qrcode_1733394796.png</t>
  </si>
  <si>
    <t>1733394741_077ea1ff99767c06529e.jpg</t>
  </si>
  <si>
    <t>1289.jpeg</t>
  </si>
  <si>
    <t>Unique Mortgages Solutions</t>
  </si>
  <si>
    <t>Vikaash Verma Bni Infinite</t>
  </si>
  <si>
    <t>Loans - Secured</t>
  </si>
  <si>
    <t>We give Loans at lowest rates from last 23 yrs</t>
  </si>
  <si>
    <t>1108, IT Techno park, Eksar, Borivali west</t>
  </si>
  <si>
    <t>JAYESH-MEGHNANI_BNI-INFINITE</t>
  </si>
  <si>
    <t>qrcode_1733394946.png</t>
  </si>
  <si>
    <t>1733394890_c498691d9aece1d02fb3.jpg</t>
  </si>
  <si>
    <t>1290.jpeg</t>
  </si>
  <si>
    <t>60 DEGREE INTERIOR</t>
  </si>
  <si>
    <t>Jayesh P. Megnani Bni Infinite</t>
  </si>
  <si>
    <t>Interior designer</t>
  </si>
  <si>
    <t>We Interior designers having sites pan India and have worked internationally. We specialise inStays, Hotels, Restaurant, cafes, salon and spa</t>
  </si>
  <si>
    <t>8, Ganesh Darshan society behind Pruthvi chemist LT road Borivali West, Mumbai</t>
  </si>
  <si>
    <t>DR.AJINKYA-RAUT_BNI-INFINITE</t>
  </si>
  <si>
    <t>qrcode_1733395098.png</t>
  </si>
  <si>
    <t>1733395056_ce0fe0f8ca0771531b67.jpg</t>
  </si>
  <si>
    <t>1291.jpeg</t>
  </si>
  <si>
    <t>I for Accountability</t>
  </si>
  <si>
    <t>Dr.Ajinkya Raut Bni Infinite</t>
  </si>
  <si>
    <t>Accountability Coach</t>
  </si>
  <si>
    <t>i for accountability is a dedicated coaching service focused on helping individuals and businesses achieve their goals through personalized accountability strategies. Whether you're looking to improve time management, build better habits, or reach your next level of success, we partner with you to create actionable plans, track progress, and provide the support you need to stay on track. With a clear, results-driven approach, we empower you to turn intentions into accomplishments.</t>
  </si>
  <si>
    <t>Borivali</t>
  </si>
  <si>
    <t>SIRISHA-RAVURI_BNI-INFINITE</t>
  </si>
  <si>
    <t>qrcode_1733395197.png</t>
  </si>
  <si>
    <t>1733395148_46f57fc584f76d35090d.png</t>
  </si>
  <si>
    <t>1292.jpeg</t>
  </si>
  <si>
    <t>Citrines</t>
  </si>
  <si>
    <t>Sirisha Ravuri Bni Infinite</t>
  </si>
  <si>
    <t>Transformation Coach</t>
  </si>
  <si>
    <t>Citrines is a premier transformation coaching firm dedicated to helping business owners unlock their full potential through Neuro-Linguistic Programming (NLP). We specialize in transforming mindsets, aligning them with business goals to drive growth, and maximizing impact. With expertise in influence, leadership, and sales, we help clients tap into the power of their subconscious to create sustainable, high-performance habits. What sets Citrines apart is our unique learning journey: both of our coaches have trained directly under Dr. Richard Bandler, the co-creator of NLP. This direct mentorship gives us unparalleled insight into NLP techniques, which we seamlessly integrate into our coaching approach. We work closely with our clients to understand their goals, recalibrate their mindset, and ultimately produce extraordinary business results. At Citrines, we pride ourselves on our 100% success rate, delivering measurable and lasting improvements in both leadership and sales performance. Our proven methods enable clients to harness the true potential of their business, unlocking growth that they never thought possible. We don’t just guide clients; we work magic with their business numbers. With Citrines, transformation is not just possible—it's inevitable.</t>
  </si>
  <si>
    <t>Goregaon East</t>
  </si>
  <si>
    <t>https://www.citrines.online/</t>
  </si>
  <si>
    <t>CHETAN-JOSHI_BNI-INFINITE</t>
  </si>
  <si>
    <t>qrcode_1733395291.png</t>
  </si>
  <si>
    <t>1733395249_06c0f8b1c68fa7c5f301.jpg</t>
  </si>
  <si>
    <t>Mondial MMX Financial Distributors Pvt. Ltd</t>
  </si>
  <si>
    <t>Rtn. Chetan Joshi Bni Infinite</t>
  </si>
  <si>
    <t>Wealth Management</t>
  </si>
  <si>
    <t>We are Distributors of Multiple Financial Products with expertise in Alternate Investments giving Return of 12% to 18% in Debt for a short tenure of 2 to 12 Months. Before Buying New House Or Car, Contact MMX to make the Entire Purchase FREE w/o any additional Investment.</t>
  </si>
  <si>
    <t>331, Gundecha industrial complex, Akurli rd, nx to Star bazaar- Growels Mall, kandivali E.</t>
  </si>
  <si>
    <t>RUMA-DESAI_BNI-INFINITE</t>
  </si>
  <si>
    <t>qrcode_1733395518.png</t>
  </si>
  <si>
    <t>1294.jpeg</t>
  </si>
  <si>
    <t>Ruma Desai Bni Infinite</t>
  </si>
  <si>
    <t>Ruma Desai</t>
  </si>
  <si>
    <t>Life Insurance Advisor</t>
  </si>
  <si>
    <t>VAISHALI IND DAHIAR WEST MUMBAI</t>
  </si>
  <si>
    <t>BINA-PANDIT_BNI-INFINITE</t>
  </si>
  <si>
    <t>qrcode_1733395638.png</t>
  </si>
  <si>
    <t>1295.jpeg</t>
  </si>
  <si>
    <t>Vriddhi</t>
  </si>
  <si>
    <t>Bina Pandit Bni Infinite</t>
  </si>
  <si>
    <t>Mutual funds</t>
  </si>
  <si>
    <t>C/81-82 Devanagar, Bhatia school lane, Kandivali west, Mumbai 400067</t>
  </si>
  <si>
    <t>ALPESH-SHAH_BNI-INFINITE</t>
  </si>
  <si>
    <t>qrcode_1733395707.png</t>
  </si>
  <si>
    <t>1296.jpeg</t>
  </si>
  <si>
    <t>Eclipse Computer Services</t>
  </si>
  <si>
    <t>Alpesh Shah Bni Infinite</t>
  </si>
  <si>
    <t>IT- Sale and Service</t>
  </si>
  <si>
    <t>209/10, B wing, Yogi Paradise, Yogi Nagar, Borivali West, Mumbai.</t>
  </si>
  <si>
    <t>PUSHPENDRA-JAIN_BNI-INFINITE</t>
  </si>
  <si>
    <t>qrcode_1733395797.png</t>
  </si>
  <si>
    <t>1297.jpeg</t>
  </si>
  <si>
    <t>Abhishek Enterprise</t>
  </si>
  <si>
    <t>Pushpendra Jain Bni Infinite</t>
  </si>
  <si>
    <t>Structural Engineer &amp; contractors</t>
  </si>
  <si>
    <t>MOHIT-SHAH_BNI-INFINITE</t>
  </si>
  <si>
    <t>qrcode_1733395896.png</t>
  </si>
  <si>
    <t>1299.jpeg</t>
  </si>
  <si>
    <t>Mohitshah Space</t>
  </si>
  <si>
    <t>Mohit Shah Bni Infinite</t>
  </si>
  <si>
    <t>Interior design residential</t>
  </si>
  <si>
    <t>12, Guru Kripa CHS Ltd., Evershine Nagar, Malad W.</t>
  </si>
  <si>
    <t>TEJAS-SANGHVI_BNI-INFINITE</t>
  </si>
  <si>
    <t>qrcode_1733396033.png</t>
  </si>
  <si>
    <t>1300.jpeg</t>
  </si>
  <si>
    <t>Gandhi Optics</t>
  </si>
  <si>
    <t>Tejas Sanghvi Bni Infinite</t>
  </si>
  <si>
    <t>Optician</t>
  </si>
  <si>
    <t>A-104, Durian estate, Goregaon _east, Mumbai-400063</t>
  </si>
  <si>
    <t>ERINA-JAIN_BNI-INFINITE</t>
  </si>
  <si>
    <t>qrcode_1733396185.png</t>
  </si>
  <si>
    <t>1301.jpeg</t>
  </si>
  <si>
    <t>Erina's desserts</t>
  </si>
  <si>
    <t>Erina Jain Bni Infinite</t>
  </si>
  <si>
    <t>Baker</t>
  </si>
  <si>
    <t>Shop No. 7 , Ground Floor, Jangid Tower, Jangid Circle, Shanti Park, MTNL Road, Miraroad (East ) Thane 401 107.</t>
  </si>
  <si>
    <t>DEEPAK-KUMAR_BNI-INFINITE</t>
  </si>
  <si>
    <t>qrcode_1733396259.png</t>
  </si>
  <si>
    <t>1302.jpeg</t>
  </si>
  <si>
    <t>Platinum autozone</t>
  </si>
  <si>
    <t>Deepak gupta Bni Infinite</t>
  </si>
  <si>
    <t>Car dealer</t>
  </si>
  <si>
    <t>603, Stardeep apt, opp.prabhodhan Thackeray hall, sodawala lane, Borivali West, Mumbai 92</t>
  </si>
  <si>
    <t>RUSHABH-SOMANI_BNI-INFINITE</t>
  </si>
  <si>
    <t>qrcode_1733396332.png</t>
  </si>
  <si>
    <t>1303.jpeg</t>
  </si>
  <si>
    <t>TR JEWELS</t>
  </si>
  <si>
    <t>Rushabh Somani Bni Infinite</t>
  </si>
  <si>
    <t>Diamond &amp; Diamond Jewellery</t>
  </si>
  <si>
    <t>Shop no 23 / 24 Nirmal nagar chs Ltd sai baba nagar Miraroad east 401101.</t>
  </si>
  <si>
    <t>DR.RIDDHI-SHAH_BNI-INFINITE</t>
  </si>
  <si>
    <t>qrcode_1733397116.png</t>
  </si>
  <si>
    <t>1733397063_9d5770d671ed814cb771.jpg</t>
  </si>
  <si>
    <t>1304.jpeg</t>
  </si>
  <si>
    <t>Head 2 Toe Physiotherapy Centre</t>
  </si>
  <si>
    <t>Dr. Riddhi Shah Bni Infinite</t>
  </si>
  <si>
    <t>Physiotherapist</t>
  </si>
  <si>
    <t>Move freely, faster recovery with minimal pain is our success mantra.</t>
  </si>
  <si>
    <t>B-702 Krishraj Towers Padmanagar Chikuwadi Borivali West Mumbai 400092.</t>
  </si>
  <si>
    <t>KRISHNA-THALESAR_BNI-INFINITE</t>
  </si>
  <si>
    <t>qrcode_1733397472.png</t>
  </si>
  <si>
    <t>1305.jpeg</t>
  </si>
  <si>
    <t>Kt&amp;Co</t>
  </si>
  <si>
    <t>Krishna Thalesar Bni Infinite</t>
  </si>
  <si>
    <t>Digital Marketing</t>
  </si>
  <si>
    <t>Greenwoods A CHSL, Shop No. 5, Link Road, Near Shimpoli Metro Station, Chikuwadi, Borivali (W), Mumbai - 92</t>
  </si>
  <si>
    <t>SHUBHAM-PATIL_BNI-INFINITE</t>
  </si>
  <si>
    <t>qrcode_1733397553.png</t>
  </si>
  <si>
    <t>1306.jpeg</t>
  </si>
  <si>
    <t>DOT41 customs</t>
  </si>
  <si>
    <t>Subham Patil Bni Infinite</t>
  </si>
  <si>
    <t>Auto detailing</t>
  </si>
  <si>
    <t>53, Gokul Apt,M.G Road, Borivali ( East )</t>
  </si>
  <si>
    <t>HARDIK-PUROHIT_BNI-iNFINITE</t>
  </si>
  <si>
    <t>qrcode_1733397777.png</t>
  </si>
  <si>
    <t>1307.jpeg</t>
  </si>
  <si>
    <t>HP Consulting</t>
  </si>
  <si>
    <t>Hardik Purohit Bni Infinite</t>
  </si>
  <si>
    <t>Bookkeeping and Accounting</t>
  </si>
  <si>
    <t>Shop no 6, blue rose industrial estate, Beside metro mall, Western Express Highway Borivali East, Mumbai 400092.</t>
  </si>
  <si>
    <t>SUCHI-SHAH_BNI-INFINITE</t>
  </si>
  <si>
    <t>1308.jpeg</t>
  </si>
  <si>
    <t>Moonlight Performing Arts</t>
  </si>
  <si>
    <t>Suchi Shah Bni Infinite</t>
  </si>
  <si>
    <t>Choreographer</t>
  </si>
  <si>
    <t>B-404, Gopi Krishna Chs Ltd Opp. Vishvakarma High school SN dubay road Dahisar East Mumbai 400068</t>
  </si>
  <si>
    <t>MILAN-PANDYA_BNI-INFINITE</t>
  </si>
  <si>
    <t>qrcode_1733415862.png</t>
  </si>
  <si>
    <t>1733415815_21edc044b4b4078a99cf.jpg</t>
  </si>
  <si>
    <t>1309.jpeg</t>
  </si>
  <si>
    <t>JM Solutions</t>
  </si>
  <si>
    <t>Milan Pandya Bni Infinite</t>
  </si>
  <si>
    <t>Help people take better Financial Decisions.</t>
  </si>
  <si>
    <t>We are a leading firm in the Investment Management Process. We have rich exposure in the Financial Literacy space, Consolidation of Portfolio and offer World-Class Technology Support for all your financial needs.</t>
  </si>
  <si>
    <t>Neelkanth Tower, Commercial Side, 2nd Floor - Bloomdesk Co-Working, SV Road, Near Tirumala Showroom, Borivali - (West), Mumbai - 400092</t>
  </si>
  <si>
    <t>www.jmsolutions.co.in</t>
  </si>
  <si>
    <t>PURVI-BAJ_BNI-INFINITE</t>
  </si>
  <si>
    <t>qrcode_1733415588.png</t>
  </si>
  <si>
    <t>1733415538_b0da13194af120470409.jpg</t>
  </si>
  <si>
    <t>1310.jpeg</t>
  </si>
  <si>
    <t>Abha Studios</t>
  </si>
  <si>
    <t>Purvi Baj Bni Infinite</t>
  </si>
  <si>
    <t>Graphics Design</t>
  </si>
  <si>
    <t>We're a full-spectrum visual design studio with roots in Jaipur and Mumbai, India. We are a talented mix of designers and illustrators that blend ideas and art to craft smart, striking solutions that speak straight to your audience. Think of us as the ultimate brand whisperers, giving your brand a voice and personality that's impossible to ignore.</t>
  </si>
  <si>
    <t>4/22 Vivekanand Nagar, SV Road, Near Kora Kendra, Borivali West, Mumbai - 400092</t>
  </si>
  <si>
    <t>https://abhastudios.com/</t>
  </si>
  <si>
    <t>SAGAR-POTHAN_BNI-INFINITE</t>
  </si>
  <si>
    <t>qrcode_1733417929.png</t>
  </si>
  <si>
    <t>1311.jpeg</t>
  </si>
  <si>
    <t>Real Guards &amp; Services</t>
  </si>
  <si>
    <t>Sagar Babu Pothan Bni Infinite</t>
  </si>
  <si>
    <t>Manpower supply</t>
  </si>
  <si>
    <t>Flat No. 29, 3rd Floor, Saraswati Niwas, Pai Nagar, Borivali (W), Mumbai 92</t>
  </si>
  <si>
    <t>DARSHANA-BHATT_BNI-INFINITE</t>
  </si>
  <si>
    <t>qrcode_1733417814.png</t>
  </si>
  <si>
    <t>1312.jpeg</t>
  </si>
  <si>
    <t>Darshana - Beauty reinvented</t>
  </si>
  <si>
    <t>Darshana Bhatt Bni Infinite</t>
  </si>
  <si>
    <t>Beautician</t>
  </si>
  <si>
    <t>NILAY-BHATTER_BNI-INFINITE</t>
  </si>
  <si>
    <t>qrcode_1733417502.png</t>
  </si>
  <si>
    <t>1313.jpeg</t>
  </si>
  <si>
    <t>Prime Printers</t>
  </si>
  <si>
    <t>Nilay Bhatter Bni Infinite</t>
  </si>
  <si>
    <t>Printing</t>
  </si>
  <si>
    <t>MINAL-NATHVANI_BNI-INFINITE</t>
  </si>
  <si>
    <t>qrcode_1733417404.png</t>
  </si>
  <si>
    <t>1314.jpeg</t>
  </si>
  <si>
    <t>Ccrrunchy Blossom</t>
  </si>
  <si>
    <t>Minal Nathvani Bni Infinite</t>
  </si>
  <si>
    <t>Gift Hamper Curator</t>
  </si>
  <si>
    <t>107,gopal House, I.B Patel Road Goregaon East. Mumbai-400063.</t>
  </si>
  <si>
    <t>NAITRI-MEHTA_BNI-INFINITE</t>
  </si>
  <si>
    <t>qrcode_1733417018.png</t>
  </si>
  <si>
    <t>1315.jpeg</t>
  </si>
  <si>
    <t>Namo Decor</t>
  </si>
  <si>
    <t>Naitri Mehta Bni Infinite</t>
  </si>
  <si>
    <t>3D Visualiser</t>
  </si>
  <si>
    <t>Namo Decor 201, Saraswati apartment, opposite new fire brigade, Shree Maheshwari Bhawan Marg, Bhayander west</t>
  </si>
  <si>
    <t>SANDEEP-DUGGAL_BNI-INFINITE</t>
  </si>
  <si>
    <t>qrcode_1733416918.png</t>
  </si>
  <si>
    <t>1316.jpeg</t>
  </si>
  <si>
    <t>SS Fincorp</t>
  </si>
  <si>
    <t>Sandeep Duggal Bni Infinite</t>
  </si>
  <si>
    <t>Stock Broker</t>
  </si>
  <si>
    <t>201, 2nd floor, Saraswati building, opposite fire brigade station, above dawai house, 150 feet road, Bhayander west.</t>
  </si>
  <si>
    <t>NIRMAL-TAK_BNI-INFINITE</t>
  </si>
  <si>
    <t>qrcode_1733416768.png</t>
  </si>
  <si>
    <t>1317.jpeg</t>
  </si>
  <si>
    <t>Shree Aircon</t>
  </si>
  <si>
    <t>Nirmal S. Tak Bni Infinite</t>
  </si>
  <si>
    <t>HVAC</t>
  </si>
  <si>
    <t>G7 B Shivalaya Society Opp MCF Club Borivali West.</t>
  </si>
  <si>
    <t>POONAM-GUPTA_BNI-INFINITE</t>
  </si>
  <si>
    <t>1318.jpeg</t>
  </si>
  <si>
    <t>Poonam Makeupstry</t>
  </si>
  <si>
    <t>Poonam Gupta Bni Infinite</t>
  </si>
  <si>
    <t>Makeup Hair &amp; Saree Dreping</t>
  </si>
  <si>
    <t>Shop No. 4, Ashok Smruti, Opp Saraswati Tower C, Near Bhuta School, Old Nagardas Road, Andheri (E)</t>
  </si>
  <si>
    <t>AFSHAN-NAFIS_BNI-INFINITE</t>
  </si>
  <si>
    <t>qrcode_1733416587.png</t>
  </si>
  <si>
    <t>1319.jpeg</t>
  </si>
  <si>
    <t>Care of Mind, Body &amp; Soul Llp</t>
  </si>
  <si>
    <t>Afshan Nafis Bni Infinite</t>
  </si>
  <si>
    <t>Psychologist</t>
  </si>
  <si>
    <t>2. Bhalchandra appartment, near Kashi Nagar, Vimal Dairy Lane, Bhayandar east.</t>
  </si>
  <si>
    <t>PRASHANTH-SOLANKI_BNI-INFINITE</t>
  </si>
  <si>
    <t>qrcode_1733415414.png</t>
  </si>
  <si>
    <t>1733415340_c083ce2dc84681f29354.jpg</t>
  </si>
  <si>
    <t>1320.jpeg</t>
  </si>
  <si>
    <t>Silverstar</t>
  </si>
  <si>
    <t>Prashant Solanki Bni Infinite</t>
  </si>
  <si>
    <t>Silver Jewellery &amp; Artifacts</t>
  </si>
  <si>
    <t>Our main aim is to provide exceptional customer service and build lasting relationships with our customers. We have an inordinate background in jewelry receiving it from our forefathers being the 3rd successful generation in our renowned business of gold. Silverstar is a brand that was established in 2021 gaining success gradually. We aim to be a well known brand in Mumbai to the whole wide word. People started noticing us first from our Instagram, aiming to serve the world with our exquisite jewelry we provide free shipping and exciting offers.</t>
  </si>
  <si>
    <t>Evershine Millennium Paradise, EMP1, 101 Thakur Village Kandivali East Mumbai 400101.</t>
  </si>
  <si>
    <t>WWW.THESILVERSTAR.IN</t>
  </si>
  <si>
    <t>MAHESH-PATEL_BNI-INFINITE</t>
  </si>
  <si>
    <t>qrcode_1733416497.png</t>
  </si>
  <si>
    <t>1321.jpeg</t>
  </si>
  <si>
    <t>Viva Jewels</t>
  </si>
  <si>
    <t>Mahesh Patel Bni Infinite</t>
  </si>
  <si>
    <t>Italian Gold Jewellery</t>
  </si>
  <si>
    <t>BASE IN MUMBAI SINCE 26 YEAS WE HAVE 2 OFFICE IN MUMBAI WE HAVE SPECIALIST IN FINE ITALIAN JEWELLERY WE HAVE RANGE OF ITALIAN GOLD JEWELLERY OUR JEWELLERY START FROM 8000 ONLY WE UNDERSTAND CUSTOMERS CONCEPT AND DELIVERD THAT WE HAVE MORE THAN 800 SATISHFIED CUSTOMERS WE HAVE DEEP KNOWLEDGE OF ELEMENTS AND ATTRIBUTE OF ITALIAN JEWELLERY.</t>
  </si>
  <si>
    <t>Silverstar A/4, Vaishali Diamond Ind., Mahatrewadi, B.T.Road, Opp. Dahisar Station west, Mumbai 400068.</t>
  </si>
  <si>
    <t>WINSTON-FERNANDES_BNI-INFINITE</t>
  </si>
  <si>
    <t>qrcode_1733415733.png</t>
  </si>
  <si>
    <t>1733415675_999dda77563c0343c367.jpg</t>
  </si>
  <si>
    <t>1322.jpeg</t>
  </si>
  <si>
    <t>Axplore Holidays</t>
  </si>
  <si>
    <t>Winston Fernandes Bni Infinite</t>
  </si>
  <si>
    <t>Axplore Holidays is a travel and tour management company with offices in Mumbai, Bangalore, Delhi, and Valsad. We specialize in comprehensive travel solutions, including: Flight and Railway Ticketing: Offering seamless booking services for both domestic and international flights, as well as railways, ensuring convenient travel experiences tailored to individual and corporate needs. Visa Assistance: Providing expert guidance on visa applications for various destinations, including document preparation and submission, to help travellers secure their visas efficiently.</t>
  </si>
  <si>
    <t>109,Shekh Memon Street, 2nd floor offise no - 38/B, Shahi gali, Zaveri Bazar, Mumbai-400068.</t>
  </si>
  <si>
    <t>VIRALBHAI-PATEL_BNI-INFINITE</t>
  </si>
  <si>
    <t>qrcode_1733416396.png</t>
  </si>
  <si>
    <t>1323.jpeg</t>
  </si>
  <si>
    <t>Guru Motors Corporation</t>
  </si>
  <si>
    <t>Viralbhai Patel Bni Infinite</t>
  </si>
  <si>
    <t>Car Services</t>
  </si>
  <si>
    <t>342, V Mall Asha Nagar, Thakur Complex, Kandivali East PIN: 400101.</t>
  </si>
  <si>
    <t>ARIF-SAYED_BNI-INFINITE</t>
  </si>
  <si>
    <t>qrcode_1733416295.png</t>
  </si>
  <si>
    <t>1324.jpeg</t>
  </si>
  <si>
    <t>Nova Real Estate</t>
  </si>
  <si>
    <t>Arif Sayed Bni infinite</t>
  </si>
  <si>
    <t>Residential Real Estate</t>
  </si>
  <si>
    <t>Plot no.1, Opp New Gagangiri Bldg, Van Udhyan Eksar Rd, Borivali (W) , Mumbai.</t>
  </si>
  <si>
    <t>ARJUN-CHATURVEDI_BNI-INFINITE</t>
  </si>
  <si>
    <t>qrcode_1733416149.png</t>
  </si>
  <si>
    <t>1733416076_497eea741b6d9ba1675b.jpg</t>
  </si>
  <si>
    <t>1385.jpeg</t>
  </si>
  <si>
    <t>PINE TREE PICTURES PVT LTD</t>
  </si>
  <si>
    <t>Arjun Chaturvedi Bni Infinite</t>
  </si>
  <si>
    <t>FILM PRODUCTION</t>
  </si>
  <si>
    <t>Pinetree Pictures Pvt. Ltd. is a Media Solutions Company with over 17+ years of experience in film making.The portfolio includes over 800+ Films. With an in-house creative team of writers, directors, cameramen, animators and editors, we are well equipped to understand your business requirement and create films tailor-made for your TG. Be it a TV Commercial or any corporate requirement, like a Corporate film or a specific requirement like an Induction, Training, Safety, Motivational or Launch film, we cater to all needs.</t>
  </si>
  <si>
    <t>1010, 10th Floor Corporate Annexe Sonawala Road Goregaon East Mumbai - 400063</t>
  </si>
  <si>
    <t>https://www.pinetreepictures.in/</t>
  </si>
  <si>
    <t>NIKUNJ-GALA_BNI-INFINITE</t>
  </si>
  <si>
    <t>qrcode_1733415999.png</t>
  </si>
  <si>
    <t>1733415947_1b3239b2d6e97e7e1f93.jpg</t>
  </si>
  <si>
    <t>1386.jpeg</t>
  </si>
  <si>
    <t>Premji's</t>
  </si>
  <si>
    <t>Nikunj Gala Bni Infinite</t>
  </si>
  <si>
    <t>HOME DECOR GIFTS</t>
  </si>
  <si>
    <t>*Welcome to Premji's, Your Trusted Destination for Home Decor and Gift Articles* Since 1994, Premji's has been the go-to destination for discerning individuals seeking unique and elegant home decor, thoughtful gifts, and personalized treasures. Our legacy spans nearly three decades, built on a foundation of exceptional quality, impeccable taste, and unparalleled customer service. *Explore Our Curated Collection* Step into our inviting store and discover an extensive array of meticulously selected products, each one a testament to our passion for beauty and craftsmanship. Our diverse range includes: - Exquisite showpieces and water fountains to elevate your space - Divine god idols and spiritual artifacts for serenity - Elegant photo frames, flower vases, and wall clocks to complete your home *A Gift for Every Occasion* At Premji's, we understand the importance of finding the perfect gift.</t>
  </si>
  <si>
    <t>Shop no. 104, 1st floor, Solitaire Business centre, Opp. Aavishkar Tower, Borivali West.</t>
  </si>
  <si>
    <t>DHARMESH-PATEL_BNI-INFINITE</t>
  </si>
  <si>
    <t>qrcode_1733415247.png</t>
  </si>
  <si>
    <t>1733415229_f1644b3102e06e4bdbce.jpg</t>
  </si>
  <si>
    <t>1387.jpeg</t>
  </si>
  <si>
    <t>Criton Technology &amp; Automation Private Limited</t>
  </si>
  <si>
    <t>Dharmesh Patel Bni Infinite</t>
  </si>
  <si>
    <t>Computer &amp; Programming- ERP Software</t>
  </si>
  <si>
    <t>We are a leading provider of software solutions specializing in digital transformation. Our ERP offerings are designed to cater to a wide range of industries, including Retail, Manufacturing, Healthcare, Jewellery, Education, Rental Business, E-learning etc. Our comprehensive ERP platform encompasses all the essential modules for effective business management, such as CRM, Sales, Procurement, Accounting, Inventory, Manufacturing, Quality Control, Helpdesk Support, HR, Recruitment, Payroll etc, and eCommerce. With robust integration capabilities, our solution seamlessly connects with third-party systems, providing flexibility and customization based on client requirements. Whether you need a complete end-to-end ERP system or tailored modular solutions, we deliver systems that scale with your business. Additionally, we provide advanced reporting and analytics to empower management teams to monitor both top-line and bottom-line performance, driving informed decision-making and business growth. Feel free to consult us for personalized solutions that can drive your digital transformation and streamline your operations</t>
  </si>
  <si>
    <t>C-503, Tulip CHS, Royal Complex, Eksar Road, Borivali West, Mumbai-400091</t>
  </si>
  <si>
    <t>https://www.critontech.com/</t>
  </si>
  <si>
    <t>DR.ALPLESH-JAIN_BNI-LIGHTHOUSE</t>
  </si>
  <si>
    <t>qrcode_1733455365.png</t>
  </si>
  <si>
    <t>1733455238_70f3b4a16acfaa461df8.jpg</t>
  </si>
  <si>
    <t>1261.jpeg</t>
  </si>
  <si>
    <t>Dent O Cares</t>
  </si>
  <si>
    <t>Dr. Alpesh Jain Bni Lighhouse</t>
  </si>
  <si>
    <t>Implantologist</t>
  </si>
  <si>
    <t>Welcome to DENT O CARES, your premier destination for top-quality dental care in Lower Parel. With a commitment to excellence and a focus on patient satisfaction, we strive to provide comprehensive dental services to meet all your oral health needs.</t>
  </si>
  <si>
    <t>lt.bnilighthouse@gmail.com</t>
  </si>
  <si>
    <t>Shop no.3, Poonawala Bldg No.2, Opp Piramal Tower, Lower Parel, Mum - 400013.</t>
  </si>
  <si>
    <t>https://g.co/kgs/hQRPkUa</t>
  </si>
  <si>
    <t>https://dentocares.com/</t>
  </si>
  <si>
    <t>DIPESH-DOSHI_BNI-LIGHTHOUSE</t>
  </si>
  <si>
    <t>qrcode_1733458087.png</t>
  </si>
  <si>
    <t>1733458021_94ab73e5d9dd387b1d5e.jpg</t>
  </si>
  <si>
    <t>1325.jpeg</t>
  </si>
  <si>
    <t>In-Nexus Automations</t>
  </si>
  <si>
    <t>Dipesh Doshi Bni Lighthouse</t>
  </si>
  <si>
    <t>Home Automation</t>
  </si>
  <si>
    <t>At In-Nexus Automation, we specialize in Home Automation solutions, with over 12 years of experience and more than 500 spaces smartified. We offer tailor-made solutions for every space and need, ensuring comfort, convenience, security, and energy efficiency. Our USP lies in our experienced team, high-quality products, and top-notch service, delivering seamless and intelligent living experiences.</t>
  </si>
  <si>
    <t>B 107, Damji Shamji Corporate Square, Laxmi Nagar, Ghatkopar East,, Mumbai, Maharashtra, 400075.</t>
  </si>
  <si>
    <t>www.innexus.in</t>
  </si>
  <si>
    <t>ATEET-VENGURLEKAR_BNI-LIGHTHOUSE</t>
  </si>
  <si>
    <t>qrcode_1733455743.png</t>
  </si>
  <si>
    <t>1733455676_b09f3b9166dab1aaa22b.jpg</t>
  </si>
  <si>
    <t>1326.jpeg</t>
  </si>
  <si>
    <t>BLUEARCH</t>
  </si>
  <si>
    <t>Ateet Vengurlekar Bni Lighthouse</t>
  </si>
  <si>
    <t>Interior Design - Commercial</t>
  </si>
  <si>
    <t>For over 15 years, Bluearch Designs Architects &amp; Interiors has been dedicated to crafting exceptional living spaces. Our mission is to bring luxury, uniqueness, and comfort to every design we create. With meticulous attention to detail and a keen eye for color and texture, we transform spaces into relaxed and inviting environments. At Bluearch Designs, we've established ourselves as leaders in the industry, consistently exceeding expectations with our impeccable designs. Our success is attributed to our dedicated team of talented and approachable designers, who work tirelessly to bring our clients' visions to life. As a result, we've become one of the most sought-after firms in the field, trusted to deliver excellence in every project we undertake.</t>
  </si>
  <si>
    <t>Off No. 1 2nd floor Manick chambers D. B. Marg, Mumbai, Maharashtra, 400004</t>
  </si>
  <si>
    <t>https://http//www.bluearch.in</t>
  </si>
  <si>
    <t>DEEPAK-JAIN_BNI-LIGHTHOUSE</t>
  </si>
  <si>
    <t>qrcode_1735131515.png</t>
  </si>
  <si>
    <t>1735131462_ba6df30abab86aed5bac.png</t>
  </si>
  <si>
    <t>Dosti Real Estate Consultants</t>
  </si>
  <si>
    <t>Deepak Jain Bni Lighthouse</t>
  </si>
  <si>
    <t>Residential Real Estate Agent</t>
  </si>
  <si>
    <t>Ground Floor, Shop no 07, Siddhesh Apartment,Near Vinay Health Home, Charni Road ,Mumbai ,Maharashtra</t>
  </si>
  <si>
    <t>DR.SACHIN-JAIN_BNI-LIGHTHOUSE</t>
  </si>
  <si>
    <t>qrcode_1733457622.png</t>
  </si>
  <si>
    <t>1733457562_3ad908e9ad4f9eac22f3.jpg</t>
  </si>
  <si>
    <t>1735131364_0eafebc13c65fdf0bf8a.png</t>
  </si>
  <si>
    <t>Ortho-care</t>
  </si>
  <si>
    <t>Dr. Sachin Jain Bni Lighthouse</t>
  </si>
  <si>
    <t>Doctor/Physician</t>
  </si>
  <si>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</si>
  <si>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Jain clinic ,20,pritvivandan co op hsg ,, Delisile road , Mumbai, Maharashtra , 400011</t>
  </si>
  <si>
    <t>DEVANSHI-SIDHPURA_BNI-LIGHTHOUSE</t>
  </si>
  <si>
    <t>qrcode_1735131001.png</t>
  </si>
  <si>
    <t>1735131077_c763d33a25ebd30e4da9.png</t>
  </si>
  <si>
    <t>Neptune computers</t>
  </si>
  <si>
    <t>Devanshi Sidhpura Bni Lighthouse</t>
  </si>
  <si>
    <t>Computer Retailer</t>
  </si>
  <si>
    <t>Neptune Computers Office 2 A 12 Surtee chambrs 2nd floor nd Dhobi Talao lane Nr Metro Inox, Mumbai, Maharashtra, 400002</t>
  </si>
  <si>
    <t>MANISH-JAIN_BNI-LIGHTHOUSE</t>
  </si>
  <si>
    <t>qrcode_1733456427.png</t>
  </si>
  <si>
    <t>1733456363_ee0ad5b990032e215090.jpg</t>
  </si>
  <si>
    <t>1330.jpeg</t>
  </si>
  <si>
    <t>Tirthankar Investments</t>
  </si>
  <si>
    <t>Manish Jain Bni Lighthouse</t>
  </si>
  <si>
    <t>Life Insurance</t>
  </si>
  <si>
    <t>Tirthankar Insure LLP is One Stop Solutions for all Insurance Needs.</t>
  </si>
  <si>
    <t>Tirthankar Investments, Kanji Mansion, 311 SVP Road, 2nd Floor, Opp 6th Khetwadi Lane, , Mumbai, Maharashtra, 400004.</t>
  </si>
  <si>
    <t>https://tirthankarinvestments.com/</t>
  </si>
  <si>
    <t>AMI-DAMAANI_BNI-LIGHTHOUSE</t>
  </si>
  <si>
    <t>qrcode_1733457223.png</t>
  </si>
  <si>
    <t>1733457175_9c412191ca426eb03fc1.jpeg</t>
  </si>
  <si>
    <t>1735130856_8d2614da72607328cda1.png</t>
  </si>
  <si>
    <t>CHOCOLATO</t>
  </si>
  <si>
    <t>Ami Damaani Bni Lighthouse</t>
  </si>
  <si>
    <t>Chocolatier</t>
  </si>
  <si>
    <t>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t>
  </si>
  <si>
    <t>Suraj building,27 th floor opp American consulate breach candy , Mumbai, Mh, 400026</t>
  </si>
  <si>
    <t>KETAN-JAIN_BNI-LIGHTHOUSE</t>
  </si>
  <si>
    <t>qrcode_1733456942.png</t>
  </si>
  <si>
    <t>1733456892_80d1938a9dc0cd4e7371.jpg</t>
  </si>
  <si>
    <t>1332.jpeg</t>
  </si>
  <si>
    <t>Klassic mounts</t>
  </si>
  <si>
    <t>Ketan Jain Bni Lighthouse</t>
  </si>
  <si>
    <t>Jeweller</t>
  </si>
  <si>
    <t>We are manufacturer of Diamond jewellery. We undertake Jobwork and Mounting work also. We have specialized team of 100+ skilled artisans.we take customised order also.In this industry for +18 years.</t>
  </si>
  <si>
    <t>Klassic mounts, Galla no. 219/B, A-1, Shah and Nahar industrial estate station road lower parel West mumbai 33</t>
  </si>
  <si>
    <t>https://g.co/kgs/2yioa5k</t>
  </si>
  <si>
    <t>www klassicmounts.in</t>
  </si>
  <si>
    <t>DR.HATIM-MERCHANT_BNI-LIGHTHOUSE</t>
  </si>
  <si>
    <t>qrcode_1738317518.png</t>
  </si>
  <si>
    <t>1733467302_54938e3ef8602733196d.jpeg</t>
  </si>
  <si>
    <t>1735130695_f0abe4dca9ce6830d801.png</t>
  </si>
  <si>
    <t>Express Learning</t>
  </si>
  <si>
    <t>Dr. Hatim Merchant Bni Lighthouse</t>
  </si>
  <si>
    <t>Learning Centre</t>
  </si>
  <si>
    <t>"We have successfully trained children subconsciously aged 5-18 from over 40 countries, fostering the development of crucial skills such as memory enhancement, confidence building, concentration improvement, accelerated reading speed, emotional resilience, academic achievement, enhanced mathematical abilities, quicker grasping, motivation, creativity, and proficiency in sports. Our comprehensive approach extends to overcoming challenges such as laziness, stress reduction, hyperactivity management, and the cultivation of greater intuition and cheerfulness. In a remarkably brief span of less than 30 minutes, we specialize in eliminating fears among individuals. Our diverse adult training programs encompass communication, sales strategies, leadership development, team building, train-the-trainer sessions, marketing techniques, motivation enhancement, and negotiation skills."</t>
  </si>
  <si>
    <t>154, Bora Bazar Street, SIngh Chambers, 1st Floor, Office No 25, Fort, Mumbai, Maharashtra, 400001</t>
  </si>
  <si>
    <t>www.expresslearning.in</t>
  </si>
  <si>
    <t>SAUMYA-SANGHVI_BNI-LIGHTHOUSE</t>
  </si>
  <si>
    <t>qrcode_1733457344.png</t>
  </si>
  <si>
    <t>1733457296_a5470bc07c4f0bfac7d2.jpg</t>
  </si>
  <si>
    <t>1334.jpeg</t>
  </si>
  <si>
    <t>Winshine Financial Services</t>
  </si>
  <si>
    <t>Saumya Sanghvi Bni Lighthouse</t>
  </si>
  <si>
    <t>Alternate Investments</t>
  </si>
  <si>
    <t>Winshine Financial Services provides expert financial advisory, offering tailored solutions in equity, mutual funds, insurance, and alternate investments. With a client-first approach and a focus on optimizing surplus funds, we help individuals and businesses grow wealth and achieve their financial goals through smart, diversified investments.</t>
  </si>
  <si>
    <t>107 Manratna Business Park, Tilak Road, Mumbai – 400077.</t>
  </si>
  <si>
    <t>https://maps.app.goo.gl/qsNNEHysorzvYgLEA</t>
  </si>
  <si>
    <t>www.winshine.in</t>
  </si>
  <si>
    <t>BHAVESH-JAIN_BNI-LIGHTHOUSE</t>
  </si>
  <si>
    <t>qrcode_1735130458.png</t>
  </si>
  <si>
    <t>1735130396_6ec2778643f281512d33.png</t>
  </si>
  <si>
    <t>Navkar Medical</t>
  </si>
  <si>
    <t>Bhavesh Jain Bni Lighthouse</t>
  </si>
  <si>
    <t>Medical Services</t>
  </si>
  <si>
    <t>Prithvi Vandhan CHS Shop 15, N M Joshi Marg, Delisle Road, Lower Parel East, Mumbai, Maharashtra, 400013.</t>
  </si>
  <si>
    <t>AYUSH-LAHOTI_BNI-LIGHTHOUSE</t>
  </si>
  <si>
    <t>qrcode_1735130248.png</t>
  </si>
  <si>
    <t>1735130186_49fe7dbdd766dbc72c36.png</t>
  </si>
  <si>
    <t>DEFY-DECOR FOR YOU</t>
  </si>
  <si>
    <t>Ayush Lahoti Bni Lighthouse</t>
  </si>
  <si>
    <t>Home Furnishings</t>
  </si>
  <si>
    <t>KRISHNA-POPAT_BNI-LIGHTHOUSE</t>
  </si>
  <si>
    <t>qrcode_1733457933.png</t>
  </si>
  <si>
    <t>1733457883_e062f82b85cfe9029aeb.jpeg</t>
  </si>
  <si>
    <t>1435.jpeg</t>
  </si>
  <si>
    <t>CS Krishna &amp; Associates</t>
  </si>
  <si>
    <t>Krishna Popat Bni Lighthouse</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</si>
  <si>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</si>
  <si>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https://cskrishnap.com/</t>
  </si>
  <si>
    <t>PULKIT-MARTWAL_BNI-LIGHTHOUSE</t>
  </si>
  <si>
    <t>qrcode_1735125274.png</t>
  </si>
  <si>
    <t>1338.jpeg</t>
  </si>
  <si>
    <t>Vyomaga Skincare Private Limited</t>
  </si>
  <si>
    <t>Pulkit Martwal Bni Lighthouse</t>
  </si>
  <si>
    <t>Health &amp; Wellness Products</t>
  </si>
  <si>
    <t>Vyomaga Skincare Private Limited is a dynamic startup offering a diverse range of fine fragrances, home fragrances, essential oils, personal care, and spa products. With a mission to fill market gaps, Vyomaga delivers products that inspire, motivate, and enhance daily life. Known for its bespoke fragrance services, Vyomaga tailors unique scents to individual preferences, creating unforgettable experiences.</t>
  </si>
  <si>
    <t>Office No. 4, Ground Floor, Diwakar Chambers, Karel Wadi, JSS Road, Thakurdwar, Mumbai - 400002</t>
  </si>
  <si>
    <t>https://maps.app.goo.gl/ZJc7QALyDCkDhMH76</t>
  </si>
  <si>
    <t>tryskinthirst.com</t>
  </si>
  <si>
    <t>MONALI-SANGHVI_BNI-LIGHTHOUSE</t>
  </si>
  <si>
    <t>qrcode_1733458789.png</t>
  </si>
  <si>
    <t>1733458774_d12efcff1b0b0d041033.jpg</t>
  </si>
  <si>
    <t>1340.jpeg</t>
  </si>
  <si>
    <t>Monali Sanghvi</t>
  </si>
  <si>
    <t>Monali Sanghvi Bni Lighthouse</t>
  </si>
  <si>
    <t>Fashion designer</t>
  </si>
  <si>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</si>
  <si>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27, Shankar niwas ,tardeo road, Malviya Nagar, Tardeo, Mumbai, Maharashtra 400034, India)</t>
  </si>
  <si>
    <t>https://Www.monaliscouture.com</t>
  </si>
  <si>
    <t>RAMESH-SAKPAL_BNI-LIGHTHOUSE</t>
  </si>
  <si>
    <t>qrcode_1733457773.png</t>
  </si>
  <si>
    <t>1733457718_2d74fe1914fc86064233.jpg</t>
  </si>
  <si>
    <t>1735130047_acb624ae5d8c8b7e3a11.png</t>
  </si>
  <si>
    <t>Innovent Aircon</t>
  </si>
  <si>
    <t>Ramesh Sakhpal Bni Lighthouse</t>
  </si>
  <si>
    <t>HVAC AIRCONDITIONING COMPANY</t>
  </si>
  <si>
    <t>Innovent Aircon ISO 9001 certified HVAC Co. provide end 2 end solutions from design, estimation, execution to After Sales Service for VRV, Ductable,Chilled Water System, Small Duct High Velocity Systems ( SDHV) &amp; Ventilation Systems.</t>
  </si>
  <si>
    <t>Unit no. 340 3rd floor F Wing, SOLARIS-1, Saki Vihar Road, Andheri East, , Mumbai, Maharashtra , 40072.</t>
  </si>
  <si>
    <t>WWW.INNOVENTAIRCON.COM</t>
  </si>
  <si>
    <t>NAYAN-PATEL_BNI-LIGHTHOUSE</t>
  </si>
  <si>
    <t>1735129941_e07e356f14783b88499f.png</t>
  </si>
  <si>
    <t>Shiv Shakti Trading Co</t>
  </si>
  <si>
    <t>Nayan Patel Bni Lighthouse</t>
  </si>
  <si>
    <t>Wood Merchant</t>
  </si>
  <si>
    <t>MAZIYA-CHANDIWALA_BNI-LIGHTHOUSE</t>
  </si>
  <si>
    <t>qrcode_1733455861.png</t>
  </si>
  <si>
    <t>1733455851_ee70df39cad69650c380.jpeg</t>
  </si>
  <si>
    <t>1343.jpeg</t>
  </si>
  <si>
    <t>Queens Furniture</t>
  </si>
  <si>
    <t>Maziya Chandiwala Bni Lighthouse</t>
  </si>
  <si>
    <t>Queens Furniture is located at Buyculla , Mumbai with a space of 1500sqft with Inhouse carpentry, polish and paint services. We also provide other Interior services required for site completion.</t>
  </si>
  <si>
    <t>Marinett bldg, 4th floor ,403,33 St Paul rd, Bandra west</t>
  </si>
  <si>
    <t>SOHIL-SHAH_BNI-LIGHTHOUSE</t>
  </si>
  <si>
    <t>qrcode_1733457069.png</t>
  </si>
  <si>
    <t>1733457013_f862129784e47c20b504.jpg</t>
  </si>
  <si>
    <t>1735128801_c208422c36c445bd97ac.png</t>
  </si>
  <si>
    <t>FUNDSPINNER ADVISORS PRIVATE LIMITED</t>
  </si>
  <si>
    <t>Sohil Shah Bni Lighthouse</t>
  </si>
  <si>
    <t>LOANS</t>
  </si>
  <si>
    <t>We are a team of ex bankers and Chartered Accountants with banking industry experience of more then 14 years. We specialise into Home Loans, LAP, Business loans, MSME Loans and Working Capital Loans. We help you in choosing the right bank for your loan requirement. #FUNDINGYOURDREAMS</t>
  </si>
  <si>
    <t>10, Krishna Kunj, 2nd Floor, Maharashtra Lan Off Chandavarkar Road, Borivali West, Mumbai, Maharashtra, 400092</t>
  </si>
  <si>
    <t>https://g.co/kgs/35X9waj</t>
  </si>
  <si>
    <t>NAYANA-OZA_BNI-LIGHTHOUSE</t>
  </si>
  <si>
    <t>qrcode_1733435897.png</t>
  </si>
  <si>
    <t>1735128654_4f4674e9914de0526290.png</t>
  </si>
  <si>
    <t>General insurance company</t>
  </si>
  <si>
    <t>Nayna Oza Bni Lighthouse</t>
  </si>
  <si>
    <t>5A/502, shraddha bldg, asha nagar, 90 feet road, thakur complex , kandivali east, mumbai 400101</t>
  </si>
  <si>
    <t>VARUN-GINODIA_BNI-LIGHTHOUSE</t>
  </si>
  <si>
    <t>qrcode_1733456827.png</t>
  </si>
  <si>
    <t>1733456774_766f6ac4d449014a7e9d.jpg</t>
  </si>
  <si>
    <t>1735128393_248bacaaa0fa2b8a2090.png</t>
  </si>
  <si>
    <t>Bulwark Advisors</t>
  </si>
  <si>
    <t>Varun Ginodia Bni Lighthouse</t>
  </si>
  <si>
    <t>Equity Advisor</t>
  </si>
  <si>
    <t>Bulwark Advisors is a one-stop solution for all your equity investment needs. We have curated a portfolio of 15 small/mid-cap stocks. The portfolio is backed by our bottom-up, research backed, framework driven approach with strong financials and quality promoters with reasonable valuations.</t>
  </si>
  <si>
    <t>E-2306, Anmol Fortune, Unnat Nagar, Off MG Rd, MUMBAI, MAHARASHTRA, India, 400104.</t>
  </si>
  <si>
    <t>https://maps.app.goo.gl/TLjJXvcM5hdRTVoj7</t>
  </si>
  <si>
    <t>YASH-JAIN_BNI-LIGHTHOUSE</t>
  </si>
  <si>
    <t>qrcode_1735128251.png</t>
  </si>
  <si>
    <t>1735128272_494204dfb1209bdbe3d2.png</t>
  </si>
  <si>
    <t>Wowel Tours</t>
  </si>
  <si>
    <t>Yash Jain Bni Lighthouse</t>
  </si>
  <si>
    <t>Travel Agent</t>
  </si>
  <si>
    <t>TRAPTI-KARIA_BNI-LIGHTHOUSE</t>
  </si>
  <si>
    <t>1735127943_3630b3a83e3a529ce43c.png</t>
  </si>
  <si>
    <t>PhysioTherapy</t>
  </si>
  <si>
    <t>Trapti Karia Bni Lighthouse</t>
  </si>
  <si>
    <t>Physiotherapy</t>
  </si>
  <si>
    <t>4, GR Floor, Diwakar Chambers, Karel Wadi, JSS Road, Thakurdwar, Mumbai – 400004.</t>
  </si>
  <si>
    <t>NITIN-BHANSALI_BNI-LIGHTHOUSE</t>
  </si>
  <si>
    <t>1349.jpeg</t>
  </si>
  <si>
    <t>KOIL ALUMINIUM &amp; GLASS</t>
  </si>
  <si>
    <t>Nitin Bhansali Bni Lighthouse</t>
  </si>
  <si>
    <t>Construction - Counter Tops</t>
  </si>
  <si>
    <t>Mugbath cross lane, thakurdwar, Mumbai ,Maharashtra ,India, 400004.</t>
  </si>
  <si>
    <t>VISHAL-CHANDRA_BNI-LIGHTHOUSE</t>
  </si>
  <si>
    <t>qrcode_1733456243.png</t>
  </si>
  <si>
    <t>1733456097_682756cbac55fbb6f60b.jpg</t>
  </si>
  <si>
    <t>1350.jpeg</t>
  </si>
  <si>
    <t>Sunbera India Private Limited</t>
  </si>
  <si>
    <t>Vishal Chandra Bni Lighhouse</t>
  </si>
  <si>
    <t>Retail - Fine Jewelry</t>
  </si>
  <si>
    <t>We are a leading Manufacturer, Wholesaler &amp; Exporter of Gold, Diamond &amp; 925 Silver Jewellery &amp; Idols, Vertical Mala, Mangalsutra and Casting Jewelry.</t>
  </si>
  <si>
    <t>15/16, Navi Galli, M.J Market, Opposite TBZ, Zaveri Bazar, Mumbai, Maharashtra, 400002</t>
  </si>
  <si>
    <t>https://www.google.co.in/maps/dir//M.J+Market,+15%2F16,+Galli,+opp.+TBZ,+Zaveri+Bazaar,+Kalbadevi,+Navi+Mumbai,+Mumbai,+Maharashtra+400002/@18.9496831,72.7491913,12z/data=!4m8!4m7!1m0!1m5!1m1!1s0x3be7cf4f7c3176fd:0xea28e7386664fefb!2m2!1d72.831593!2d18.94</t>
  </si>
  <si>
    <t>https://www.sunberaindia.in/</t>
  </si>
  <si>
    <t>MANISH-BALWANI_BNI-LIGHTHOUSE</t>
  </si>
  <si>
    <t>AryaNivesh Investment Services</t>
  </si>
  <si>
    <t>Manish Balwani Bni Lighthouse</t>
  </si>
  <si>
    <t>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t>
  </si>
  <si>
    <t>E-309, Crystal Plaza, Opp. Infinity Mall, Andheri Link Road, Andheri West, Mumbai, Maharashtra, 400053</t>
  </si>
  <si>
    <t>ADITIYA-BIRLA_BNI-LIGHTHOUSE</t>
  </si>
  <si>
    <t>qrcode_1735127405.png</t>
  </si>
  <si>
    <t>1735127343_16261e819c5e0434fc4d.png</t>
  </si>
  <si>
    <t>Alpha Financial Solutions</t>
  </si>
  <si>
    <t>Aditiya Birla Bni Lighthouse</t>
  </si>
  <si>
    <t>Fund Raising</t>
  </si>
  <si>
    <t>605, 6Th floor, Sukh Sagar Building, Charni Road, Mumbai – 400008</t>
  </si>
  <si>
    <t>VISHAL-LAHOTI_BNI-LIGHTHOUSE</t>
  </si>
  <si>
    <t>1735127246_e0085d678276f974cde6.png</t>
  </si>
  <si>
    <t>Kreston SGCO Advisors LLP</t>
  </si>
  <si>
    <t>Vishal Lahoti Bni Lighthouse</t>
  </si>
  <si>
    <t>INDIRECT TAX</t>
  </si>
  <si>
    <t>A-102, Hallmark Business Plaza Gurunanak Hospital Road, Bandra East, Mumbai, Maharashtra, 400051</t>
  </si>
  <si>
    <t>NUPEN-GANDHI_BNI-LIGHTHOUSE</t>
  </si>
  <si>
    <t>qrcode_1735127100.png</t>
  </si>
  <si>
    <t>1735127041_19f7a538d72b1133b3f1.png</t>
  </si>
  <si>
    <t>Mido Gifts</t>
  </si>
  <si>
    <t>Nupen Gandhi Bni Lighthouse</t>
  </si>
  <si>
    <t>Retail - Gifts</t>
  </si>
  <si>
    <t>Shop No 5 Shree Sai Dham Vikrant Circle Ghat, Mumbai , Maharashtra, India, 400077.</t>
  </si>
  <si>
    <t>RUCHI-JAIN_BNI-LIGHTHOUSE</t>
  </si>
  <si>
    <t>qrcode_1733458233.png</t>
  </si>
  <si>
    <t>1733458142_1c46da927745ff3fc313.jpg</t>
  </si>
  <si>
    <t>1355.jpeg</t>
  </si>
  <si>
    <t>The decal hub</t>
  </si>
  <si>
    <t>Rachi Jain Bni Lighthouse</t>
  </si>
  <si>
    <t>Interior Design - Residential</t>
  </si>
  <si>
    <t>Cause we curate your dream living.</t>
  </si>
  <si>
    <t>Sumer tower -B Byculla, love lane , Mumbai, Maharashtra, 400010 IN</t>
  </si>
  <si>
    <t>DHRUVI-SHAH_BNI-LIGHTHOUSE</t>
  </si>
  <si>
    <t>qrcode_1733457475.png</t>
  </si>
  <si>
    <t>1733457423_dcbbf1d2526994195cc7.jpeg</t>
  </si>
  <si>
    <t>1356.jpeg</t>
  </si>
  <si>
    <t>R K Vacations</t>
  </si>
  <si>
    <t>Dhruvi Shah Bni Lighthouse</t>
  </si>
  <si>
    <t>Travel without stress , One stop solution for All travel related services</t>
  </si>
  <si>
    <t>E 16, Nisarg apartment Near IDBI Bank ,Mahavir Nagar,kandivali west, Mumbai, Maharashtra, 400067 IN</t>
  </si>
  <si>
    <t>https://www.google.com/maps/dir/19.2249856,72.8563712/rk+vacations/@19.2188624,72.8288994,14z/data=!3m1!4b1!4m9!4m8!1m1!4e1!1m5!1m1!1s0x3be7b6d237880865:0xbf19b7bd0d29a0a1!2m2!1d72.8410535!2d19.2141697?entry=ttu&amp;g_ep=EgoyMDI0MTAwMS4wIKXMDSoASAFQAw%3D%3D</t>
  </si>
  <si>
    <t>http://www.rkvacations.live/</t>
  </si>
  <si>
    <t>PRAKASH-KONAR_BNI-LIGHTHOUSE</t>
  </si>
  <si>
    <t>1735126831_24a62050148b00ef43f1.png</t>
  </si>
  <si>
    <t>J M Adv.&amp; marketing.pvt ltd</t>
  </si>
  <si>
    <t>Prakash Konar Bni Lighthouse</t>
  </si>
  <si>
    <t>printing</t>
  </si>
  <si>
    <t>stand, banner, product branding, Cloth print largest manufacturer in Mumbai</t>
  </si>
  <si>
    <t>fort mumbai</t>
  </si>
  <si>
    <t>www.jmbrand.in</t>
  </si>
  <si>
    <t>NAGESH-MORE_BNI-LIGHTHOUSE</t>
  </si>
  <si>
    <t>qrcode_1735126597.png</t>
  </si>
  <si>
    <t>1735126572_c096a890477006179bad.png</t>
  </si>
  <si>
    <t>Stalagmite consultancy pvt ltd</t>
  </si>
  <si>
    <t>Nagesh More Bni Lighthouse</t>
  </si>
  <si>
    <t>Labour Laws, ESIC-P Consultant.</t>
  </si>
  <si>
    <t>Ramdoot, 4/6 M. P. Marg, Curry Road, Mumbai, Maharashtra, 400012</t>
  </si>
  <si>
    <t>ABDEALI-CONTRACTOR_BNI-LIGHTHOUSE</t>
  </si>
  <si>
    <t>Allaboutweb</t>
  </si>
  <si>
    <t>Abdeali Contractor Bni Lighthouse</t>
  </si>
  <si>
    <t>Digital marketing</t>
  </si>
  <si>
    <t>Mr. Kalpesh Dave has over 20 years of experience in banking, investments, and wealth management. He is a seasoned professional and strategic leader who has driven growth, innovation, and excellence in the financial services industry across various assignments. As the Deputy Chief Executive Officer at Bajaj Capital Ltd, he oversees investment operations, sales, and customer service at one of India's leading investment advisory and financial planning firms. His focus is on delivering value-added solutions to HNI/UHNI/Family offices and NRI clientele. Mr. Dave was a founding team member at InCred Wealth before joining Bajaj Capital. Prior to that, he led and worked with Private Banking teams at L&amp;T, Aditya Birla wealth, Kotak Mahindra Bank and ICICI Bank.</t>
  </si>
  <si>
    <t>Al Sa’adah Tower Shop Number F-37 First Floor, Bhendi Bazaar, Mumbai, Maharashtra 400003.</t>
  </si>
  <si>
    <t>AKASH-SHAH_BNI-LIGHTHOUSE</t>
  </si>
  <si>
    <t>1735126248_8568b411aae149f57cdc.png</t>
  </si>
  <si>
    <t>RN Shah Associate</t>
  </si>
  <si>
    <t>Akash Shah Bni Lighthouse</t>
  </si>
  <si>
    <t>DIRECT TAX</t>
  </si>
  <si>
    <t>Room No 1230, 12nd Floor, Bldg-3, Navjeevan Society, Dr Dadasaheb Bhadkamkar Marg,, Mumbai, MH, 400008 .</t>
  </si>
  <si>
    <t>RAHUL-SHARMA_BNI-LIGHTHOUSE</t>
  </si>
  <si>
    <t>1735126005_2760fb75c17d427dc342.png</t>
  </si>
  <si>
    <t>Rahul Sharma photography</t>
  </si>
  <si>
    <t>Rahul Sharma Bni Lighthouse</t>
  </si>
  <si>
    <t>Rna Mira road, Mumbai, Maharashtra, 401107 IN</t>
  </si>
  <si>
    <t>CHAITALI-THAKKAR_BNI-LIGHTHOUSE</t>
  </si>
  <si>
    <t>qrcode_1741325713.png</t>
  </si>
  <si>
    <t>1735125592_46fabdc08b62ca6db530.png</t>
  </si>
  <si>
    <t>Rise Design</t>
  </si>
  <si>
    <t>Chaitali Thakkar Bni Lighthouse</t>
  </si>
  <si>
    <t>Interior Design</t>
  </si>
  <si>
    <t>RAJVI-SHAH_BNI-LIGHTHOUSE</t>
  </si>
  <si>
    <t>qrcode_1733455980.png</t>
  </si>
  <si>
    <t>1733455924_0c54d1804c5b6153dd14.jpeg</t>
  </si>
  <si>
    <t>1374.jpeg</t>
  </si>
  <si>
    <t>Rajvi shah Bni Lighthouse</t>
  </si>
  <si>
    <t>Rise Design is a full service interior design &amp; execution practice. We focus on tailoring personalised interior spaces that inspire &amp; enhance daily living.</t>
  </si>
  <si>
    <t>Lower Parel</t>
  </si>
  <si>
    <t>JAI-PANGAONKAR_BNI-TRIUMMPH</t>
  </si>
  <si>
    <t>qrcode_1733431255.png</t>
  </si>
  <si>
    <t>1734324256_c4c220427524c1aa0831.png</t>
  </si>
  <si>
    <t>1363.jpeg</t>
  </si>
  <si>
    <t>Mockingbird Studios Pvt. Ltd.</t>
  </si>
  <si>
    <t>Jai Pangaonkar Bni Triummph</t>
  </si>
  <si>
    <t>Wall Coverings</t>
  </si>
  <si>
    <t>We create spaces that make people happier, productive and proud.</t>
  </si>
  <si>
    <t>triummphmcom@gmail.com</t>
  </si>
  <si>
    <t>Flat 384, 14 - Bharadwaj CHS, D Block, BKC, New MIG Colony, Bandra East, Mumbai 400051</t>
  </si>
  <si>
    <t>http://maps.app.goo.gl/yApka6dRTpWdanPG9?g_st=ic</t>
  </si>
  <si>
    <t>http://www.mockingbird.co.in</t>
  </si>
  <si>
    <t>BNI-TRIUMMPH_AHAD-SHAIKH</t>
  </si>
  <si>
    <t>qrcode_1733430781.png</t>
  </si>
  <si>
    <t>1734324360_5a3b449afe2d75715e61.png</t>
  </si>
  <si>
    <t>1424.jpeg</t>
  </si>
  <si>
    <t>S N Hydraulics</t>
  </si>
  <si>
    <t>AHAD SHAIKH BNI TRIUMMPH</t>
  </si>
  <si>
    <t>HYDRAULIC MACHINES &amp; EQUIPMENT</t>
  </si>
  <si>
    <t>Based in Mumbai, India the renowned manufacturer and supplier of hydraulic products, SN Hydraulics was established in the year 2012, and it went on to become sovereign in the industry by pioneering products that are unparalleled with their quality and world-class service. With some of the most distinguished clientele intricately built through dealings that are backed with transparency and ethical business practices, It has grown a conglomeration of clients from diverse streams of industries such as chemical and pharmaceutical industries, industrial presses, plastic industries, metal foundries, material handling equipment, construction machines, drilling rigs, and metal extraction.</t>
  </si>
  <si>
    <t>23 Tariq Estate Opp.Universal Business Park,Kamani Oil Mill Lane,Chandivali Andheri East MUMBAI 400 072.</t>
  </si>
  <si>
    <t>https://maps.app.goo.gl/UuaXdAPah7B4FRKE9?g_st=com.google.maps.preview.copy</t>
  </si>
  <si>
    <t>www.snhydraulics.in</t>
  </si>
  <si>
    <t>BNI-TRIUMMPH_ANEREE-SATRA</t>
  </si>
  <si>
    <t>qrcode_1733419905.png</t>
  </si>
  <si>
    <t>1734324395_bf70872c75ee77c4902d.png</t>
  </si>
  <si>
    <t>1425.jpeg</t>
  </si>
  <si>
    <t>Studio A' 17</t>
  </si>
  <si>
    <t>ANEREE SATRA BNI TRIUMMPH</t>
  </si>
  <si>
    <t>ARCHITECT</t>
  </si>
  <si>
    <t>Studio A'17: Boutique design studio specializing in high-rise planning, bungalow designing &amp; master planning. 3rd-gen real estate experts with tech-savvy approach &amp; construction management app QuickSO. 300+ bungalows, 15+ high-rise redevelopments in Mumbai &amp; 3,00,000+ sqft construction area delivered. Your architectural partner for society redevelopment needs.</t>
  </si>
  <si>
    <t>Office No 212A, Shyam Kamal Building, B2 Wing, near Dinanath Mangeshkar Hall, Navpada, Vile Parle East, Vile Parle, Mumbai, Maharashtra 400057, India</t>
  </si>
  <si>
    <t>https://maps.app.goo.gl/ZAmypAvEQMPeEFGL9?g_st=iwb</t>
  </si>
  <si>
    <t>BNI-TRIMMPH_AYUSHI-SHAH</t>
  </si>
  <si>
    <t>qrcode_1733431843.png</t>
  </si>
  <si>
    <t>1734324424_38407254d96f55a9b6d3.png</t>
  </si>
  <si>
    <t>1426.jpeg</t>
  </si>
  <si>
    <t>AYUSHI SHAH BNI TRIUMMPH</t>
  </si>
  <si>
    <t>Internal Audit</t>
  </si>
  <si>
    <t>A/202, Padmavati Palace, Nandapatkar Road, Vile Parle East, Mumbai 400 057</t>
  </si>
  <si>
    <t>BNI-TRIUMMPH_DHVANIL-SHAH</t>
  </si>
  <si>
    <t>qrcode_1733427848.png</t>
  </si>
  <si>
    <t>1734324446_555952f057d874f8a828.png</t>
  </si>
  <si>
    <t>1427.jpeg</t>
  </si>
  <si>
    <t>GOYAM-GENERAL INSURANCE SPECIALIST</t>
  </si>
  <si>
    <t>DHVANIL SHAH BNI TRIUMMPH</t>
  </si>
  <si>
    <t>GENERAL INSURANCE ADVISOR</t>
  </si>
  <si>
    <t>GOYAM: Premier financial services provider. Building trust through value creation. Helping individuals and businesses grow financially stronger. Offering a spectrum of products and services. Investing in the future.</t>
  </si>
  <si>
    <t>Jawahar Nagar Goregaon West Mumbai - 400 104</t>
  </si>
  <si>
    <t>https://maps.app.goo.gl/yBLectmYFeNzDmoW7</t>
  </si>
  <si>
    <t>BNI-TRIUMMPH_DINESH-SONI</t>
  </si>
  <si>
    <t>qrcode_1733429212.png</t>
  </si>
  <si>
    <t>1734324468_2f04bb4a0b505981f09f.png</t>
  </si>
  <si>
    <t>1428.jpeg</t>
  </si>
  <si>
    <t>WebInsight</t>
  </si>
  <si>
    <t>Dinesh Soni Website Design Development BNI Triummph</t>
  </si>
  <si>
    <t>WEB DESIGNER &amp; DEVELOPER</t>
  </si>
  <si>
    <t>Webinsight is a dynamic digital agency dedicated to crafting impactful online experiences. Specializing in website design, development, and digital marketing, we bring your vision to life with creativity and purpose.</t>
  </si>
  <si>
    <t>C-17, Sweet Sahara CHS, Opposite GG College, Vasai</t>
  </si>
  <si>
    <t>https://maps.app.goo.gl/h9KJuTWt2umM4T518</t>
  </si>
  <si>
    <t>https://www.webinsight.in</t>
  </si>
  <si>
    <t>BNI-TRIUMMPH_ISHIKA-SHARMA</t>
  </si>
  <si>
    <t>1734324502_584632852950f6ffbae0.png</t>
  </si>
  <si>
    <t>1429.jpeg</t>
  </si>
  <si>
    <t>NUVAMA WEALTH</t>
  </si>
  <si>
    <t>ISHIKA SHARMA BNI TRIUMMPH</t>
  </si>
  <si>
    <t>DEBT &amp; STRUCTURED PRODUCTS</t>
  </si>
  <si>
    <t>PRERAK Desai a seasoned banker with over 2 decades of experience in various roles within the Financial Services industry- Banking, Securities &amp; AMC. In his past endeavours he has worked for SHCIL, ICICIBANK, HDFC BANK, Kotak Securities, UTI AMC</t>
  </si>
  <si>
    <t>BNI-TRIUMMPH_JALPA-SHAH</t>
  </si>
  <si>
    <t>qrcode_1733428142.png</t>
  </si>
  <si>
    <t>1734324578_e14b2f2fdaf33b4f34d0.png</t>
  </si>
  <si>
    <t>1430.jpeg</t>
  </si>
  <si>
    <t>PAPER PROJECT</t>
  </si>
  <si>
    <t>JALPA SHAH BNI TRIUMMPH</t>
  </si>
  <si>
    <t>INTERIOR DESIGNER</t>
  </si>
  <si>
    <t>Welcome to Paper to Project, an innovative interior design firm dedicated to turning your ideas into stunning realities. Our team of passionate designers believes every space tells a unique story, and we’re here to help bring that narrative to life. We specialize in residential design, offering services from concept development to project management. With a focus on functionality and aesthetics, we create environments that enhance comfort and well-being while incorporating sustainable practices. Collaboration is at the heart of our process. We work closely with you, ensuring your vision is realized every step of the way. At Paper to Project, we don’t just design spaces; we craft experiences. Let’s turn your dreams into beautifully designed interiors!</t>
  </si>
  <si>
    <t>Vile Parle,Mumbai</t>
  </si>
  <si>
    <t>BNI-TRIUMMPH_JEETENDER-MANWANI</t>
  </si>
  <si>
    <t>1734324604_211c40ee0de7a2d7c8b6.png</t>
  </si>
  <si>
    <t>1734455421_329dbee88382cb495d36.png</t>
  </si>
  <si>
    <t>DYNAMIC INVESTMENTS</t>
  </si>
  <si>
    <t>JEETENDER MANWANI BNI TRIUMMPH</t>
  </si>
  <si>
    <t>MUTUAL FUNDS</t>
  </si>
  <si>
    <t>We are seeking people who wish to do something for their financial future like RETIREMENT. Mutual funds are a wonderful product which gives inflation beating returns without client having to worry what stocks to choose.</t>
  </si>
  <si>
    <t>BNI-TRIUMMPH_KAPIL-VAID</t>
  </si>
  <si>
    <t>qrcode_1733427634.png</t>
  </si>
  <si>
    <t>1734324628_ac2e2a5c805b4747d7ae.png</t>
  </si>
  <si>
    <t>1432.jpeg</t>
  </si>
  <si>
    <t>VIBRANT DESI</t>
  </si>
  <si>
    <t>KAPIL VAID BNI TRIUMMPH</t>
  </si>
  <si>
    <t>SAREE TRADER</t>
  </si>
  <si>
    <t>Kapil Vaid, founder of Vibrant Desi, is dedicated to promoting Indian heritage through traditional sarees like silks and bandhanis. His brand blends age old craftsmanship with contemporary designs, bringing the rich, colourful fabrics of India to a global audience. Kapil’s commitment to quality and authenticity has made Vibrant Desi a renowned name.</t>
  </si>
  <si>
    <t>304,Suman Tower,3rd Cross Lane,Lokhandwala Complex,Andheri-(W),Mumbai-400053</t>
  </si>
  <si>
    <t>BNI-TRIUMMPH_KHUSHNAM-KARANJIA</t>
  </si>
  <si>
    <t>qrcode_1734455531.png</t>
  </si>
  <si>
    <t>1734324879_84f4fb2cac3609889ed7.png</t>
  </si>
  <si>
    <t>1734455458_bc4d14118a4ca083d6e3.png</t>
  </si>
  <si>
    <t>KHUSHHNM KKARANJIA</t>
  </si>
  <si>
    <t>KHUSHHNM KKARANJIA BNI TRIUMMPH</t>
  </si>
  <si>
    <t>Tarot card reader craniosacral therapist</t>
  </si>
  <si>
    <t>Professional tarot reader from 4 years, ensures secrecy, corporate tarot and events experience. Craniosacral therapy centre at Juhu for emotional and mental wellness.</t>
  </si>
  <si>
    <t>Sparc, Road no 10, Dagli Villa , JVPD scheme, Juhu, Mumbai 400049</t>
  </si>
  <si>
    <t>hhttps://www.google.co.in/maps/place/Khushhnm+Kkaranjia+-+Tarot+and+Craniosacral+Therapist/@19.1047055,72.8296447,15z/data=!4m6!3m5!1s0x3be7c9a38fd684ab:0xe434773a8987e91c!8m2!3d19.1047055!4d72.8296447!16s%2Fg%2F11y698tjgc?entry=ttu&amp;g_ep=EgoyMDI0MTAxNi4wI</t>
  </si>
  <si>
    <t>https://khushhnmkkaranjia.com/</t>
  </si>
  <si>
    <t>BNI-TRIUMMPH_KRUPALI-MAHOREY</t>
  </si>
  <si>
    <t>qrcode_1733430565.png</t>
  </si>
  <si>
    <t>1734324903_89856aeabfd7c6e9bc0c.png</t>
  </si>
  <si>
    <t>KRUPALI MAHOREY &amp; ASSOCIATES</t>
  </si>
  <si>
    <t>KRUPALI MAHOREY BNI TRIUMMPH</t>
  </si>
  <si>
    <t>COMPANY SECRETARY</t>
  </si>
  <si>
    <t>In practice for more than 14 years.</t>
  </si>
  <si>
    <t>307, Dimple Arcade, Asha Nagar, Thakur Complex, Kandivali East, Mumbai 400101</t>
  </si>
  <si>
    <t>BNI-TRIUMMPH_MEGHA-AGRAWWAL</t>
  </si>
  <si>
    <t>qrcode_1734456286.png</t>
  </si>
  <si>
    <t>1734324929_58e126c0c74cf1ea5e94.png</t>
  </si>
  <si>
    <t>1436.jpeg</t>
  </si>
  <si>
    <t>MNA &amp; ASSOCIATES</t>
  </si>
  <si>
    <t>MEGHA AGRAWWAL BNI TRIUMMPH</t>
  </si>
  <si>
    <t>NON-LITIGATION</t>
  </si>
  <si>
    <t>BNI-TRIUMMPH_NAVEEN-UPADHYAY</t>
  </si>
  <si>
    <t>qrcode_1736323499.png</t>
  </si>
  <si>
    <t>1734324958_cca9f3d9f01de00d30f7.png</t>
  </si>
  <si>
    <t>1736323358_d4cba712e24f358ad8dc.png</t>
  </si>
  <si>
    <t>TAP SAVVY TECHNOLOGIES</t>
  </si>
  <si>
    <t>NAVEEN UPADHYAY BNI TRIUMMPH</t>
  </si>
  <si>
    <t>NFC PRODUCTS AND QR SOLUTIONS</t>
  </si>
  <si>
    <t>Tap Savvy is a cutting-edge platform revolutionizing the way individuals, professionals, and businesses manage their digital presence. We offer innovative NFC products like cards and standees, enabling seamless and efficient networking.</t>
  </si>
  <si>
    <t>Fort, Mumbai-400004.</t>
  </si>
  <si>
    <t>https://tap-savvy.com/</t>
  </si>
  <si>
    <t>BNI-TRIUMMPH_NEENA-JAMDADE</t>
  </si>
  <si>
    <t>qrcode_1733424580.png</t>
  </si>
  <si>
    <t>1734324985_7b578b6d6f148e428ac0.png</t>
  </si>
  <si>
    <t>1438.jpeg</t>
  </si>
  <si>
    <t>NJ DIGIT</t>
  </si>
  <si>
    <t>NEENA JAMDADE BNI TRIUMMPH</t>
  </si>
  <si>
    <t>EQUITY</t>
  </si>
  <si>
    <t>Investment Advisory services , Portfolio Management Services and Deravatives investment</t>
  </si>
  <si>
    <t>Borivali west</t>
  </si>
  <si>
    <t>I c colony Borivali</t>
  </si>
  <si>
    <t>BNI-TRIUMMPH_NIRAJ-LALWANI</t>
  </si>
  <si>
    <t>qrcode_1733426109.png</t>
  </si>
  <si>
    <t>1734325008_a35b5b752995ef1359bd.png</t>
  </si>
  <si>
    <t>1439.jpeg</t>
  </si>
  <si>
    <t>SAMRUT HOLIDAYS</t>
  </si>
  <si>
    <t>NIRAJ LALWANI BNI TRIUMMPH</t>
  </si>
  <si>
    <t>TRAVEL AND TOURS</t>
  </si>
  <si>
    <t>Our expertise lies in crafting personalized travel packages for both domestic and international destinations, encompassing flights, hotel accommodations, land arrangements, and cruises. Additionally, we offer weekend getaways at resorts and villas.</t>
  </si>
  <si>
    <t>http://www.samrutholidays.com</t>
  </si>
  <si>
    <t>BNI-TRIUMMPH_NITIN-GHADGE</t>
  </si>
  <si>
    <t>1734325039_5c74e246282e01e01bdc.png</t>
  </si>
  <si>
    <t>1440.jpeg</t>
  </si>
  <si>
    <t>PNEUMATICS MANUFACTURER</t>
  </si>
  <si>
    <t>NITIN GHADGE BNI TRIUMMPH</t>
  </si>
  <si>
    <t>BNI-TRIUMMPH_OMKAR-KALE</t>
  </si>
  <si>
    <t>qrcode_1734455067.png</t>
  </si>
  <si>
    <t>1734325064_5e7b30c76653e6f1347f.png</t>
  </si>
  <si>
    <t>1441.jpeg</t>
  </si>
  <si>
    <t>ESKAY CONSTRUCTION TECHNOLOGY</t>
  </si>
  <si>
    <t>OMKAR KALE BNI TRIUMMPH</t>
  </si>
  <si>
    <t>BUILDING REPAIRS</t>
  </si>
  <si>
    <t>At Eskay Construction Technology, we believe that the strength of our company lies in our dedicated team of professionals. With a robust workforce and state-of-the-art equipment, we are equipped to handle projects of any scale with precision and expertise.</t>
  </si>
  <si>
    <t>115/3957, Geet Govind CHS, Tilak Nagar, Chembur, Mumbai - 400089</t>
  </si>
  <si>
    <t>https://eskayconstruction.in/</t>
  </si>
  <si>
    <t>BNI-TRIUMMPH_PRIYANK-SANCHETI</t>
  </si>
  <si>
    <t>qrcode_1734453791.png</t>
  </si>
  <si>
    <t>1734325091_913024321f18a742b8f6.png</t>
  </si>
  <si>
    <t>1446.jpeg</t>
  </si>
  <si>
    <t>PSA</t>
  </si>
  <si>
    <t>PRIYANK SANCHETI BNI TRIUMMPH</t>
  </si>
  <si>
    <t>Right Tax advice helps the business and corporate in taking sound business decisions at right time. Innovative Tax Strategy and proper planning can help the corporate entities and individuals to optimize their tax efficiencies. We provide tailored and effective Tax-Cost Management Solutions in the field of Indirect taxation</t>
  </si>
  <si>
    <t>228/229 2nd floor, Majestic Shopping Center, Near Girgaon Church, Charni road east Mumbai 400004</t>
  </si>
  <si>
    <t>Majestic Shopping Centre https://g.co/kgs/pmHyx6h</t>
  </si>
  <si>
    <t>http://www.piparasancheti.com</t>
  </si>
  <si>
    <t>BNI-TRIUMMPH_RAMSEVAK-VERMA</t>
  </si>
  <si>
    <t>qrcode_1733431653.png</t>
  </si>
  <si>
    <t>1734325115_48521bde216f3b24111f.png</t>
  </si>
  <si>
    <t>1442.jpeg</t>
  </si>
  <si>
    <t>DEEP COMPUTER AND SERVICES</t>
  </si>
  <si>
    <t>RAMSEVAK VERMA BNI TRIUMMPH</t>
  </si>
  <si>
    <t>One stop IT Accesories</t>
  </si>
  <si>
    <t>We, Deep Computer &amp; Services, situated at Andheri East, Mumbai, Maharashtra, India since 2012 are leading e-retailer and retailer committed to becoming the most loved and trusted store for all computer, laptops and other devices and their repairing services, with a focus on computer components by providing a great shopping experience, rapid delivery, tech customer service and provide the best warranty support.</t>
  </si>
  <si>
    <t>Shop No 02 Next to Airport Metro Station A K Road Andheri East Mumbai 400059</t>
  </si>
  <si>
    <t>https://g.co/kgs/NPxpWo</t>
  </si>
  <si>
    <t>http://deepcomputers.info/index.html</t>
  </si>
  <si>
    <t>BNI-TRIUMMPH_RINKAL-SHAH</t>
  </si>
  <si>
    <t>qrcode_1734366939.png</t>
  </si>
  <si>
    <t>1734325157_9f925a91a68c85d1482e.png</t>
  </si>
  <si>
    <t>1444.jpeg</t>
  </si>
  <si>
    <t>HOLISTIC ART'S CENTRE</t>
  </si>
  <si>
    <t>RINKAL SHAH BNI TRIUMMPH</t>
  </si>
  <si>
    <t>5D HEALER</t>
  </si>
  <si>
    <t>What if I tell you A typical adult makes 27 judgments a day &amp; each decision can take up to nine minutes, which adds up to a mind-numbing four hours lost in thought. 2,000 decisions per hour or one decision every two seconds in an average life of 80 years⏳ It's crazy right?🤯 Well, with so much to process we forget the KARMA, ENERGY we consume to HEAL our Body is instead used in anxiety, stress &amp; pain which leads to a feeling of more BLOCKED. 5D Healing &amp; Advance Brain Tunning fork Therapy is an effective healing modality which enables you find your BLOCKAGES, INNER CONNECT &amp; raise your ENERGY VIBRATIONS🧬 Knowing SELF karmic blockages flowing from the past, inherited from the family through DNA adding on your BLOCKAGES, breaking the DNA MATRIX to heal yourself is crucial these days to not feel blocked and stressed all the time. …it’s Time To Redesign your DESTINY So I am Rinkal K Shah DNA Matrix 5D HEALER 5D Advance Brain Tunning fork Therapist Business Healer Akashic Reader &amp; Autowriter Karmic Numerologist Property Vastu Dosh Healer</t>
  </si>
  <si>
    <t>BNI-TRIUMMPH_RISHABH-CHAUDHARY</t>
  </si>
  <si>
    <t>qrcode_1734453264.png</t>
  </si>
  <si>
    <t>1734325218_2f1c7bf588a0f762dad9.png</t>
  </si>
  <si>
    <t>ATHARVA CAPITAL MANAGEMENT LLP</t>
  </si>
  <si>
    <t>RISHABH CHAUDHARY BNI TRIUMMPH</t>
  </si>
  <si>
    <t>704, 7th FLoor, Suntek Crest, CTS 189/B village, kondivita, mukund nagar, andheri-east, mumbai-400059.</t>
  </si>
  <si>
    <t>BNI-TRIUMMPH_SAGAR-POOJARY</t>
  </si>
  <si>
    <t>qrcode_1734366752.png</t>
  </si>
  <si>
    <t>1734325247_7feb390261a2c99ad8c5.png</t>
  </si>
  <si>
    <t>1451.jpeg</t>
  </si>
  <si>
    <t>Sagar Poojary</t>
  </si>
  <si>
    <t>SAGAR POOJARY BNI TRIUMMPH</t>
  </si>
  <si>
    <t>GRAPHIC DESIGNER</t>
  </si>
  <si>
    <t>We offer professional graphic design and digital marketing services to help businesses enhance their brand identity and boost online presence. From social media graphics, e-learning course design, and landing pages to ads and marketing campaigns, my tailored solutions drive engagement and growth, helping businesses stand out and succeed.</t>
  </si>
  <si>
    <t>B-304, Sankalp Siddhi CHS, bhd. Dindoshi bus depot, Malad E</t>
  </si>
  <si>
    <t>https://maps.app.goo.gl/zrCWeEd226P9Af1g8</t>
  </si>
  <si>
    <t>https://sagarpoojary.com/digitalmarketingservices</t>
  </si>
  <si>
    <t>BNI-TRIUMMPH_DR.SANKET-BRAHMBHATT</t>
  </si>
  <si>
    <t>qrcode_1733433062.png</t>
  </si>
  <si>
    <t>1734325278_412ce32f5498abfe9778.png</t>
  </si>
  <si>
    <t>1452.jpeg</t>
  </si>
  <si>
    <t>DR. SANKET BRAHMABHATT BNI TRIUMMPH</t>
  </si>
  <si>
    <t>The Dental Suite, located in Vile Parle, Mumbai, is a multi-speciality dental clinic that provides a wide range of dental treatments in a comfortable and luxurious environment. Their services include general dentistry, cosmetic procedures like teeth whitening, painless root canals, and specialized treatments such as gum surgeries and dental implants. The clinic prides itself on using advanced technology, such as digital X-ray scanners and appointment reminder software, to enhance the patient experience. Founded by Dr. Rucha Baphna Brahmbhatt, a cosmetic and aesthetic dentist, and Dr. Sanket Brahmbhatt, a periodontist and implantologist, The Dental Suite focuses on combining high-quality dental care with personalized attention. They follow strict sterilization protocols to ensure patient safety and use cutting-edge tools for diagnostics and treatment</t>
  </si>
  <si>
    <t>The Dental Suite, Ground floor, Rishiket CHS, Tanaji Malusare marg (Irla lane), Irla, Vile Parle West, Mumbai 400056</t>
  </si>
  <si>
    <t>https://g.co/kgs/QN8pcKD</t>
  </si>
  <si>
    <t>www.dental suite.in</t>
  </si>
  <si>
    <t>BNI-TRIUMMPH_SIMONE-DHANWANI</t>
  </si>
  <si>
    <t>qrcode_1734366619.png</t>
  </si>
  <si>
    <t>1734326865_8e77eee026cb2e2b4950.png</t>
  </si>
  <si>
    <t>1454.jpeg</t>
  </si>
  <si>
    <t>SIMONE SALON &amp; SPA ACADEMY</t>
  </si>
  <si>
    <t>SIMONE DHANWANI BNI TRIUMMPH</t>
  </si>
  <si>
    <t>SALON &amp; SPA</t>
  </si>
  <si>
    <t>BNI-TRIUMMPH_SULAKSHANA-HEREKAR</t>
  </si>
  <si>
    <t>qrcode_1733433234.png</t>
  </si>
  <si>
    <t>1734326893_80ce747945d9638525cf.png</t>
  </si>
  <si>
    <t>1455.jpeg</t>
  </si>
  <si>
    <t>3 CHEERS</t>
  </si>
  <si>
    <t>SULAKSHANA HEREKAR BNI TRIUMMPH</t>
  </si>
  <si>
    <t>CORPORATE VIDEOS</t>
  </si>
  <si>
    <t>3 Cheers! gives your brand the big push of advertising and communication it needs, to be a success in the marketplace. From brand identity, print advertising, outdoor advertising to radio &amp; television to digital media... we have it all covered. Brand design services, video film production, media buying and selling, digital marketing... you don't have to look any further than 3 Cheers!</t>
  </si>
  <si>
    <t>606, A-wing, La Chapelle, Evershine Nagar, Malad West, Mumbai – 400064</t>
  </si>
  <si>
    <t>https://3cheersads.com/index.php</t>
  </si>
  <si>
    <t>BNI-TRIUMMPH_SUNIL-AKHADE</t>
  </si>
  <si>
    <t>qrcode_1733433267.png</t>
  </si>
  <si>
    <t>1734326925_abc316ca1894d474fab9.png</t>
  </si>
  <si>
    <t>1457.jpeg</t>
  </si>
  <si>
    <t>PEST RELIEF SERVICES</t>
  </si>
  <si>
    <t>SUNIL AKHADE BNI TRIUMMPH</t>
  </si>
  <si>
    <t>PEST CONTROL</t>
  </si>
  <si>
    <t>BNI-TRIUMMPH_ARUN-GUPTA</t>
  </si>
  <si>
    <t>qrcode_1734359203.png</t>
  </si>
  <si>
    <t>1734326949_193a725bbe161975bb7e.png</t>
  </si>
  <si>
    <t>1460.jpeg</t>
  </si>
  <si>
    <t>INVENTO</t>
  </si>
  <si>
    <t>ARUN GUPTA BNI TRIUMMPH</t>
  </si>
  <si>
    <t>VEG CATERING</t>
  </si>
  <si>
    <t>“INVENTO “ is the place that serves Mexican , Italian and fast food. The place is around 10 minutes from Lower Parel station.</t>
  </si>
  <si>
    <t>Shinde Building, Shop No :1, Senapati Bapat Marg, Lower Parel, Mumbai, Maharashtra 400013, India</t>
  </si>
  <si>
    <t>https://www.google.com/maps/dir//Shinde+Building,+Shop+No+:1,+Senapati+Bapat+Marg,+Lower+Parel,+Mumbai,+Maharashtra+400013,+India/@18.9974636,72.7445351,12z/data=!3m1!4b1!4m8!4m7!1m0!1m5!1m1!1s0x3be7cef38d80694d:0x6e701b3f3f2d9777!2m2!1d72.8269368!2d18.99</t>
  </si>
  <si>
    <t>BNI-TRIUMMPH_KUNAL-JAIN</t>
  </si>
  <si>
    <t>qrcode_1733433443.png</t>
  </si>
  <si>
    <t>1734326978_73a60d410fd6915cdae0.png</t>
  </si>
  <si>
    <t>1461.jpeg</t>
  </si>
  <si>
    <t>Sakun Gems</t>
  </si>
  <si>
    <t>KUNAL JAIN BNI TRIUMMPH</t>
  </si>
  <si>
    <t>DIAMOND JEWELLER</t>
  </si>
  <si>
    <t>What matters us the most is Eternal Relationships.......</t>
  </si>
  <si>
    <t>BNI-TRIUMMPH_SUMANTA-BANERJEE</t>
  </si>
  <si>
    <t>qrcode_1733433519.png</t>
  </si>
  <si>
    <t>1734327003_fc9c1595416b95158f99.png</t>
  </si>
  <si>
    <t>1462.jpeg</t>
  </si>
  <si>
    <t>Scenic Communication</t>
  </si>
  <si>
    <t>SUMANTA BANERJEE BNI TRIUMMPH</t>
  </si>
  <si>
    <t>PR &amp; COMMUNICATION</t>
  </si>
  <si>
    <t>At Scenic Communication, we pride ourselves on being the Best Public Relations Agency in Mumbai. As a Top Public Relations Company in Mumbai, we offer holistic and integrated marketing communications solutions tailored to meet our clients’ unique needs. Recognized as the Best PR Company in Mumbai and a Top PR Company in Mumbai, we deliver effective public relations strategies that align with our clients’ brand objectives.</t>
  </si>
  <si>
    <t>De Elmas, Office No. 507/508, Sonawala Road, Next to Atlanta Building, Goregaon East, Mumbai – 400063.</t>
  </si>
  <si>
    <t>https://sceniccomm.in/</t>
  </si>
  <si>
    <t>BNI-TRIUMMPH_MOIN-MISTRY</t>
  </si>
  <si>
    <t>qrcode_1733429702.png</t>
  </si>
  <si>
    <t>1734327043_8d9e4b8b9da6ef434aea.png</t>
  </si>
  <si>
    <t>1463.jpeg</t>
  </si>
  <si>
    <t>A&amp;H Capital</t>
  </si>
  <si>
    <t>MOIN MISTRY BNI TRIUMMPH</t>
  </si>
  <si>
    <t>UNSECURED LOANS</t>
  </si>
  <si>
    <t>A &amp; H Capital is a multi-disciplinary financial company, fundamentally offering services for securing and disbursement of loans. With the economies more energetic than before, and financial forecasts promising, large business and corporate houses are seeking financial advances more regularly than before. Established in July, 2014, A &amp; H Capital is more than a startup. It is promoted by a dynamic team of financial professionals who collectively have experience of 24 years in underwriting and covering risk contingent. A &amp; H Capital is associated with all major bank and NBFC in retail segment. With a single minded goal of extending financial assistance, A &amp; H Capital boasts of securing loans and disbursing for vehicles, home loans, mortgage finance etc.</t>
  </si>
  <si>
    <t>Location: 507,508 | De Elmas, beside Ginger Hotel Sonawala Lane | Near Udyog Bhavan Goregaon (East), Mumbai 400063 | India</t>
  </si>
  <si>
    <t>https://maps.app.goo.gl/N3RRdQ4uH3iMPFoGA?g_st=iw Talking.</t>
  </si>
  <si>
    <t>https://ahcapital.in/</t>
  </si>
  <si>
    <t>BAJAJ-CAPITAL_AJAY-PARMAR</t>
  </si>
  <si>
    <t>qrcode_1733347109.png</t>
  </si>
  <si>
    <t>1388.jpeg</t>
  </si>
  <si>
    <t>Bajaj Capital</t>
  </si>
  <si>
    <t>Ajay Parmar</t>
  </si>
  <si>
    <t>Ajay is a visionary leader and BFSI expert with over three decades of experience driving growth, profitability, and team excellence. His illustrious career spans leadership roles at renowned institutions like Kotak, Edelweiss, and Motilal Oswal, where he has consistently delivered results, fostered high-performing teams, and assumed senior P&amp;L responsibilities. With a unique blend of strategic acumen, industry insights, and collaborative leadership style, Ajay is a sought-after expert in sales, distribution, and BFSI operations.</t>
  </si>
  <si>
    <t>harish.rawat@bajajcapital.com</t>
  </si>
  <si>
    <t>Bajaj Capital , WeWork India Management - GF, 264-265, Dr Annie Besant Rd, Municipal Colony, Worli Shivaji Nagar, Worli, Mumbai</t>
  </si>
  <si>
    <t>https://www.bajajcapital.com/</t>
  </si>
  <si>
    <t>BAJAJ-CAPITAL_AVRO-MUKERJI</t>
  </si>
  <si>
    <t>qrcode_1733347197.png</t>
  </si>
  <si>
    <t>1389.jpeg</t>
  </si>
  <si>
    <t>Avro Mukerji</t>
  </si>
  <si>
    <t>White House, GF, FF, NBCC Tower, Global Foyer, Sector 5, Pushp Vihar, New Delhi, Delhi 110017</t>
  </si>
  <si>
    <t>BAJAJ-CAPITAL_BULBUL-AGRAWAL</t>
  </si>
  <si>
    <t>qrcode_1733347262.png</t>
  </si>
  <si>
    <t>1390.jpeg</t>
  </si>
  <si>
    <t>Bulbul Agrawal</t>
  </si>
  <si>
    <t>Bulbul Agrawal has an experience of over 12 years while working with being Kotak Mahindra Bank, RBL and Standard Charted Bank. My last assignment was with DBS in the corporate banking segment.</t>
  </si>
  <si>
    <t>BAJAJ-CAPITAL_DHAVAL-VASAVADA</t>
  </si>
  <si>
    <t>qrcode_1733347380.png</t>
  </si>
  <si>
    <t>1391.jpeg</t>
  </si>
  <si>
    <t>Dhaval Vasavada</t>
  </si>
  <si>
    <t>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t>
  </si>
  <si>
    <t>Bajaj Capital Limited.502, Shivalik Shilp - II, Opp ITC Narmada, Near Mansi Crossroads, Satellite, Ahmedabad - 380015, Gujarat</t>
  </si>
  <si>
    <t>BAJAJ-CAPITAL_GAURAV-SINGH</t>
  </si>
  <si>
    <t>qrcode_1733347502.png</t>
  </si>
  <si>
    <t>1392.jpeg</t>
  </si>
  <si>
    <t>Gaurav Singh</t>
  </si>
  <si>
    <t>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t>
  </si>
  <si>
    <t>BAJAJ-CAPITAL_HANUMANTHA-RAO</t>
  </si>
  <si>
    <t>qrcode_1733347589.png</t>
  </si>
  <si>
    <t>1393.jpeg</t>
  </si>
  <si>
    <t>Hanumantha Rao N</t>
  </si>
  <si>
    <t>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t>
  </si>
  <si>
    <t>Wework Galaxy, Residency Road, Shanthala Nagar Ashok Nagar, Bangalore- 560025</t>
  </si>
  <si>
    <t>BAJAJ-CAPITAL_HIMANSHU-SAXENA</t>
  </si>
  <si>
    <t>qrcode_1733347767.png</t>
  </si>
  <si>
    <t>1394.jpeg</t>
  </si>
  <si>
    <t>HIMANSHU SAXENA</t>
  </si>
  <si>
    <t>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t>
  </si>
  <si>
    <t>BAJAJ-CAPITAL_JAYANT-GANGULY</t>
  </si>
  <si>
    <t>qrcode_1733347860.png</t>
  </si>
  <si>
    <t>1395.jpeg</t>
  </si>
  <si>
    <t>Jayant Ganguly</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</si>
  <si>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</si>
  <si>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BAJAJ-CAPITAL_JINESH-NAIR</t>
  </si>
  <si>
    <t>qrcode_1733348299.png</t>
  </si>
  <si>
    <t>1396.jpeg</t>
  </si>
  <si>
    <t>Jinesh Nair</t>
  </si>
  <si>
    <t>Jinesh has a rich experience of 17 years Banking and Wealth Management where he has headed south regions and clusters.. His Last Stint was with Yes bank heading the largest branch in South.</t>
  </si>
  <si>
    <t>BAJAJ-CAPITAL_KALPESH-DAVE</t>
  </si>
  <si>
    <t>qrcode_1733348650.png</t>
  </si>
  <si>
    <t>1397.jpeg</t>
  </si>
  <si>
    <t>Kalpesh Dave</t>
  </si>
  <si>
    <t>Bajaj Capital Limited - Global Private Wealth, Novus Tower, 1st Floor, Plot no. 18, Sector-18, Gurugram, Haryana-122015</t>
  </si>
  <si>
    <t>BAJAJ-CAPITAL_KARAN-CHETRY</t>
  </si>
  <si>
    <t>qrcode_1733349408.png</t>
  </si>
  <si>
    <t>1398.jpeg</t>
  </si>
  <si>
    <t>Karan Chetry</t>
  </si>
  <si>
    <t>Karan brings an impressive 16-year legacy of expertise spanning banking, wealth management, and life insurance industry. In his most recent role, he made significant strides with ICICI Bank’s prestigious Private Banking Group. More than just a Financial Expert, Karan is an avid traveler, enjoys the thrill of swimming, a lover of reading books, and the spirit of playing cricket</t>
  </si>
  <si>
    <t>BAJAJ-CAPITAL_KARAN-RAJGARHIA</t>
  </si>
  <si>
    <t>qrcode_1733349569.png</t>
  </si>
  <si>
    <t>1399.jpeg</t>
  </si>
  <si>
    <t>Karan Rajgarhia</t>
  </si>
  <si>
    <t>With More than 2 decades of experience and having worked with companies like IIFL &amp; Motilal karan has an extensive knowledge in Securitues/Mutual Fund Space.</t>
  </si>
  <si>
    <t>23 Pratapaditya Road, Kolkata 700026</t>
  </si>
  <si>
    <t>BAJAJ-CAPITAL_MEGHA-UPADHYAY</t>
  </si>
  <si>
    <t>qrcode_1733349646.png</t>
  </si>
  <si>
    <t>1400.jpeg</t>
  </si>
  <si>
    <t>Megha Upadhyay</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</si>
  <si>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</si>
  <si>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BAJAJ-CAPITAL_MOUSHUMI-ROY</t>
  </si>
  <si>
    <t>qrcode_1733349738.png</t>
  </si>
  <si>
    <t>1401.jpeg</t>
  </si>
  <si>
    <t>Moushumi Roy</t>
  </si>
  <si>
    <t>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t>
  </si>
  <si>
    <t>BAJAJ-CAPITAL_MOUSHUMI-TIWARY</t>
  </si>
  <si>
    <t>qrcode_1733349917.png</t>
  </si>
  <si>
    <t>1402.jpeg</t>
  </si>
  <si>
    <t>Moushumi Tiwary</t>
  </si>
  <si>
    <t>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t>
  </si>
  <si>
    <t>BAJAJ-CAPITAL_NAGESH-TIWARI</t>
  </si>
  <si>
    <t>qrcode_1733350049.png</t>
  </si>
  <si>
    <t>1403.jpeg</t>
  </si>
  <si>
    <t>Nagesh Tiwari</t>
  </si>
  <si>
    <t>With More than 2 decades of experience and having worked with companies like ICICI &amp; Realiance Securities, Nagesh has an extensive knowledge in Securitues/Mutual Fund Space.</t>
  </si>
  <si>
    <t>BAJAJ-CAPITAL_NEHA-TALWAR</t>
  </si>
  <si>
    <t>qrcode_1733350210.png</t>
  </si>
  <si>
    <t>1404.jpeg</t>
  </si>
  <si>
    <t>Neha Talwar</t>
  </si>
  <si>
    <t>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t>
  </si>
  <si>
    <t>BAJAJ-CAPITAL_NIRAJ-KUMAR</t>
  </si>
  <si>
    <t>1405.jpeg</t>
  </si>
  <si>
    <t>Niraj Kumar</t>
  </si>
  <si>
    <t>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t>
  </si>
  <si>
    <t>BAJAJ-CAPITAL_NITIN-KALE</t>
  </si>
  <si>
    <t>qrcode_1733350383.png</t>
  </si>
  <si>
    <t>1406.jpeg</t>
  </si>
  <si>
    <t>Nitin Kale</t>
  </si>
  <si>
    <t>Nitin has more than 10 years of experience in the Wealth &amp; Banking Industry, having previously managed HNI Client Acquisition at Axis Bank.</t>
  </si>
  <si>
    <t>BAJAJ-CAPITAL_NIZAMUDDIN-QUTUBUDDIN</t>
  </si>
  <si>
    <t>1407.jpeg</t>
  </si>
  <si>
    <t>Nizamuddin Qutubuddin</t>
  </si>
  <si>
    <t>"Nizamuddin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t>
  </si>
  <si>
    <t>BAJAJ-CAPITAL_PRERAK-DESAI</t>
  </si>
  <si>
    <t>1408.jpeg</t>
  </si>
  <si>
    <t>Prerak Desai</t>
  </si>
  <si>
    <t>BAJAJ-CAPITAL_SANDEEP-ANANT-AMBEKAR</t>
  </si>
  <si>
    <t>qrcode_1733350757.png</t>
  </si>
  <si>
    <t>1409.jpeg</t>
  </si>
  <si>
    <t>Sandeep Anant Ambekar</t>
  </si>
  <si>
    <t>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t>
  </si>
  <si>
    <t>BAJAJ-CAPITAL_SANGRAM-MOHANTY</t>
  </si>
  <si>
    <t>qrcode_1733350793.png</t>
  </si>
  <si>
    <t>1410.jpeg</t>
  </si>
  <si>
    <t>Sangram Mohanty</t>
  </si>
  <si>
    <t>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t>
  </si>
  <si>
    <t>BAJAJ-CAPITAL_SANJAY-MISHRA</t>
  </si>
  <si>
    <t>qrcode_1733350945.png</t>
  </si>
  <si>
    <t>1411.jpeg</t>
  </si>
  <si>
    <t>Sanjay Mishra</t>
  </si>
  <si>
    <t>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t>
  </si>
  <si>
    <t>BAJAJ-CAPITAL_SANJEEV-MAHESHWARI</t>
  </si>
  <si>
    <t>1412.jpeg</t>
  </si>
  <si>
    <t>Sanjeev Maheshwari</t>
  </si>
  <si>
    <t>Having depth knowledge and over 32 years’ experience in various functions of the Stock Broking and Financial Services.Responsible for overseeing the day-to-day operations of our stock broking company, ensuring the seamless execution of Trading activities and operational efficiency and also had experience in leading Financial &amp; Accounting (Balance sheet, Taxation, audit &amp; cash flow).</t>
  </si>
  <si>
    <t>Bajaj House, 5th Floor, Nehru Place, Delhi</t>
  </si>
  <si>
    <t>BAJAJ-CAPITAL_SATIS-MONGA</t>
  </si>
  <si>
    <t>qrcode_1733351144.png</t>
  </si>
  <si>
    <t>1413.jpeg</t>
  </si>
  <si>
    <t>Satis Monga</t>
  </si>
  <si>
    <t>"Satis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t>
  </si>
  <si>
    <t>BAJAJ-CAPITAL_SAURABH-BHARGAVA</t>
  </si>
  <si>
    <t>qrcode_1733351240.png</t>
  </si>
  <si>
    <t>1414.jpeg</t>
  </si>
  <si>
    <t>Saurabh Bhargava</t>
  </si>
  <si>
    <t>"Saurabh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t>
  </si>
  <si>
    <t>BAJAJ-CAPITAL_SHARAD-MITTAL</t>
  </si>
  <si>
    <t>qrcode_1733351523.png</t>
  </si>
  <si>
    <t>1415.jpeg</t>
  </si>
  <si>
    <t>Sharad Mittal</t>
  </si>
  <si>
    <t>"Sharad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t>
  </si>
  <si>
    <t>BAJAJ-CAPITAL_SHIKHA-GOYAL</t>
  </si>
  <si>
    <t>qrcode_1733351599.png</t>
  </si>
  <si>
    <t>1416.jpeg</t>
  </si>
  <si>
    <t>Shikha Goyal</t>
  </si>
  <si>
    <t>"Shikha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t>
  </si>
  <si>
    <t>BAJAJ-CAPITAL_SHUBHAM-SAXENA</t>
  </si>
  <si>
    <t>qrcode_1733351753.png</t>
  </si>
  <si>
    <t>1417.jpeg</t>
  </si>
  <si>
    <t>Shubham Saxena</t>
  </si>
  <si>
    <t>"Shubham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t>
  </si>
  <si>
    <t>Summit Space, 11th Floor, TCG 3/3, Rohtas Summit Tower, Vibhutikhand,Luckow, UP - 226010</t>
  </si>
  <si>
    <t>BAJAJ-CAPITAL_SIDDHARTH-CHAUHAN</t>
  </si>
  <si>
    <t>qrcode_1733351836.png</t>
  </si>
  <si>
    <t>1418.jpeg</t>
  </si>
  <si>
    <t>Siddharth Chauhan</t>
  </si>
  <si>
    <t>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t>
  </si>
  <si>
    <t>BAJAJ-CAPITAL_SUNIL-S</t>
  </si>
  <si>
    <t>qrcode_1733352187.png</t>
  </si>
  <si>
    <t>1733739037_e3096eafb05b5d2478d4.jpg</t>
  </si>
  <si>
    <t>Sunil S</t>
  </si>
  <si>
    <t>Mr. Sunil S has joined us as Senior AVP Sunil brings with him 18 years of extensive experience in Banking, Wealth Management, and Life Insurance sector. Before joining us, he played a key role at Axis Bank - Burgundy Private and has also worked with IndusInd Pioneer Wealth Management. Beyond his professional achievements, Sunil is an avid traveller, enjoys swimming, reading, and is passionate about cricket.</t>
  </si>
  <si>
    <t>BAJAJ-CAPITAL_TAUFEEQ-MIRZA-BEG</t>
  </si>
  <si>
    <t>qrcode_1733352271.png</t>
  </si>
  <si>
    <t>1420.jpeg</t>
  </si>
  <si>
    <t>Taufeeq Mirza Beg</t>
  </si>
  <si>
    <t>He brings 23 years of extensive banking experience with ICICI, Yes Bank, IDBI, and IndusInd Bank, covering private, retail, and corporate banking. Most recently, he was Regional Head at ICICI Bank for SME and Mid Corporates in the UPUK market before joining Bajaj Capital.</t>
  </si>
  <si>
    <t>BAJAJ-CAPITAL_VIJAY-KUMAR-DEVAKATH</t>
  </si>
  <si>
    <t>qrcode_1733352301.png</t>
  </si>
  <si>
    <t>1421.jpeg</t>
  </si>
  <si>
    <t>Vijay Kumar Devakath</t>
  </si>
  <si>
    <t>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t>
  </si>
  <si>
    <t>BAJAJ-CAPITAL_VIJAYENDRA-CHOPRA</t>
  </si>
  <si>
    <t>qrcode_1733352419.png</t>
  </si>
  <si>
    <t>1422.jpeg</t>
  </si>
  <si>
    <t>Vijayendra Chopra</t>
  </si>
  <si>
    <t>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t>
  </si>
  <si>
    <t>BAJAJ-CAPITAL_VIPIN-ANAND</t>
  </si>
  <si>
    <t>qrcode_1733345252.png</t>
  </si>
  <si>
    <t>1423.jpeg</t>
  </si>
  <si>
    <t>Vipin Anand</t>
  </si>
  <si>
    <t>Vipin carries a Wealth of experience exceeding 22 years. He has contributed to prominent institutions such as ICICI Bank Wealth Management, AXIS Bank Burgundy, and Aditya Birla Capital.</t>
  </si>
  <si>
    <t>AB-JEWELS_MANOJ-SONI</t>
  </si>
  <si>
    <t>qrcode_1733514955.png</t>
  </si>
  <si>
    <t>502.jpeg</t>
  </si>
  <si>
    <t>AB JEWELS</t>
  </si>
  <si>
    <t>MANOJ SONI</t>
  </si>
  <si>
    <t>manoj@abjewels.com</t>
  </si>
  <si>
    <t>https://www.abjewels.com/</t>
  </si>
  <si>
    <t>AB-JEWELS_VIJAY-SONI</t>
  </si>
  <si>
    <t>qrcode_1733515031.png</t>
  </si>
  <si>
    <t>VIJAY SONI</t>
  </si>
  <si>
    <t>vijay@abjewels.com</t>
  </si>
  <si>
    <t>AB-JEWELS_VANAJAM-SONI</t>
  </si>
  <si>
    <t>VANJAM SONI</t>
  </si>
  <si>
    <t>vanajam@abjewels.com</t>
  </si>
  <si>
    <t>AB-JEWELS_KIRTAN-SONI</t>
  </si>
  <si>
    <t>Kirtan Soni</t>
  </si>
  <si>
    <t>kirtan@abjewels.com</t>
  </si>
  <si>
    <t>BHAGAT-JEWELLERS_AKASH-MANGLIK</t>
  </si>
  <si>
    <t>qrcode_1733515083.png</t>
  </si>
  <si>
    <t>BHAGAT JEWELLERS</t>
  </si>
  <si>
    <t>AKASH MANGLIK</t>
  </si>
  <si>
    <t>akashmanglik@gmail.com</t>
  </si>
  <si>
    <t>BHOLASONS-JEWELLERS_DR.RAJENDRA-BHOLA</t>
  </si>
  <si>
    <t>qrcode_1733515239.png</t>
  </si>
  <si>
    <t>BHOLASONS JEWELLERS</t>
  </si>
  <si>
    <t>DR. RAJENDRA BHOLA</t>
  </si>
  <si>
    <t>bholark@bholasons.com</t>
  </si>
  <si>
    <t>https://www.bholasons.com/</t>
  </si>
  <si>
    <t>B.L-HISSARIA_SACHIN-HISSARIAhttps://api.qrserver.com/v1/create-qr-code/?size=200x200&amp;data=http%3A%2F</t>
  </si>
  <si>
    <t>qrcode_1733515369.png</t>
  </si>
  <si>
    <t>508.jpeg</t>
  </si>
  <si>
    <t>B L HISSARIA</t>
  </si>
  <si>
    <t>SACHIN HISSARIA</t>
  </si>
  <si>
    <t>sachin.123hissaria@gmail.com</t>
  </si>
  <si>
    <t>https://www.blhissaria.com/</t>
  </si>
  <si>
    <t>B.L-HISSARIA_RAJESH-HISSARIA</t>
  </si>
  <si>
    <t>qrcode_1733515419.png</t>
  </si>
  <si>
    <t>RAJESH HISSARIA</t>
  </si>
  <si>
    <t>rajeshhissaria0309@gmail.com</t>
  </si>
  <si>
    <t>AVR-SWARNA-MAHAL_A.B.S-SANJJAY</t>
  </si>
  <si>
    <t>qrcode_1733515591.png</t>
  </si>
  <si>
    <t>510.jpeg</t>
  </si>
  <si>
    <t>AVR SWARNA MAHAL</t>
  </si>
  <si>
    <t>A.B.S.SANJJAY</t>
  </si>
  <si>
    <t>MANAGING DIRECTOR</t>
  </si>
  <si>
    <t>md@avrswarnamahal.com</t>
  </si>
  <si>
    <t>https://avrswarnamahal.com/</t>
  </si>
  <si>
    <t>AVR-SWARNA-MAHAL_SOUMYHA-SANJJAY</t>
  </si>
  <si>
    <t>qrcode_1733515719.png</t>
  </si>
  <si>
    <t>SOUMYHA SANJJAY</t>
  </si>
  <si>
    <t>soumya@avrswarnamahal.com</t>
  </si>
  <si>
    <t>AVR-SWARNA-MAHAL_AVR-SIDDANTH</t>
  </si>
  <si>
    <t>AVR SIDDANTH</t>
  </si>
  <si>
    <t>siddhant@avrswarnamahal.com</t>
  </si>
  <si>
    <t>MP-SWARNA-MAHAL_SANJAY-BANTIA</t>
  </si>
  <si>
    <t>513.jpeg</t>
  </si>
  <si>
    <t>M P SWARNA MAHAL</t>
  </si>
  <si>
    <t>SANJAY BANTIA</t>
  </si>
  <si>
    <t>Sanjay@mpswarnamahal.com</t>
  </si>
  <si>
    <t>https://www.mpswarnamahal.com/</t>
  </si>
  <si>
    <t>MP-SWARNA-MAHAL_SAMKITH-SANJAY</t>
  </si>
  <si>
    <t>SAMKITH SANJAY</t>
  </si>
  <si>
    <t>Samkithsanjay@yahoo.co.in</t>
  </si>
  <si>
    <t>LAHORE-JEWELLERS_SANDEEP-KAPOOR</t>
  </si>
  <si>
    <t>qrcode_1733515978.png</t>
  </si>
  <si>
    <t>LAHORE JEWELLERS</t>
  </si>
  <si>
    <t>SANDEEP KAPOOR</t>
  </si>
  <si>
    <t>sandeepkapoorlj@gmail.com</t>
  </si>
  <si>
    <t>DP-ABHUSHAN_VIKAS-KATARIA</t>
  </si>
  <si>
    <t>qrcode_1733516034.png</t>
  </si>
  <si>
    <t>516.jpeg</t>
  </si>
  <si>
    <t>DP ABHUSHAN</t>
  </si>
  <si>
    <t>VIKAS KATARIA</t>
  </si>
  <si>
    <t>vikas@dpjewellers.com</t>
  </si>
  <si>
    <t>https://www.dpjewellers.com/</t>
  </si>
  <si>
    <t>DP-ABHUSHAN_ANIL-KATARIA</t>
  </si>
  <si>
    <t>qrcode_1733516087.png</t>
  </si>
  <si>
    <t>ANIL KATARIA</t>
  </si>
  <si>
    <t>anil@dpjewellers.com</t>
  </si>
  <si>
    <t>DP-ABHUSHAN_VIMAL-RAWAL</t>
  </si>
  <si>
    <t>qrcode_1733516141.png</t>
  </si>
  <si>
    <t>VIMAL RAWAL</t>
  </si>
  <si>
    <t>vimal@dpjewellers.com</t>
  </si>
  <si>
    <t>DP-ABHUSHAN_SHRENIK-JAIN</t>
  </si>
  <si>
    <t>qrcode_1733516186.png</t>
  </si>
  <si>
    <t>SHRENIK JAIN</t>
  </si>
  <si>
    <t>himanshu@dpjewellers.com</t>
  </si>
  <si>
    <t>PAVITHRA-JEWELS_RAGHUNATH-VS</t>
  </si>
  <si>
    <t>qrcode_1733516258.png</t>
  </si>
  <si>
    <t>PAVITHRA JEWELS</t>
  </si>
  <si>
    <t>RAGHUNATH VS</t>
  </si>
  <si>
    <t>pavithrajewels2010@gmail.com</t>
  </si>
  <si>
    <t>MOTISONS-JEWELLERS_NAWAL-AGARWAL</t>
  </si>
  <si>
    <t>qrcode_1733517077.png</t>
  </si>
  <si>
    <t>521.jpeg</t>
  </si>
  <si>
    <t>MOTISONS JEWELLERS</t>
  </si>
  <si>
    <t>NAWAL AGARWAL</t>
  </si>
  <si>
    <t>nawal.motisons@gmail.com</t>
  </si>
  <si>
    <t>https://www.motisonsjewellers.com/</t>
  </si>
  <si>
    <t>MOTISONS-JEWELLERS_LALIT-MUSAL</t>
  </si>
  <si>
    <t>qrcode_1733517147.png</t>
  </si>
  <si>
    <t>522.jpeg</t>
  </si>
  <si>
    <t>LALIT MUSAL</t>
  </si>
  <si>
    <t>lalit.musal@gmail.com</t>
  </si>
  <si>
    <t>SAHELI-JEWELLERS_PAVAN-JAIN</t>
  </si>
  <si>
    <t>qrcode_1733517199.png</t>
  </si>
  <si>
    <t>SAHELI JEWELLERS</t>
  </si>
  <si>
    <t>PAVAN JAIN</t>
  </si>
  <si>
    <t>info@sahelijewellers.com</t>
  </si>
  <si>
    <t>OM-JEWELLERS_BHAVIN-JHAKIA</t>
  </si>
  <si>
    <t>524.jpeg</t>
  </si>
  <si>
    <t>OM JEWELLERS</t>
  </si>
  <si>
    <t>BHAVIN N JHAKIA</t>
  </si>
  <si>
    <t>bnj@omjewellers.com</t>
  </si>
  <si>
    <t>https://omjewellers.com/</t>
  </si>
  <si>
    <t>OM-JEWELLERS_BHAVESH-JHAKIA</t>
  </si>
  <si>
    <t>BHAVESH M JHAKIA</t>
  </si>
  <si>
    <t>Bmj@omjewellers.com</t>
  </si>
  <si>
    <t>PANNA-DIAMOND-WORLD-JEWELLERS_PINTU-AGARWAL</t>
  </si>
  <si>
    <t>526.jpeg</t>
  </si>
  <si>
    <t>PANNA DIAMOND WORLD JEWELLERS</t>
  </si>
  <si>
    <t>Pintu Agarwala</t>
  </si>
  <si>
    <t>agarwalapintu@gmail.com</t>
  </si>
  <si>
    <t>PANNA-DIAMOND-WORLD-JEWELLERS_DILIP-AGARWAL</t>
  </si>
  <si>
    <t>Dilip Kumar Agarwala</t>
  </si>
  <si>
    <t>dilipkumaragarwala@gmail.com</t>
  </si>
  <si>
    <t>PP-JEWELLERS_PAWAN-GUPTA</t>
  </si>
  <si>
    <t>528.jpeg</t>
  </si>
  <si>
    <t>PP JEWELLERS</t>
  </si>
  <si>
    <t>Pawan Gupta</t>
  </si>
  <si>
    <t>pawan.gupta@ppj.co.in</t>
  </si>
  <si>
    <t>https://ppjeweller.com/</t>
  </si>
  <si>
    <t>PP-JEWELLERS_PIYUSH-GUPTA</t>
  </si>
  <si>
    <t>Piyush Gupta</t>
  </si>
  <si>
    <t>piyush.gupta@ppj.co.in</t>
  </si>
  <si>
    <t>MODERN-JEWELLERS_SUBODH-AGARWAL</t>
  </si>
  <si>
    <t>MODERN JEWELLERS</t>
  </si>
  <si>
    <t>SUBODH AGARWAL</t>
  </si>
  <si>
    <t>subodhmj21@gmail.com</t>
  </si>
  <si>
    <t>SONA-CHANDI-JEWELLERS_RAJENDRA-AGARWAL</t>
  </si>
  <si>
    <t>531.jpeg</t>
  </si>
  <si>
    <t>SONA CHANDI JEWELLERS</t>
  </si>
  <si>
    <t>RAJENDRA AGARWAL</t>
  </si>
  <si>
    <t>sonachandi12@yahoo.com</t>
  </si>
  <si>
    <t>http://www.sonachandis.com/</t>
  </si>
  <si>
    <t>SONA-CHANDI-JEWELLERS_DEEPA-AGARWAL</t>
  </si>
  <si>
    <t>DEEPA AGARWAL</t>
  </si>
  <si>
    <t>Vandita.h.agarwal@gmail.com</t>
  </si>
  <si>
    <t>CHOSEN-BY-TEJPAL-RANKA_TEJPAL-RANKA</t>
  </si>
  <si>
    <t>533.jpeg</t>
  </si>
  <si>
    <t>CHOSEN BY TEJPAL RANKA</t>
  </si>
  <si>
    <t>TEJPAL RANKA</t>
  </si>
  <si>
    <t>Tejpal@rankajewellerspcmc.co.in</t>
  </si>
  <si>
    <t>https://chosen.co.in/</t>
  </si>
  <si>
    <t>CHOSEN-BY-TEJPAL-RANKA_ASHA-RANKA</t>
  </si>
  <si>
    <t>ASHA RANKA</t>
  </si>
  <si>
    <t>ashatejpal@gmail.com</t>
  </si>
  <si>
    <t>RANKA-JEWELLERS_ISHITA-RANKA</t>
  </si>
  <si>
    <t>535.jpeg</t>
  </si>
  <si>
    <t>RANKA JEWELLERS</t>
  </si>
  <si>
    <t>ISHITA RANKA</t>
  </si>
  <si>
    <t>ishita@rankajewellerspcmc.co.in</t>
  </si>
  <si>
    <t>https://rankajewellers.in/</t>
  </si>
  <si>
    <t>KAMNA-JEWELLERS_SHIKHAR-AGARWAL</t>
  </si>
  <si>
    <t>KAMNA JEWELLERS</t>
  </si>
  <si>
    <t>SHIKHAR AGARWAL</t>
  </si>
  <si>
    <t>kamna_jewellers@gmail.com</t>
  </si>
  <si>
    <t>KAMNA-JEWELLERS_SHIMUL-AGARWAL</t>
  </si>
  <si>
    <t>SHIMUL AGARWAL</t>
  </si>
  <si>
    <t>kjplbsr1@gmail.com</t>
  </si>
  <si>
    <t>MANIKCHAND-JEWELLERS_KISHAN-SONI</t>
  </si>
  <si>
    <t>MANIKCHAND JEWELLERS</t>
  </si>
  <si>
    <t>KISHAN KUMAR SONI</t>
  </si>
  <si>
    <t>info@mcj.net.in</t>
  </si>
  <si>
    <t>http://www.manikchandjewellers.com/</t>
  </si>
  <si>
    <t>HIRA-PANNA-JEWELLERS_SHEKHAR-KESARI</t>
  </si>
  <si>
    <t>HIRA PANNA JEWELLERS</t>
  </si>
  <si>
    <t>SHEKHAR KESARI</t>
  </si>
  <si>
    <t>hpjewel@gmail.com</t>
  </si>
  <si>
    <t>https://www.hirapannajewellers.com/</t>
  </si>
  <si>
    <t>TALLA-JEWELLERS_AMAN-TALLA</t>
  </si>
  <si>
    <t>540.jpeg</t>
  </si>
  <si>
    <t>TALLA JEWELLERS</t>
  </si>
  <si>
    <t>AMAN TALLA</t>
  </si>
  <si>
    <t>aman@tallajewellers.com</t>
  </si>
  <si>
    <t>https://tallajewellers.in/</t>
  </si>
  <si>
    <t>TALLA-JEWELLERS_AJAY-TALLA</t>
  </si>
  <si>
    <t>AJAY TALLA</t>
  </si>
  <si>
    <t>ajaytalla67@gmail.com</t>
  </si>
  <si>
    <t>DASS-JEWELLERS_OJAS-VASTANI</t>
  </si>
  <si>
    <t>542.jpeg</t>
  </si>
  <si>
    <t>DASS JEWELLERS</t>
  </si>
  <si>
    <t>OJAS VASTANI</t>
  </si>
  <si>
    <t>ojas.vastani@gmail.com</t>
  </si>
  <si>
    <t>https://www.dassjewellers.com/</t>
  </si>
  <si>
    <t>DASS-JEWELLERS_CHETAN-VASTANI</t>
  </si>
  <si>
    <t>CHETAN VASTANI</t>
  </si>
  <si>
    <t>chetanvastani@gmail.com</t>
  </si>
  <si>
    <t>DASS-JEWELLERS_AVISH-VASTANI</t>
  </si>
  <si>
    <t>AVISH VASTANI</t>
  </si>
  <si>
    <t>avishvastani@gmail.com</t>
  </si>
  <si>
    <t>HSJ-BADAUN_PARUL-ANAND</t>
  </si>
  <si>
    <t>HSJ BADAUN</t>
  </si>
  <si>
    <t>PARUL ANAND</t>
  </si>
  <si>
    <t>parulsachetprakash@gmail.com</t>
  </si>
  <si>
    <t>HSJ-BADAUN_SACHIT-ANAND</t>
  </si>
  <si>
    <t>SACHIT ANAND</t>
  </si>
  <si>
    <t>sachetprakash@me.com</t>
  </si>
  <si>
    <t>KK-JEWELS_KAILASH-KABRA</t>
  </si>
  <si>
    <t>KK JEWELS</t>
  </si>
  <si>
    <t>KAILASH KABRA</t>
  </si>
  <si>
    <t>FOUNDER &amp;MANAGING DIRECTOR</t>
  </si>
  <si>
    <t>kailashskabra@gmail.com</t>
  </si>
  <si>
    <t>KK-JEWELS_SIDDHARTH-SETHIA</t>
  </si>
  <si>
    <t>SIDDHARTH SETHIA</t>
  </si>
  <si>
    <t>DIRECTOR &amp; PARTNER</t>
  </si>
  <si>
    <t>kkdiamondboutique@gmail.com</t>
  </si>
  <si>
    <t>KK-JEWELS_ANAND-THAKKAR</t>
  </si>
  <si>
    <t>ANAND THAKKAR</t>
  </si>
  <si>
    <t>kkmensplatinum@gmail.com</t>
  </si>
  <si>
    <t>MANOHARLAL-JEWELLERS-PREET-VIHAR_PRABHAT-SHEKHAR</t>
  </si>
  <si>
    <t>550.jpeg</t>
  </si>
  <si>
    <t>MANOHARLAL JEWELLERS PREET VIHAR</t>
  </si>
  <si>
    <t>PRABHAT SHEKHAR</t>
  </si>
  <si>
    <t>prabhat@manoharlal.com</t>
  </si>
  <si>
    <t>http://www.manoharlal.com/</t>
  </si>
  <si>
    <t>MANOHARLAL-JEWELLERS-PREET-VIHAR_MANITA-SHEKHAR</t>
  </si>
  <si>
    <t>MANITA SHEKHAR</t>
  </si>
  <si>
    <t>manita@manoharlal.com</t>
  </si>
  <si>
    <t>MANOHARLAL-JEWELLERS-PREET-VIHAR_SURBHI-SHEKHAR</t>
  </si>
  <si>
    <t>SURBHI SHEKHAR</t>
  </si>
  <si>
    <t>MARKETING MANAGER</t>
  </si>
  <si>
    <t>surbhi@manoharlal.com</t>
  </si>
  <si>
    <t>JP-JEWELLERS_DHAVAL-AS</t>
  </si>
  <si>
    <t>JP JEWELLERS</t>
  </si>
  <si>
    <t>DHAVAL AS</t>
  </si>
  <si>
    <t>jpjewellersrajkot@gmail.com</t>
  </si>
  <si>
    <t>ROKDE-JEWELLERS_RAJESH-ROKDE</t>
  </si>
  <si>
    <t>554.jpeg</t>
  </si>
  <si>
    <t>ROKDE JEWELLERS</t>
  </si>
  <si>
    <t>RAJESH ROKDE</t>
  </si>
  <si>
    <t>RAJ@ROKDEJEWELLER.COM</t>
  </si>
  <si>
    <t>https://www.rokdejeweller.com/</t>
  </si>
  <si>
    <t>ROKDE-JEWELLERS_SARANG-ROKDE</t>
  </si>
  <si>
    <t>SARANG ROKDE</t>
  </si>
  <si>
    <t>rokdegold@gmail.com</t>
  </si>
  <si>
    <t>RAMAN-JEWELLERS_RAMAN-JAIN</t>
  </si>
  <si>
    <t>RAMAN JEWELLERS</t>
  </si>
  <si>
    <t>RAMAN JAIN</t>
  </si>
  <si>
    <t>ramanjewellers@yahoo.com</t>
  </si>
  <si>
    <t>CHALLANI-JEWELLERY-MART_JAYANTILAL-CHALLANI</t>
  </si>
  <si>
    <t>557.jpeg</t>
  </si>
  <si>
    <t>CHALLANI JEWELLERY MART</t>
  </si>
  <si>
    <t>JAYANTILAL CHALLANI</t>
  </si>
  <si>
    <t>jayan1411@gmail.com</t>
  </si>
  <si>
    <t>CHALLANI-JEWELLERY-MART_GOUTHAM-CHALLANI</t>
  </si>
  <si>
    <t>GOUTHAM CHALLANI</t>
  </si>
  <si>
    <t>director@challanijewels.com</t>
  </si>
  <si>
    <t>RARE-JEWELS_VASTUPAL-RANKA</t>
  </si>
  <si>
    <t>RARE JEWELS</t>
  </si>
  <si>
    <t>VASTUPAL RANKA</t>
  </si>
  <si>
    <t>vastupal@hotmail.com</t>
  </si>
  <si>
    <t>https://www.rankajewellers.store/</t>
  </si>
  <si>
    <t>METAL-FOCUS_CHIRAG-SHETH</t>
  </si>
  <si>
    <t>METAL FOCUS</t>
  </si>
  <si>
    <t>CHIRAG SHETH</t>
  </si>
  <si>
    <t>chirag.sheth@metalsfocus.com</t>
  </si>
  <si>
    <t>https://www.metalsfocus.com/</t>
  </si>
  <si>
    <t>METAL-FOCUS_HARSHAL-BAROT</t>
  </si>
  <si>
    <t>HARSHAL BAROT</t>
  </si>
  <si>
    <t>harshal.barot@metalsfocus.com</t>
  </si>
  <si>
    <t>ARJUNAA-JEWELLERS_ASHOK-KUMAR-JAIN</t>
  </si>
  <si>
    <t>ARJUNAA JEWELLERS</t>
  </si>
  <si>
    <t>ASHOK KUMAR D JAIN</t>
  </si>
  <si>
    <t>info@arjunaa.com</t>
  </si>
  <si>
    <t>https://arjunaa.com/</t>
  </si>
  <si>
    <t>JUGAL-KISHORE-THE-JEWELLER_NILAYA-RASTOGI</t>
  </si>
  <si>
    <t>JUGAL KISHORE THE JEWELLER</t>
  </si>
  <si>
    <t>NILAYA RASTOGI</t>
  </si>
  <si>
    <t>nilayarastogi16@gmail.com</t>
  </si>
  <si>
    <t>https://jugalkishorejewellers.com/</t>
  </si>
  <si>
    <t>L.GOPAL-AND-SONS_VIKASH-SONI</t>
  </si>
  <si>
    <t>L. GOPAL AND SONS</t>
  </si>
  <si>
    <t>VIKASH SONI</t>
  </si>
  <si>
    <t>vikashsoni@hotmail.com</t>
  </si>
  <si>
    <t>CKC-JEWELLERS_DR.C.VINOD-HAYAGRIV</t>
  </si>
  <si>
    <t>CKC</t>
  </si>
  <si>
    <t>DR. C. VINOD HAYAGRIV</t>
  </si>
  <si>
    <t>vinod@ckcsons.com</t>
  </si>
  <si>
    <t>https://www.ckcjewellers.com/</t>
  </si>
  <si>
    <t>KHURANA-JEWELLERY-HOUSE_PANKAJ-KHURANA</t>
  </si>
  <si>
    <t>KHURANA JEWELLERY HOUSE</t>
  </si>
  <si>
    <t>PANKAJ KHURANA</t>
  </si>
  <si>
    <t>pankaj@khuranajewellers.com</t>
  </si>
  <si>
    <t>https://www.khuranajewellers.com/</t>
  </si>
  <si>
    <t>KHURANA-JEWELLERY-HOUSE_MUNISH-KHURANA</t>
  </si>
  <si>
    <t>MUNISH KHURANA</t>
  </si>
  <si>
    <t>munish@khuranajewellers.com</t>
  </si>
  <si>
    <t>KHURANA-JEWELLERY-HOUSE_PRERNA-KHURANA</t>
  </si>
  <si>
    <t>PRERNA KHURANA</t>
  </si>
  <si>
    <t>prerna@khuranajewellers.com</t>
  </si>
  <si>
    <t>NAZRANA-FINE-JEWELS_RIDHIMA</t>
  </si>
  <si>
    <t>NAZRANA FINE JEWELS</t>
  </si>
  <si>
    <t>RIDHIMA</t>
  </si>
  <si>
    <t>nazranafinejewel@gmail.com</t>
  </si>
  <si>
    <t>NAZRANA-FINE-JEWELS_GAGAN</t>
  </si>
  <si>
    <t>qrcode_1733517615.png</t>
  </si>
  <si>
    <t>GAGAN</t>
  </si>
  <si>
    <t>svjjammu@gmail.com</t>
  </si>
  <si>
    <t>JOSALUKKAS_VARGHESE-ALUKKAS</t>
  </si>
  <si>
    <t>571.jpeg</t>
  </si>
  <si>
    <t>JOSALUKKAS</t>
  </si>
  <si>
    <t>VARGHESE ALUKKAS</t>
  </si>
  <si>
    <t>varghesealukkas@gmail.com</t>
  </si>
  <si>
    <t>https://www.josalukkasonline.com/</t>
  </si>
  <si>
    <t>JOSALUKKAS_PAUL-ALUKKAS</t>
  </si>
  <si>
    <t>PAUL ALUKKAS</t>
  </si>
  <si>
    <t>paulalukka@gmail.com</t>
  </si>
  <si>
    <t>JOSALLUKAS_JOHN-ALLUKAS</t>
  </si>
  <si>
    <t>JOHN ALUKKAS</t>
  </si>
  <si>
    <t>johnalukka@gmail.com</t>
  </si>
  <si>
    <t>BHIMA-JEWELLERY-TRIVANDRUM_SUHAS</t>
  </si>
  <si>
    <t>574.jpeg</t>
  </si>
  <si>
    <t>BHIMA JEWELLERY- TRIVANDRUM</t>
  </si>
  <si>
    <t>SUHAS. MS</t>
  </si>
  <si>
    <t>suhasms@hotmail.com</t>
  </si>
  <si>
    <t>https://www.thebhimajewellery.com/</t>
  </si>
  <si>
    <t>BHIMA-JEWELLERY-TRIVANDRUM_GAYATHRI</t>
  </si>
  <si>
    <t>Gayathri Suhas</t>
  </si>
  <si>
    <t>gayatrisuhas@yahoo.in</t>
  </si>
  <si>
    <t>BHIMA-JEWELLERY-TRIVANDRUM_DR.B.-GOVINDAN</t>
  </si>
  <si>
    <t>qrcode_1733517750.png</t>
  </si>
  <si>
    <t>Dr. B. Govindan</t>
  </si>
  <si>
    <t>drbgovindan@gmail.com</t>
  </si>
  <si>
    <t>PRISM-JEWELLERY_NIRAV-BHANSALI</t>
  </si>
  <si>
    <t>577.jpeg</t>
  </si>
  <si>
    <t>PRISM JEWELLERY</t>
  </si>
  <si>
    <t>Nirav Bhansali</t>
  </si>
  <si>
    <t>Nirav@prismjewellery.com</t>
  </si>
  <si>
    <t>PRISM-JEWELLERY_RESHMA-BHANSALI</t>
  </si>
  <si>
    <t>Reshma Bhansali</t>
  </si>
  <si>
    <t>Reshma@prismjewellery.com</t>
  </si>
  <si>
    <t>KAMA-JEWELLERY_COLIN-SHAH</t>
  </si>
  <si>
    <t>579.jpeg</t>
  </si>
  <si>
    <t>KAMA JEWELLERY</t>
  </si>
  <si>
    <t>COLIN SHAH</t>
  </si>
  <si>
    <t>colin.shah@kamajewelry.com</t>
  </si>
  <si>
    <t>https://kamajewelry.com/</t>
  </si>
  <si>
    <t>KAMA-JEWELLERY_VAISHALI-SHAH</t>
  </si>
  <si>
    <t>VAISHALI SHAH</t>
  </si>
  <si>
    <t>vaishali.shah@kamajewelry.com</t>
  </si>
  <si>
    <t>KAMA-JEWELLERY_SIMRAN-SHAH</t>
  </si>
  <si>
    <t>SIMRAN SHAH</t>
  </si>
  <si>
    <t>simran.shah@kamajewelry.com</t>
  </si>
  <si>
    <t>BATUKBHAI-SONS-JEWELLERS_BHARAT-SHETH</t>
  </si>
  <si>
    <t>582.jpeg</t>
  </si>
  <si>
    <t>BATUKBHAI SONS JEWELLERS</t>
  </si>
  <si>
    <t>BHARAT SHETH</t>
  </si>
  <si>
    <t>Bharatsheth@live.com</t>
  </si>
  <si>
    <t>https://www.batukbhai.com/</t>
  </si>
  <si>
    <t>BATUKBHAI-SONS-JEWELLERS_MOHIT-SHETH</t>
  </si>
  <si>
    <t>MOHIT SHETH</t>
  </si>
  <si>
    <t>Mohit.sheth@batukbhai.com</t>
  </si>
  <si>
    <t>BATUKBHAI-SONS-JEWELLERS_VIRAJ-SHETH</t>
  </si>
  <si>
    <t>VIRAJ SHETH</t>
  </si>
  <si>
    <t>Viraj.sheth@batukbhai.com</t>
  </si>
  <si>
    <t>BATUKBHAI-SONS-JEWELLERS_KISHOR-SHETH</t>
  </si>
  <si>
    <t>KISHOR SHETH</t>
  </si>
  <si>
    <t>Kishorsheth@batukbhai.com</t>
  </si>
  <si>
    <t>BATUKBHAI-SONS-JEWELLERS_NAINA-SHETH</t>
  </si>
  <si>
    <t>NAINA SHETH</t>
  </si>
  <si>
    <t>CREATIVE DIRECTOR</t>
  </si>
  <si>
    <t>Naina.sheth@batukbhai.com</t>
  </si>
  <si>
    <t>KALYAN-JEWELLERS_RAJESH-KALYANARAMAN</t>
  </si>
  <si>
    <t>587.jpeg</t>
  </si>
  <si>
    <t>KALYAN JEWELLERS</t>
  </si>
  <si>
    <t>Rajesh Kalyanaraman</t>
  </si>
  <si>
    <t>ayyappan@kalyanjewellers.net</t>
  </si>
  <si>
    <t>https://www.kalyanjewellers.net/</t>
  </si>
  <si>
    <t>KALYAN-JEWELLERS_MANI-THOTTATH</t>
  </si>
  <si>
    <t>Mani Thottath</t>
  </si>
  <si>
    <t>mani@kalyanjewellers.net</t>
  </si>
  <si>
    <t>KALYAN-JEWELLERS_PAULSON-CJ</t>
  </si>
  <si>
    <t>Paulson CJ</t>
  </si>
  <si>
    <t>paulsoncj@kalyanjewellers.net</t>
  </si>
  <si>
    <t>ZAVERI-AND-CO._ZAVERILAL-ZAVERI</t>
  </si>
  <si>
    <t>590.jpeg</t>
  </si>
  <si>
    <t>ZAVERI AND CO.</t>
  </si>
  <si>
    <t>Zaverilal v Zaveri</t>
  </si>
  <si>
    <t>Zaveri@zaveriandco.com</t>
  </si>
  <si>
    <t>https://zaveriandco.com/</t>
  </si>
  <si>
    <t>ZAVERI-AND-CO._CHANDRESH-ZAVERI</t>
  </si>
  <si>
    <t>Chandresh Zaveri</t>
  </si>
  <si>
    <t>Chandresh@zaveriandco.com</t>
  </si>
  <si>
    <t>ZAVERI-AND-CO._BHARAT-ZAVERI</t>
  </si>
  <si>
    <t>Bharat zaveri</t>
  </si>
  <si>
    <t>Bharat@zaveriandco.com</t>
  </si>
  <si>
    <t>ZAVERI-AND-CO._RAJ-ZAVERI</t>
  </si>
  <si>
    <t>Raj zaveri</t>
  </si>
  <si>
    <t>Raj@zaveriandco.com</t>
  </si>
  <si>
    <t>RANKA-JEWELLERS_SHLOK-RANKA</t>
  </si>
  <si>
    <t>Shlok Anil Ranka</t>
  </si>
  <si>
    <t>Shlokranka@gmail.com</t>
  </si>
  <si>
    <t>RANKA-JEWELLERS_MANAV-RANKA</t>
  </si>
  <si>
    <t>Manav Anil Ranka</t>
  </si>
  <si>
    <t>Manav_ranka@yahoo.com</t>
  </si>
  <si>
    <t>RANKA-JEWELLERS_ANIL-RANKA</t>
  </si>
  <si>
    <t>Anil Pukhraj Ranka</t>
  </si>
  <si>
    <t>anil_ranka@hotmail.com</t>
  </si>
  <si>
    <t>RADHIKA-JEWEL-TECH_HARESH-SONI</t>
  </si>
  <si>
    <t>RADHIKA JEWEL TECH</t>
  </si>
  <si>
    <t>HARESH SONI</t>
  </si>
  <si>
    <t>zinzuwadiaharesh@gmail.com</t>
  </si>
  <si>
    <t>https://www.radhikajeweltech.com/</t>
  </si>
  <si>
    <t>MANOHARLAL-SARAF-AND-SONS-JEWELLERS_HIMANSHU-SHEKHAR</t>
  </si>
  <si>
    <t>MANOHARLAL SARRAF AND SONS JEWELLERS</t>
  </si>
  <si>
    <t>HIMANSHU SHEKHAR</t>
  </si>
  <si>
    <t>attn.himanshu@gmail.com</t>
  </si>
  <si>
    <t>https://www.manoharlaljewellers.in/</t>
  </si>
  <si>
    <t>MANOHARLAL-SARAF-AND-SONS-JEWELLERS_SUNDEEP-TYAGI</t>
  </si>
  <si>
    <t>SUNDEEP T. SARRAF</t>
  </si>
  <si>
    <t>sadhnajewels@gmail.com</t>
  </si>
  <si>
    <t>MANOHARLAL-SARRAF-AND-SONS-JEWELLERS_MOHIT-SHEKHAR</t>
  </si>
  <si>
    <t>MOHIT SHEKHAR</t>
  </si>
  <si>
    <t>Mohit@manoharlaljewellers.in</t>
  </si>
  <si>
    <t>HARSAHAIMAL-SHIAMLAL-JEWELLERS-LUCKNOW_ANKUR-ANAND</t>
  </si>
  <si>
    <t>qrcode_1733517819.png</t>
  </si>
  <si>
    <t>Harsahaimal Shiamlal Jewellers (Lucknow)</t>
  </si>
  <si>
    <t>ANKUR ANAND</t>
  </si>
  <si>
    <t>ankur@hsj.co.in</t>
  </si>
  <si>
    <t>https://www.hsj.co.in/</t>
  </si>
  <si>
    <t>HARSAHAIMAL-SHIAMLAL-JEWELLERS-LUCKNOW_KANUPRIYA-ANAND</t>
  </si>
  <si>
    <t>qrcode_1733517861.png</t>
  </si>
  <si>
    <t>KANUPRIYA ANAND</t>
  </si>
  <si>
    <t>kanupriya@hsj.co.in</t>
  </si>
  <si>
    <t>TRIBHOVANDAS-BHIMJI-ZAVERI_SANDHYA-PATEL</t>
  </si>
  <si>
    <t>TRIBHOVANDAS BHIMJI ZAVERI</t>
  </si>
  <si>
    <t>SANDHYA PATEL</t>
  </si>
  <si>
    <t>sandhya.patel@tbzoriginal.com</t>
  </si>
  <si>
    <t>https://www.tbztheoriginal.com/</t>
  </si>
  <si>
    <t>TRIBHOVANDAS-BHIMJI-ZAVERI_MEHUL-SONI</t>
  </si>
  <si>
    <t>MEHUL SONI</t>
  </si>
  <si>
    <t>mehul.soni@tbzoriginal.com</t>
  </si>
  <si>
    <t>TRIBHOVANDAS-BHIMJI-ZAVERI_SANJAY-BILIMORA</t>
  </si>
  <si>
    <t>SANJAY BILIMORIA</t>
  </si>
  <si>
    <t>sanjay.bilimoria@tbzoriginals.com</t>
  </si>
  <si>
    <t>TALWARSONS_ANIL-TALWAR</t>
  </si>
  <si>
    <t>606.jpeg</t>
  </si>
  <si>
    <t>TALWARSONS</t>
  </si>
  <si>
    <t>ANIL TALWAR</t>
  </si>
  <si>
    <t>aniltalwar@hotmail.com</t>
  </si>
  <si>
    <t>https://talwarsons.com/</t>
  </si>
  <si>
    <t>TALWARSONS_VIKRAM-TALWAR</t>
  </si>
  <si>
    <t>VIKRAM TALWAR</t>
  </si>
  <si>
    <t>vikram@talwarsons.com</t>
  </si>
  <si>
    <t>TALWARSONS_DHRUV-TALWAR</t>
  </si>
  <si>
    <t>DHRUV TALWAR</t>
  </si>
  <si>
    <t>dhruv@talwarsons.com</t>
  </si>
  <si>
    <t>RELIANCE-JEWELS_SUNIL-NAYAK</t>
  </si>
  <si>
    <t>RELIANCE JEWELS</t>
  </si>
  <si>
    <t>SUNIL NAYAK</t>
  </si>
  <si>
    <t>sunil.nayak@ril.com</t>
  </si>
  <si>
    <t>RELIANCE-JEWELS_PIYUSH-SETH</t>
  </si>
  <si>
    <t>PIYUSH SETH</t>
  </si>
  <si>
    <t>Piyush.Seth@ril.com</t>
  </si>
  <si>
    <t>RELIANCE-JEWELS_ASHWIN-BAFNA</t>
  </si>
  <si>
    <t>ASHWIN BAFNA</t>
  </si>
  <si>
    <t>ashwin.bafna@ril.com</t>
  </si>
  <si>
    <t>RELIANCE-JEWELS_NITIN-MISRA</t>
  </si>
  <si>
    <t>NITIN MISRA</t>
  </si>
  <si>
    <t>Nitin.Misra@ril.com</t>
  </si>
  <si>
    <t>RELIANCE-JEWELS_HITEN-MASTRAM</t>
  </si>
  <si>
    <t>HITEN MASTRAM</t>
  </si>
  <si>
    <t>Hiten.Mastram@ril.com</t>
  </si>
  <si>
    <t>SHOBHA-SHRINGAR-JEWELLERS_SNEHAL-CHOKSEY</t>
  </si>
  <si>
    <t>614.jpeg</t>
  </si>
  <si>
    <t>SHOBHA SHRINGAR JEWELLERS</t>
  </si>
  <si>
    <t>Snehal P Choksey</t>
  </si>
  <si>
    <t>Ssjewels1@gmail.com</t>
  </si>
  <si>
    <t>https://shobhashringar.com/mobile-home/</t>
  </si>
  <si>
    <t>SHOBHA-SHRINGAR-JEWELLERS_SUJAY-CHOKSEY</t>
  </si>
  <si>
    <t>SUJAY CHOKSEY</t>
  </si>
  <si>
    <t>sujaychoksey108@gmail.com</t>
  </si>
  <si>
    <t>JAWHARA-JEWELLERY-LLC_MOHD.TAMJIT-ABDULLAH</t>
  </si>
  <si>
    <t>616.jpeg</t>
  </si>
  <si>
    <t>JAWHARA JEWELLERY LLC</t>
  </si>
  <si>
    <t>MOHD. TAMJIT ABDULLAH</t>
  </si>
  <si>
    <t>tamjid@jawharajewellery.ae</t>
  </si>
  <si>
    <t>https://www.jawharajewellery.com/</t>
  </si>
  <si>
    <t>JAWHARA-JEWELLERY-LLC_TAWHID-ABDULLAH</t>
  </si>
  <si>
    <t>TAWHID ABDULLAH</t>
  </si>
  <si>
    <t>secretary@jawharajewellery.ae</t>
  </si>
  <si>
    <t>JAWHARA-JEWELLERY-LLC_PARAS-MEHTA</t>
  </si>
  <si>
    <t>PARAS MEHTA</t>
  </si>
  <si>
    <t>paras@jawharajewellery.ae</t>
  </si>
  <si>
    <t>JAWHARA-JEWELLERY-LLC_ANWER-HUSSAIN</t>
  </si>
  <si>
    <t>ANWER HUSSAIN</t>
  </si>
  <si>
    <t>anwer@jawharajewellery.ae</t>
  </si>
  <si>
    <t>JAWHARA-JEWELLERY-LLC_VINOD</t>
  </si>
  <si>
    <t>VINOD KUMAR C</t>
  </si>
  <si>
    <t>vinod@jawharajewellery.ae</t>
  </si>
  <si>
    <t>NAVRATHAN-JEWELLERS_GYANCHAND-P</t>
  </si>
  <si>
    <t>621.jpeg</t>
  </si>
  <si>
    <t>NAVRATHAN JEWELLERS</t>
  </si>
  <si>
    <t>GYANCHAND P</t>
  </si>
  <si>
    <t>gyanlodha1975@gmail.com</t>
  </si>
  <si>
    <t>https://navrathan.com/</t>
  </si>
  <si>
    <t>SUNIL-JEWEL-PALACE_RAJENDRA-KUMAR</t>
  </si>
  <si>
    <t>622.jpeg</t>
  </si>
  <si>
    <t>SUNIL JEWEL PALACE</t>
  </si>
  <si>
    <t>RAJENDRA KUMAR</t>
  </si>
  <si>
    <t>suniljewelpalace@yahoo.co.in</t>
  </si>
  <si>
    <t>MALABAR-GOLD-AND-DIAMONDS_SHAHEER-PARAMBATH</t>
  </si>
  <si>
    <t>625.jpeg</t>
  </si>
  <si>
    <t>MALABAR GOLD AND DIAMONDS</t>
  </si>
  <si>
    <t>SHAHEER MANNAM PARAMBATH</t>
  </si>
  <si>
    <t>DIVISIONAL HEAD- GOLD PROCUREMENT</t>
  </si>
  <si>
    <t>shaheer.mp@malabargroup.com</t>
  </si>
  <si>
    <t>https://www.malabargoldanddiamonds.com/</t>
  </si>
  <si>
    <t>MALABAR-GOLD-AND-DIAMONDS_SAKKEER-PARAPPURATH</t>
  </si>
  <si>
    <t>SAKKEER PARAPPURATH</t>
  </si>
  <si>
    <t>sakeerp@malabargroup.com</t>
  </si>
  <si>
    <t>MALABAR-GOLD-AND-DIAMONDS_ASHER</t>
  </si>
  <si>
    <t>ASHER O</t>
  </si>
  <si>
    <t>asher@malabargroup.com</t>
  </si>
  <si>
    <t>MALABAR-GOLD-AND-DIAMONDS_ABDUL-KANDAMPATH</t>
  </si>
  <si>
    <t>ABDUL SALAM KANDAMPATH</t>
  </si>
  <si>
    <t>VICE CHAIRMAN - MANAGEMENT</t>
  </si>
  <si>
    <t>salam@malabargroup.com</t>
  </si>
  <si>
    <t>MALABAR-GOLD-AND-DIAMONDS_DILIP-NARAYAN</t>
  </si>
  <si>
    <t>DILIP NARAYAN</t>
  </si>
  <si>
    <t>HEAD - BULLION</t>
  </si>
  <si>
    <t>dileep.n@malabargroup.com</t>
  </si>
  <si>
    <t>MALABAR-GOLD-AND-DIAMONDS_SHAMLAL-PARAMBATH</t>
  </si>
  <si>
    <t>SHAMLAL MADATHUM PARAMBATH</t>
  </si>
  <si>
    <t>MANAGING DIRECTOR INTERNATIONAL OPERATIONS</t>
  </si>
  <si>
    <t>shamlal@malabargroup.com</t>
  </si>
  <si>
    <t>SRI-KRISHNA-DIAMONDS-&amp;-JEWELLERY_SAJJANRAJ-JAIN</t>
  </si>
  <si>
    <t>629.jpeg</t>
  </si>
  <si>
    <t>SRI KRISHNA DIAMONDS &amp; JEWELLERY</t>
  </si>
  <si>
    <t>SAJJANRAJ JAIN</t>
  </si>
  <si>
    <t>jewels@srikrishnadiamonds.com</t>
  </si>
  <si>
    <t>DAMAS-JEWELLERY_MANI-DHARMAN</t>
  </si>
  <si>
    <t>630.jpeg</t>
  </si>
  <si>
    <t>DAMAS JEWELLERY</t>
  </si>
  <si>
    <t>Mani Dharman</t>
  </si>
  <si>
    <t>mani.dharman@damasjewellery.com</t>
  </si>
  <si>
    <t>DAMAS-JEWELLERY_BINOD-BHATT</t>
  </si>
  <si>
    <t>Binod Bhatt</t>
  </si>
  <si>
    <t>binodb@damasjewellery.com</t>
  </si>
  <si>
    <t>DAMAS-JEWELLERY_SHILENDHAR-REDDY</t>
  </si>
  <si>
    <t>Shilendhar Reddy</t>
  </si>
  <si>
    <t>shilendharr@damasjewellery.com</t>
  </si>
  <si>
    <t>JOYALUKKAS-JEWELLERY_P-JOSE</t>
  </si>
  <si>
    <t>633.jpeg</t>
  </si>
  <si>
    <t>JOYALUKKAS JEWELLERY</t>
  </si>
  <si>
    <t>P D JOSE</t>
  </si>
  <si>
    <t>josepd@joyalukkas.com</t>
  </si>
  <si>
    <t>https://www.joyalukkas.in/</t>
  </si>
  <si>
    <t>JOYALLUKKAS-JEWELLERY_DEEPAK-TP</t>
  </si>
  <si>
    <t>DEEPAK TP</t>
  </si>
  <si>
    <t>deepaktp@joyalukkas.com</t>
  </si>
  <si>
    <t>JOYALLUKAS-JEWELLERY_SURESH-V.N</t>
  </si>
  <si>
    <t>Suresh V N</t>
  </si>
  <si>
    <t>Sureshvn@joyalukkas.com</t>
  </si>
  <si>
    <t>WORLD-GOLD-COUNCIL_SOMASUNDARAM-PR</t>
  </si>
  <si>
    <t>636.jpeg</t>
  </si>
  <si>
    <t>WORLD GOLD COUNCIL</t>
  </si>
  <si>
    <t>SOMASUNDARAM PR</t>
  </si>
  <si>
    <t>Pr.Somasundaram@gold.org</t>
  </si>
  <si>
    <t>https://www.gold.org/</t>
  </si>
  <si>
    <t>WORLD-GOLD-COUNCIL_AARTI-SAXENA</t>
  </si>
  <si>
    <t>AARTI SAXENA</t>
  </si>
  <si>
    <t>Arti.saxena@gold.org</t>
  </si>
  <si>
    <t>WORLD-GOLD-COUNCIL_RAKHI-KHANNA</t>
  </si>
  <si>
    <t>RAKHI KHANNA</t>
  </si>
  <si>
    <t>Rakhi.khanna@gold.org</t>
  </si>
  <si>
    <t>DE-BEERS-GROUP_SACHIN-JAIN</t>
  </si>
  <si>
    <t>DE BEERS GROUP</t>
  </si>
  <si>
    <t>SACHIN JAIN</t>
  </si>
  <si>
    <t>sachin.jain@debeersgroup.com</t>
  </si>
  <si>
    <t>https://www.debeers.co.uk/en-gb/home</t>
  </si>
  <si>
    <t>MEENA-JEWELLERS_SANJAY-JETHWANI</t>
  </si>
  <si>
    <t>MEENA JEWELLERS</t>
  </si>
  <si>
    <t>SANJAY JETHWANI</t>
  </si>
  <si>
    <t>sljethwani@gmail.com</t>
  </si>
  <si>
    <t>https://meenajewellers.com/</t>
  </si>
  <si>
    <t>MEENA-JEWELLERS_GIRISH</t>
  </si>
  <si>
    <t>GIRISH</t>
  </si>
  <si>
    <t>kumarsnet4@gmail.com</t>
  </si>
  <si>
    <t>ANMOL-JEWELLERS_MAHENDRA-TAYAL</t>
  </si>
  <si>
    <t>ANMOL JEWELLERS</t>
  </si>
  <si>
    <t>MAHENDRA TAYAL</t>
  </si>
  <si>
    <t>anmol_jew@yahoo.co.in</t>
  </si>
  <si>
    <t>THANGAM-JEWELLERY_VIKRAM-DEVRAJ</t>
  </si>
  <si>
    <t>THANGAM JEWELLERY</t>
  </si>
  <si>
    <t>VIKRAM DEVRAJ</t>
  </si>
  <si>
    <t>vikramdevraj44@gmail.com</t>
  </si>
  <si>
    <t>https://www.thangamjewel.com/</t>
  </si>
  <si>
    <t>PN-GADGIL-SONS-JEWELLERS_SAURABH-GADGIL</t>
  </si>
  <si>
    <t>645.jpeg</t>
  </si>
  <si>
    <t>PN GADGIL SONS JEWELLERS</t>
  </si>
  <si>
    <t>SAURABH GADGIL</t>
  </si>
  <si>
    <t>saurabh@pngadgil.com</t>
  </si>
  <si>
    <t>https://www.pngjewellers.com/</t>
  </si>
  <si>
    <t>PN-GADGIL-SONS-JEWELLERS_NAHUSH-GADRE</t>
  </si>
  <si>
    <t>NAHUSH GADRE</t>
  </si>
  <si>
    <t>nahush.gadre@pngadgil.com</t>
  </si>
  <si>
    <t>PN-GADGIL-SONS-JEWELLERS_YUVRAJ-BELAPURKAR</t>
  </si>
  <si>
    <t>YUVRAJ S BELAPURKAR</t>
  </si>
  <si>
    <t>yuvraj.belapurkar@pngadgil.com</t>
  </si>
  <si>
    <t>PN-GADGIL-SONS-JEWELLERS_SURESH-KRISHNAN</t>
  </si>
  <si>
    <t>SURESH KRISHNAN</t>
  </si>
  <si>
    <t>suresh.krishnan@pngadgil.com</t>
  </si>
  <si>
    <t>PN-GADGIL-SONS-JEWELLERS_AMEYA-SHETYE</t>
  </si>
  <si>
    <t>AMEYA SHETYE</t>
  </si>
  <si>
    <t>ameya.shetye@pngadgil.com</t>
  </si>
  <si>
    <t>PN-GADGIL-SONS-JEWELLERS_BHUSHAN-DANDAWATE</t>
  </si>
  <si>
    <t>BHUSHAN DANDAWATE</t>
  </si>
  <si>
    <t>bhushan@pngadgil.com</t>
  </si>
  <si>
    <t>BAFLEH-JEWELLERY_RAMESH-VORA</t>
  </si>
  <si>
    <t>BAFLEH JEWELLERY</t>
  </si>
  <si>
    <t>RAMESH VORA</t>
  </si>
  <si>
    <t>ramesh147@hotmail.com</t>
  </si>
  <si>
    <t>NAVRATHAN_MAHENDRA-BAFNA</t>
  </si>
  <si>
    <t>NAVRATHAN</t>
  </si>
  <si>
    <t>Mahendar G Bafna</t>
  </si>
  <si>
    <t>Mahendar@navrathan.com</t>
  </si>
  <si>
    <t>NAVRATHAN_MITESH-BAFNA</t>
  </si>
  <si>
    <t>Mitesh G Bafna</t>
  </si>
  <si>
    <t>Society Stores® is one of Mumbai’s oldest supermarkets since 1969 that offers an international shopping experience where customers can shop in a warm and friendly environment. The brand sources a wide range of food and FMCG products from across the world with a goal to be a one-stop-destination for day-to-day needs as well as specialty food needs of today’s urban household. With consistent service and a superior range of quality products, we have expanded to 6 stores spanning the finest catchmen</t>
  </si>
  <si>
    <t>Mitesh@navrathan.com</t>
  </si>
  <si>
    <t>AISSHPRA-GEMS-AND-JEWELLERY_VANDANA-SARAF</t>
  </si>
  <si>
    <t>654.jpeg</t>
  </si>
  <si>
    <t>AISSHPRA GEMS AND JEWELLERY</t>
  </si>
  <si>
    <t>Mrs Vandana Saraf</t>
  </si>
  <si>
    <t>vandana9950@gmail.com</t>
  </si>
  <si>
    <t>https://aisshpra.com/</t>
  </si>
  <si>
    <t>AISSHPRA-GEMS-AND-JEWELLERY_ATUL-SARAF</t>
  </si>
  <si>
    <t>Mr Atul Saraf</t>
  </si>
  <si>
    <t>info@aisshpra.com</t>
  </si>
  <si>
    <t>AISSHPRA-GEMS-AND-JEWELLERY_VAIBHAV-SARAF</t>
  </si>
  <si>
    <t>Mr Vaibhav Saraf</t>
  </si>
  <si>
    <t>saraf.vaibhav@gmail.com</t>
  </si>
  <si>
    <t>AISSHPRA-GEMS-AND-JEWELLERY_SAUMITRA-SARAF</t>
  </si>
  <si>
    <t>Mr Saumitra Saraf</t>
  </si>
  <si>
    <t>saumitra3000@gmail.com</t>
  </si>
  <si>
    <t>MANOJ-VAIBHAV-GEMS-&amp;-JEWELLERY_SURESH-ADDANKI</t>
  </si>
  <si>
    <t>MANOJ VAIBHAV GEMS &amp; JEWELLERY</t>
  </si>
  <si>
    <t>SURESH ADDANKI</t>
  </si>
  <si>
    <t>suresh@vaibhavjewellers.com</t>
  </si>
  <si>
    <t>MANOJ-VAIBHAV-GEMS-&amp;-JEWELLERY_BHARATA-MALLIKA-RATNA</t>
  </si>
  <si>
    <t>BHARATA MALLIKA RATNA KUMARI GANDHI</t>
  </si>
  <si>
    <t>CHAIRPERSON &amp; MANAGING DIRECTOR</t>
  </si>
  <si>
    <t>mallika@vaibhavjewellers.com</t>
  </si>
  <si>
    <t>MANOJ-VAIBHAV-GEMS-&amp;-JEWELLERY_SAI-KEERTHANA-GRANDHI</t>
  </si>
  <si>
    <t>SAI KEERTHANA GRANDHI</t>
  </si>
  <si>
    <t>WHOLE TIME DIRECTOR &amp; CFO</t>
  </si>
  <si>
    <t>keerthana@vaibhavjewellers.com</t>
  </si>
  <si>
    <t>JEWELLERS-ANOPCHAND-BHANSALI_PALASH-BHANSALI</t>
  </si>
  <si>
    <t>JEWELLERS ANOPCHAND BHANSALI</t>
  </si>
  <si>
    <t>PALASH BHANSALI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</si>
  <si>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t>
  </si>
  <si>
    <t>jewellersanopchand@gmail.com</t>
  </si>
  <si>
    <t>JEVAR-JEWELLERS_PRITHVIRAJ</t>
  </si>
  <si>
    <t>662.jpeg</t>
  </si>
  <si>
    <t>JEVAR JEWELLERS</t>
  </si>
  <si>
    <t>PRITHVIRAJ</t>
  </si>
  <si>
    <t>jevarranchi@gmail.com</t>
  </si>
  <si>
    <t>EMERALD-JEWEL-INDUSTRY_SRINIVASAN-K</t>
  </si>
  <si>
    <t>663.jpeg</t>
  </si>
  <si>
    <t>EMERALD JEWEL INDUSTRY</t>
  </si>
  <si>
    <t>Srinivasan K</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</si>
  <si>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1 : 45 X 115 Sq. ft</t>
  </si>
  <si>
    <t>ks@ejindia.com</t>
  </si>
  <si>
    <t>https://www.ejindia.com/</t>
  </si>
  <si>
    <t>EMERALD-JEWEL-INDUSTRY_DHIAAN-SRINIVASAN</t>
  </si>
  <si>
    <t>Dhiaan Srinivasan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</si>
  <si>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3 : 70 X 90 Sq. ft. Cricket Turf – 1 : 90 X 50 Sq.ft. Multi Sports – 1 : 90 X 50 Sq. ft. Cricket Pitch – 2 : 12.5 X 90 Sq. ft</t>
  </si>
  <si>
    <t>dhiaan@ejindia.com</t>
  </si>
  <si>
    <t>EMERALD-JEWEL-INDUSTRY_NISHTA-SRINIVASAN</t>
  </si>
  <si>
    <t>Nishta Srinivasan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</si>
  <si>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90 X 50 Sq. ft.</t>
  </si>
  <si>
    <t>nishtashri@ejindia.com</t>
  </si>
  <si>
    <t>EMERALD-JEWEL-INDUSTRY_SHAKTHI-SRINIVASAN</t>
  </si>
  <si>
    <t>Shakthi Srinivasan</t>
  </si>
  <si>
    <t>ss@ejindia.com</t>
  </si>
  <si>
    <t>MANOJ-VAIBHAV-GEMS-&amp;-JEWELLERY_RAKHAL-GONTLA</t>
  </si>
  <si>
    <t>RAKHAL GONTLA</t>
  </si>
  <si>
    <t>COO</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</si>
  <si>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70 X 90 Sq. ft. Cricket Turf – 1 : 50 X 120 Sq. ft. Cricket Turf – 1 : 50 X 100 Sq. ft.</t>
  </si>
  <si>
    <t>rakhal@vaibhavjewellers.com</t>
  </si>
  <si>
    <t>BHIMA-JEWELLERY_SUDHIR-KAPOOR</t>
  </si>
  <si>
    <t>BHIMA JEWELLERY</t>
  </si>
  <si>
    <t>Sudhir Kapoor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</si>
  <si>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61 X 115 Sq. ft. Football Turf – 1 : 70 X 100 Sq. ft.</t>
  </si>
  <si>
    <t>sudhir2kapoor@gmail.com</t>
  </si>
  <si>
    <t>https://www.thebhimajewellery.com/index.php</t>
  </si>
  <si>
    <t>BHOLASONS-JEWELLERS_SANGEETA-BHOLA</t>
  </si>
  <si>
    <t>qrcode_1733515271.png</t>
  </si>
  <si>
    <t>SANGEETA BHOLA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</si>
  <si>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-1 : 50 X 100 Sq. ft. Cricket Pitch -1 : 20 X 120 Sq. ft. Cricket Turf -1 : 30 X 70 Sq. ft.</t>
  </si>
  <si>
    <t>OM-JEWELLERS_MUKESH-JHAKIA</t>
  </si>
  <si>
    <t>Mukesh D Jakhia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</si>
  <si>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60 X 90 Sq. ft. Multi Tiles – 1 : 50 X 90 Sq. ft.</t>
  </si>
  <si>
    <t>OM-JEWELLERS_NARENDRA-JHAKIA</t>
  </si>
  <si>
    <t>Narendra D Jakhia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</si>
  <si>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170 Sq. ft.</t>
  </si>
  <si>
    <t>CHALLANI-JEWELLERY-MART_SRIPAL-CHALLANI</t>
  </si>
  <si>
    <t>SRIPAL CHALLANI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</si>
  <si>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90 Sq. ft.</t>
  </si>
  <si>
    <t>ARJUNNA-JEWELLERS_RAHUL-JAIN</t>
  </si>
  <si>
    <t>RAHUL A JAIN</t>
  </si>
  <si>
    <t>SHOBHA-SHRINGAR-JEWELLERS_NISHA-CHOKSEY</t>
  </si>
  <si>
    <t>NISHA CHOKSEY</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</si>
  <si>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2 : 55 X 75 Sq. ft.</t>
  </si>
  <si>
    <t>SUNIL-JEWEL-PALACE_VAIBHAV-DAGA</t>
  </si>
  <si>
    <t>VAIBHAV DAGA</t>
  </si>
  <si>
    <t>SUNIL-JEWEL-PALACE_SUNIL-KUMAR</t>
  </si>
  <si>
    <t>SUNIL KUMAR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</si>
  <si>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50 X 90 Sq. ft.</t>
  </si>
  <si>
    <t>SUNIL-JEWEL-PALACE_ANAND-KUMAR</t>
  </si>
  <si>
    <t>ANAND KUMAR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</si>
  <si>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54 Sq. ft.</t>
  </si>
  <si>
    <t>SRI-KRISHNA-DIAMONDS-&amp;-JEWELLERY_NIKHIL-JAIN</t>
  </si>
  <si>
    <t>NIKHIL SAJJANRAJ JAIN</t>
  </si>
  <si>
    <t>SRI-KRISHNA-DIAMONDS-&amp;-JEWELLERY_VIKAS-JAIN</t>
  </si>
  <si>
    <t>VIKAS ROOPACHAND JAIN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</si>
  <si>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experience.Small Football Turf – 2 : 80 X 85 Sq. ft. Big Football Turf – 1 : 45 X 100 Sq. ft.</t>
  </si>
  <si>
    <t>ANMOL-JEWELLERS_SURYAPRAKASH-TAYAL</t>
  </si>
  <si>
    <t>SURYAPRAKASH TAYAL</t>
  </si>
  <si>
    <t>ANMOL-JEWELLERS_AMRIT-TAYAL</t>
  </si>
  <si>
    <t>AMRIT TAYAL</t>
  </si>
  <si>
    <t>BHIMA-JEWELLERY_DEEPA-KAPOOR</t>
  </si>
  <si>
    <t>BHIMA JEWELLERY MADHURAI</t>
  </si>
  <si>
    <t>Deepa Kapoor</t>
  </si>
  <si>
    <t>Football Turf – 3 : 80 X 60 Sq. ft. Football Turf – 1 : 45 X 70 Sq. ft.</t>
  </si>
  <si>
    <t>deepa.kapoor@gmail.com</t>
  </si>
  <si>
    <t>HARSAHAIMAL-SHIAMLAL-JEWELLERS-P.-LTD._MOHIT-ANAND</t>
  </si>
  <si>
    <t>Harsahaimal Shiamlal Jewellers P. Ltd</t>
  </si>
  <si>
    <t>Mohit Anand</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</si>
  <si>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3 173.6 x 117.6 = 20415.36 sq.ft Dagout 20 x 3 x3 = 180 sq.ft</t>
  </si>
  <si>
    <t>mohitanand24@gmail.com</t>
  </si>
  <si>
    <t>HARSAHAIMAL-SHIAMLAL-JEWELLERS-P.LTD_RUCHIKA-ANAND</t>
  </si>
  <si>
    <t>Harsahaimal Shiamlal Jewellers P Ltd</t>
  </si>
  <si>
    <t>Ruchika Anand</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</si>
  <si>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121 Sq. ft.</t>
  </si>
  <si>
    <t>ruchika1612@gmail.com</t>
  </si>
  <si>
    <t>MANOHARLAL-SARRAF-AND-SONS-JEWELLERS_NEELAM-SHEKHAR</t>
  </si>
  <si>
    <t>552.jpeg</t>
  </si>
  <si>
    <t>MANOHARLAL SARAF AND SONS JEWELLERS</t>
  </si>
  <si>
    <t>Neelam Shekhar</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</si>
  <si>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80 X 60 Sq. ft. Football Turf – 1 : 45 X 70 Sq. ft.</t>
  </si>
  <si>
    <t>neelam.shekhar02@gmail.com</t>
  </si>
  <si>
    <t>PRERNA-MAKHARIAA</t>
  </si>
  <si>
    <t>Prerna Makhariaa</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</si>
  <si>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6 : 100 X 60 Sq. ft. Multisport 1 : 100 X 50 Sq. ft. Cricket Pitch 2 :</t>
  </si>
  <si>
    <t>prerna@styleprer.com</t>
  </si>
  <si>
    <t>GRT-JEWELLERS_G.R-ANANTHAPADMANABHAN</t>
  </si>
  <si>
    <t>GRT JEWELLERS</t>
  </si>
  <si>
    <t>G.R Ananthapadmanabhan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</si>
  <si>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4 : 150 X 88 Sq. ft. Multisport 1 : 75 X 58 Sq. ft. Small Ground 75 X 58 Sq. Ft.</t>
  </si>
  <si>
    <t>granand@grtjewels.com</t>
  </si>
  <si>
    <t>GRT-JEWELLERS_G.R-RADHAKRISHNAN</t>
  </si>
  <si>
    <t>G.R RADHAKRISHNAN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</si>
  <si>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Cricket Turf – 2 : 50 X 100 Sq. ft.</t>
  </si>
  <si>
    <t>grradhakrishnan@grtjewels.com</t>
  </si>
  <si>
    <t>MOHAN-SHYAM-KALYANDAS-JEWELLERS_AMIT-RASTOGI</t>
  </si>
  <si>
    <t>MOHAN SHYAM KALYANDAS JEWELLERS</t>
  </si>
  <si>
    <t>Amit Rastogi</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</si>
  <si>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Cricket Turf – 1 : 82 X 50 Sq. ft.</t>
  </si>
  <si>
    <t>mskd2006@gmail.com</t>
  </si>
  <si>
    <t>BHINDI-JEWELLERS_VINOD-BHINDI</t>
  </si>
  <si>
    <t>690.jpeg</t>
  </si>
  <si>
    <t>Bhindi Jewellers</t>
  </si>
  <si>
    <t>Vinod K Bhindi</t>
  </si>
  <si>
    <t>Chief Executive officer</t>
  </si>
  <si>
    <t>vinod@bhindi.com</t>
  </si>
  <si>
    <t>VASUPATI-JEWELLERS_ANAND-MEHTA</t>
  </si>
  <si>
    <t>Anand Mehta</t>
  </si>
  <si>
    <t>Sales Team</t>
  </si>
  <si>
    <t>sales@vasupati.com</t>
  </si>
  <si>
    <t>VASUPATI-JEWELLERS_HARESH-RATHOD</t>
  </si>
  <si>
    <t>Haresh Rathod</t>
  </si>
  <si>
    <t>Platinum Sales</t>
  </si>
  <si>
    <t>platinum@vasupati.com</t>
  </si>
  <si>
    <t>BHIMA-JEWELS_ABHISHEK-BINDUMADHAV</t>
  </si>
  <si>
    <t>695.jpeg</t>
  </si>
  <si>
    <t>Bhima Jewels</t>
  </si>
  <si>
    <t>Abhishek Bindumadhav</t>
  </si>
  <si>
    <t>abhishek@bhima.com</t>
  </si>
  <si>
    <t>JEVAR-JEWELLERS_MAYANK-ARYA</t>
  </si>
  <si>
    <t>Jevar Jewellers</t>
  </si>
  <si>
    <t>Mayank Arya</t>
  </si>
  <si>
    <t>VRINDA-JEWELLERS_AMBRISH-ROHATGI</t>
  </si>
  <si>
    <t>697.jpeg</t>
  </si>
  <si>
    <t>Vrinda Jewellers</t>
  </si>
  <si>
    <t>Ambrish Rohatgi</t>
  </si>
  <si>
    <t>vrindaamb@gmail.com</t>
  </si>
  <si>
    <t>DIAMOND-WORLD-FZC_RAJESH-GANERIWAL</t>
  </si>
  <si>
    <t>698.jpeg</t>
  </si>
  <si>
    <t>Diamond World FZC</t>
  </si>
  <si>
    <t>Rajesh Ganeriwal</t>
  </si>
  <si>
    <t>rajeshganeriwal@gmail.com</t>
  </si>
  <si>
    <t>DIAMOND-WORLD-LTD._SABITA-AGARWALA</t>
  </si>
  <si>
    <t>Sabita Agarwala</t>
  </si>
  <si>
    <t>sabitaagarwala@diamondworldltd.com</t>
  </si>
  <si>
    <t>qrcode_1733647905.png</t>
  </si>
  <si>
    <t>919.jpeg</t>
  </si>
  <si>
    <t>Society Stores Retail PVT LTD</t>
  </si>
  <si>
    <t>Society Stores Retail PVT LTD Oshiwara</t>
  </si>
  <si>
    <t>Supermarket</t>
  </si>
  <si>
    <t>mg@societystores.in</t>
  </si>
  <si>
    <t>Oshiwara</t>
  </si>
  <si>
    <t>qrcode_1733647970.png</t>
  </si>
  <si>
    <t>Society Stores Retail PVT LTD Lokhandwala</t>
  </si>
  <si>
    <t>qrcode_1733648045.png</t>
  </si>
  <si>
    <t>Society Stores Retail PVT LTD Altamount</t>
  </si>
  <si>
    <t>qrcode_1733648121.png</t>
  </si>
  <si>
    <t>Society Stores Retail PVT.LTD Santacruz</t>
  </si>
  <si>
    <t>qrcode_1733648300.png</t>
  </si>
  <si>
    <t>Society Stores Retail PVT.LTD Chembur</t>
  </si>
  <si>
    <t>qrcode_1733648378.png</t>
  </si>
  <si>
    <t>Society Stores Retail PVT.LTD Vile Parle</t>
  </si>
  <si>
    <t>Laxmichand Gada</t>
  </si>
  <si>
    <t>Chairmen</t>
  </si>
  <si>
    <t>Lg@societystores.in</t>
  </si>
  <si>
    <t>qrcode_1733648493.png</t>
  </si>
  <si>
    <t>Manan Gada</t>
  </si>
  <si>
    <t>1009.jpeg</t>
  </si>
  <si>
    <t>Urban Sports Zone</t>
  </si>
  <si>
    <t>Antonio D'Silva School</t>
  </si>
  <si>
    <t>Turf</t>
  </si>
  <si>
    <t>urbansports32@gmail.com</t>
  </si>
  <si>
    <t>Marine Drive Hindu Gym</t>
  </si>
  <si>
    <t>Urban Sports Zone N. S. Road, Marine Lines, Near Marine Lines Railway Station, Mumbai 400 020. Mumbai Maharashtra</t>
  </si>
  <si>
    <t>MAHALAXMI-EVERGREEN IND. ESTATE</t>
  </si>
  <si>
    <t>Evergreen Industrial Estate, CS no. 1A/66,Shakti Mills Lane, Opp E. Moses Road, Mahalaxmi, Mumbai 400 011. Mumbai Maharashtra</t>
  </si>
  <si>
    <t>DADAR-ANTOINiO D'SILVA High School</t>
  </si>
  <si>
    <t>Dr. Antonio D’Silva High School, Kabutar Khana., S. K. Bole Road, Dadar West, Mumbai 400 028. Mumbai Maharashtra</t>
  </si>
  <si>
    <t>SHIVAJI PARK - Antonio D'Silva Technicalh School</t>
  </si>
  <si>
    <t>Kelushkar Road, Opp. To Scout hall, Shivaji Park, Dadar(W), Mumbai - 400028 Mumbai Maharashtra</t>
  </si>
  <si>
    <t>SHIVAJI PARK - The Park Club</t>
  </si>
  <si>
    <t>SANTACRUZ-BALKANJI</t>
  </si>
  <si>
    <t>25, Juhu Road, GOI Staff Colony, Santacruz West, Mumbai 400 047 Mumbai Maharastra</t>
  </si>
  <si>
    <t>JUHU-RITAMBHARA COLLEGE</t>
  </si>
  <si>
    <t>Prabodhan Thackrey</t>
  </si>
  <si>
    <t>Rooftop, Prabodhankar Thackeray Krida Sankul, Shahaji Raje Road, Vile Parle East, Mumbai 400 057. Mumbak Maharashtra</t>
  </si>
  <si>
    <t>JANKI-DEVI SCHOOL</t>
  </si>
  <si>
    <t>PRABODHAN KRIDA Bhawan</t>
  </si>
  <si>
    <t>Urban Sports Zone Prabodhan Krida Bhavan, Siddharth Nagar, Goregaon West, Mumbai 400 104. Mumbai Maharashtra</t>
  </si>
  <si>
    <t>SWAMI VIVEKANAND SCHOOL</t>
  </si>
  <si>
    <t>Swami Vivekanand International School &amp; Junior College, Parekh Nagar, Kandivali West, Mumbai 400 067. Mumbai Maharashtra</t>
  </si>
  <si>
    <t>Thakur INTERNATIONAL SCHOOL</t>
  </si>
  <si>
    <t>Thakur International School ,Mahatma Gandhi Road,New Saibaba Nagar ,Bhagat Colony Kandivali West ,Mumbai 400067. Mumbai Maharashtra</t>
  </si>
  <si>
    <t>I.C. Colony, C.P. Goenka School</t>
  </si>
  <si>
    <t>C.P. Goenka International School, New Link Road, I.C. Colny, Borivali (W) Mumbai - 400103 Mumbai Maharashtra</t>
  </si>
  <si>
    <t>CHOGALE H. SCHOOL</t>
  </si>
  <si>
    <t>Chogle High School, Road, No. 4, Shri Krishna Nagat, Borivali (E), Mumbai - 400 066 Mumbai Maharashtra</t>
  </si>
  <si>
    <t>FIVE GARDEN-St-Joseph</t>
  </si>
  <si>
    <t>St. Joseph School, Nxt. Church of Our Lady of Dolours, Baretto Road, Five Gardens, Wadala West, Mumbai 400 031. Mumbai Maharashtra</t>
  </si>
  <si>
    <t>GOREGAON-BANGUR NAGAR</t>
  </si>
  <si>
    <t>Swami Ayyappa Temple Marg, Bangur Nagar, Goregaon West, Mumbai 400 090. Mumbai Maharashtra</t>
  </si>
  <si>
    <t>CHEMBUR-NARAYAN GURU College</t>
  </si>
  <si>
    <t>Shree Narayan Guru College , Lokhande Marg, Chembur West, Mumbai 400 089. Mumbai Maharashtra</t>
  </si>
  <si>
    <t>ST XAVIERS SCHOOL</t>
  </si>
  <si>
    <t>St. Xavier's High School, Sector 3, Nerul, Navi Mumbai 400 706. Navi Mumbai Maharashtra</t>
  </si>
  <si>
    <t>TERNA COLLAGE</t>
  </si>
  <si>
    <t>Terna Sports Institute, Terna Educational Complex, Opp. Nerul Railway Station, Nerul West, Navi Mumbai 400 706. Mumbai Maharashtra</t>
  </si>
  <si>
    <t>N.R.BHAGAT SCHOOL</t>
  </si>
  <si>
    <t>N. R. Bhagat College, Sector 12, Nerul, Navi Mumbai 400 706 Navi Mumbai Maharashtra</t>
  </si>
  <si>
    <t>C.P. Goenka School</t>
  </si>
  <si>
    <t>CP Goenka international school, X2JG+H2C, Sector 5, Ulwe, Wahal, Sector 5, Ulwe, Navi Mumbai, Maharashtra 410206 Navi Mumbai Maharashtra</t>
  </si>
  <si>
    <t>Rooftop, Maharashtra State Highway 42, Kapurbawdi Junction, Off. Ghodbunder Rd., Near Ashapura Mandir, Majiwada, Thane West 400 607 Thane Maharashtra</t>
  </si>
  <si>
    <t>UPVAN LAKE</t>
  </si>
  <si>
    <t>Upvan Lake, Near Ganesh Mandir, Thane West 400 606. Thane Maharashtra</t>
  </si>
  <si>
    <t>RUSTOMJEE INT. SCHOOL</t>
  </si>
  <si>
    <t>Rustomjee Cambridge International School &amp; Junior College, Rustomjee Urbania, Eastern Express Hwy, Majiwada Junction, Thane West 400 601. Thane Maharashtra</t>
  </si>
  <si>
    <t>Indo Scot Globa. School</t>
  </si>
  <si>
    <t>Indo Scot Global School Plot No. 15, Sector 17 Near Mansarovar Railway Station, Kamothe, Navi Mumbai, Maharashtra 4 Navi Mumbai Maharashtra</t>
  </si>
  <si>
    <t>Terna Sports</t>
  </si>
  <si>
    <t>Asalfa Turf</t>
  </si>
  <si>
    <t>Urban Sports Loyanka Eastat, Khayrani Road. Jangaleshor. Mandir., Asalfa, Saibaba mandir, Mumbai 400084 Mumbai Maharashtra</t>
  </si>
  <si>
    <t>Nes Bhandup Turf</t>
  </si>
  <si>
    <t>Cooperage Turf</t>
  </si>
  <si>
    <t>Svis Turf</t>
  </si>
  <si>
    <t>qrcode_1733341179.png</t>
  </si>
  <si>
    <t>Office No . 702 , 7th Floor, Kamla Hub, Near Aromas Cafe, Gulmohar Road, Kamala Nagar, Vile Parle West, Mumbai, Maharashtra,400049</t>
  </si>
  <si>
    <t>qrcode_1733391504.png</t>
  </si>
  <si>
    <t>qrcode_1733344088.png</t>
  </si>
  <si>
    <t>qrcode_1733385249.png</t>
  </si>
  <si>
    <t>qrcode_1737706428.png</t>
  </si>
  <si>
    <t>120, New Heera Panna Ind. Estate, Near Virwani Ind. Estate Goregaon-east, Mumbai-400063.</t>
  </si>
  <si>
    <t>qrcode_1733569744.png</t>
  </si>
  <si>
    <t>https://www.google.com/maps/place/Kanchi+%2F+Vibologist/@18.9934854,72.8510766,20.56z/data=!4m6!3m5!1s0x3be7ceffad2203e7:0xfa4f02b4a5ffd4bd!8m2!3d18.9934925!4d72.8511314!16s%2Fg%2F1tcyq9b9?entry=ttu&amp;g_ep=EgoyMDI1MDEwOC4wIKXMDSoASAFQAw%3D%3D</t>
  </si>
  <si>
    <t>qrcode_1733570552.png</t>
  </si>
  <si>
    <t>https://www.google.com/maps/place/Kanchi+by+Shobhna+and+Kunal+Mehta+%7C+Interior+Stylist+%26+Furnishing/@19.146372,73.0079412,19.04z/data=!4m6!3m5!1s0x3be7c0aaffffffff:0xc118683b4a463229!8m2!3d19.1464003!4d73.0080869!16s%2Fg%2F1tfzqcvb?entry=ttu&amp;g_ep=Egoy</t>
  </si>
  <si>
    <t>qrcode_1733815311.png</t>
  </si>
  <si>
    <t>qrcode_1734156349.png</t>
  </si>
  <si>
    <t>https://maps.app.goo.gl/Ayv5A5YqkmMJyiZ77</t>
  </si>
  <si>
    <t>qrcode_1734322238.png</t>
  </si>
  <si>
    <t>1734357739_2d895d4646ce78bd2c49.png</t>
  </si>
  <si>
    <t>1734357625_68ee58e783775e215d33.png</t>
  </si>
  <si>
    <t>Sapna Narula</t>
  </si>
  <si>
    <t>qrcode_1734322983.png</t>
  </si>
  <si>
    <t>1734327085_709514c063b0f073b1f9.png</t>
  </si>
  <si>
    <t>1734357675_c6dccb854d387bfa9d93.png</t>
  </si>
  <si>
    <t>V K Bavisi &amp; Co.</t>
  </si>
  <si>
    <t>Vishwas K Bavisi</t>
  </si>
  <si>
    <t>We can help you in recovering your Tally Data, Admin Vault Password, and can also customize the tally as per your needs.</t>
  </si>
  <si>
    <t>F/158, Raghuleela Mega Mall, Behind Poisar Depot, Kandivali West, Mumbai 400067.</t>
  </si>
  <si>
    <t>http://www.vkbavisi.com/index.html</t>
  </si>
  <si>
    <t>qrcode_1734499867.png</t>
  </si>
  <si>
    <t>1734500021_1e17187c4360b6849101.png</t>
  </si>
  <si>
    <t>LLumar Autoclinic</t>
  </si>
  <si>
    <t>Sagar Jetva</t>
  </si>
  <si>
    <t>qrcode_1734772008.png</t>
  </si>
  <si>
    <t>arungupta1211@yahoo.com</t>
  </si>
  <si>
    <t>Shinde Building, Shop No :1, Senapati Bapat Marg, Lower Parel, Mumbai, Maharashtra 400013</t>
  </si>
  <si>
    <t>qrcode_1735877460.png</t>
  </si>
  <si>
    <t>qrcode_1736211331.png</t>
  </si>
  <si>
    <t>qrcode_1736336481.png</t>
  </si>
  <si>
    <t>webcolorsdigital@gmail.com</t>
  </si>
  <si>
    <t>F242 Raghuleela Mall Kandivali West</t>
  </si>
  <si>
    <t>qrcode_1736403901.png</t>
  </si>
  <si>
    <t>rvenkat@opc.co.in</t>
  </si>
  <si>
    <t>Unit No. 202 - A Wing, 2nd Floor, Natraj By Rustomjee, Sir M. V. Road, Western Express Highway, Andheri (East), Mumbai - 400 069, Maharashtra, India.</t>
  </si>
  <si>
    <t>qrcode_1736405296.png</t>
  </si>
  <si>
    <t>parag@opc.co.in</t>
  </si>
  <si>
    <t>qrcode_1736414730.png</t>
  </si>
  <si>
    <t>Jyoti.affable@gmail.com</t>
  </si>
  <si>
    <t>qrcode_1736437230.png</t>
  </si>
  <si>
    <t>sales.mahadevind@gmail.com</t>
  </si>
  <si>
    <t>11/ Mukkadam Compound Gokuldham Goregaon East Mumbai 400065</t>
  </si>
  <si>
    <t>qrcode_1736442640.png</t>
  </si>
  <si>
    <t>chandansaple@gmail.com</t>
  </si>
  <si>
    <t>Shop No. 2/3, Anand Bal Keni Chawl Bus Stop Jeevandeep Tower, Opp. Amrut Hotel, Next to Renuka Nagar, New Link Road, Kaandivali (W), Mumbai-400067.</t>
  </si>
  <si>
    <t>qrcode_1736766305.png</t>
  </si>
  <si>
    <t>drashti@atozservices.info</t>
  </si>
  <si>
    <t>qrcode_1737012195.png</t>
  </si>
  <si>
    <t>saloni.kothari3004@gmail.com</t>
  </si>
  <si>
    <t>Mumbai Maharashtra</t>
  </si>
  <si>
    <t>qrcode_1737033277.png</t>
  </si>
  <si>
    <t>rajmanikori75@gmail.com</t>
  </si>
  <si>
    <t>Mukut, Swami Vivekananda Rd, Bandra West, Mumbai, Maharashtra 400050</t>
  </si>
  <si>
    <t>https://g.co/kgs/HJfFXcs</t>
  </si>
  <si>
    <t>qrcode_1737616814.png</t>
  </si>
  <si>
    <t>sharmajimohit09@gmail.com</t>
  </si>
  <si>
    <t>Shop No 10, Peter Chawl, Gazdhar Bandh Santacruz West Mumbai 400055</t>
  </si>
  <si>
    <t>https://g.co/kgs/p7tLn4b</t>
  </si>
  <si>
    <t>qrcode_1737182760.png</t>
  </si>
  <si>
    <t>preksha@socialoutstrech.com</t>
  </si>
  <si>
    <t>qrcode_1737272476.png</t>
  </si>
  <si>
    <t>sonatvcentre@gmail.com</t>
  </si>
  <si>
    <t>Bldg. No. 3, Shop No. 29, Poonawala Bldg., G.K. Marg, Near Good Lass Nerolac, Lower Parel (West), Mumbai- 400013</t>
  </si>
  <si>
    <t>https://maps.app.goo.gl/w8Jp9c7a8etkXa226</t>
  </si>
  <si>
    <t>qrcode_1738046125.png</t>
  </si>
  <si>
    <t>Mantri.archit@gmail.com</t>
  </si>
  <si>
    <t>qrcode_1738146030.png</t>
  </si>
  <si>
    <t>abhayrajoffice@gmail.com</t>
  </si>
  <si>
    <t>qrcode_1738397610.png</t>
  </si>
  <si>
    <t>surbhijhanwar14@gmail.com</t>
  </si>
  <si>
    <t>qrcode_1738605543.png</t>
  </si>
  <si>
    <t>globalnanotechnology@gmail.com</t>
  </si>
  <si>
    <t>https://maps.app.goo.gl/w6s6AjPvPgwaeqCNA</t>
  </si>
  <si>
    <t>DR-ANAGHA-VIVEK-KHAROLKAR_BNI-LIGHTHOUSE</t>
  </si>
  <si>
    <t>qrcode_1738663948.png</t>
  </si>
  <si>
    <t>310-311, Bombay Market Building, Near Tardeo AC Market Building, Tardeo Road, Tardeo, Mumbai-central, Mumbai- 400034, Maharashtra</t>
  </si>
  <si>
    <t>qrcode_1739340787.png</t>
  </si>
  <si>
    <t>ira@velcord.in</t>
  </si>
  <si>
    <t>Plot No. 23 Mira Cooperative Industrial Estate Thane District Maharashtra</t>
  </si>
  <si>
    <r>
      <rPr>
        <u/>
        <sz val="10"/>
        <rFont val="Arial"/>
        <scheme val="minor"/>
      </rPr>
      <t>dipti@thegamedrive.in</t>
    </r>
  </si>
  <si>
    <r>
      <rPr>
        <u/>
        <sz val="10"/>
        <rFont val="Arial"/>
        <scheme val="minor"/>
      </rPr>
      <t>marketing@thegamedrive.in</t>
    </r>
  </si>
  <si>
    <r>
      <rPr>
        <u/>
        <sz val="10"/>
        <rFont val="Arial"/>
        <scheme val="minor"/>
      </rPr>
      <t>Operations@thegamedrive.in</t>
    </r>
  </si>
  <si>
    <r>
      <rPr>
        <u/>
        <sz val="10"/>
        <rFont val="Arial"/>
        <scheme val="minor"/>
      </rPr>
      <t>saurabh.agarwal@ashishlifescience.com</t>
    </r>
  </si>
  <si>
    <r>
      <rPr>
        <u/>
        <sz val="10"/>
        <rFont val="Arial"/>
        <scheme val="minor"/>
      </rPr>
      <t>amardeep.athawaley@ashishlifescience.com</t>
    </r>
  </si>
  <si>
    <r>
      <rPr>
        <u/>
        <sz val="10"/>
        <rFont val="Arial"/>
        <scheme val="minor"/>
      </rPr>
      <t>jayesh.khatri@ashishlifescience.com</t>
    </r>
  </si>
  <si>
    <r>
      <rPr>
        <u/>
        <sz val="10"/>
        <rFont val="Arial"/>
        <scheme val="minor"/>
      </rPr>
      <t>ashish.shah@ashishlifescience.com</t>
    </r>
  </si>
  <si>
    <r>
      <rPr>
        <u/>
        <sz val="10"/>
        <rFont val="Arial"/>
        <scheme val="minor"/>
      </rPr>
      <t>chirag.shukla@ashishlifescience.com</t>
    </r>
  </si>
  <si>
    <r>
      <rPr>
        <u/>
        <sz val="10"/>
        <rFont val="Arial"/>
        <scheme val="minor"/>
      </rPr>
      <t>vivek.kedia@ashishlifescience.com</t>
    </r>
  </si>
  <si>
    <r>
      <rPr>
        <u/>
        <sz val="10"/>
        <rFont val="Arial"/>
        <scheme val="minor"/>
      </rPr>
      <t>jaiprakash.todi@ashishlifecience.com</t>
    </r>
  </si>
  <si>
    <r>
      <rPr>
        <u/>
        <sz val="10"/>
        <rFont val="Arial"/>
        <scheme val="minor"/>
      </rPr>
      <t>saurabh.agarwal@ashishlifescience.com</t>
    </r>
  </si>
  <si>
    <r>
      <rPr>
        <u/>
        <sz val="10"/>
        <rFont val="Arial"/>
        <scheme val="minor"/>
      </rPr>
      <t>nirdesh.kumar@ashishlifescience.com</t>
    </r>
  </si>
  <si>
    <r>
      <rPr>
        <u/>
        <sz val="10"/>
        <rFont val="Arial"/>
        <scheme val="minor"/>
      </rPr>
      <t>pooja.karnik@ashishlifescience.com</t>
    </r>
  </si>
  <si>
    <r>
      <rPr>
        <u/>
        <sz val="10"/>
        <rFont val="Arial"/>
        <scheme val="minor"/>
      </rPr>
      <t>kirankumar.madpathi@ashishlifescience.com</t>
    </r>
  </si>
  <si>
    <r>
      <rPr>
        <u/>
        <sz val="10"/>
        <rFont val="Arial"/>
        <scheme val="minor"/>
      </rPr>
      <t>raujesh@ashishlifescience.com</t>
    </r>
  </si>
  <si>
    <r>
      <rPr>
        <u/>
        <sz val="10"/>
        <rFont val="Arial"/>
        <scheme val="minor"/>
      </rPr>
      <t>nilesh.chavan@ashishlifescience.com</t>
    </r>
  </si>
  <si>
    <r>
      <rPr>
        <u/>
        <sz val="10"/>
        <rFont val="Arial"/>
        <scheme val="minor"/>
      </rPr>
      <t>sutanu.nayak@ashishlifescience.com</t>
    </r>
  </si>
  <si>
    <r>
      <rPr>
        <u/>
        <sz val="10"/>
        <rFont val="Arial"/>
        <scheme val="minor"/>
      </rPr>
      <t>ronitt@ashishlifescience@gmail.com</t>
    </r>
  </si>
  <si>
    <r>
      <rPr>
        <u/>
        <sz val="10"/>
        <rFont val="sans-serif"/>
      </rPr>
      <t>amardeep.athawaley@ashishlifescience.com</t>
    </r>
  </si>
  <si>
    <r>
      <rPr>
        <u/>
        <sz val="10"/>
        <rFont val="sans-serif"/>
      </rPr>
      <t>abdulla.fatiya@ashishlifescience.com</t>
    </r>
  </si>
  <si>
    <r>
      <rPr>
        <u/>
        <sz val="10"/>
        <rFont val="Arial"/>
        <scheme val="minor"/>
      </rPr>
      <t>konstantin.popov@ashishlifescience.com</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</si>
  <si>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</si>
  <si>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manishhingarh49@gmail.com</t>
    </r>
  </si>
  <si>
    <r>
      <rPr>
        <sz val="11"/>
        <color theme="1"/>
        <rFont val="Arial"/>
        <scheme val="minor"/>
      </rPr>
      <t>Manish</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</si>
  <si>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</si>
  <si>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info@kashishfurnishing.com</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</si>
  <si>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</si>
  <si>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rFont val="Arial"/>
        <scheme val="minor"/>
      </rPr>
      <t>ravi@kashishfurnishing.com</t>
    </r>
  </si>
  <si>
    <r>
      <rPr>
        <sz val="11"/>
        <color theme="1"/>
        <rFont val="Arial"/>
        <scheme val="minor"/>
      </rPr>
      <t>RAVI</t>
    </r>
    <r>
      <rPr>
        <sz val="11"/>
        <color theme="1"/>
        <rFont val="Arial"/>
        <scheme val="minor"/>
      </rPr>
      <t xml:space="preserve"> </t>
    </r>
    <r>
      <rPr>
        <sz val="11"/>
        <color theme="1"/>
        <rFont val="Arial"/>
        <scheme val="minor"/>
      </rPr>
      <t>P</t>
    </r>
    <r>
      <rPr>
        <sz val="11"/>
        <color theme="1"/>
        <rFont val="Arial"/>
        <scheme val="minor"/>
      </rPr>
      <t xml:space="preserve"> </t>
    </r>
    <r>
      <rPr>
        <sz val="11"/>
        <color theme="1"/>
        <rFont val="Arial"/>
        <scheme val="minor"/>
      </rPr>
      <t>JAIN</t>
    </r>
  </si>
  <si>
    <r>
      <rPr>
        <sz val="11"/>
        <color theme="1"/>
        <rFont val="Arial"/>
        <scheme val="minor"/>
      </rPr>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r>
  </si>
  <si>
    <r>
      <rPr>
        <u/>
        <sz val="10"/>
        <color rgb="FF1155CC"/>
        <rFont val="Helvetica, sans-serif"/>
      </rPr>
      <t>srishti.kothari14@gmail.com</t>
    </r>
  </si>
  <si>
    <r>
      <rPr>
        <sz val="11"/>
        <color theme="1"/>
        <rFont val="Helvetica, sans-serif"/>
      </rPr>
      <t>Srishti</t>
    </r>
    <r>
      <rPr>
        <sz val="11"/>
        <color theme="1"/>
        <rFont val="Helvetica, sans-serif"/>
      </rPr>
      <t xml:space="preserve"> </t>
    </r>
    <r>
      <rPr>
        <sz val="11"/>
        <color theme="1"/>
        <rFont val="Helvetica, sans-serif"/>
      </rPr>
      <t>Mansukh</t>
    </r>
    <r>
      <rPr>
        <sz val="11"/>
        <color theme="1"/>
        <rFont val="Helvetica, sans-serif"/>
      </rPr>
      <t xml:space="preserve"> </t>
    </r>
    <r>
      <rPr>
        <sz val="11"/>
        <color theme="1"/>
        <rFont val="Helvetica, sans-serif"/>
      </rPr>
      <t>Kothari</t>
    </r>
  </si>
  <si>
    <t>https://www.facebook.com/Vasupati-Jewellers-Pvt-Ltd-101381961634917/</t>
  </si>
  <si>
    <t>https://www.instagram.com/vasupati_jewellers</t>
  </si>
  <si>
    <r>
      <rPr>
        <u/>
        <sz val="10"/>
        <color rgb="FF1155CC"/>
        <rFont val="Arial"/>
        <scheme val="minor"/>
      </rPr>
      <t>vasupatijewellers@gmail.com</t>
    </r>
  </si>
  <si>
    <r>
      <rPr>
        <sz val="11"/>
        <color theme="1"/>
        <rFont val="Arial"/>
        <scheme val="minor"/>
      </rPr>
      <t>AVNIP</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</si>
  <si>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</si>
  <si>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Arial"/>
        <scheme val="minor"/>
      </rPr>
      <t>MUKESH</t>
    </r>
    <r>
      <rPr>
        <sz val="11"/>
        <color theme="1"/>
        <rFont val="Arial"/>
        <scheme val="minor"/>
      </rPr>
      <t xml:space="preserve"> </t>
    </r>
    <r>
      <rPr>
        <sz val="11"/>
        <color theme="1"/>
        <rFont val="Arial"/>
        <scheme val="minor"/>
      </rPr>
      <t>KOTHARI</t>
    </r>
  </si>
  <si>
    <r>
      <rPr>
        <u/>
        <sz val="10"/>
        <color rgb="FF1155CC"/>
        <rFont val="Arial"/>
        <scheme val="minor"/>
      </rPr>
      <t>vasupatijewellers@gmail.com</t>
    </r>
  </si>
  <si>
    <r>
      <rPr>
        <sz val="11"/>
        <color theme="1"/>
        <rFont val="Helvetica, sans-serif"/>
      </rPr>
      <t>MANSUKH</t>
    </r>
    <r>
      <rPr>
        <sz val="11"/>
        <color theme="1"/>
        <rFont val="Helvetica, sans-serif"/>
      </rPr>
      <t xml:space="preserve"> </t>
    </r>
    <r>
      <rPr>
        <sz val="11"/>
        <color theme="1"/>
        <rFont val="Helvetica, sans-serif"/>
      </rPr>
      <t>KOTHARI</t>
    </r>
  </si>
  <si>
    <r>
      <rPr>
        <u/>
        <sz val="10"/>
        <color rgb="FF1155CC"/>
        <rFont val="Arial"/>
        <scheme val="minor"/>
      </rPr>
      <t>vasupatijewellers@gmail.com</t>
    </r>
  </si>
  <si>
    <r>
      <rPr>
        <sz val="11"/>
        <color theme="1"/>
        <rFont val="Arial"/>
        <scheme val="minor"/>
      </rPr>
      <t>Nishi</t>
    </r>
    <r>
      <rPr>
        <sz val="11"/>
        <color theme="1"/>
        <rFont val="Arial"/>
        <scheme val="minor"/>
      </rPr>
      <t xml:space="preserve"> </t>
    </r>
    <r>
      <rPr>
        <sz val="11"/>
        <color theme="1"/>
        <rFont val="Arial"/>
        <scheme val="minor"/>
      </rPr>
      <t>Kothari</t>
    </r>
  </si>
  <si>
    <t>https://www.facebook.com/TurtleAustralia</t>
  </si>
  <si>
    <t>https://www.instagram.com/turtle.down.under/</t>
  </si>
  <si>
    <t>https://www.linkedin.com/company/turtle-down-under-gtx/</t>
  </si>
  <si>
    <t>https://www.youtube.com/@turtledownunder</t>
  </si>
  <si>
    <r>
      <rPr>
        <u/>
        <sz val="10"/>
        <rFont val="Arial"/>
        <scheme val="minor"/>
      </rPr>
      <t>60 Albert Rd, South Melbourne VIC 3205</t>
    </r>
  </si>
  <si>
    <r>
      <rPr>
        <u/>
        <sz val="10"/>
        <rFont val="Arial"/>
        <scheme val="minor"/>
      </rPr>
      <t>409, 4th floor, vakratunda corporate park,Vishwesvar road nagar, Near Udipi vihar hotel, Goregaon- East, Mumbai.</t>
    </r>
  </si>
  <si>
    <t>https://www.instagram.com/ask_konsultancy/</t>
  </si>
  <si>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</si>
  <si>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</si>
  <si>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r>
      <rPr>
        <u/>
        <sz val="10"/>
        <rFont val="Arial"/>
        <scheme val="minor"/>
      </rPr>
      <t>409, 4th floor, vakratunda corporate park,Vishwesvar road nagar, Near Udipi vihar hotel, Goregaon- East, Mumbai.</t>
    </r>
  </si>
  <si>
    <t>userid</t>
  </si>
  <si>
    <t>cardid</t>
  </si>
  <si>
    <t>type</t>
  </si>
  <si>
    <t>product service name</t>
  </si>
  <si>
    <t>product service image</t>
  </si>
  <si>
    <t>TS260</t>
  </si>
  <si>
    <t>TSCRD262</t>
  </si>
  <si>
    <t>Product</t>
  </si>
  <si>
    <t>Architectural Films</t>
  </si>
  <si>
    <t>1733293301_5ac6a3bb4d4d2e2d6585.jpg</t>
  </si>
  <si>
    <t>Automotive FIlms</t>
  </si>
  <si>
    <t>1733293372_ed99de7e22c6fabbe89e.jpg</t>
  </si>
  <si>
    <t>Graphics</t>
  </si>
  <si>
    <t>1733293408_f5aa349914d4f418386b.jpg</t>
  </si>
  <si>
    <t>TSCRD260</t>
  </si>
  <si>
    <t>1733294572_a81decada901cbc6dcc5.jpg</t>
  </si>
  <si>
    <t>1733294638_f33cfb62e4ae744cb951.jpg</t>
  </si>
  <si>
    <t>1733294685_cdfbea75ae318025fc68.jpg</t>
  </si>
  <si>
    <t>TSCRD261</t>
  </si>
  <si>
    <t>1733296330_24004058fd93fddd65f0.jpg</t>
  </si>
  <si>
    <t>Automotive Films</t>
  </si>
  <si>
    <t>1733296343_1e83899dd956542285d8.jpg</t>
  </si>
  <si>
    <t>1733296359_6a6173f975a6d3684085.jpg</t>
  </si>
  <si>
    <t>TSCRD263</t>
  </si>
  <si>
    <t>1733296543_21898165c1acf8b4cc39.jpg</t>
  </si>
  <si>
    <t>1733296555_a3957feb053748a868fd.jpg</t>
  </si>
  <si>
    <t>1733296566_41359492f11e8469a05a.jpg</t>
  </si>
  <si>
    <t>TSCRD264</t>
  </si>
  <si>
    <t>1733297383_9d36e99a1e55d7753511.jpg</t>
  </si>
  <si>
    <t>1733297397_bb2f78a3d2a5347c33fa.jpg</t>
  </si>
  <si>
    <t>1733297429_d69b99a0032beb363676.jpg</t>
  </si>
  <si>
    <t>TSCRD265</t>
  </si>
  <si>
    <t>1733297552_422282f5829ada0db75e.jpg</t>
  </si>
  <si>
    <t>1733297563_8ae26aac25b93317a48b.jpg</t>
  </si>
  <si>
    <t>1733297574_9e3ef94b7644788995ae.jpg</t>
  </si>
  <si>
    <t>TSCRD266</t>
  </si>
  <si>
    <t>1733297832_a14ee550f27777c5b7b5.jpg</t>
  </si>
  <si>
    <t>1733297842_e9da1c3a211c99284878.jpg</t>
  </si>
  <si>
    <t>1733297857_7217bbf07773de860c18.jpg</t>
  </si>
  <si>
    <t>TSCRD267</t>
  </si>
  <si>
    <t>1733297961_3b781ff470bf48e99d84.jpg</t>
  </si>
  <si>
    <t>1733297972_d8a5f2301c0cbfd0cced.jpg</t>
  </si>
  <si>
    <t>1733297984_e5f7c97426277477271c.jpg</t>
  </si>
  <si>
    <t>TSCRD268</t>
  </si>
  <si>
    <t>1733298087_0af91b5de0e4b350b0f9.jpg</t>
  </si>
  <si>
    <t>1733298105_60ffadcca17cc88b0aec.jpg</t>
  </si>
  <si>
    <t>1733298116_754fe646aacf2d7eb17a.jpg</t>
  </si>
  <si>
    <t>TSCRD269</t>
  </si>
  <si>
    <t>1733298215_ad57d281687bc821eaf6.jpg</t>
  </si>
  <si>
    <t>1733298227_64994ecf195835af07a0.jpg</t>
  </si>
  <si>
    <t>1733298237_bfce626e62aa9f1e3399.jpg</t>
  </si>
  <si>
    <t>TSCRD270</t>
  </si>
  <si>
    <t>1733298434_e8897584be0cf48705b3.jpg</t>
  </si>
  <si>
    <t>1733298445_8b84257dba12cda5d117.jpg</t>
  </si>
  <si>
    <t>1733298456_e10ebeba5293cb987c40.jpg</t>
  </si>
  <si>
    <t>TSCRD271</t>
  </si>
  <si>
    <t>1733298537_338d544935cfaf41c077.jpg</t>
  </si>
  <si>
    <t>1733298549_1e2dbd7cc38b388b2af2.jpg</t>
  </si>
  <si>
    <t>1733298567_425d87fd9dae1dac8368.jpg</t>
  </si>
  <si>
    <t>TSCRD272</t>
  </si>
  <si>
    <t>1733298660_72049439f9cf04b843ad.jpg</t>
  </si>
  <si>
    <t>1733298671_ea445da189f6c24839b0.jpg</t>
  </si>
  <si>
    <t>1733298684_6864bb44c55cb51ee564.jpg</t>
  </si>
  <si>
    <t>TSCRD273</t>
  </si>
  <si>
    <t>1733298957_65228cf979acaa27752b.jpg</t>
  </si>
  <si>
    <t>1733298969_44b36ef01b3f0f226290.jpg</t>
  </si>
  <si>
    <t>1733298982_6bf78bb5c5c98cb09f0b.jpg</t>
  </si>
  <si>
    <t>TSCRD274</t>
  </si>
  <si>
    <t>1733299091_84d6987f6dd3cbea9af5.jpg</t>
  </si>
  <si>
    <t>1733299104_57ff794b00daeced0b6d.jpg</t>
  </si>
  <si>
    <t>1733299117_ae6f731b302f38a56883.jpg</t>
  </si>
  <si>
    <t>TSCRD275</t>
  </si>
  <si>
    <t>1733299593_fad0c3f8f9fab2e90b0d.jpg</t>
  </si>
  <si>
    <t>1733299607_9bce157383785933f2ee.jpg</t>
  </si>
  <si>
    <t>1733299618_1953be1652cd55ad4518.jpg</t>
  </si>
  <si>
    <t>TSCRD276</t>
  </si>
  <si>
    <t>1733299709_1cd5d9540d0b3d078c34.jpg</t>
  </si>
  <si>
    <t>1733299720_6756fe2bb06006465e2b.jpg</t>
  </si>
  <si>
    <t>1733299732_2b0b5e4b34a7fcc15181.jpg</t>
  </si>
  <si>
    <t>TSCRD277</t>
  </si>
  <si>
    <t>1733299838_63e624482ce33b5c725c.jpg</t>
  </si>
  <si>
    <t>1733299853_73863002af86d594f871.jpg</t>
  </si>
  <si>
    <t>1733299865_74986c829eef68d08bc9.jpg</t>
  </si>
  <si>
    <t>TSCRD278</t>
  </si>
  <si>
    <t>1733300039_dd92e2cc78bd16b55b17.jpg</t>
  </si>
  <si>
    <t>1733300051_ed5a4bbc4e94e5f80173.jpg</t>
  </si>
  <si>
    <t>1733300062_f98f3ead45974b454b30.jpg</t>
  </si>
  <si>
    <t>TSCRD279</t>
  </si>
  <si>
    <t>1733300181_04841cf1f37cad178246.jpg</t>
  </si>
  <si>
    <t>1733300193_5178fc7e764e33219a2c.jpg</t>
  </si>
  <si>
    <t>1733300204_ee1855a38dfa7e9c22a5.jpg</t>
  </si>
  <si>
    <t>TSCRD280</t>
  </si>
  <si>
    <t>1733300292_c7935a7c660c190197cf.jpg</t>
  </si>
  <si>
    <t>1733300304_57f090daf33b2f291403.jpg</t>
  </si>
  <si>
    <t>1733300327_86637e74a08482d3dea8.jpg</t>
  </si>
  <si>
    <t>TSCRD281</t>
  </si>
  <si>
    <t>1733300660_5c28c12554142a8f1ffd.jpg</t>
  </si>
  <si>
    <t>1733300672_91dc01f276f2da09cb25.jpg</t>
  </si>
  <si>
    <t>1733300684_b7e9b33fc5466033e6cc.jpg</t>
  </si>
  <si>
    <t>TS333</t>
  </si>
  <si>
    <t>TSCRD333</t>
  </si>
  <si>
    <t>Services</t>
  </si>
  <si>
    <t>Kids Dental Treatment under Laughing gas</t>
  </si>
  <si>
    <t>1733301774_d59ccf89fbe3b12ef4cd.jpg</t>
  </si>
  <si>
    <t>Aligners(Invisalign) and Braces</t>
  </si>
  <si>
    <t>1733301787_3e8e205ece70a736285c.jpg</t>
  </si>
  <si>
    <t>Implants</t>
  </si>
  <si>
    <t>1733301801_49c6a9743149ce8a71ba.jpg</t>
  </si>
  <si>
    <t>Smile Designing</t>
  </si>
  <si>
    <t>1733301812_25d7fb7f368d34d9d2c9.jpg</t>
  </si>
  <si>
    <t>Single Sitting Root Canal Treatment for Adults</t>
  </si>
  <si>
    <t>1733301827_5be719daba656bd30fc0.jpg</t>
  </si>
  <si>
    <t>TSCRD334</t>
  </si>
  <si>
    <t>HR Recruitment Services</t>
  </si>
  <si>
    <t>1733302242_769c2e4d2b5968154e18.png</t>
  </si>
  <si>
    <t>TSCRD336</t>
  </si>
  <si>
    <t>Overview</t>
  </si>
  <si>
    <t>1733303674_917d782962da018222a8.jpg</t>
  </si>
  <si>
    <t>Annual compliances</t>
  </si>
  <si>
    <t>1733303688_16b8f50759bca92738b8.jpg</t>
  </si>
  <si>
    <t>XBRL services</t>
  </si>
  <si>
    <t>1733303702_89279d63871e8c003bd6.jpg</t>
  </si>
  <si>
    <t>LLP incorporation</t>
  </si>
  <si>
    <t>1733303717_3b08790e442c3be0433d.jpg</t>
  </si>
  <si>
    <t>Private Limited Incorporation</t>
  </si>
  <si>
    <t>1733303730_3107f7eb8a44fab287fe.jpg</t>
  </si>
  <si>
    <t>TSCRD337</t>
  </si>
  <si>
    <t>Healthy food</t>
  </si>
  <si>
    <t>1733304375_2716a49c73a458e73f1c.jpg</t>
  </si>
  <si>
    <t>Salads</t>
  </si>
  <si>
    <t>1733304328_7a8f987f590fca0ba490.jpg</t>
  </si>
  <si>
    <t>Diabetic-friendly food</t>
  </si>
  <si>
    <t>1733304413_c862e7183495e44dcd4f.jpg</t>
  </si>
  <si>
    <t>Vegan Gluten-free diabetic-friendly smoothie</t>
  </si>
  <si>
    <t>1733304520_8866be677c927d056688.jpg</t>
  </si>
  <si>
    <t>Millet sourdough</t>
  </si>
  <si>
    <t>1733304488_aaf9329ed0508f4d6b7c.jpg</t>
  </si>
  <si>
    <t>TSCRD341</t>
  </si>
  <si>
    <t>Joining Kit</t>
  </si>
  <si>
    <t>1733305316_694a887c0e32f4140c88.jpg</t>
  </si>
  <si>
    <t>Eco Friendly Products</t>
  </si>
  <si>
    <t>1733305335_da3b863abeeb13c7b87f.jpg</t>
  </si>
  <si>
    <t>Bottles &amp; mugs</t>
  </si>
  <si>
    <t>1733305357_d84bdc2de4559e2f4675.jpg</t>
  </si>
  <si>
    <t>Metal Pens &amp; Plastic Pens</t>
  </si>
  <si>
    <t>1733305382_b2ccfb68670e5061a903.jpg</t>
  </si>
  <si>
    <t>Desk Products</t>
  </si>
  <si>
    <t>1733305401_3903e5f9d3e2a5b6cfcc.jpg</t>
  </si>
  <si>
    <t>TSCRD342</t>
  </si>
  <si>
    <t>All brands smart phones</t>
  </si>
  <si>
    <t>1733305642_85f69ec6c3fcb41350d4.jpeg</t>
  </si>
  <si>
    <t>All mobile related Reparing done</t>
  </si>
  <si>
    <t>1733305656_466e47f740b308efc82d.jpeg</t>
  </si>
  <si>
    <t>Accessories</t>
  </si>
  <si>
    <t>1733305669_d1855d87f478aca27c62.jpeg</t>
  </si>
  <si>
    <t>All finance Available</t>
  </si>
  <si>
    <t>1733305680_03ef263f505fda49d305.jpeg</t>
  </si>
  <si>
    <t>Home delivery</t>
  </si>
  <si>
    <t>1733305692_11091cfe43332bc57bf7.jpeg</t>
  </si>
  <si>
    <t>TSCRD343</t>
  </si>
  <si>
    <t>Health Insurance</t>
  </si>
  <si>
    <t>1733308897_cc92d683b8cee6f0ce5b.png</t>
  </si>
  <si>
    <t>Critical Illness Insurance</t>
  </si>
  <si>
    <t>1733308915_617868bced7c812d489d.png</t>
  </si>
  <si>
    <t>Personal Accidental Insurance</t>
  </si>
  <si>
    <t>1733308933_07e885aa1e2568511930.png</t>
  </si>
  <si>
    <t>Home Insurance</t>
  </si>
  <si>
    <t>1733308947_e98f1bb3177246b14db3.png</t>
  </si>
  <si>
    <t>Vehicle Insurance, Travel Insurance, Corporate Insurance, Etc...</t>
  </si>
  <si>
    <t>1733308883_25e182a49149e387fe5f.jpg</t>
  </si>
  <si>
    <t>TSCRD344</t>
  </si>
  <si>
    <t>MATTRESS MFG</t>
  </si>
  <si>
    <t>1733309214_03cc330eb924589388e1.jpeg</t>
  </si>
  <si>
    <t>CURTAIN MFG</t>
  </si>
  <si>
    <t>1733309240_ad0f39897195540da4d1.jpeg</t>
  </si>
  <si>
    <t>FLOORING IMPORTER</t>
  </si>
  <si>
    <t>1733309287_738c3b60bf65681c77e4.jpeg</t>
  </si>
  <si>
    <t>SOFA MFG</t>
  </si>
  <si>
    <t>1733309307_146f5ceb38361b2bd7d1.jpeg</t>
  </si>
  <si>
    <t>WALLAPER MFG</t>
  </si>
  <si>
    <t>1733309330_ec914bb6a9c131920c15.jpeg</t>
  </si>
  <si>
    <t>TSCRD345</t>
  </si>
  <si>
    <t>Shower Partitions</t>
  </si>
  <si>
    <t>1733309643_da48e068bc520cb6efc9.jpg</t>
  </si>
  <si>
    <t>Lacqured / Backpainted Glass</t>
  </si>
  <si>
    <t>1733309664_21df7e67f34fa2467a8a.jpg</t>
  </si>
  <si>
    <t>Reflective Glass for Facades</t>
  </si>
  <si>
    <t>1733309705_42300848c61675c5c822.jpg</t>
  </si>
  <si>
    <t>Laminated Safety Glass and Fabric Laminated Glass</t>
  </si>
  <si>
    <t>1733309740_c32e5f78ca91a4d750d6.jpg</t>
  </si>
  <si>
    <t>Decorative LED Mirrors</t>
  </si>
  <si>
    <t>1733309766_279f804679a6fabcf180.jpeg</t>
  </si>
  <si>
    <t>TSCRD346</t>
  </si>
  <si>
    <t>Product Display stands</t>
  </si>
  <si>
    <t>1733309946_720511bfb221d0cc18e4.jpg</t>
  </si>
  <si>
    <t>Cosmetic display stands</t>
  </si>
  <si>
    <t>1733309971_7ce4fdf842e43fc5460d.jpg</t>
  </si>
  <si>
    <t>Flat bed UV printing service</t>
  </si>
  <si>
    <t>1733310097_a2675d35e8397c7c87e1.jpg</t>
  </si>
  <si>
    <t>CNC Routing services</t>
  </si>
  <si>
    <t>1733310014_8ffd58334ec4b317c0b5.jpg</t>
  </si>
  <si>
    <t>Laser cutting services</t>
  </si>
  <si>
    <t>1733310039_4433181b9d76605b94f1.jpg</t>
  </si>
  <si>
    <t>TSCRD347</t>
  </si>
  <si>
    <t>Suit fabrics</t>
  </si>
  <si>
    <t>1733310341_e14da04e4f016f441b04.jpg</t>
  </si>
  <si>
    <t>Pant fabrics</t>
  </si>
  <si>
    <t>1733310455_94c817e57c6ec5be64eb.jpg</t>
  </si>
  <si>
    <t>Shirt fabrics</t>
  </si>
  <si>
    <t>1733310473_3498723efcdbf1578847.jpg</t>
  </si>
  <si>
    <t>Readymade kurta</t>
  </si>
  <si>
    <t>1733310496_d6ae6dbaea150ae59b99.jpg</t>
  </si>
  <si>
    <t>Rental Ethnic/marriage outfits</t>
  </si>
  <si>
    <t>1733310576_3a6b679cf362d28d5266.jpg</t>
  </si>
  <si>
    <t>TSCRD348</t>
  </si>
  <si>
    <t>Plywood</t>
  </si>
  <si>
    <t>1733311145_f236100b4b40b02b824c.jpeg</t>
  </si>
  <si>
    <t>Laminate</t>
  </si>
  <si>
    <t>1733311176_edf33554c8a130b7b7e6.png</t>
  </si>
  <si>
    <t>Mdf hdmr</t>
  </si>
  <si>
    <t>1733311190_47895e5add22db1eaf07.jpeg</t>
  </si>
  <si>
    <t>Rafters louvers charcoal</t>
  </si>
  <si>
    <t>1733311284_05ca6f0d1930ee0b01ce.png</t>
  </si>
  <si>
    <t>TSCRD350</t>
  </si>
  <si>
    <t>Home loan</t>
  </si>
  <si>
    <t>1733311724_cd696849367f25f992f3.jpg</t>
  </si>
  <si>
    <t>Business loans</t>
  </si>
  <si>
    <t>1733311737_8510dfc5d8304f60ef27.jpg</t>
  </si>
  <si>
    <t>Working Capital over draft</t>
  </si>
  <si>
    <t>1733311749_a607076c40c89ee62d56.jpg</t>
  </si>
  <si>
    <t>TSCRD351</t>
  </si>
  <si>
    <t>Interior space</t>
  </si>
  <si>
    <t>1733312104_c980b58ae0e6cbda57be.jpg</t>
  </si>
  <si>
    <t>Pathology Lab</t>
  </si>
  <si>
    <t>1733312127_35f22941c901581f7f4e.jpg</t>
  </si>
  <si>
    <t>Pet SPA</t>
  </si>
  <si>
    <t>1733312139_49610c20041646bdf401.jpg</t>
  </si>
  <si>
    <t>Home interior</t>
  </si>
  <si>
    <t>1733312158_f43a88dd0799cd95ea93.jpg</t>
  </si>
  <si>
    <t>Office space</t>
  </si>
  <si>
    <t>1733312171_def71aaf89240496a792.jpg</t>
  </si>
  <si>
    <t>TSCRD354</t>
  </si>
  <si>
    <t>Home Purchase Free</t>
  </si>
  <si>
    <t>1733312912_c0c6bf7263b59d72d726.jpg</t>
  </si>
  <si>
    <t>Car Purchase Free</t>
  </si>
  <si>
    <t>1733312924_1ab540b91e9b4d522adb.png</t>
  </si>
  <si>
    <t>Home loan Interest Free</t>
  </si>
  <si>
    <t>1733312950_48abc23c2e9aa1bb4e00.jpg</t>
  </si>
  <si>
    <t>TSCRD369</t>
  </si>
  <si>
    <t>Financial Literacy Program</t>
  </si>
  <si>
    <t>1733316562_3e20da6689ca65f36b6b.jpg</t>
  </si>
  <si>
    <t>Investment Portfolio Consolidation</t>
  </si>
  <si>
    <t>1733316575_b6299675451fe2a3297e.jpg</t>
  </si>
  <si>
    <t>Training Workshops for Financial Intermediaries</t>
  </si>
  <si>
    <t>1733316588_8004e0a3c77e5096fdc3.jpeg</t>
  </si>
  <si>
    <t>TSCRD380</t>
  </si>
  <si>
    <t>92.5 sterling silver mop earning</t>
  </si>
  <si>
    <t>1733318267_b6866d284d896d1e425a.jpg</t>
  </si>
  <si>
    <t>92.5 sterling silver ladies bracelet</t>
  </si>
  <si>
    <t>1733318288_c053a15ecd944cf3daee.jpg</t>
  </si>
  <si>
    <t>92.5 sterling silver ring</t>
  </si>
  <si>
    <t>1733318309_0ceb3073bc77d8ceb208.jpg</t>
  </si>
  <si>
    <t>92.5 sterling silver long earning</t>
  </si>
  <si>
    <t>1733318332_2c02a36e42f407214ad4.jpg</t>
  </si>
  <si>
    <t>92.5 sterling silver stone ring</t>
  </si>
  <si>
    <t>1733318348_d3e89038a2dfde238840.jpg</t>
  </si>
  <si>
    <t>TSCRD381</t>
  </si>
  <si>
    <t>ITALIAN JEWELERY</t>
  </si>
  <si>
    <t>1733318969_12adc0b0ffcb41868f3a.jpeg</t>
  </si>
  <si>
    <t>ITALIAN BRACELET</t>
  </si>
  <si>
    <t>1733318981_0640e2c4995264becfc8.jpeg</t>
  </si>
  <si>
    <t>ITALIAN CHAINSET</t>
  </si>
  <si>
    <t>1733319002_76cbe1a10b99dfc53569.jpeg</t>
  </si>
  <si>
    <t>ITALIAN LIGHT BRACELET</t>
  </si>
  <si>
    <t>1733319016_f2a592d879ff949caf3e.jpeg</t>
  </si>
  <si>
    <t>GENTS CHAIN &amp; BRACELET</t>
  </si>
  <si>
    <t>1733319031_0d99e1adcdbda1b69d2e.jpeg</t>
  </si>
  <si>
    <t>TSCRD386</t>
  </si>
  <si>
    <t>Artefacts</t>
  </si>
  <si>
    <t>1733319656_ae6eaa385ab7e6bfcf02.png</t>
  </si>
  <si>
    <t>Brass Articles</t>
  </si>
  <si>
    <t>1733319675_f1e54cdf8c71d69f1a7c.jpg</t>
  </si>
  <si>
    <t>God Idols</t>
  </si>
  <si>
    <t>1733319695_d5b08feb26166a539b1a.jpg</t>
  </si>
  <si>
    <t>Torans</t>
  </si>
  <si>
    <t>1733319709_9d1776a8c621e179fef6.jpg</t>
  </si>
  <si>
    <t>Water Fountains</t>
  </si>
  <si>
    <t>1733319725_52f9be2ea406a032b9f3.jpg</t>
  </si>
  <si>
    <t>TSCRD387</t>
  </si>
  <si>
    <t>ERP Software Development &amp; Customization</t>
  </si>
  <si>
    <t>1733320121_d9ea677a16cb0b6cc410.jpg</t>
  </si>
  <si>
    <t>Inventory Management Software</t>
  </si>
  <si>
    <t>1733320140_f6452af80398db9ee5bd.jpg</t>
  </si>
  <si>
    <t>Asset &amp; Maintenance Management Software</t>
  </si>
  <si>
    <t>1733320153_f675138bc6a3652132f2.jpg</t>
  </si>
  <si>
    <t>HR and People management Software</t>
  </si>
  <si>
    <t>1733320170_da2599e4e8ca41e6339b.jpg</t>
  </si>
  <si>
    <t>TS388</t>
  </si>
  <si>
    <t>TSCRD388</t>
  </si>
  <si>
    <t>Teeth whitening</t>
  </si>
  <si>
    <t>1733320700_c930ce887fee1ebe274b.webp</t>
  </si>
  <si>
    <t>Smile designing</t>
  </si>
  <si>
    <t>1733320712_9d39eb5358d2d06b0171.webp</t>
  </si>
  <si>
    <t>Dental Implant</t>
  </si>
  <si>
    <t>1733320725_a6da22faf3374c3d0a67.webp</t>
  </si>
  <si>
    <t>Braces &amp; Alignment</t>
  </si>
  <si>
    <t>1733320741_d377d4349136db6ae21f.webp</t>
  </si>
  <si>
    <t>Pediatric Dentistry</t>
  </si>
  <si>
    <t>1733320756_1cc92ec9db5b46a37446.webp</t>
  </si>
  <si>
    <t>TSCRD390</t>
  </si>
  <si>
    <t>Architecture Residential</t>
  </si>
  <si>
    <t>1733321327_0e2d377da898701644a6.jpg</t>
  </si>
  <si>
    <t>Architecture Commercial</t>
  </si>
  <si>
    <t>1733321340_91d18b72770868e61afb.jpg</t>
  </si>
  <si>
    <t>Architecture Retail</t>
  </si>
  <si>
    <t>1733321353_c1c4838905ba6e57ee21.jpg</t>
  </si>
  <si>
    <t>Commercial Interior designing</t>
  </si>
  <si>
    <t>1733321365_685a03592f8a9ad4f0f0.jpg</t>
  </si>
  <si>
    <t>1733321378_aeba249ce853675b9f04.jpg</t>
  </si>
  <si>
    <t>TSCRD406</t>
  </si>
  <si>
    <t>Customised Decorative Lights</t>
  </si>
  <si>
    <t>1733323167_1934692a560f5b72ce13.jpeg</t>
  </si>
  <si>
    <t>Making of Bathroom Basin Counter &amp; Door with Polish</t>
  </si>
  <si>
    <t>1733323185_2664328b03877cad6de4.jpeg</t>
  </si>
  <si>
    <t>Customised Wardrobe with Luxury Wall Paper and Polish</t>
  </si>
  <si>
    <t>1733323204_e5604edfd358a6f7fbe0.jpeg</t>
  </si>
  <si>
    <t>Customised Bed and Side Tables with High Gloss Lamination</t>
  </si>
  <si>
    <t>1733323228_2a630405285340e5c8a7.jpeg</t>
  </si>
  <si>
    <t>Customised Swirl Sofa</t>
  </si>
  <si>
    <t>1733323241_38e9d579502e9a1c81e4.jpeg</t>
  </si>
  <si>
    <t>TSCRD413</t>
  </si>
  <si>
    <t>Bahubali Ring</t>
  </si>
  <si>
    <t>1733325135_087a2bcd92b4a35255fe.png</t>
  </si>
  <si>
    <t>Peacock Mala</t>
  </si>
  <si>
    <t>1733325147_e83e20900cba7dd76a8b.jpeg</t>
  </si>
  <si>
    <t>Ladies Kada</t>
  </si>
  <si>
    <t>1733325160_67582e1f096e8bd7a49f.jpeg</t>
  </si>
  <si>
    <t>925 Silver Lariat</t>
  </si>
  <si>
    <t>1733325172_8c60b743fb0aa00f8f77.jpeg</t>
  </si>
  <si>
    <t>925 Silver Payal</t>
  </si>
  <si>
    <t>1733325184_7413771f5859474b7a65.jpeg</t>
  </si>
  <si>
    <t>TSCRD396</t>
  </si>
  <si>
    <t>Necklace sets</t>
  </si>
  <si>
    <t>1733327577_bf9cccdbf7afcdd7b208.jpg</t>
  </si>
  <si>
    <t>Bangles</t>
  </si>
  <si>
    <t>1733327590_31787d6adc0be9bbf095.jpg</t>
  </si>
  <si>
    <t>G-Rings and L-Rings</t>
  </si>
  <si>
    <t>1733327602_b01148d425e06bee44c3.jpg</t>
  </si>
  <si>
    <t>Tops and J bali</t>
  </si>
  <si>
    <t>1733327621_cb49e5ef328b0d3481f2.jpg</t>
  </si>
  <si>
    <t>Bracelet</t>
  </si>
  <si>
    <t>1733327634_e5657e3960230aae47b3.jpg</t>
  </si>
  <si>
    <t>TSCRD420</t>
  </si>
  <si>
    <t>Rollup Standee</t>
  </si>
  <si>
    <t>1733330240_a9cbebf7e1026990e56d.jpeg</t>
  </si>
  <si>
    <t>1733330254_082c3df976d7f7dd066d.jpeg</t>
  </si>
  <si>
    <t>X Standee</t>
  </si>
  <si>
    <t>1733330267_d8b86623287a662177bd.jpeg</t>
  </si>
  <si>
    <t>1733330280_40379e473a93c8015c2e.jpeg</t>
  </si>
  <si>
    <t>Canopy</t>
  </si>
  <si>
    <t>1733330294_83878ce274ebf81bdc63.jpeg</t>
  </si>
  <si>
    <t>TSCRD395</t>
  </si>
  <si>
    <t>Almond rocks ,almond praline</t>
  </si>
  <si>
    <t>1733330657_74821b5590dddfdf06d8.jpeg</t>
  </si>
  <si>
    <t>Diwali cracker chocolate</t>
  </si>
  <si>
    <t>1733330673_c28522db432b17620f28.jpeg</t>
  </si>
  <si>
    <t>Chocolate modak</t>
  </si>
  <si>
    <t>1733330692_8caaa904eb49dd085340.jpeg</t>
  </si>
  <si>
    <t>Assorted chocolates</t>
  </si>
  <si>
    <t>1733330714_d8baff5892cce1c0f0ac.jpeg</t>
  </si>
  <si>
    <t>TSCRD419</t>
  </si>
  <si>
    <t>ASSAM &amp; MEGHALAYA GROUP DEPARTURE WITH KITCHEN</t>
  </si>
  <si>
    <t>KERALA FIX DEPARTURES</t>
  </si>
  <si>
    <t>LADAKH FIX DEPARTURES</t>
  </si>
  <si>
    <t>BHUTAN FD WITH FLIGHTS</t>
  </si>
  <si>
    <t>ANDAMAN</t>
  </si>
  <si>
    <t>TSCRD392</t>
  </si>
  <si>
    <t>knee pain n replacement surgery</t>
  </si>
  <si>
    <t>1733331535_b0b1520dfb206c34bcc9.jpg</t>
  </si>
  <si>
    <t>Hip replacement</t>
  </si>
  <si>
    <t>1733331551_bf80e0e42932327b3a11.jpg</t>
  </si>
  <si>
    <t>Fracture and sports injury</t>
  </si>
  <si>
    <t>1733331568_2d95bd3a211663b35edb.jpg</t>
  </si>
  <si>
    <t>TSCRD402</t>
  </si>
  <si>
    <t>Fine Fragrances</t>
  </si>
  <si>
    <t>1733332164_e60f4202ca81dfcf9d87.jpg</t>
  </si>
  <si>
    <t>Moisturizers</t>
  </si>
  <si>
    <t>1733332182_e26e2308ee069f25e1ad.png</t>
  </si>
  <si>
    <t>Bathing Bars</t>
  </si>
  <si>
    <t>1733332199_8a31cf8ea78955eaec87.png</t>
  </si>
  <si>
    <t>TSCRD403</t>
  </si>
  <si>
    <t>Mens wear</t>
  </si>
  <si>
    <t>1733332862_995bb5b8dc0561a91cca.jpg</t>
  </si>
  <si>
    <t>Women wear</t>
  </si>
  <si>
    <t>1733332877_bdaa8ab47bf4c30c616f.jpg</t>
  </si>
  <si>
    <t>Couple wear</t>
  </si>
  <si>
    <t>1733332891_f2bed9898ab3cdabd081.jpg</t>
  </si>
  <si>
    <t>Party wear</t>
  </si>
  <si>
    <t>1733332905_b19906ff08d076a65c70.jpg</t>
  </si>
  <si>
    <t>Wedding wear</t>
  </si>
  <si>
    <t>1733332921_5a34ceb603948f6ad4dc.jpg</t>
  </si>
  <si>
    <t>TS11555</t>
  </si>
  <si>
    <t>TSCRD8252</t>
  </si>
  <si>
    <t>Business/Finance/Job</t>
  </si>
  <si>
    <t>1733388967_bd339e66f60318d6130c.webp</t>
  </si>
  <si>
    <t>Career/Education</t>
  </si>
  <si>
    <t>1733388980_74ecbb0eecd0fe50482a.webp</t>
  </si>
  <si>
    <t>Relationship</t>
  </si>
  <si>
    <t>1733388991_28f89d3a2c1fc3150f8a.webp</t>
  </si>
  <si>
    <t>Physical &amp; Mental Health</t>
  </si>
  <si>
    <t>1733389005_bf14993fcd24c202af49.webp</t>
  </si>
  <si>
    <t>Name Numerology Correction</t>
  </si>
  <si>
    <t>1733389020_3606eef528476121b424.webp</t>
  </si>
  <si>
    <t>Trinity Combo Reading</t>
  </si>
  <si>
    <t>1733389033_ffb5620a2a30cf20655a.webp</t>
  </si>
  <si>
    <t>Gemstone Recommendation</t>
  </si>
  <si>
    <t>1733389048_5a38e762c18735785bd4.webp</t>
  </si>
  <si>
    <t>TS427</t>
  </si>
  <si>
    <t>TSCRD449</t>
  </si>
  <si>
    <t>Social Media Graphics &amp; Marketing</t>
  </si>
  <si>
    <t>1734328507_45aedd89c2d944034ff9.png</t>
  </si>
  <si>
    <t>Landing Pages &amp; Sales Funnels</t>
  </si>
  <si>
    <t>1734328692_530e4b57a492f05b4765.png</t>
  </si>
  <si>
    <t>E-Learning Course Design</t>
  </si>
  <si>
    <t>1734328614_35ef4d53dadd760566bb.png</t>
  </si>
  <si>
    <t>Digital Ads &amp; Campaigns</t>
  </si>
  <si>
    <t>1734328545_c3c41f898967418704a4.png</t>
  </si>
  <si>
    <t>Brand Identity Design</t>
  </si>
  <si>
    <t>TSCRD437</t>
  </si>
  <si>
    <t>Tarot Reader</t>
  </si>
  <si>
    <t>1736492445_5e7fbf621004defd28fb.jpeg</t>
  </si>
  <si>
    <t>Craniosacral therapy</t>
  </si>
  <si>
    <t>1734455799_b37c89089592cad7488e.jpeg</t>
  </si>
  <si>
    <t>TSCRD441</t>
  </si>
  <si>
    <t>Investment Advisory services</t>
  </si>
  <si>
    <t>Deravatives</t>
  </si>
  <si>
    <t>Portfolio management services</t>
  </si>
  <si>
    <t>TSCRD450</t>
  </si>
  <si>
    <t>Dental Implants</t>
  </si>
  <si>
    <t>1734329696_771c2e1b5b6f949fba40.jpeg</t>
  </si>
  <si>
    <t>Smile makeovers</t>
  </si>
  <si>
    <t>1734329709_738da432dc3558753914.jpeg</t>
  </si>
  <si>
    <t>1734329723_b3930896afb1f19c316a.jpeg</t>
  </si>
  <si>
    <t>Laser Dentistry</t>
  </si>
  <si>
    <t>1734329742_7999ebb31c808db4c272.jpeg</t>
  </si>
  <si>
    <t>Invisible Aligners / Braces</t>
  </si>
  <si>
    <t>1734329757_1f80557a308425e9041e.jpeg</t>
  </si>
  <si>
    <t>TSCRD436</t>
  </si>
  <si>
    <t>Bandhani Sarees</t>
  </si>
  <si>
    <t>1734330224_3fc45fb820547e149300.png</t>
  </si>
  <si>
    <t>Kanjeevaram Silk Saree</t>
  </si>
  <si>
    <t>1734330237_622246013892b45fa36f.jpeg</t>
  </si>
  <si>
    <t>Banarasi Silk Saree</t>
  </si>
  <si>
    <t>1734330252_32157a7d6f4d96b398ed.jpeg</t>
  </si>
  <si>
    <t>Handwork Sarees</t>
  </si>
  <si>
    <t>1734330271_a2b306c2103f1206e378.jpeg</t>
  </si>
  <si>
    <t>Customised Lehengas</t>
  </si>
  <si>
    <t>1734330286_768f26d686f0aa6349ef.jpeg</t>
  </si>
  <si>
    <t>TSCRD431</t>
  </si>
  <si>
    <t>General Insurance Advisor</t>
  </si>
  <si>
    <t>TSCRD434</t>
  </si>
  <si>
    <t>Residential Projects</t>
  </si>
  <si>
    <t>1734330749_c20b98143a21666b252c.jpg</t>
  </si>
  <si>
    <t>1734330808_cf7d2439dc3d843d54c8.jpg</t>
  </si>
  <si>
    <t>1734330819_b4852a6370dde616e42e.jpg</t>
  </si>
  <si>
    <t>1734330834_86f73b37daf34bb6a457.webp</t>
  </si>
  <si>
    <t>1734330849_5ebce6f2908a097e0f6e.png</t>
  </si>
  <si>
    <t>TSCRD432</t>
  </si>
  <si>
    <t>Website Redesign &amp; Development</t>
  </si>
  <si>
    <t>Landing Page Design &amp; Development</t>
  </si>
  <si>
    <t>Website Maintenance</t>
  </si>
  <si>
    <t>Website Consultation</t>
  </si>
  <si>
    <t>TSCRD457</t>
  </si>
  <si>
    <t>Private finance</t>
  </si>
  <si>
    <t>Trade Financing</t>
  </si>
  <si>
    <t>Unsecure OD</t>
  </si>
  <si>
    <t>Business loan</t>
  </si>
  <si>
    <t>Construction Finance</t>
  </si>
  <si>
    <t>TSCRD445</t>
  </si>
  <si>
    <t>Indirect tax litigation services</t>
  </si>
  <si>
    <t>Refund on export of goods and services</t>
  </si>
  <si>
    <t>GST registration and monthly compliances</t>
  </si>
  <si>
    <t>TSCRD428</t>
  </si>
  <si>
    <t>Hydraulic Power Pack</t>
  </si>
  <si>
    <t>1734368167_e3af2ab334a93873da7c.jpg</t>
  </si>
  <si>
    <t>Hydraulic Cylinder</t>
  </si>
  <si>
    <t>1734368180_4a124ca528441cf74845.jpg</t>
  </si>
  <si>
    <t>TS99</t>
  </si>
  <si>
    <t>TSCRD430</t>
  </si>
  <si>
    <t>Risk Consulting</t>
  </si>
  <si>
    <t>1736413429_3eb7e453dd30f1d9a45a.png</t>
  </si>
  <si>
    <t>Management Consulting</t>
  </si>
  <si>
    <t>1736413442_0bb564d0e9e9974026d4.png</t>
  </si>
  <si>
    <t>Business Advisory</t>
  </si>
  <si>
    <t>1736413455_1cc491cb26ae844763af.png</t>
  </si>
  <si>
    <t>TS6885</t>
  </si>
  <si>
    <t>TSCRD91740</t>
  </si>
  <si>
    <t>Pvc Networking Cards</t>
  </si>
  <si>
    <t>1737398360_b11eba9bb8ee2181c94f.png</t>
  </si>
  <si>
    <t>Metal Networking Card</t>
  </si>
  <si>
    <t>1737398431_a8fcaa62bfc77f1fbb48.png</t>
  </si>
  <si>
    <t>Pvc Platform Cards</t>
  </si>
  <si>
    <t>1737398448_01a4ce0c59625595d5e4.png</t>
  </si>
  <si>
    <t>Digital Profile Making</t>
  </si>
  <si>
    <t>1737398176_58394c3480366d9efdba.png</t>
  </si>
  <si>
    <t>TS213</t>
  </si>
  <si>
    <t>TSCRD213</t>
  </si>
  <si>
    <t>TS72259</t>
  </si>
  <si>
    <t>TSCRD2272</t>
  </si>
  <si>
    <t>KVAR e-Profile</t>
  </si>
  <si>
    <t>1733742982_2b93d7368106c6af6297.png</t>
  </si>
  <si>
    <t>KVAR PR Kit</t>
  </si>
  <si>
    <t>1734674231_9c88566f71879f610945.png</t>
  </si>
  <si>
    <t>TSCRD82884</t>
  </si>
  <si>
    <t>1733815795_8c1f61920ca9f09d7df8.jpg</t>
  </si>
  <si>
    <t>1733815809_5b5a4950476bb71a961f.jpg</t>
  </si>
  <si>
    <t>1733815824_50ebd35d36f8a206ce79.jpg</t>
  </si>
  <si>
    <t>TSCRD332</t>
  </si>
  <si>
    <t>1734024049_2db72dc69f873fe4d015.jpg</t>
  </si>
  <si>
    <t>1734024209_12aa8c5f311cd361922d.jpg</t>
  </si>
  <si>
    <t>1734024267_de90c4efdc6db7040590.jpg</t>
  </si>
  <si>
    <t>TSCRD331</t>
  </si>
  <si>
    <t>1734024736_7b8a43dfacbff82b60cf.jpg</t>
  </si>
  <si>
    <t>1734024827_403f0d5284b9d96b6184.jpg</t>
  </si>
  <si>
    <t>1734024887_6769409567a98507f86f.jpg</t>
  </si>
  <si>
    <t>TSCRD330</t>
  </si>
  <si>
    <t>1734025164_ee8d92ee00fe53d44166.jpg</t>
  </si>
  <si>
    <t>1734025225_ab21b376a2a0aa6edb59.jpg</t>
  </si>
  <si>
    <t>1734025299_31e6c7305ccb8cb0da1d.jpg</t>
  </si>
  <si>
    <t>TS108</t>
  </si>
  <si>
    <t>TSCRD109</t>
  </si>
  <si>
    <t>TSCRD108</t>
  </si>
  <si>
    <t>TS199</t>
  </si>
  <si>
    <t>TSCRD199</t>
  </si>
  <si>
    <t>Personal FInance Services</t>
  </si>
  <si>
    <t>1734348880_b9efa95c4fe681bee54d.jpg</t>
  </si>
  <si>
    <t>Wealth Services</t>
  </si>
  <si>
    <t>1734348899_4f03fb8be9e0bea9e5b5.jpg</t>
  </si>
  <si>
    <t>Retirement Income Services</t>
  </si>
  <si>
    <t>1734348913_b2de5c9bf56bdf82cf11.jpg</t>
  </si>
  <si>
    <t>Treasury Management</t>
  </si>
  <si>
    <t>1734348924_a58812d16812e11ad86d.jpg</t>
  </si>
  <si>
    <t>Estate Planning</t>
  </si>
  <si>
    <t>1734348937_c44fe6db1dfa2d7e6d69.jpg</t>
  </si>
  <si>
    <t>1734348948_175616b8e8f33a33f4a1.jpg</t>
  </si>
  <si>
    <t>TS200</t>
  </si>
  <si>
    <t>TSCRD200</t>
  </si>
  <si>
    <t>Outsourced Accounting</t>
  </si>
  <si>
    <t>1734350137_f04530ef017272a5e35a.jpg</t>
  </si>
  <si>
    <t>Audits</t>
  </si>
  <si>
    <t>1734350150_ce42b56a6b821cf3013c.jpg</t>
  </si>
  <si>
    <t>ITR Filings</t>
  </si>
  <si>
    <t>1734350162_7fd7bf67c86a76b3cb43.jpg</t>
  </si>
  <si>
    <t>Compliance</t>
  </si>
  <si>
    <t>1734350175_acfec3f6b0bbc6737825.jpg</t>
  </si>
  <si>
    <t>Appeals</t>
  </si>
  <si>
    <t>1734350188_88ef730e112aa2fa023a.png</t>
  </si>
  <si>
    <t>TSCRD453</t>
  </si>
  <si>
    <t>TSCRD451</t>
  </si>
  <si>
    <t>Hair</t>
  </si>
  <si>
    <t>1734364162_6a17550c46dad497bb30.jpeg</t>
  </si>
  <si>
    <t>Nail</t>
  </si>
  <si>
    <t>1734364176_41fe629f41ca7cc6eade.jpeg</t>
  </si>
  <si>
    <t>Makeup</t>
  </si>
  <si>
    <t>1734364195_69c3758a020d5a4e4abb.jpeg</t>
  </si>
  <si>
    <t>Body Spa</t>
  </si>
  <si>
    <t>1734364209_51c278b64c79c5c7e824.jpeg</t>
  </si>
  <si>
    <t>Skin</t>
  </si>
  <si>
    <t>1734364242_cb6925478c8e61d08bb9.jpeg</t>
  </si>
  <si>
    <t>TSCRD446</t>
  </si>
  <si>
    <t>CCTV Camera</t>
  </si>
  <si>
    <t>1734367530_c72031c1ee59f79acfc6.png</t>
  </si>
  <si>
    <t>Annual Maintenance</t>
  </si>
  <si>
    <t>1734367548_d06f639aefc731179252.png</t>
  </si>
  <si>
    <t>Software Assistance</t>
  </si>
  <si>
    <t>1734367560_498ba4b7d17158fa469a.png</t>
  </si>
  <si>
    <t>Any Type Of Motherboard Repair</t>
  </si>
  <si>
    <t>1734367580_3277b825675762c7cd0f.png</t>
  </si>
  <si>
    <t>Smps Replacement</t>
  </si>
  <si>
    <t>1734367596_80e6cf0a56e88b154503.png</t>
  </si>
  <si>
    <t>TSCRD282</t>
  </si>
  <si>
    <t>1734469625_d57cd7a9672ac1b321a0.jpg</t>
  </si>
  <si>
    <t>1734469682_175ca1bb7e060ad35e42.jpg</t>
  </si>
  <si>
    <t>1734469739_167f715c1bfca15cb3f1.jpg</t>
  </si>
  <si>
    <t>TSCRD283</t>
  </si>
  <si>
    <t>1734469960_061a56ca7282ef9fe615.jpg</t>
  </si>
  <si>
    <t>1734470001_96fa4b21a4024e447596.jpg</t>
  </si>
  <si>
    <t>1734470036_b7fa1e15001ebe5c8b2a.jpg</t>
  </si>
  <si>
    <t>TSCRD284</t>
  </si>
  <si>
    <t>1734470215_497aa15e85e17f77bd93.jpg</t>
  </si>
  <si>
    <t>1734470250_d0e2f6f58a31b482a686.jpg</t>
  </si>
  <si>
    <t>1734470279_85291412ae4266fc2aac.jpg</t>
  </si>
  <si>
    <t>TSCRD285</t>
  </si>
  <si>
    <t>1734470400_219489a023e64acc6eab.jpg</t>
  </si>
  <si>
    <t>1734470425_ccf20ad1daebda4d3466.jpg</t>
  </si>
  <si>
    <t>1734470452_34a50ebdba2bb3ae3bea.jpg</t>
  </si>
  <si>
    <t>TSCRD286</t>
  </si>
  <si>
    <t>1734470592_361b34046b60dd1ea8cd.jpg</t>
  </si>
  <si>
    <t>1734470621_b05df90fb742131f3915.jpg</t>
  </si>
  <si>
    <t>1734470650_8b419630fd4ef1a56cb9.jpg</t>
  </si>
  <si>
    <t>TSCRD287</t>
  </si>
  <si>
    <t>1734470792_5aa123acd1e117954be0.jpg</t>
  </si>
  <si>
    <t>1734470823_686303697526dbbb7eda.jpg</t>
  </si>
  <si>
    <t>1734470851_661c2b938cb169b95de3.jpg</t>
  </si>
  <si>
    <t>TSCRD288</t>
  </si>
  <si>
    <t>1734470975_ecd83d6f9ef5ceaedd02.jpg</t>
  </si>
  <si>
    <t>1734471001_4984bbdd4878246b0b1d.jpg</t>
  </si>
  <si>
    <t>1734471029_6ab22b9ce88c6b9c6c6b.jpg</t>
  </si>
  <si>
    <t>TSCRD289</t>
  </si>
  <si>
    <t>1734471203_3215f95481f9818687ca.jpg</t>
  </si>
  <si>
    <t>1734471232_a6fdbe01f76c6620efe6.jpg</t>
  </si>
  <si>
    <t>1734471260_6f755f908205e98eac42.jpg</t>
  </si>
  <si>
    <t>TSCRD290</t>
  </si>
  <si>
    <t>1734471401_e35fc37c9856a487f6ba.jpg</t>
  </si>
  <si>
    <t>1734471425_a2b1ad66035a544158ca.jpg</t>
  </si>
  <si>
    <t>1734471452_9569fa56c0677c1c56ed.jpg</t>
  </si>
  <si>
    <t>TSCRD291</t>
  </si>
  <si>
    <t>1734471606_7ade44a7757cc8dea110.jpg</t>
  </si>
  <si>
    <t>1734471629_f315f0c8a3ebd76618f3.jpg</t>
  </si>
  <si>
    <t>1734471654_71c921e9edbc0712add4.jpg</t>
  </si>
  <si>
    <t>TSCRD292</t>
  </si>
  <si>
    <t>1734471802_b0c234f943562b874610.jpg</t>
  </si>
  <si>
    <t>1734471829_821ea58e80472b145505.jpg</t>
  </si>
  <si>
    <t>1734471861_107eefecaaa978a4a355.jpg</t>
  </si>
  <si>
    <t>TSCRD293</t>
  </si>
  <si>
    <t>1734472013_503a834f04577105615d.jpg</t>
  </si>
  <si>
    <t>1734472037_25defa4bd5f1802626c5.jpg</t>
  </si>
  <si>
    <t>1734472061_0e04b2ce00bc602f08f4.jpg</t>
  </si>
  <si>
    <t>TSCRD294</t>
  </si>
  <si>
    <t>1734472182_e0412de22d1d1f2dd781.jpg</t>
  </si>
  <si>
    <t>1734472206_b5f496a279a61984033e.jpg</t>
  </si>
  <si>
    <t>1734472232_7f72a5eaf50d2bd79f37.jpg</t>
  </si>
  <si>
    <t>TSCRD295</t>
  </si>
  <si>
    <t>1734472379_df42c3f1f96a36308ca1.jpg</t>
  </si>
  <si>
    <t>1734472405_8492acc6b221b8129a53.jpg</t>
  </si>
  <si>
    <t>1734472431_29d2d3981c99c5da58d6.jpg</t>
  </si>
  <si>
    <t>TSCRD296</t>
  </si>
  <si>
    <t>1734472511_f1f341bf2ed6e4717a38.jpg</t>
  </si>
  <si>
    <t>1734472538_0c5603b7cc9197caa93d.jpg</t>
  </si>
  <si>
    <t>1734472566_301acdac59d08f4cadc1.jpg</t>
  </si>
  <si>
    <t>TSCRD297</t>
  </si>
  <si>
    <t>1734472634_c7181f9ac7ce9e207694.jpg</t>
  </si>
  <si>
    <t>1734472659_d2fd554f9529f8c09cc2.jpg</t>
  </si>
  <si>
    <t>1734472701_ef3e2790e1bfa214c96e.jpg</t>
  </si>
  <si>
    <t>TSCRD298</t>
  </si>
  <si>
    <t>1734472785_32aaa45526e171c525ac.jpg</t>
  </si>
  <si>
    <t>1734472811_2164966cd0123f41f947.jpg</t>
  </si>
  <si>
    <t>1734472840_1f6735d97d9e453e4c75.jpg</t>
  </si>
  <si>
    <t>TSCRD299</t>
  </si>
  <si>
    <t>1734472920_81dcd7f5852feee63c10.jpg</t>
  </si>
  <si>
    <t>1734472946_ed44777241d3f2490256.jpg</t>
  </si>
  <si>
    <t>1734472990_0775f8fdf8e084f31c51.jpg</t>
  </si>
  <si>
    <t>TSCRD300</t>
  </si>
  <si>
    <t>1734473060_c76c7816488c3473120b.jpg</t>
  </si>
  <si>
    <t>1734473086_e7efc239813f71660029.jpg</t>
  </si>
  <si>
    <t>1734473115_0956d102ff625fa5edcf.jpg</t>
  </si>
  <si>
    <t>TSCRD301</t>
  </si>
  <si>
    <t>1734473187_78d0899095ca2864113e.jpg</t>
  </si>
  <si>
    <t>1734473212_aba17fb02c7d0b3e6b91.jpg</t>
  </si>
  <si>
    <t>1734473240_6cd276d8dff804014bb6.jpg</t>
  </si>
  <si>
    <t>TSCRD302</t>
  </si>
  <si>
    <t>1734473313_6898b846c4d180339b61.jpg</t>
  </si>
  <si>
    <t>1734473346_816a1b1235c98d7935fd.jpg</t>
  </si>
  <si>
    <t>1734473375_bff07bef168d51dcee6b.jpg</t>
  </si>
  <si>
    <t>TSCRD303</t>
  </si>
  <si>
    <t>1734473464_1c47f9ea050315fed70d.jpg</t>
  </si>
  <si>
    <t>1734473496_462680c0b8045815f980.jpg</t>
  </si>
  <si>
    <t>1734473525_e1581b2b0876dc482db2.jpg</t>
  </si>
  <si>
    <t>TSCRD304</t>
  </si>
  <si>
    <t>1734473589_51d97d4041ab87ebf8ea.jpg</t>
  </si>
  <si>
    <t>1734473625_6c1d0dbd7e777d1f8016.jpg</t>
  </si>
  <si>
    <t>1734473666_f3cc57d298a9c4faf3be.jpg</t>
  </si>
  <si>
    <t>TSCRD305</t>
  </si>
  <si>
    <t>1734473738_40c41adf7ee13d4416e3.jpg</t>
  </si>
  <si>
    <t>1734473764_74b2b20e6700ebffda1a.jpg</t>
  </si>
  <si>
    <t>1734473793_ebe515a32c595f053322.jpg</t>
  </si>
  <si>
    <t>TSCRD306</t>
  </si>
  <si>
    <t>1734473860_3d04e6ec38b8970c1bc1.jpg</t>
  </si>
  <si>
    <t>1734473885_b8ddd419e0c9bd4f1a23.jpg</t>
  </si>
  <si>
    <t>1734473912_0eea24ef772540a1e35b.jpg</t>
  </si>
  <si>
    <t>TSCRD307</t>
  </si>
  <si>
    <t>1734473987_397933007dce9a73f92f.jpg</t>
  </si>
  <si>
    <t>1734474010_d2b8eff8aeba56504e92.jpg</t>
  </si>
  <si>
    <t>1734474034_10cb4fe07aac6cdb2ac9.jpg</t>
  </si>
  <si>
    <t>TSCRD308</t>
  </si>
  <si>
    <t>1734474110_b8c7bb7d239a865b5309.jpg</t>
  </si>
  <si>
    <t>1734474133_cf3bef58ed57a3faf411.jpg</t>
  </si>
  <si>
    <t>1734474156_41df9dce6fe5b79bb81b.jpg</t>
  </si>
  <si>
    <t>TSCRD309</t>
  </si>
  <si>
    <t>1734474215_5416c3dac7ab5aa7389c.jpg</t>
  </si>
  <si>
    <t>1734474238_90d41a6491d348bf5af2.jpg</t>
  </si>
  <si>
    <t>1734474263_2f35a76eb68bff06e10e.jpg</t>
  </si>
  <si>
    <t>TSCRD310</t>
  </si>
  <si>
    <t>1734474349_8a1b24628ff294b1960e.jpg</t>
  </si>
  <si>
    <t>1734474374_a89f4742fa71b74b7db9.jpg</t>
  </si>
  <si>
    <t>1734474401_d1d565c631f019a71bb1.jpg</t>
  </si>
  <si>
    <t>TSCRD311</t>
  </si>
  <si>
    <t>1734474466_dfd208826819862b0012.jpg</t>
  </si>
  <si>
    <t>1734474489_eca123f53d9ca23e5bb4.jpg</t>
  </si>
  <si>
    <t>1734474517_b819eccebb1ed82d4571.jpg</t>
  </si>
  <si>
    <t>TSCRD312</t>
  </si>
  <si>
    <t>1734474608_ce37d81e7df94499bf39.jpg</t>
  </si>
  <si>
    <t>1734474627_c80b2dd82683d437f758.jpg</t>
  </si>
  <si>
    <t>1734474651_d50ce765c15c8bb9c3ca.jpg</t>
  </si>
  <si>
    <t>TSCRD111</t>
  </si>
  <si>
    <t>TS102</t>
  </si>
  <si>
    <t>TSCRD104</t>
  </si>
  <si>
    <t>1734497497_85de7c5ea2736b98495f.jpg</t>
  </si>
  <si>
    <t>TSCRD102</t>
  </si>
  <si>
    <t>1734497521_dccabf3484767c76f83a.jpg</t>
  </si>
  <si>
    <t>TSCRD105</t>
  </si>
  <si>
    <t>1734497598_9807b276016621c5dc6c.jpg</t>
  </si>
  <si>
    <t>1734497623_a5cebcb085308d847d52.jpg</t>
  </si>
  <si>
    <t>TSCRD106</t>
  </si>
  <si>
    <t>1734497709_2e2b6c642032a7350aa5.jpg</t>
  </si>
  <si>
    <t>1734497727_962d332b75abf45f4b8d.jpg</t>
  </si>
  <si>
    <t>TS144</t>
  </si>
  <si>
    <t>TSCRD145</t>
  </si>
  <si>
    <t>TSCRD146</t>
  </si>
  <si>
    <t>1734580387_6068de9eba0f3b45224a.jpg</t>
  </si>
  <si>
    <t>1734580402_386e37bd4f511b56db41.jpg</t>
  </si>
  <si>
    <t>1734580415_63a993faeb7b2a64bdfb.jpg</t>
  </si>
  <si>
    <t>1734580430_18fd45f6188f109b01e2.jpg</t>
  </si>
  <si>
    <t>TSCRD147</t>
  </si>
  <si>
    <t>1734580667_47d389245260fea9ae80.jpg</t>
  </si>
  <si>
    <t>1734580678_205a7c77b98ca1f55c3f.jpg</t>
  </si>
  <si>
    <t>1734580692_30813337151d0cea0218.jpg</t>
  </si>
  <si>
    <t>1734580703_828bb04900f8b41d7065.jpg</t>
  </si>
  <si>
    <t>TSCRD148</t>
  </si>
  <si>
    <t>1734580837_1381dc7ee7a0b7a80726.jpg</t>
  </si>
  <si>
    <t>1734580850_08534c679c57d8ab0699.jpg</t>
  </si>
  <si>
    <t>1734580863_cbc617e7aa6f991e9936.jpg</t>
  </si>
  <si>
    <t>1734580876_77cc3575ecf812a80594.jpg</t>
  </si>
  <si>
    <t>TSCRD144</t>
  </si>
  <si>
    <t>1734581426_42c74c77d22c779c6caf.jpg</t>
  </si>
  <si>
    <t>TS143</t>
  </si>
  <si>
    <t>TSCRD143</t>
  </si>
  <si>
    <t>TS113</t>
  </si>
  <si>
    <t>TSCRD113</t>
  </si>
  <si>
    <t>1734582731_c919b93bbefc5f21f119.jpg</t>
  </si>
  <si>
    <t>1734582743_36dfc490426d51d3a715.jpg</t>
  </si>
  <si>
    <t>1734582754_d9df3e483f8c5ae189f6.jpg</t>
  </si>
  <si>
    <t>TS121</t>
  </si>
  <si>
    <t>TSCRD121</t>
  </si>
  <si>
    <t>TS160</t>
  </si>
  <si>
    <t>TSCRD160</t>
  </si>
  <si>
    <t>Crystal Healing</t>
  </si>
  <si>
    <t>1734584367_f9b1ee3f736aef6688cb.jpeg</t>
  </si>
  <si>
    <t>Spiritual Healing</t>
  </si>
  <si>
    <t>1734584380_d5f774a38fc64395f279.jpeg</t>
  </si>
  <si>
    <t>TS164</t>
  </si>
  <si>
    <t>TSCRD164</t>
  </si>
  <si>
    <t>TS165</t>
  </si>
  <si>
    <t>TSCRD165</t>
  </si>
  <si>
    <t>TSCRD313</t>
  </si>
  <si>
    <t>1734596119_4af11a7c9a39dfb32ca7.jpg</t>
  </si>
  <si>
    <t>1734596156_c1e706e4a55cefc58642.jpg</t>
  </si>
  <si>
    <t>1734596201_ae86fee55670a75f7985.jpg</t>
  </si>
  <si>
    <t>TSCRD314</t>
  </si>
  <si>
    <t>1734596372_895a9cdb49fba0bd4bf9.jpg</t>
  </si>
  <si>
    <t>1734596404_df3a422d9377bd21a0ce.jpg</t>
  </si>
  <si>
    <t>1734596437_ffb8636bb2b709cd29aa.jpg</t>
  </si>
  <si>
    <t>TSCRD315</t>
  </si>
  <si>
    <t>1734596563_0662a0775f257baa5742.jpg</t>
  </si>
  <si>
    <t>1734596644_3200e203cd764392c49d.jpg</t>
  </si>
  <si>
    <t>1734596677_07ec5469fa392bfeff0f.jpg</t>
  </si>
  <si>
    <t>TSCRD316</t>
  </si>
  <si>
    <t>1734597036_8f9c7997573ebefc23c0.jpg</t>
  </si>
  <si>
    <t>1734597087_a4b2f89f5a71a843b2a9.jpg</t>
  </si>
  <si>
    <t>1734597163_7da5fe3da23de748cef4.jpg</t>
  </si>
  <si>
    <t>TSCRD317</t>
  </si>
  <si>
    <t>1734597309_39137d252052ffe0aa6a.jpg</t>
  </si>
  <si>
    <t>1734597341_d6740948485e4d47ec84.jpg</t>
  </si>
  <si>
    <t>1734597373_66ba05101a15caa4ddfe.jpg</t>
  </si>
  <si>
    <t>TSCRD318</t>
  </si>
  <si>
    <t>1734597542_4272196a36467a8b591a.jpg</t>
  </si>
  <si>
    <t>1734597575_b5970d1d20a3e7696656.jpg</t>
  </si>
  <si>
    <t>1734597608_dc57218a45ecabcd0ac6.jpg</t>
  </si>
  <si>
    <t>TSCRD319</t>
  </si>
  <si>
    <t>1734597747_df6c657df2db09948add.jpg</t>
  </si>
  <si>
    <t>1734597909_8bded31518c4d339fcde.jpg</t>
  </si>
  <si>
    <t>1734598385_975112d37091c56cfb63.jpg</t>
  </si>
  <si>
    <t>TSCRD320</t>
  </si>
  <si>
    <t>1734599365_f8dea739a73e8332fb4f.jpg</t>
  </si>
  <si>
    <t>1734599401_eb0ed6f2129d59628f09.jpg</t>
  </si>
  <si>
    <t>1734599435_520fa285d91194eae00f.jpg</t>
  </si>
  <si>
    <t>TSCRD321</t>
  </si>
  <si>
    <t>1734599645_14e1c4c5d44eb62c9092.jpg</t>
  </si>
  <si>
    <t>1734599678_739aa7b14bf9fdbc3c04.jpg</t>
  </si>
  <si>
    <t>1734599706_7360d1ad49917fe74392.jpg</t>
  </si>
  <si>
    <t>TSCRD322</t>
  </si>
  <si>
    <t>1734600099_1c79182ed77cf385dcb5.jpg</t>
  </si>
  <si>
    <t>1734600125_fd565ffc0e9be8da97c1.jpg</t>
  </si>
  <si>
    <t>1734600155_c1f2180afdafaf19ea2d.jpg</t>
  </si>
  <si>
    <t>TSCRD323</t>
  </si>
  <si>
    <t>1734600255_42f6d4e071e72252cb41.jpg</t>
  </si>
  <si>
    <t>1734600288_e383dcaf2a8c26fceb39.jpg</t>
  </si>
  <si>
    <t>1734600322_f5a231ebf8e1f173c0cd.jpg</t>
  </si>
  <si>
    <t>TSCRD324</t>
  </si>
  <si>
    <t>1734600773_110d04877e820ff6e0c0.jpg</t>
  </si>
  <si>
    <t>1734600806_82f167f82f1c0d3ed82b.jpg</t>
  </si>
  <si>
    <t>1734600874_10bd85e7e2240bcd3653.jpg</t>
  </si>
  <si>
    <t>TSCRD325</t>
  </si>
  <si>
    <t>1734601002_30d6ce54ae38eea33043.jpg</t>
  </si>
  <si>
    <t>1734601037_938d4ea6f2739f726daa.jpg</t>
  </si>
  <si>
    <t>1734601070_dfcf0cd1cbce090a015c.jpg</t>
  </si>
  <si>
    <t>TSCRD326</t>
  </si>
  <si>
    <t>1734601158_892237aa6e935dafb090.jpg</t>
  </si>
  <si>
    <t>1734601192_e3ee3cf19f781074f08d.jpg</t>
  </si>
  <si>
    <t>1734601232_ba2dfa84d6cf70439398.jpg</t>
  </si>
  <si>
    <t>TSCRD327</t>
  </si>
  <si>
    <t>1734601386_374820dd0ada420de034.jpg</t>
  </si>
  <si>
    <t>1734601421_6dfc2730ec8f65fb1965.jpg</t>
  </si>
  <si>
    <t>1734601455_60e7321f9bd821e0014b.jpg</t>
  </si>
  <si>
    <t>TSCRD328</t>
  </si>
  <si>
    <t>1734601631_5bb2e38a68a3c8eb640c.jpg</t>
  </si>
  <si>
    <t>1734601660_37ebb307784763750c71.jpg</t>
  </si>
  <si>
    <t>1734601689_9205e9774152ac66564b.jpg</t>
  </si>
  <si>
    <t>TSCRD329</t>
  </si>
  <si>
    <t>1734601797_6c4e3324ab303d028109.jpg</t>
  </si>
  <si>
    <t>1734601833_ea329b07f8e1ef080065.jpg</t>
  </si>
  <si>
    <t>1734601867_09137eeee853ff3531d1.jpg</t>
  </si>
  <si>
    <t>TS205</t>
  </si>
  <si>
    <t>TSCRD205</t>
  </si>
  <si>
    <t>Software Solution</t>
  </si>
  <si>
    <t>1734608411_0dd0233a16897a3314d3.jpg</t>
  </si>
  <si>
    <t>Domain and Web Hosting</t>
  </si>
  <si>
    <t>1734608333_ddb5470cf5446e53c4d0.jpg</t>
  </si>
  <si>
    <t>Cloud Solution</t>
  </si>
  <si>
    <t>1734608360_57c4544ef566f717a1e5.jpg</t>
  </si>
  <si>
    <t>TS206</t>
  </si>
  <si>
    <t>TSCRD206</t>
  </si>
  <si>
    <t>1734608701_a25e202fda3645161603.jpg</t>
  </si>
  <si>
    <t>1734608726_c1503c611a642f77a22f.jpg</t>
  </si>
  <si>
    <t>1734608793_7f2be4fed1c5119c93f0.jpg</t>
  </si>
  <si>
    <t>1734608821_5dcf92f7b1c034ac4e1d.jpg</t>
  </si>
  <si>
    <t>1734608842_90c74b9a4336959f41b4.jpg</t>
  </si>
  <si>
    <t>1734608865_efdfb7cfa9c6fd97e161.jpeg</t>
  </si>
  <si>
    <t>1734608910_17e06c5a87e69af264b2.jpg</t>
  </si>
  <si>
    <t>1734608888_3715f5bb64364d396df6.jpg</t>
  </si>
  <si>
    <t>1734608928_c55c6211f0979a6a65c9.jpg</t>
  </si>
  <si>
    <t>1734608949_b46f4ed3fda4825932c2.jpg</t>
  </si>
  <si>
    <t>TS208</t>
  </si>
  <si>
    <t>TSCRD208</t>
  </si>
  <si>
    <t>TS150</t>
  </si>
  <si>
    <t>TSCRD150</t>
  </si>
  <si>
    <t>TS151</t>
  </si>
  <si>
    <t>TSCRD151</t>
  </si>
  <si>
    <t>Talent Solution</t>
  </si>
  <si>
    <t>1734625353_a53e257fa2f32a375065.jpg</t>
  </si>
  <si>
    <t>HR Consultancy</t>
  </si>
  <si>
    <t>1734625383_d3184d2ef601bfef322e.png</t>
  </si>
  <si>
    <t>Employee Life Cycle Management</t>
  </si>
  <si>
    <t>1734625396_52560a8a404a098c4d53.png</t>
  </si>
  <si>
    <t>Performance Management</t>
  </si>
  <si>
    <t>1734625414_4c1cfd15bb6ca24b3c34.png</t>
  </si>
  <si>
    <t>TS155</t>
  </si>
  <si>
    <t>TSCRD155</t>
  </si>
  <si>
    <t>1734876899_6fbc87f52e687c62f793.jpg</t>
  </si>
  <si>
    <t>1734876913_0d831d3a721a49cc5d48.jpg</t>
  </si>
  <si>
    <t>TS85</t>
  </si>
  <si>
    <t>TSCRD85</t>
  </si>
  <si>
    <t>1734666779_e495446a5845467d5be8.jpeg</t>
  </si>
  <si>
    <t>Check-ups</t>
  </si>
  <si>
    <t>1734666790_e726aeae24f6ebc7df09.jpeg</t>
  </si>
  <si>
    <t>Cosmetic Procedures</t>
  </si>
  <si>
    <t>1734666804_6615fb671b2956c79dd3.jpeg</t>
  </si>
  <si>
    <t>1734666818_49847478916e1020e09f.jpeg</t>
  </si>
  <si>
    <t>Dental Extraction</t>
  </si>
  <si>
    <t>1734666840_f11842aaac164c0a3c95.jpeg</t>
  </si>
  <si>
    <t>Filling and Sealant</t>
  </si>
  <si>
    <t>1734666851_5a370f47a75acf86e916.jpeg</t>
  </si>
  <si>
    <t>Mouth Guard</t>
  </si>
  <si>
    <t>1734666863_48a032f3440f801e08fd.jpeg</t>
  </si>
  <si>
    <t>Oral Surgery</t>
  </si>
  <si>
    <t>1734666876_839d98435a95bffc57c7.jpeg</t>
  </si>
  <si>
    <t>Root Canal</t>
  </si>
  <si>
    <t>1734666890_139faf820ed5ce9f5334.jpeg</t>
  </si>
  <si>
    <t>TS86</t>
  </si>
  <si>
    <t>TSCRD86</t>
  </si>
  <si>
    <t>1734667800_fa86605e1db2809021ed.png</t>
  </si>
  <si>
    <t>1734667857_887a7df23b828be2c49a.jpeg</t>
  </si>
  <si>
    <t>1734667888_52c57381c497370c837e.jpeg</t>
  </si>
  <si>
    <t>1734667902_65ae69bf56b86274d49a.jpeg</t>
  </si>
  <si>
    <t>1734667912_895cb386e48db84c8581.jpeg</t>
  </si>
  <si>
    <t>1734667923_2e3d9f619f902363f5a0.jpeg</t>
  </si>
  <si>
    <t>1734667934_d579757614a71648545a.jpeg</t>
  </si>
  <si>
    <t>1734667948_60ae41f825548551ad59.jpeg</t>
  </si>
  <si>
    <t>1734667961_d30a692a0cacdd281ff5.jpeg</t>
  </si>
  <si>
    <t>Gum Surgery</t>
  </si>
  <si>
    <t>1734668063_cca00e0980fbdb437106.jpeg</t>
  </si>
  <si>
    <t>Veneer and Crowns</t>
  </si>
  <si>
    <t>1734668046_4cd6f917fa6512ae14cc.jpeg</t>
  </si>
  <si>
    <t>Teeth Alligner / Invisible Braces</t>
  </si>
  <si>
    <t>1734668034_5d5ca5dfe98bfdffaf9e.jpeg</t>
  </si>
  <si>
    <t>TS87</t>
  </si>
  <si>
    <t>TSCRD87</t>
  </si>
  <si>
    <t>Social Media Marketing</t>
  </si>
  <si>
    <t>1734668607_719b464676dd39b5d3f8.jpg</t>
  </si>
  <si>
    <t>Branding</t>
  </si>
  <si>
    <t>1734668624_81088acb76043233f30a.jpg</t>
  </si>
  <si>
    <t>Brochure</t>
  </si>
  <si>
    <t>1734668642_c4f0075d6868a890eba5.jpg</t>
  </si>
  <si>
    <t>Packaging</t>
  </si>
  <si>
    <t>1734668653_85c892e80be34480a9b6.jpg</t>
  </si>
  <si>
    <t>Website Design</t>
  </si>
  <si>
    <t>1734668672_c422e30eebdcda5326c3.jpg</t>
  </si>
  <si>
    <t>Photography</t>
  </si>
  <si>
    <t>1734668684_d9fca96bff89ca17e2c8.jpg</t>
  </si>
  <si>
    <t>TS88</t>
  </si>
  <si>
    <t>TSCRD88</t>
  </si>
  <si>
    <t>1734669020_e695e5048d40a83543bf.jpg</t>
  </si>
  <si>
    <t>TS89</t>
  </si>
  <si>
    <t>TSCRD89</t>
  </si>
  <si>
    <t>Hand Painted</t>
  </si>
  <si>
    <t>1734669381_741520ada940e09966b6.jpg</t>
  </si>
  <si>
    <t>Handblock Painted Dress</t>
  </si>
  <si>
    <t>1734669394_ef0ecb92609556016487.jpg</t>
  </si>
  <si>
    <t>Handblock Painted Dress with Embroidery</t>
  </si>
  <si>
    <t>1734669447_1496859deef339ed538f.jpg</t>
  </si>
  <si>
    <t>TS90</t>
  </si>
  <si>
    <t>TSCRD90</t>
  </si>
  <si>
    <t>Counselling</t>
  </si>
  <si>
    <t>1734672120_94ec5c6abf4b15a06cd4.jpg</t>
  </si>
  <si>
    <t>Adolescent Counselling</t>
  </si>
  <si>
    <t>1734672132_03355d7c200dd35855bc.jpg</t>
  </si>
  <si>
    <t>Relationship Counselling</t>
  </si>
  <si>
    <t>1734672143_b883933f8d7b8e8d329f.jpg</t>
  </si>
  <si>
    <t>Behavioral Counselling</t>
  </si>
  <si>
    <t>1734672156_212028eed48b7b348f80.jpg</t>
  </si>
  <si>
    <t>FItness COunselling</t>
  </si>
  <si>
    <t>1734672173_373cb4e9bdf6a8f3a1d7.jpg</t>
  </si>
  <si>
    <t>Online Counselling</t>
  </si>
  <si>
    <t>1734672185_76d7ea5a92e186c1e102.jpg</t>
  </si>
  <si>
    <t>Career Guidance and Testing</t>
  </si>
  <si>
    <t>1734672222_47cb6c584d0cb89d3a8c.jpg</t>
  </si>
  <si>
    <t>TS91</t>
  </si>
  <si>
    <t>TSCRD91</t>
  </si>
  <si>
    <t>1734674756_aa66bc7be695f366c59a.jpg</t>
  </si>
  <si>
    <t>1734674767_8977fdaf2007644aca3d.jpg</t>
  </si>
  <si>
    <t>1734674779_1c5e0d2fac604a8630c2.jpg</t>
  </si>
  <si>
    <t>1734674797_4b31a87ba2f75e175cd4.jpg</t>
  </si>
  <si>
    <t>1734674812_75678ffb39471561a484.jpg</t>
  </si>
  <si>
    <t>1734674825_dae0e82e32353f47a166.jpg</t>
  </si>
  <si>
    <t>1734674837_856ee700819b0f545971.jpg</t>
  </si>
  <si>
    <t>TS92</t>
  </si>
  <si>
    <t>TSCRD92</t>
  </si>
  <si>
    <t>Accounting Services</t>
  </si>
  <si>
    <t>1734704752_f8d50aab311cbcc401c6.jpg</t>
  </si>
  <si>
    <t>Auditing and Assurance</t>
  </si>
  <si>
    <t>1734704765_fa4c520602f5f74369f4.jpg</t>
  </si>
  <si>
    <t>Tax Services</t>
  </si>
  <si>
    <t>1734704777_021b94e379ce857d3e45.jpg</t>
  </si>
  <si>
    <t>Services Under Company Law</t>
  </si>
  <si>
    <t>1734704788_d77455cf7fb67e7e8830.jpg</t>
  </si>
  <si>
    <t>Management Consultancy</t>
  </si>
  <si>
    <t>1734704804_c22616d7044fca978b29.jpg</t>
  </si>
  <si>
    <t>TS93</t>
  </si>
  <si>
    <t>TSCRD93</t>
  </si>
  <si>
    <t>Interior Designing</t>
  </si>
  <si>
    <t>1734705009_b7bcd842271d378c58d1.jpg</t>
  </si>
  <si>
    <t>Modular Kitchen</t>
  </si>
  <si>
    <t>1734705019_c99fa230d79574195220.jpg</t>
  </si>
  <si>
    <t>Home Makeover</t>
  </si>
  <si>
    <t>1734705031_abff402d69abb82ea814.jpg</t>
  </si>
  <si>
    <t>Commercial Projects</t>
  </si>
  <si>
    <t>1734705042_19f90c34568bfc475c96.jpg</t>
  </si>
  <si>
    <t>TS95</t>
  </si>
  <si>
    <t>TSCRD95</t>
  </si>
  <si>
    <t>1734705489_bb54ec37b37d41eb51dd.jpg</t>
  </si>
  <si>
    <t>TS96</t>
  </si>
  <si>
    <t>TSCRD96</t>
  </si>
  <si>
    <t>1734706043_627046cbba1b0fd49b83.jpg</t>
  </si>
  <si>
    <t>Craniosacral Therapy</t>
  </si>
  <si>
    <t>1734706055_db5572253c4503af42cc.jpg</t>
  </si>
  <si>
    <t>TS97</t>
  </si>
  <si>
    <t>TSCRD97</t>
  </si>
  <si>
    <t>Chartered Accountany</t>
  </si>
  <si>
    <t>1734706470_51f9559feac34a874fa2.png</t>
  </si>
  <si>
    <t>Audit</t>
  </si>
  <si>
    <t>1734706456_773282868895b384de1b.jpg</t>
  </si>
  <si>
    <t>TS98</t>
  </si>
  <si>
    <t>TSCRD98</t>
  </si>
  <si>
    <t>Business Startup</t>
  </si>
  <si>
    <t>1734706893_3bf33a73ecb0b59d2e87.jpg</t>
  </si>
  <si>
    <t>1734706904_2bbfaf5f7506ebf78301.jpg</t>
  </si>
  <si>
    <t>Taxation</t>
  </si>
  <si>
    <t>1734706925_bc0ab2661ce97eec0ebf.jpg</t>
  </si>
  <si>
    <t>Company Law</t>
  </si>
  <si>
    <t>1734706936_a501906a58ba1473c148.jpg</t>
  </si>
  <si>
    <t>1734706953_c4b771032058e111c9e8.jpg</t>
  </si>
  <si>
    <t>Bank Audit</t>
  </si>
  <si>
    <t>1734706962_35ea51e62a1a46d7347a.jpg</t>
  </si>
  <si>
    <t>TS171</t>
  </si>
  <si>
    <t>TSCRD171</t>
  </si>
  <si>
    <t>1734710887_1b08f993270d3e1f7bfa.jpeg</t>
  </si>
  <si>
    <t>1734710901_b53572d9c9fdf5e9ffc4.jpeg</t>
  </si>
  <si>
    <t>1734710914_8b86091b8edb32d80444.jpeg</t>
  </si>
  <si>
    <t>1734710932_9fce237250a7806954b8.jpeg</t>
  </si>
  <si>
    <t>1734710953_3b3ccb5f36b16ba4f985.jpeg</t>
  </si>
  <si>
    <t>1734711025_599c93dc0afc0981911b.jpeg</t>
  </si>
  <si>
    <t>1734711040_993fa2eeea419b3383a9.jpeg</t>
  </si>
  <si>
    <t>1734711054_e96340e565c45c568e0f.jpeg</t>
  </si>
  <si>
    <t>1734711072_ce8f2a47a30492591bb7.jpeg</t>
  </si>
  <si>
    <t>1734711084_8b9e58e9a1af8f309bc7.jpeg</t>
  </si>
  <si>
    <t>1734711097_82598c568a53865205d7.jpg</t>
  </si>
  <si>
    <t>1734711109_98987faa4861050cfe69.jpg</t>
  </si>
  <si>
    <t>TS172</t>
  </si>
  <si>
    <t>TSCRD172</t>
  </si>
  <si>
    <t>Setup For New Venture</t>
  </si>
  <si>
    <t>1734711836_c1835e59cf36d1839fa5.jpg</t>
  </si>
  <si>
    <t>Restructuring of Organization</t>
  </si>
  <si>
    <t>1734711847_b894dcd10f753bbf955e.jpg</t>
  </si>
  <si>
    <t>Secratrial Audits</t>
  </si>
  <si>
    <t>1734711858_8719245e833105557d82.jpg</t>
  </si>
  <si>
    <t>Corporate Advisory</t>
  </si>
  <si>
    <t>1734711870_8f60d2755e628fe3d775.jpg</t>
  </si>
  <si>
    <t>Issue of Digital Signature</t>
  </si>
  <si>
    <t>1734711884_8ef995e04cec3cb40b54.jpg</t>
  </si>
  <si>
    <t>Listing Compliance</t>
  </si>
  <si>
    <t>1734711906_b38cf1ecf13d0aeea446.jpg</t>
  </si>
  <si>
    <t>Charge Management</t>
  </si>
  <si>
    <t>1734711919_993ab12bcb551f91be65.jpg</t>
  </si>
  <si>
    <t>Annual FIlling</t>
  </si>
  <si>
    <t>1734711935_00ec8e3e1e3f9795f624.jpg</t>
  </si>
  <si>
    <t>Retainer Service</t>
  </si>
  <si>
    <t>1734711947_144319d4eea45405db5f.jpg</t>
  </si>
  <si>
    <t>National Company Law Tribunal Matters</t>
  </si>
  <si>
    <t>1734711958_210f29f09544022ec6ae.jpg</t>
  </si>
  <si>
    <t>TS173</t>
  </si>
  <si>
    <t>TSCRD173</t>
  </si>
  <si>
    <t>1734712649_3a5c86e06335551dfcec.jpeg</t>
  </si>
  <si>
    <t>1734712669_bdfea43f71419b867e01.jpeg</t>
  </si>
  <si>
    <t>1734712685_fae32a21b369981ed5d3.jpeg</t>
  </si>
  <si>
    <t>1734712696_03876d61b862319bfc11.jpeg</t>
  </si>
  <si>
    <t>Bay Leaf Ritual</t>
  </si>
  <si>
    <t>1734712710_ebb7a669a96ef35a1edd.jpeg</t>
  </si>
  <si>
    <t>Candle Healing</t>
  </si>
  <si>
    <t>1734712723_9cd1e48d63a68b10c18c.jpeg</t>
  </si>
  <si>
    <t>Yantra Making Expert</t>
  </si>
  <si>
    <t>1734712738_7ab9e8b16a75fd8ebfe6.jpeg</t>
  </si>
  <si>
    <t>Aura Cleaning</t>
  </si>
  <si>
    <t>1734712754_9da28299b18f4b48dab5.jpeg</t>
  </si>
  <si>
    <t>TS178</t>
  </si>
  <si>
    <t>TSCRD178</t>
  </si>
  <si>
    <t>Chemicals/Acids</t>
  </si>
  <si>
    <t>1734715934_e0c69177a2f1e80a7f7e.jpg</t>
  </si>
  <si>
    <t>TS181</t>
  </si>
  <si>
    <t>TSCRD181</t>
  </si>
  <si>
    <t>TS184</t>
  </si>
  <si>
    <t>TSCRD184</t>
  </si>
  <si>
    <t>TS182</t>
  </si>
  <si>
    <t>TSCRD182</t>
  </si>
  <si>
    <t>Refrigerator</t>
  </si>
  <si>
    <t>1734720448_ea8c169da1a6a5069337.jpg</t>
  </si>
  <si>
    <t>Air-Conditioner</t>
  </si>
  <si>
    <t>1734720459_5cfd2db0d3c0cb0c889c.jpg</t>
  </si>
  <si>
    <t>Air Coolers</t>
  </si>
  <si>
    <t>1734720472_a8579567baea121eab1b.jpg</t>
  </si>
  <si>
    <t>Television</t>
  </si>
  <si>
    <t>1734720483_cdcdb129a8b7884000d7.jpg</t>
  </si>
  <si>
    <t>Micro-ovens</t>
  </si>
  <si>
    <t>1734720494_660417d45f06aaac25fa.jpg</t>
  </si>
  <si>
    <t>Dish-Washer</t>
  </si>
  <si>
    <t>1734720510_0d45e5a3694da56041b0.jpg</t>
  </si>
  <si>
    <t>Washing Machine</t>
  </si>
  <si>
    <t>1734720520_094ca479143a276dd526.jpg</t>
  </si>
  <si>
    <t>TS197</t>
  </si>
  <si>
    <t>TSCRD197</t>
  </si>
  <si>
    <t>1734721430_29a561000c6780500959.jpeg</t>
  </si>
  <si>
    <t>Equity</t>
  </si>
  <si>
    <t>1734721444_aed40bc9366f750d73e9.jpeg</t>
  </si>
  <si>
    <t>1734721458_166be3ad5ccd79d86fca.jpeg</t>
  </si>
  <si>
    <t>1734721468_12214155b7a97f036fd3.png</t>
  </si>
  <si>
    <t>Bonds</t>
  </si>
  <si>
    <t>1734721480_b34bcfd286fd3cc97745.jpeg</t>
  </si>
  <si>
    <t>Nps</t>
  </si>
  <si>
    <t>1734721491_1c4a68f0a279609ef9ea.jpeg</t>
  </si>
  <si>
    <t>DIgital Will</t>
  </si>
  <si>
    <t>1734721504_ba01dbf50894e6623070.png</t>
  </si>
  <si>
    <t>TS54566</t>
  </si>
  <si>
    <t>TSCRD89437</t>
  </si>
  <si>
    <t>Test</t>
  </si>
  <si>
    <t>TS7199</t>
  </si>
  <si>
    <t>TSCRD76028</t>
  </si>
  <si>
    <t>Google Review Standee</t>
  </si>
  <si>
    <t>1734780075_62e33c242e992b13a8c2.jpeg</t>
  </si>
  <si>
    <t>TS195</t>
  </si>
  <si>
    <t>TSCRD195</t>
  </si>
  <si>
    <t>Cockroach Control</t>
  </si>
  <si>
    <t>1734841042_5587ecf6eb5886381dcd.png</t>
  </si>
  <si>
    <t>Bed Bug Control</t>
  </si>
  <si>
    <t>1734841052_acf89bcd3c4a83b10bf5.png</t>
  </si>
  <si>
    <t>Mosquito Control</t>
  </si>
  <si>
    <t>1734841064_bb4e1966218ce46f13dd.png</t>
  </si>
  <si>
    <t>Termite Control</t>
  </si>
  <si>
    <t>1734841030_ac8c24bc8711b69df46d.png</t>
  </si>
  <si>
    <t>Rat Control</t>
  </si>
  <si>
    <t>1734841074_1b2a05386e23b12176bd.jpg</t>
  </si>
  <si>
    <t>Bird Netting</t>
  </si>
  <si>
    <t>1734841084_261ed9eeb8ce368d1139.png</t>
  </si>
  <si>
    <t>Honey Bee Control</t>
  </si>
  <si>
    <t>1734841095_3a104dcb9bb66f51dadc.png</t>
  </si>
  <si>
    <t>1734841106_4c7fd18cad58941a1b07.png</t>
  </si>
  <si>
    <t>Manholes Treatment</t>
  </si>
  <si>
    <t>1734841116_9c20ba7556d029ecdf56.jpg</t>
  </si>
  <si>
    <t>Woodborer</t>
  </si>
  <si>
    <t>1734841132_59e1cf63be777eb1b78f.jpg</t>
  </si>
  <si>
    <t>1734841170_c104ff0d876042d34c4e.jpg</t>
  </si>
  <si>
    <t>Invisible Grill</t>
  </si>
  <si>
    <t>1734841180_9830f91ff518d2e80c7c.jpg</t>
  </si>
  <si>
    <t>TS201</t>
  </si>
  <si>
    <t>TSCRD201</t>
  </si>
  <si>
    <t>Mars 200 Polo Tshirt</t>
  </si>
  <si>
    <t>1734843560_6938440f800b71ce4e77.jpeg</t>
  </si>
  <si>
    <t>Face Computer Embroidery</t>
  </si>
  <si>
    <t>1734843578_f59f6a4d6b32c16e2b11.jpg</t>
  </si>
  <si>
    <t>Self Standee MS frame Standee</t>
  </si>
  <si>
    <t>1734847019_fe06fe850b9c11c985dc.jpeg</t>
  </si>
  <si>
    <t>Shopee Interior Work</t>
  </si>
  <si>
    <t>1734846991_cdf8e32843f4c9861adc.jpeg</t>
  </si>
  <si>
    <t>1734846961_1e683f9463e1f7f6dbdc.jpeg</t>
  </si>
  <si>
    <t>Hoarding Banner Print</t>
  </si>
  <si>
    <t>1734846977_d9e70e1aef896473544f.jpeg</t>
  </si>
  <si>
    <t>TS210</t>
  </si>
  <si>
    <t>TSCRD210</t>
  </si>
  <si>
    <t>Mobile Slings</t>
  </si>
  <si>
    <t>1734847925_b36b0dac7ab6cc627185.jpeg</t>
  </si>
  <si>
    <t>Mobile Lanyards</t>
  </si>
  <si>
    <t>1734847936_c3c988969701f65bc063.jpeg</t>
  </si>
  <si>
    <t>Hampers</t>
  </si>
  <si>
    <t>1734847947_05825f6b8aa9e0df6c89.jpeg</t>
  </si>
  <si>
    <t>TS258</t>
  </si>
  <si>
    <t>TSCRD258</t>
  </si>
  <si>
    <t>TS257</t>
  </si>
  <si>
    <t>TSCRD257</t>
  </si>
  <si>
    <t>TS250</t>
  </si>
  <si>
    <t>TSCRD250</t>
  </si>
  <si>
    <t>1734868253_c847369933def0f3fa3b.jpeg</t>
  </si>
  <si>
    <t>TS229</t>
  </si>
  <si>
    <t>TSCRD229</t>
  </si>
  <si>
    <t>Wallpaper</t>
  </si>
  <si>
    <t>1734871369_c064a0cddd83dbc4562c.jpg</t>
  </si>
  <si>
    <t>Flooring</t>
  </si>
  <si>
    <t>1734871298_c844dc0897da196dc055.jpeg</t>
  </si>
  <si>
    <t>Decorative</t>
  </si>
  <si>
    <t>1734871308_c75837bc458261839964.jpeg</t>
  </si>
  <si>
    <t>Blinds</t>
  </si>
  <si>
    <t>1734871317_353784d9e026353878d9.webp</t>
  </si>
  <si>
    <t>Laminates</t>
  </si>
  <si>
    <t>1734871328_73e5c082d8c72b80c437.jpeg</t>
  </si>
  <si>
    <t>Woods</t>
  </si>
  <si>
    <t>1734871337_d4155fab4b2adca5ab3e.jpeg</t>
  </si>
  <si>
    <t>TS212</t>
  </si>
  <si>
    <t>TSCRD212</t>
  </si>
  <si>
    <t>Charm Collection</t>
  </si>
  <si>
    <t>1734874439_64ac1f841946a58f2be3.jpg</t>
  </si>
  <si>
    <t>Crystal Collection</t>
  </si>
  <si>
    <t>1734874452_241bd11d08b474fec928.webp</t>
  </si>
  <si>
    <t>Embroidered Collection</t>
  </si>
  <si>
    <t>1734874651_5f994b7d25e90448a639.webp</t>
  </si>
  <si>
    <t>Mules(jutti) Collection</t>
  </si>
  <si>
    <t>1734874664_7429b72d4d1ad07dc271.webp</t>
  </si>
  <si>
    <t>Rhinestone Collection</t>
  </si>
  <si>
    <t>1734874675_471028c2b975e7f6e64a.webp</t>
  </si>
  <si>
    <t>shoes</t>
  </si>
  <si>
    <t>1734874687_e784c62e4262f33340f6.webp</t>
  </si>
  <si>
    <t>Stone Collection</t>
  </si>
  <si>
    <t>1734874700_58ddbf3b29e16653cef1.webp</t>
  </si>
  <si>
    <t>Western Collection</t>
  </si>
  <si>
    <t>1734874713_556ac59281cec2dd0d2d.webp</t>
  </si>
  <si>
    <t>Hairbands</t>
  </si>
  <si>
    <t>1734874725_b8320e5efe41c23fcec9.webp</t>
  </si>
  <si>
    <t>TS154</t>
  </si>
  <si>
    <t>TSCRD154</t>
  </si>
  <si>
    <t>1734877330_c517dfb72716d93a425b.jpg</t>
  </si>
  <si>
    <t>1734877342_4404683c422a3c148b79.jpg</t>
  </si>
  <si>
    <t>1734877358_99e6eff9b4b3cba3c819.jpg</t>
  </si>
  <si>
    <t>1734877369_393b00d9c6bcf0b7ed8f.jpg</t>
  </si>
  <si>
    <t>TS76</t>
  </si>
  <si>
    <t>TSCRD76</t>
  </si>
  <si>
    <t>TS42428</t>
  </si>
  <si>
    <t>TSCRD81889</t>
  </si>
  <si>
    <t>Caricature Card</t>
  </si>
  <si>
    <t>1735537952_a7940327a5ecd14606c5.jpg</t>
  </si>
  <si>
    <t>Social Connect Card</t>
  </si>
  <si>
    <t>1735538016_ad9bc7dee527ca5ac072.jpg</t>
  </si>
  <si>
    <t>Metal Nfc Business Card</t>
  </si>
  <si>
    <t>1735538096_537212ee97e4817cbc2c.jpg</t>
  </si>
  <si>
    <t>Engrave Nfc Metal Card</t>
  </si>
  <si>
    <t>1735538158_36d78f141a90628c5507.jpg</t>
  </si>
  <si>
    <t>TS58869</t>
  </si>
  <si>
    <t>TSCRD89593</t>
  </si>
  <si>
    <t>Pistachio Baklava</t>
  </si>
  <si>
    <t>1735905407_d4be9123739c18241fa6.jpg</t>
  </si>
  <si>
    <t>Chulha Pav Bhaji</t>
  </si>
  <si>
    <t>1735905483_4242098b379e61805849.jpg</t>
  </si>
  <si>
    <t>Veg Biryani</t>
  </si>
  <si>
    <t>1735905520_fff3498560bd007dab91.jpg</t>
  </si>
  <si>
    <t>TS176</t>
  </si>
  <si>
    <t>TSCRD176</t>
  </si>
  <si>
    <t>Smallcase</t>
  </si>
  <si>
    <t>1735914569_88a972667b8f98363f95.png</t>
  </si>
  <si>
    <t>Fixed Income Products</t>
  </si>
  <si>
    <t>1735914612_23c7e175929b1c6ccf9e.png</t>
  </si>
  <si>
    <t>NPS</t>
  </si>
  <si>
    <t>1735914649_33d4e7d3fdc1db787ecc.png</t>
  </si>
  <si>
    <t>Liquiloans</t>
  </si>
  <si>
    <t>1735914694_daf452cf37f136d590ca.png</t>
  </si>
  <si>
    <t>Properties</t>
  </si>
  <si>
    <t>1735914728_6afe9d5d1841252a872c.png</t>
  </si>
  <si>
    <t>Loans</t>
  </si>
  <si>
    <t>1735914767_38e8cf3c3ad75a6b24c1.png</t>
  </si>
  <si>
    <t>TSCRD49439</t>
  </si>
  <si>
    <t>KVAR Brandbook</t>
  </si>
  <si>
    <t>1736142714_28404aaee2c80a08afa8.jpg</t>
  </si>
  <si>
    <t>1736142845_8c8b253f73d3658197b6.jpg</t>
  </si>
  <si>
    <t>1736142897_ed8ddac8f0ed7fe50ced.jpg</t>
  </si>
  <si>
    <t>TS50143</t>
  </si>
  <si>
    <t>TSCRD26950</t>
  </si>
  <si>
    <t>Industrial Hardware</t>
  </si>
  <si>
    <t>1736250331_605dcf84428f0b014bc0.jpg</t>
  </si>
  <si>
    <t>TSCRD440</t>
  </si>
  <si>
    <t>Digital Profile</t>
  </si>
  <si>
    <t>1736324115_a926cfe745b8c5dc5894.jpeg</t>
  </si>
  <si>
    <t>PVC NFC Cards</t>
  </si>
  <si>
    <t>1736333280_5ddafac27c7bd8e06add.png</t>
  </si>
  <si>
    <t>Google review standee</t>
  </si>
  <si>
    <t>1736333292_85422cf64c80f1754918.png</t>
  </si>
  <si>
    <t>Multiple Qr Standee</t>
  </si>
  <si>
    <t>1736333377_7f7713f3c173330f3d92.png</t>
  </si>
  <si>
    <t>Platform Card</t>
  </si>
  <si>
    <t>1736333389_636d1f413b90c11d00c4.png</t>
  </si>
  <si>
    <t>TSCRD442</t>
  </si>
  <si>
    <t>TS35188</t>
  </si>
  <si>
    <t>TSCRD65269</t>
  </si>
  <si>
    <t>Caricature</t>
  </si>
  <si>
    <t>1736344483_fe0f3f40ca8049a32f56.jpeg</t>
  </si>
  <si>
    <t>TSCRD43</t>
  </si>
  <si>
    <t>1739182129_a373ca27963d8517469c.jpeg</t>
  </si>
  <si>
    <t>1739182156_4a4c73636f5db9c74e8e.jpeg</t>
  </si>
  <si>
    <t>1739182172_40190e9264007da6524c.jpeg</t>
  </si>
  <si>
    <t>1739182185_61afc25982e2af34a327.jpeg</t>
  </si>
  <si>
    <t>1739182196_64a21439c8b8b671317e.jpeg</t>
  </si>
  <si>
    <t>TSCRD55</t>
  </si>
  <si>
    <t>1736400412_be1d61b0ce1c82b74934.webp</t>
  </si>
  <si>
    <t>1736400422_eff623b306fd00ef340f.webp</t>
  </si>
  <si>
    <t>1736400434_10c895562d4632453084.webp</t>
  </si>
  <si>
    <t>TSCRD103</t>
  </si>
  <si>
    <t>1736415650_a88e3389738d485e5b67.jpeg</t>
  </si>
  <si>
    <t>1736415662_47811517d0e50fda36a3.jpeg</t>
  </si>
  <si>
    <t>1736415674_d6c9b6469c88be38fc6c.jpeg</t>
  </si>
  <si>
    <t>1736415687_edc67cd2c71f713d2cc8.jpeg</t>
  </si>
  <si>
    <t>1736415705_ee94ee21a3326b4dc13d.jpeg</t>
  </si>
  <si>
    <t>TS55017</t>
  </si>
  <si>
    <t>TSCRD30583</t>
  </si>
  <si>
    <t>Outdoor Furniture</t>
  </si>
  <si>
    <t>1736435896_4792bc39f26e46980f25.png</t>
  </si>
  <si>
    <t>Gazebo</t>
  </si>
  <si>
    <t>TS68385</t>
  </si>
  <si>
    <t>TSCRD18359</t>
  </si>
  <si>
    <t>Car</t>
  </si>
  <si>
    <t>1736444968_1ce66ffd0fbded9b68d8.jpeg</t>
  </si>
  <si>
    <t>1736445140_5aeff883b6f54bf866a3.jpeg</t>
  </si>
  <si>
    <t>1736445151_a632f4dd39ddd63db5a6.jpeg</t>
  </si>
  <si>
    <t>1736445161_f3300dbbfcfa64256fb9.jpeg</t>
  </si>
  <si>
    <t>Bikes</t>
  </si>
  <si>
    <t>1736445680_f83d1d9ef7099fec844c.jpeg</t>
  </si>
  <si>
    <t>1736445691_b72355d0a26295531547.webp</t>
  </si>
  <si>
    <t>1736445745_44e572222803bd7b4868.jpeg</t>
  </si>
  <si>
    <t>TS196</t>
  </si>
  <si>
    <t>TSCRD196</t>
  </si>
  <si>
    <t>Contracting of interior projects</t>
  </si>
  <si>
    <t>TS243</t>
  </si>
  <si>
    <t>TSCRD243</t>
  </si>
  <si>
    <t>TSCRD447</t>
  </si>
  <si>
    <t>1736492335_769ea8a0554e724fcaca.jpeg</t>
  </si>
  <si>
    <t>1736492346_96c9aafd6d34fe801dac.jpeg</t>
  </si>
  <si>
    <t>1736492357_c9198fb64246610efa25.jpeg</t>
  </si>
  <si>
    <t>1736492368_98f903ac191a3dabba81.jpeg</t>
  </si>
  <si>
    <t>1736492379_22e96b6eaf75dcef1828.jpeg</t>
  </si>
  <si>
    <t>1736495309_f25a2d1cb410ca49788e.jpg</t>
  </si>
  <si>
    <t>TS249</t>
  </si>
  <si>
    <t>TSCRD249</t>
  </si>
  <si>
    <t>Diary</t>
  </si>
  <si>
    <t>1736839556_4a82b458a49e87428237.jpg</t>
  </si>
  <si>
    <t>TS61695</t>
  </si>
  <si>
    <t>TSCRD4982</t>
  </si>
  <si>
    <t>PC Sinker ( 180+ GSM )</t>
  </si>
  <si>
    <t>TS34</t>
  </si>
  <si>
    <t>TSCRD34</t>
  </si>
  <si>
    <t>Residential Products</t>
  </si>
  <si>
    <t>1737173319_45cb9a9e9d04e0b958b4.png</t>
  </si>
  <si>
    <t>Commercial Products</t>
  </si>
  <si>
    <t>1737173333_2faf0c63d92ff9d9ff5d.png</t>
  </si>
  <si>
    <t>Industrial Products</t>
  </si>
  <si>
    <t>1737173346_ffefda1b59a35c1b03ad.png</t>
  </si>
  <si>
    <t>Fresh AIr &amp; Ventilation</t>
  </si>
  <si>
    <t>1737173359_10099f0e5cdd3b51ffed.png</t>
  </si>
  <si>
    <t>Indoor Air Quality &amp; Humidity</t>
  </si>
  <si>
    <t>1737173371_c9c71a3028cd97514b44.png</t>
  </si>
  <si>
    <t>TS20936</t>
  </si>
  <si>
    <t>TSCRD64801</t>
  </si>
  <si>
    <t>Samsung Crystal UHD TV</t>
  </si>
  <si>
    <t>1737273445_4f20089e827a3cb4945c.jpg</t>
  </si>
  <si>
    <t>Dell G16 Gaming Laptop</t>
  </si>
  <si>
    <t>1737273902_5f345fa5662a44703932.jpg</t>
  </si>
  <si>
    <t>Vivo V29 12GB/512GB 5G Dual Sim</t>
  </si>
  <si>
    <t>1737274049_596a069f26c90b51b95b.jpg</t>
  </si>
  <si>
    <t>Living Room Furniture</t>
  </si>
  <si>
    <t>1737274307_1d2aa59d9b654758762a.jpg</t>
  </si>
  <si>
    <t>Plastic Furniture</t>
  </si>
  <si>
    <t>1737274442_84c571b7faaca233f467.webp</t>
  </si>
  <si>
    <t>TS52121</t>
  </si>
  <si>
    <t>TSCRD86813</t>
  </si>
  <si>
    <t>1737391193_c8efdd8de87d43ee2c5b.jpeg</t>
  </si>
  <si>
    <t>Pvc Carricature Card</t>
  </si>
  <si>
    <t>1737398243_2cf47f8009658ba798b8.png</t>
  </si>
  <si>
    <t>1737398277_77bba9941aaf02990f78.png</t>
  </si>
  <si>
    <t>TS19321</t>
  </si>
  <si>
    <t>TSCRD17861</t>
  </si>
  <si>
    <t>Web Development Course</t>
  </si>
  <si>
    <t>1741006916_e2573b7b2001bbe26acd.png</t>
  </si>
  <si>
    <t>only social link</t>
  </si>
  <si>
    <t>https://card.tap-savvy.com/JAI-PANGAONKAR_BNI-TRIUMMPH/1363</t>
  </si>
  <si>
    <r>
      <rPr>
        <u/>
        <sz val="10"/>
        <rFont val="Arial"/>
        <scheme val="minor"/>
      </rPr>
      <t>jai@mockingbird.co.in</t>
    </r>
  </si>
  <si>
    <t>Triummph</t>
  </si>
  <si>
    <t>#D63838</t>
  </si>
  <si>
    <t>#F6F3F3</t>
  </si>
  <si>
    <t>https://www.instagram.com/mockingbirdstudios</t>
  </si>
  <si>
    <t xml:space="preserve"> https://www.facebook.com/MockingbirdStudiosIN/</t>
  </si>
  <si>
    <t>https://www.linkedin.com/company/2323940</t>
  </si>
  <si>
    <t xml:space="preserve"> https://www.youtube.com/@MockingbirdStudiosIN</t>
  </si>
  <si>
    <t>DOne</t>
  </si>
  <si>
    <t>https://card.tap-savvy.com/BNI-TRIUMMPH_AHAD-SHAIKH/1424</t>
  </si>
  <si>
    <r>
      <rPr>
        <u/>
        <sz val="10"/>
        <rFont val="Arial"/>
      </rPr>
      <t>shaikhabdulaahad250@gmail.com</t>
    </r>
  </si>
  <si>
    <t>Based in Mumbai, India the renowned manufacturer and supplier of hydraulic products, SN Hydraulics was established in the year 2012, and it went on to become sovereign in the industry by pioneering products that are unparalleled with their quality and world-class service.</t>
  </si>
  <si>
    <t>https://www.instagram.com/snhydraulics/</t>
  </si>
  <si>
    <t>https://www.facebook.com/snhydraulics</t>
  </si>
  <si>
    <t>https://www.linkedin.com/company/s-n-hydraulics/</t>
  </si>
  <si>
    <t>https://www.youtube.com/@snhydraulics</t>
  </si>
  <si>
    <t>done</t>
  </si>
  <si>
    <t>https://card.tap-savvy.com/BNI-TRIUMMPH_ANEREE-SATRA/1425</t>
  </si>
  <si>
    <r>
      <rPr>
        <u/>
        <sz val="10"/>
        <rFont val="Arial"/>
      </rPr>
      <t>studioaseventeen@gmail.com</t>
    </r>
  </si>
  <si>
    <t>Studio A'17: Boutique design studio specializing in high-rise planning, bungalow designing &amp; master planning. 3rd-gen real estate experts with tech-savvy approach &amp; construction management app QuickSO.</t>
  </si>
  <si>
    <t>https://www.studioa17.in/</t>
  </si>
  <si>
    <t>https://card.tap-savvy.com/BNI-TRIMMPH_AYUSHI-SHAH/1426</t>
  </si>
  <si>
    <r>
      <rPr>
        <u/>
        <sz val="10"/>
        <rFont val="Arial"/>
        <scheme val="minor"/>
      </rPr>
      <t>ayushishah36@gmail.com</t>
    </r>
  </si>
  <si>
    <t>https://card.tap-savvy.com/BNI-TRIUMMPH_DHVANIL-SHAH/1427</t>
  </si>
  <si>
    <r>
      <rPr>
        <u/>
        <sz val="10"/>
        <rFont val="Arial"/>
      </rPr>
      <t>goyam.dhvanil@gmail.com</t>
    </r>
  </si>
  <si>
    <t>300+ bungalows, 15+ high-rise redevelopments in Mumbai &amp; 3,00,000+ sqft construction area delivered. Your architectural partner for society redevelopment needs.</t>
  </si>
  <si>
    <t>-</t>
  </si>
  <si>
    <t>https://card.tap-savvy.com/BNI-TRIUMMPH_DINESH-SONI/1428</t>
  </si>
  <si>
    <r>
      <rPr>
        <u/>
        <sz val="10"/>
        <rFont val="Arial"/>
      </rPr>
      <t>dinesh@webinsight.in</t>
    </r>
  </si>
  <si>
    <t>DINESH SONI BNI TRIUMMPH</t>
  </si>
  <si>
    <t>Webinsight is an independent Web Development &amp; Digital Marketing Agency with the passion for crafting beautiful experiences.
We are based out of Vasai, a beautiful suburb near Mumbai, and our office is located in Mumbai, INDIA.</t>
  </si>
  <si>
    <t>https://www.webinsight.in/</t>
  </si>
  <si>
    <t>https://www.instagram.com/webinsightin</t>
  </si>
  <si>
    <t>https://www.facebook.com/WebinsightIn/</t>
  </si>
  <si>
    <t>https://www.linkedin.com/in/sonidinesh/</t>
  </si>
  <si>
    <t>https://card.tap-savvy.com/BNI-TRIUMMPH_ISHIKA-SHARMA/1429</t>
  </si>
  <si>
    <r>
      <rPr>
        <u/>
        <sz val="10"/>
        <rFont val="Arial"/>
        <scheme val="minor"/>
      </rPr>
      <t>ishika.sharma@nuvama.com</t>
    </r>
  </si>
  <si>
    <t>https://card.tap-savvy.com/BNI-TRIUMMPH_JALPA-SHAH/1430</t>
  </si>
  <si>
    <r>
      <rPr>
        <u/>
        <sz val="10"/>
        <rFont val="Arial"/>
        <scheme val="minor"/>
      </rPr>
      <t>jalppaashah.designs@gmail.com</t>
    </r>
  </si>
  <si>
    <t>https://card.tap-savvy.com/BNI-TRIUMMPH_KAPIL-VAID/1432</t>
  </si>
  <si>
    <r>
      <rPr>
        <u/>
        <sz val="10"/>
        <rFont val="Arial"/>
        <scheme val="minor"/>
      </rPr>
      <t>kapilvaid3177@gmail.com</t>
    </r>
  </si>
  <si>
    <t>https://card.tap-savvy.com/BNI-TRIUMMPH_KHUSHNAM-KARANJIA/1433</t>
  </si>
  <si>
    <r>
      <rPr>
        <u/>
        <sz val="10"/>
        <rFont val="Arial"/>
        <scheme val="minor"/>
      </rPr>
      <t>khushnam.zubin@gmail.com</t>
    </r>
  </si>
  <si>
    <t>KHUSHNAM KARANJIA BNI TRIUMMPH</t>
  </si>
  <si>
    <t>HOLISTIC WELLNESS PRACTITIONER</t>
  </si>
  <si>
    <t>Professional tarot reader from 4 years, ensures secrecy, corporate tarot and events experience.  Craniosacral therapy centre at Juhu for emotional and mental wellness.</t>
  </si>
  <si>
    <t>https://www.instagram.com/khushhnmkkaranjia/</t>
  </si>
  <si>
    <t>https://www.facebook.com/profile.php?id=61560908019609</t>
  </si>
  <si>
    <t>https://www.linkedin.com/in/khushnam-karanjia-b9114064/</t>
  </si>
  <si>
    <t>https://card.tap-savvy.com/BNI-TRIUMMPH_KRUPALI-MAHOREY/1435</t>
  </si>
  <si>
    <r>
      <rPr>
        <u/>
        <sz val="10"/>
        <rFont val="Arial"/>
        <scheme val="minor"/>
      </rPr>
      <t>cs.krupali@gmail.com</t>
    </r>
  </si>
  <si>
    <t>https://card.tap-savvy.com/BNI-TRIUMMPH_MEGHA-AGRAWWAL/1436</t>
  </si>
  <si>
    <r>
      <rPr>
        <u/>
        <sz val="10"/>
        <rFont val="Arial"/>
        <scheme val="minor"/>
      </rPr>
      <t>mna@mnaassociates.in</t>
    </r>
  </si>
  <si>
    <t>https://card.tap-savvy.com/BNI-TRIUMMPH_NAVEEN-UPADHYAY/1437</t>
  </si>
  <si>
    <r>
      <rPr>
        <u/>
        <sz val="10"/>
        <rFont val="sans-serif"/>
      </rPr>
      <t>tapsavvyofficial@gmail.com</t>
    </r>
  </si>
  <si>
    <t>e</t>
  </si>
  <si>
    <t>https://card.tap-savvy.com/BNI-TRIUMMPH_NEENA-JAMDADE/1438</t>
  </si>
  <si>
    <r>
      <rPr>
        <u/>
        <sz val="10"/>
        <rFont val="Arial"/>
        <scheme val="minor"/>
      </rPr>
      <t>neenajamdade@gmail.com</t>
    </r>
  </si>
  <si>
    <t>NJ Digit was founded by Neena Jamdade, a dynamic finance professional with an impressive background. A Commerce graduate and Finance postgraduate from Karnataka University, Neena has been a key contributor to the finance industry since 2012, holding pivotal roles at Asian Market BSE and Bajaj Allianz General Insurance Co. Ltd.</t>
  </si>
  <si>
    <t>http://www.njdigit.com/</t>
  </si>
  <si>
    <t>https://www.linkedin.com/in/neena-jamdade-70888941/?originalSubdomain=in</t>
  </si>
  <si>
    <t>https://card.tap-savvy.com/BNI-TRIUMMPH_NITIN-GHADGE/1440</t>
  </si>
  <si>
    <r>
      <rPr>
        <u/>
        <sz val="10"/>
        <rFont val="Arial"/>
        <scheme val="minor"/>
      </rPr>
      <t>airtechnitin@gmail.com</t>
    </r>
  </si>
  <si>
    <t>https://www.airtechpneumatics.com/</t>
  </si>
  <si>
    <t>https://card.tap-savvy.com/BNI-TRIUMMPH_PRIYANK-SANCHETI/1442</t>
  </si>
  <si>
    <r>
      <rPr>
        <u/>
        <sz val="10"/>
        <rFont val="Arial"/>
        <scheme val="minor"/>
      </rPr>
      <t>priyanksancheti@gmail.com</t>
    </r>
  </si>
  <si>
    <t>The firm M/s. Prince Pipara &amp; Associates is also associated with our firm. Mr. Prince Pipara is proprietor of the firm having experience in the field of GST, ROC matters, company incorporation, domestic taxation, scrutiny assessments and GST assessments.
The firm M/s. Ayush Surana &amp; Associates is also associated with our firm. Mr. Ayush Surana is proprietor of the firm having experience in the field of statutory audit, Tax audit, Internal audit, GST, ROC matters, company incorporation and domestic taxation.</t>
  </si>
  <si>
    <t>www.piparasancheti.com</t>
  </si>
  <si>
    <t>https://www.instagram.com/?hl=en</t>
  </si>
  <si>
    <t>https://www.facebook.com/home.php</t>
  </si>
  <si>
    <t>https://www.linkedin.com/feed/</t>
  </si>
  <si>
    <t>https://card.tap-savvy.com/BNI-TRIUMMPH_RAMSEVAK-VERMA/1443</t>
  </si>
  <si>
    <r>
      <rPr>
        <u/>
        <sz val="10"/>
        <rFont val="Arial"/>
      </rPr>
      <t>sales@deepcomputer.co.in</t>
    </r>
  </si>
  <si>
    <t>COMPUTER RETAILER</t>
  </si>
  <si>
    <t>http://www.deepcomputers.info/</t>
  </si>
  <si>
    <t>https://card.tap-savvy.com/BNI-TRIUMMPH_RINKAL-SHAH/1444</t>
  </si>
  <si>
    <r>
      <rPr>
        <u/>
        <sz val="10"/>
        <rFont val="Arial"/>
      </rPr>
      <t>rinkishah109@gmail.com</t>
    </r>
  </si>
  <si>
    <t>What if I tell you A typical adult makes 27 judgments a day &amp; each decision can take up to nine minutes, which adds up to a mind-numbing four hours lost in thought.  .  5D Healing &amp; Advance Brain Tunning fork Therapy is an effective healing modality which enables you find your BLOCKAGES, INNER CONNECT &amp; raise your ENERGY VIBRATIONS🧬 .   …it’s Time To   Redesign your DESTINY  So I am Rinkal K Shah  DNA Matrix 5D HEALER  5D Advance Brain Tunning fork Therapist  Business Healer  Akashic Reader &amp; Autowriter Karmic Numerologist  Property Vastu Dosh Healer</t>
  </si>
  <si>
    <t>https://card.tap-savvy.com/BNI-TRIUMMPH_RISHABH-CHAUDHARY/1446</t>
  </si>
  <si>
    <r>
      <rPr>
        <u/>
        <sz val="10"/>
        <rFont val="Arial"/>
        <scheme val="minor"/>
      </rPr>
      <t>rishabhdchaudhary@gmail.com</t>
    </r>
  </si>
  <si>
    <t>https://card.tap-savvy.com/BNI-TRIUMMPH_SAGAR-POOJARY/1451</t>
  </si>
  <si>
    <r>
      <rPr>
        <u/>
        <sz val="10"/>
        <rFont val="Arial"/>
        <scheme val="minor"/>
      </rPr>
      <t>support@sagarpoojary.com</t>
    </r>
  </si>
  <si>
    <t>https://card.tap-savvy.com/BNI-TRIUMMPH_DR.SANKET-BRAHMBHATT/1452</t>
  </si>
  <si>
    <t>contactus@dentalsuite.in</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</si>
  <si>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t>
  </si>
  <si>
    <t>https://dentalsuite.in/</t>
  </si>
  <si>
    <t>https://www.facebook.com/thedentalsuitemumbai</t>
  </si>
  <si>
    <t>https://card.tap-savvy.com/BNI-TRIUMMPH_SIMONE-DHANWANI/1454</t>
  </si>
  <si>
    <r>
      <rPr>
        <u/>
        <sz val="10"/>
        <rFont val="Arial"/>
      </rPr>
      <t>simonedhanwani@gmail.com</t>
    </r>
  </si>
  <si>
    <t>and soul, and so we aspire to keep</t>
  </si>
  <si>
    <t>https://card.tap-savvy.com/BNI-TRIUMMPH_SULAKSHANA-HEREKAR/1455</t>
  </si>
  <si>
    <r>
      <rPr>
        <u/>
        <sz val="10"/>
        <rFont val="Arial"/>
      </rPr>
      <t>sulakshana@3cheersads.com</t>
    </r>
  </si>
  <si>
    <t>you smiling, ALWAYS!!!</t>
  </si>
  <si>
    <t>https://www.instagram.com/3cheersads/?hl=en</t>
  </si>
  <si>
    <t>https://www.facebook.com/3CheersAds/</t>
  </si>
  <si>
    <t>https://www.linkedin.com/company/3cheers-films/about/</t>
  </si>
  <si>
    <t>https://card.tap-savvy.com/BNI-TRIUMMPH_SUNIL-AKHADE/1457</t>
  </si>
  <si>
    <r>
      <rPr>
        <u/>
        <sz val="10"/>
        <rFont val="Arial"/>
        <scheme val="minor"/>
      </rPr>
      <t>pestreliefservice21@gmail.com</t>
    </r>
  </si>
  <si>
    <t>At Pest Relief Services, we take pride in being a full-service professional pest control and bird netting corporation dedicated to safeguarding your health and property. Registered with the Government of Maharashtra under License Number LJID01015256 and located in the bustling city of Mumbai, India, Pest Relief Services has been a reliable name in the industry.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</si>
  <si>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https://card.tap-savvy.com/BNI-TRIUMMPH_ARUN-GUPTA/1460</t>
  </si>
  <si>
    <r>
      <rPr>
        <u/>
        <sz val="10"/>
        <rFont val="sans-serif"/>
      </rPr>
      <t>arungupta1211@yahoo.com</t>
    </r>
  </si>
  <si>
    <t>https://card.tap-savvy.com/BNI-TRIUMMPH_KUNAL-JAIN/1461</t>
  </si>
  <si>
    <r>
      <rPr>
        <u/>
        <sz val="10"/>
        <rFont val="sans-serif"/>
      </rPr>
      <t>kunalajain@gmail.com</t>
    </r>
  </si>
  <si>
    <t>https://card.tap-savvy.com/BNI-TRIUMMPH_SUMANTA-BANERJEE/1462</t>
  </si>
  <si>
    <r>
      <rPr>
        <u/>
        <sz val="10"/>
        <rFont val="Arial"/>
        <scheme val="minor"/>
      </rPr>
      <t>Sumanta.Banerjee@sceniccomm.in</t>
    </r>
  </si>
  <si>
    <t>https://www.instagram.com/sceniccommunication/</t>
  </si>
  <si>
    <t>https://www.facebook.com/Sceniccomm/</t>
  </si>
  <si>
    <t>https://www.linkedin.com/company/scenic-comm/</t>
  </si>
  <si>
    <t>https://card.tap-savvy.com/BNI-TRIUMMPH_MOIN-MISTRY/1463</t>
  </si>
  <si>
    <t xml:space="preserve">moinmistry87@gmail.com
</t>
  </si>
  <si>
    <t>Established in 2014, we, at A&amp;H Capital, have a singular goal, which is to fuel the ambitions of businesses in a fast-evolving economy. We provide financial backing that not only supports, but also drives business growth.</t>
  </si>
  <si>
    <t>https://www.instagram.com/ahcapital.in/</t>
  </si>
  <si>
    <t>https://www.facebook.com/ahcapital.in</t>
  </si>
  <si>
    <t>https://www.linkedin.com/company/a-h-capital/</t>
  </si>
  <si>
    <t>p</t>
  </si>
  <si>
    <t>product 1</t>
  </si>
  <si>
    <t>https://card.tap-savvy.com/NAYANA-OZA_BNI-LIGHTHOUSE/1345</t>
  </si>
  <si>
    <r>
      <rPr>
        <u/>
        <sz val="8"/>
        <rFont val="Arial"/>
      </rPr>
      <t>oza6365@gmail.com</t>
    </r>
  </si>
  <si>
    <t>Lighthouse</t>
  </si>
  <si>
    <t xml:space="preserve">At INFINITY INSURANCE we deal with all general insurance category which includes health insurance, motor insurance, fire, marine , burglary, property insurance </t>
  </si>
  <si>
    <t>https://card.tap-savvy.com/DR.ALPLESH-JAIN_BNI-LIGHTHOUSE/1261</t>
  </si>
  <si>
    <r>
      <rPr>
        <u/>
        <sz val="8"/>
        <rFont val="Arial"/>
        <scheme val="minor"/>
      </rPr>
      <t>dentocaresclinic@gmail.com</t>
    </r>
  </si>
  <si>
    <t xml:space="preserve">Dent O Cares </t>
  </si>
  <si>
    <t>alpeshjain2212@gmail.com</t>
  </si>
  <si>
    <t>www.dentocares.com</t>
  </si>
  <si>
    <r>
      <rPr>
        <u/>
        <sz val="8"/>
        <color rgb="FF1155CC"/>
        <rFont val="Arial"/>
      </rPr>
      <t>Shop no.3, Poonawala Bldg No.2, Opp Piramal Tower, Lower Parel, Mum - 400013.</t>
    </r>
  </si>
  <si>
    <t>https://www.instagram.com/dent_o_cares?igsh=NmZscjNqZGY5ODR0</t>
  </si>
  <si>
    <t>https://www.facebook.com/profile.php?id=100063710573123&amp;mibextid=ZbWKwL</t>
  </si>
  <si>
    <t xml:space="preserve">Teeth whitening </t>
  </si>
  <si>
    <t xml:space="preserve">Smile designing </t>
  </si>
  <si>
    <t xml:space="preserve">Dental Implant </t>
  </si>
  <si>
    <t xml:space="preserve">Braces &amp; Alignment </t>
  </si>
  <si>
    <t>https://card.tap-savvy.com/MAZIYA-CHANDIWALA_BNI-LIGHTHOUSE/1343</t>
  </si>
  <si>
    <r>
      <rPr>
        <u/>
        <sz val="8"/>
        <rFont val="Arial"/>
        <scheme val="minor"/>
      </rPr>
      <t>furniqueens@gmail.com</t>
    </r>
  </si>
  <si>
    <t xml:space="preserve">Queens Furniture is located at Buyculla , Mumbai with a space of 1500sqft with Inhouse carpentry, polish and paint services. We also provide other Interior services required for site completion. </t>
  </si>
  <si>
    <t>NA</t>
  </si>
  <si>
    <t>https://card.tap-savvy.com/RAJVI-SHAH_BNI-LIGHTHOUSE/1374</t>
  </si>
  <si>
    <r>
      <rPr>
        <u/>
        <sz val="8"/>
        <rFont val="sans-serif"/>
      </rPr>
      <t>nikhilshah83@gmail.com</t>
    </r>
  </si>
  <si>
    <t>DIGITAL MAGNUM</t>
  </si>
  <si>
    <t>Nikhil Shah Bni Lighthouse</t>
  </si>
  <si>
    <t xml:space="preserve">Digital Marketing
</t>
  </si>
  <si>
    <t xml:space="preserve">Rise Design is a full service interior design &amp; execution practice. We focus on tailoring personalised interior spaces that inspire &amp; enhance daily living. </t>
  </si>
  <si>
    <t>https://www.instagram.com/r1sedesign?igsh=MzB2d20waWVpeDN0</t>
  </si>
  <si>
    <t xml:space="preserve">Customised Bed and Side Tables with High Gloss Lamination </t>
  </si>
  <si>
    <t xml:space="preserve">Customised Swirl Sofa </t>
  </si>
  <si>
    <t>https://card.tap-savvy.com/MANISH-JAIN_BNI-LIGHTHOUSE/1330</t>
  </si>
  <si>
    <r>
      <rPr>
        <u/>
        <sz val="8"/>
        <rFont val="Arial"/>
      </rPr>
      <t>manish.tirthankar@yahoo.com</t>
    </r>
  </si>
  <si>
    <t>https://www.instagram.com/tirthankarinsurellp/</t>
  </si>
  <si>
    <t>https://www.facebook.com/tirthankarinsurellp</t>
  </si>
  <si>
    <t>https://www.linkedin.com/company/tirthankar-insure-llp/</t>
  </si>
  <si>
    <t>https://card.tap-savvy.com/VARUN-GINODIA_BNI-LIGHTHOUSE/1346</t>
  </si>
  <si>
    <r>
      <rPr>
        <u/>
        <sz val="8"/>
        <rFont val="Arial"/>
        <scheme val="minor"/>
      </rPr>
      <t>vginodia@gmail.com</t>
    </r>
  </si>
  <si>
    <t>Finance &amp; Insurance – Financial Advisor</t>
  </si>
  <si>
    <t>https://www.linkedin.com/in/varunginodia?utm_source=share&amp;utm_campaign=share_via&amp;utm_content=profile&amp;utm_medium=android_app</t>
  </si>
  <si>
    <t>https://card.tap-savvy.com/KETAN-JAIN_BNI-LIGHTHOUSE/1332</t>
  </si>
  <si>
    <r>
      <rPr>
        <u/>
        <sz val="8"/>
        <rFont val="Arial"/>
        <scheme val="minor"/>
      </rPr>
      <t>ketanbjain007@gmaiI.com</t>
    </r>
  </si>
  <si>
    <t>Klassic_mounts</t>
  </si>
  <si>
    <t>https://www.facebook.com/KlassicMounts?mibextid=ZbWKwL</t>
  </si>
  <si>
    <t xml:space="preserve">Bracelet </t>
  </si>
  <si>
    <t>https://card.tap-savvy.com/PRAKASH-KONAR_BNI-LIGHTHOUSE/1357</t>
  </si>
  <si>
    <r>
      <rPr>
        <u/>
        <sz val="8"/>
        <rFont val="Arial"/>
        <scheme val="minor"/>
      </rPr>
      <t>prakash.konar@gmail.com</t>
    </r>
  </si>
  <si>
    <t>Digital Printing</t>
  </si>
  <si>
    <t>4th floor modi house, bora bazar, fort, Mumbai, Maharashtra, India, 400001 .</t>
  </si>
  <si>
    <t>https://www.instagram.com/jm_brand_promotion/</t>
  </si>
  <si>
    <t>https://www.facebook.com/profile.php?id=61556303214244</t>
  </si>
  <si>
    <t>https://www.linkedin.com/company/100493003/admin/dashboard/</t>
  </si>
  <si>
    <t>https://card.tap-savvy.com/SOHIL-SHAH_BNI-LIGHTHOUSE/1344</t>
  </si>
  <si>
    <r>
      <rPr>
        <u/>
        <sz val="8"/>
        <rFont val="Arial"/>
        <scheme val="minor"/>
      </rPr>
      <t>sohilshah07@gmail.com</t>
    </r>
  </si>
  <si>
    <t>https://card.tap-savvy.com/AMI-DAMAANI_BNI-LIGHTHOUSE/1331</t>
  </si>
  <si>
    <r>
      <rPr>
        <u/>
        <sz val="8"/>
        <rFont val="sans-serif"/>
      </rPr>
      <t>ami_corals@yahoo.com</t>
    </r>
  </si>
  <si>
    <t xml:space="preserve">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 </t>
  </si>
  <si>
    <t>Chocolatoo</t>
  </si>
  <si>
    <t xml:space="preserve">Chocolato </t>
  </si>
  <si>
    <t xml:space="preserve">Almond rocks ,almond praline </t>
  </si>
  <si>
    <t xml:space="preserve">Diwali cracker chocolate </t>
  </si>
  <si>
    <t xml:space="preserve">Chocolate modak </t>
  </si>
  <si>
    <t xml:space="preserve">Assorted chocolates </t>
  </si>
  <si>
    <t>https://card.tap-savvy.com/SAUMYA-SANGHVI_BNI-LIGHTHOUSE/1334</t>
  </si>
  <si>
    <r>
      <rPr>
        <u/>
        <sz val="8"/>
        <rFont val="Arial"/>
        <scheme val="minor"/>
      </rPr>
      <t>sanghvisaumya99@gmail.com</t>
    </r>
  </si>
  <si>
    <t>Financial Investments</t>
  </si>
  <si>
    <t>www.linkedin.com/in/saumyasanghvi</t>
  </si>
  <si>
    <t>https://card.tap-savvy.com/DHRUVI-SHAH_BNI-LIGHTHOUSE/1356</t>
  </si>
  <si>
    <r>
      <rPr>
        <u/>
        <sz val="8"/>
        <rFont val="Arial"/>
        <scheme val="minor"/>
      </rPr>
      <t>dhruvi@rkvacations.com</t>
    </r>
  </si>
  <si>
    <t>https://www.instagram.com/rkvacations_mumbai/?igsh=OHR4OHIxenB0Nnc2</t>
  </si>
  <si>
    <t xml:space="preserve">ANDAMAN </t>
  </si>
  <si>
    <t>https://card.tap-savvy.com/DR.SACHIN-JAIN_BNI-LIGHTHOUSE/1328</t>
  </si>
  <si>
    <r>
      <rPr>
        <u/>
        <sz val="8"/>
        <rFont val="sans-serif"/>
      </rPr>
      <t>drsbjain@gmail.com</t>
    </r>
  </si>
  <si>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</si>
  <si>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https://www.instagram.com/ortho_cares?igsh=YWd3NXp5azAxb2Iw</t>
  </si>
  <si>
    <t>https://www.facebook.com/share/BHtVv9en8pGkJKQQ/?mibextid=qi2Omg</t>
  </si>
  <si>
    <t>knee pain  n replacement surgery</t>
  </si>
  <si>
    <t xml:space="preserve">Hip replacement </t>
  </si>
  <si>
    <t>https://card.tap-savvy.com/RAMESH-SAKPAL_BNI-LIGHTHOUSE/1341</t>
  </si>
  <si>
    <r>
      <rPr>
        <u/>
        <sz val="8"/>
        <rFont val="Arial"/>
        <scheme val="minor"/>
      </rPr>
      <t>sales@innoventaircon.com</t>
    </r>
  </si>
  <si>
    <t xml:space="preserve">Innovent Aircon ISO 9001 certified  HVAC Co. provide end 2 end solutions from design, estimation, execution to After Sales Service for VRV, Ductable,Chilled Water System, Small Duct High Velocity Systems ( SDHV) &amp; Ventilation Systems. </t>
  </si>
  <si>
    <t>https://card.tap-savvy.com/PULKIT-MARTWAL_BNI-LIGHTHOUSE/1338</t>
  </si>
  <si>
    <r>
      <rPr>
        <u/>
        <sz val="8"/>
        <rFont val="Arial"/>
        <scheme val="minor"/>
      </rPr>
      <t>vyomagaskincare@gmail.com</t>
    </r>
  </si>
  <si>
    <t>https://www.instagram.com/tryskinthirst?igsh=cm5kaHZ3MThkaHBo</t>
  </si>
  <si>
    <t>https://www.facebook.com/skinthirstofficial?mibextid=ZbWKwL</t>
  </si>
  <si>
    <t>https://www.linkedin.com/in/pulkit-martwal-55413911a?utm_source=share&amp;utm_campaign=share_via&amp;utm_content=profile&amp;utm_medium=android_app</t>
  </si>
  <si>
    <t>https://card.tap-savvy.com/KRISHNA-POPAT_BNI-LIGHTHOUSE/1337</t>
  </si>
  <si>
    <r>
      <rPr>
        <u/>
        <sz val="8"/>
        <rFont val="Arial"/>
      </rPr>
      <t>krishna@cskrishnap.com</t>
    </r>
  </si>
  <si>
    <t>Autograf</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</si>
  <si>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</si>
  <si>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https://card.tap-savvy.com/DIPESH-DOSHI_BNI-LIGHTHOUSE/1325</t>
  </si>
  <si>
    <r>
      <rPr>
        <u/>
        <sz val="8"/>
        <rFont val="Arial"/>
        <scheme val="minor"/>
      </rPr>
      <t>dipesh@innexus.in</t>
    </r>
  </si>
  <si>
    <t>https://www.instagram.com/in_nexus</t>
  </si>
  <si>
    <t>Smart locks</t>
  </si>
  <si>
    <t>Home Theatres, Wi-Fi Networking and Security solutions</t>
  </si>
  <si>
    <t>https://card.tap-savvy.com/RUCHI-JAIN_BNI-LIGHTHOUSE/1355</t>
  </si>
  <si>
    <r>
      <rPr>
        <u/>
        <sz val="8"/>
        <rFont val="Arial"/>
        <scheme val="minor"/>
      </rPr>
      <t>rachidjain@gmail.com</t>
    </r>
  </si>
  <si>
    <t xml:space="preserve">Cause we curate your dream living </t>
  </si>
  <si>
    <t>https://card.tap-savvy.com/MONALI-SANGHVI_BNI-LIGHTHOUSE/1340</t>
  </si>
  <si>
    <r>
      <rPr>
        <u/>
        <sz val="8"/>
        <rFont val="Arial"/>
        <scheme val="minor"/>
      </rPr>
      <t>monalishah0879@gmail.com</t>
    </r>
  </si>
  <si>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</si>
  <si>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https://www.instagram.com/thedecalhub?igsh=MW82aWQ0bHU2YWljdQ==</t>
  </si>
  <si>
    <t xml:space="preserve">Women wear </t>
  </si>
  <si>
    <t>https://card.tap-savvy.com/DR.HATIM-MERCHANT_BNI-LIGHTHOUSE/1333</t>
  </si>
  <si>
    <r>
      <rPr>
        <u/>
        <sz val="8"/>
        <rFont val="Arial"/>
      </rPr>
      <t>drhatimbni@gmail.com</t>
    </r>
  </si>
  <si>
    <t>https://www.instagram.com/monaliscouture?igsh=NTc4MTIwNjQ2YQ==</t>
  </si>
  <si>
    <t>https://www.facebook.com/share/128DELDd9Rq/</t>
  </si>
  <si>
    <t>https://card.tap-savvy.com/DEEPAK-JAIN_BNI-LIGHTHOUSE/1327</t>
  </si>
  <si>
    <r>
      <rPr>
        <u/>
        <sz val="8"/>
        <rFont val="sans-serif"/>
      </rPr>
      <t>dostienquiry@gmail.com</t>
    </r>
  </si>
  <si>
    <t>https://card.tap-savvy.com/DEVANSHI-SIDHPURA_BNI-LIGHTHOUSE/1329</t>
  </si>
  <si>
    <r>
      <rPr>
        <u/>
        <sz val="8"/>
        <rFont val="sans-serif"/>
      </rPr>
      <t>devanshi@neptune.in</t>
    </r>
  </si>
  <si>
    <t>https://card.tap-savvy.com/BHAVESH-JAIN_BNI-LIGHTHOUSE/1335</t>
  </si>
  <si>
    <r>
      <rPr>
        <u/>
        <sz val="8"/>
        <rFont val="Arial"/>
        <scheme val="minor"/>
      </rPr>
      <t>bhaveshjain940@gmail.com</t>
    </r>
  </si>
  <si>
    <t>Health &amp; Welness – Medical Services</t>
  </si>
  <si>
    <t>https://card.tap-savvy.com/AYUSH-LAHOTI_BNI-LIGHTHOUSE/1336</t>
  </si>
  <si>
    <r>
      <rPr>
        <u/>
        <sz val="8"/>
        <rFont val="sans-serif"/>
      </rPr>
      <t>ayushlahoti8@gmail.com</t>
    </r>
  </si>
  <si>
    <t>https://card.tap-savvy.com/NAYAN-PATEL_BNI-LIGHTHOUSE/1342</t>
  </si>
  <si>
    <r>
      <rPr>
        <u/>
        <sz val="8"/>
        <rFont val="sans-serif"/>
      </rPr>
      <t>cuttingedgelumbers@gmail.com</t>
    </r>
  </si>
  <si>
    <t>https://card.tap-savvy.com/YASH-JAIN_BNI-LIGHTHOUSE/1347</t>
  </si>
  <si>
    <r>
      <rPr>
        <u/>
        <sz val="8"/>
        <rFont val="sans-serif"/>
      </rPr>
      <t>yashjain.3232@gmail.com</t>
    </r>
  </si>
  <si>
    <t>https://card.tap-savvy.com/TRAPTI-KARIA_BNI-LIGHTHOUSE/1348</t>
  </si>
  <si>
    <r>
      <rPr>
        <u/>
        <sz val="8"/>
        <rFont val="sans-serif"/>
      </rPr>
      <t>karia.trapti@yahoo.in</t>
    </r>
  </si>
  <si>
    <t>In-Home Care</t>
  </si>
  <si>
    <t>https://card.tap-savvy.com/NITIN-BHANSALI_BNI-LIGHTHOUSE/1349</t>
  </si>
  <si>
    <r>
      <rPr>
        <u/>
        <sz val="8"/>
        <rFont val="Arial"/>
      </rPr>
      <t>nbhansali269@gmail.com</t>
    </r>
  </si>
  <si>
    <t>https://card.tap-savvy.com/VISHAL-CHANDRA_BNI-LIGHTHOUSE/1350</t>
  </si>
  <si>
    <r>
      <rPr>
        <u/>
        <sz val="8"/>
        <rFont val="Arial"/>
      </rPr>
      <t>sunbera999@gmail.com</t>
    </r>
  </si>
  <si>
    <t>Retail – Fine Jewelry</t>
  </si>
  <si>
    <t>Ground Floor, 15 Mulji jetha Market, Shaikh Memon Street, Kalbadevi, Mumbai, 400002.</t>
  </si>
  <si>
    <t>https://card.tap-savvy.com/MANISH-BALWANI_BNI-LIGHTHOUSE/1351</t>
  </si>
  <si>
    <r>
      <rPr>
        <u/>
        <sz val="8"/>
        <rFont val="Arial"/>
      </rPr>
      <t>manishbalwani.wealthmanagement@gmail.com</t>
    </r>
  </si>
  <si>
    <t>https://card.tap-savvy.com/ADITIYA-BIRLA_BNI-LIGHTHOUSE/1352</t>
  </si>
  <si>
    <r>
      <rPr>
        <u/>
        <sz val="8"/>
        <rFont val="sans-serif"/>
      </rPr>
      <t>birlaaditya@outlook.com</t>
    </r>
  </si>
  <si>
    <t>https://card.tap-savvy.com/VISHAL-LAHOTI_BNI-LIGHTHOUSE/1353</t>
  </si>
  <si>
    <r>
      <rPr>
        <u/>
        <sz val="8"/>
        <rFont val="sans-serif"/>
      </rPr>
      <t>vishallahoti80@yahoo.co.uk</t>
    </r>
  </si>
  <si>
    <t>https://card.tap-savvy.com/NUPEN-GANDHI_BNI-LIGHTHOUSE/1354</t>
  </si>
  <si>
    <r>
      <rPr>
        <u/>
        <sz val="8"/>
        <rFont val="sans-serif"/>
      </rPr>
      <t>hello@midogift.in</t>
    </r>
  </si>
  <si>
    <t>https://card.tap-savvy.com/NAGESH-MORE_BNI-LIGHTHOUSE/1358</t>
  </si>
  <si>
    <r>
      <rPr>
        <u/>
        <sz val="8"/>
        <rFont val="sans-serif"/>
      </rPr>
      <t>nagesh@stalagmite.in</t>
    </r>
  </si>
  <si>
    <t>https://card.tap-savvy.com/ABDEALI-CONTRACTOR_BNI-LIGHTHOUSE/1359</t>
  </si>
  <si>
    <r>
      <rPr>
        <u/>
        <sz val="8"/>
        <rFont val="sans-serif"/>
      </rPr>
      <t>info@allaboutweb.in</t>
    </r>
  </si>
  <si>
    <t>https://card.tap-savvy.com/AKASH-SHAH_BNI-LIGHTHOUSE/1360</t>
  </si>
  <si>
    <r>
      <rPr>
        <u/>
        <sz val="8"/>
        <rFont val="sans-serif"/>
      </rPr>
      <t>rnshahandassociates@gmail.com</t>
    </r>
  </si>
  <si>
    <t>VINAYAK ELECTRONICS</t>
  </si>
  <si>
    <t>https://card.tap-savvy.com/RAHUL-SHARMA_BNI-LIGHTHOUSE/1361</t>
  </si>
  <si>
    <r>
      <rPr>
        <u/>
        <sz val="8"/>
        <rFont val="sans-serif"/>
      </rPr>
      <t>contact@rahulsharmaphotography.com</t>
    </r>
  </si>
  <si>
    <t>https://card.tap-savvy.com/CHAITALI-THAKKAR_BNI-LIGHTHOUSE/1362</t>
  </si>
  <si>
    <r>
      <rPr>
        <u/>
        <sz val="8"/>
        <rFont val="Arial"/>
      </rPr>
      <t>risedesign09@gmail.com</t>
    </r>
  </si>
  <si>
    <t>Rajvi Shah Bni Lighthouse</t>
  </si>
  <si>
    <t>https://card.tap-savvy.com/SENUJ-JAIN_BNI-LIGHTHOUSE/1465</t>
  </si>
  <si>
    <t>JR JUELRYE</t>
  </si>
  <si>
    <t>Senuj Jain</t>
  </si>
  <si>
    <t>Silver Jewellery</t>
  </si>
  <si>
    <t>We at JUELRYE provide exclusive silver jewellery and articles with 92.5 purity. We also specialize in customized jewellery pieces.</t>
  </si>
  <si>
    <t>https://www.juelrye.in/</t>
  </si>
  <si>
    <t>Office Number 21, Floor 2, 166/168, Bhagwan CHS, Above Parekh Photo Studio, Zaveri Bazaar, Kalbadevi, Mumbai 400002</t>
  </si>
  <si>
    <t>1733460422_223d8c4733b2b3246c02.jpg</t>
  </si>
  <si>
    <t>1733466788_99fe893c6d3df0625599.png</t>
  </si>
  <si>
    <t>https://www.instagram.com/juelrye.in/profilecard/?igsh=eHh4NDFvb3dubWlo</t>
  </si>
  <si>
    <t>https://card.tap-savvy.com/TAHIR-QURESHI_BNI-LIGHTHOUSE/1466</t>
  </si>
  <si>
    <t>I m infra</t>
  </si>
  <si>
    <t>Tahir Qureshi</t>
  </si>
  <si>
    <t>Commercial Interior Contractor</t>
  </si>
  <si>
    <t>I M Infra Commercial Interior, established and nurtured by Tahir Qureshi, is a company with a 16-year legacy of transforming commercial spaces. With a commitment to innovative, functional, and aesthetically pleasing interiors, the company has built a reputation for excellence in the commercial interior domain. Specializing in tailored design solutions, I M Infra Commercial Interior has consistently delivered projects that not only meet clients’ functional needs but also enhance their brand’s identity and aesthetic appeal.</t>
  </si>
  <si>
    <t>Shayog industrial estate shop no 31 opp Sk stone Mira Bhayandar rd Mira road (E)</t>
  </si>
  <si>
    <t>1733466739_a8a23f142f3a1872c059.jpeg</t>
  </si>
  <si>
    <t>1733466739_77f5359eaf1ca0f0000a.png</t>
  </si>
  <si>
    <t>https://www.instagram.com/iminfra_interiors/profilecard/?igsh=MWowb2FlbGlyY2w2bA==</t>
  </si>
  <si>
    <t>https://card.tap-savvy.com/NIKITA-AGARWAL_BNI-LIGHTHOUSE/1467</t>
  </si>
  <si>
    <t>Aaradhya Diamonds</t>
  </si>
  <si>
    <t>Nikita Agarwal</t>
  </si>
  <si>
    <t>Jadau and Gemstones Jewellery</t>
  </si>
  <si>
    <t>Aaradhya Diamonds, a fourth-generation luxury jewelry brand specializing in heirloom pieces with natural polki, gemstones, and jadau.</t>
  </si>
  <si>
    <t>E 3/4 Purshottam Building, Opera House, Mumbai</t>
  </si>
  <si>
    <t>1733466654_fc8973fa23961463a6b6.jpeg</t>
  </si>
  <si>
    <t>1733466593_f10ec9431f2fe6ad57bf.png</t>
  </si>
  <si>
    <t>https://www.instagram.com/aaradhya_diamonds/profilecard/?igsh=MXB3cWY5dW52eGozMw==</t>
  </si>
  <si>
    <t>https://card.tap-savvy.com/MURTAZA-LAKDAWALA_BNI-LIGHTHOUSE/1468</t>
  </si>
  <si>
    <t>Multiplize Investment Services</t>
  </si>
  <si>
    <t>Murtaza Lakdawala</t>
  </si>
  <si>
    <t>We specialize in providing tailored investment solutions through Mutual Funds, designing personalized strategies that align with your financial goals while addressing your current financial needs.</t>
  </si>
  <si>
    <t>www.multiplize.com</t>
  </si>
  <si>
    <t>3/4 Loha Bhavan, Office No. 110/111, Victoria Docks, Mumbai Port Trust,Masjid Bunder, Mumbai - 400009</t>
  </si>
  <si>
    <t>1733467090_f23e0f7f474340a8e61b.jpeg</t>
  </si>
  <si>
    <t>1733467090_97ff7d4777e15949fa1f.png</t>
  </si>
  <si>
    <t>https://www.instagram.com/multiplizeinvestment/profilecard/?igsh=MWQzamFsODQ3YXA3NQ==</t>
  </si>
  <si>
    <t>https://www.facebook.com/profile.php?id=61561128345333&amp;mibextid=LQQJ4d</t>
  </si>
  <si>
    <t>https://card.tap-savvy.com/DR-PRASAD-KASBEKAR_BNI-LIGHTHOUSE/4793</t>
  </si>
  <si>
    <t>Sarvasva Health Services</t>
  </si>
  <si>
    <t>Dr Prasad Kasbekar</t>
  </si>
  <si>
    <t>Medical, Doctor</t>
  </si>
  <si>
    <t>Advanced Centre for Cancer Treatment, Rehabilitation and Ophthalmology. Provides high quality care using Artificial intelligence powered Cancer treatments including robotic surgery, 3D planning. Rehabilitation services including Prosthetics and Ophthalmology includes latest Procedures including Retina, Cataract, Lasik and cornea.</t>
  </si>
  <si>
    <t>www.sarvasvahealth.com</t>
  </si>
  <si>
    <t>15, Vincent Court, Dr Babasaheb Ambedkar road, opp chitra cinema, dadar east, Mumbai - 400014</t>
  </si>
  <si>
    <t>https://www.instagram.com/dr.prasadkasbekar/profilecard/?igsh=aXY0OTd3eGd0aDds</t>
  </si>
  <si>
    <t>https://www.facebook.com/share/18Qhs4XkLu/</t>
  </si>
  <si>
    <t>https://www.linkedin.com/in/drprasadkasbekar?utm_source=share&amp;utm_campaign=share_via&amp;utm_content=profile&amp;utm_medium=android_app</t>
  </si>
  <si>
    <t>https://card.tap-savvy.com/ANUJ-ANAND_BNI-LIGHTHOUSE/3174</t>
  </si>
  <si>
    <t>PurpleMediaWorks</t>
  </si>
  <si>
    <t>Anuj Anand</t>
  </si>
  <si>
    <t>Production House</t>
  </si>
  <si>
    <t>Our team of innovative Art Directors, inspiring Copywriters, enthusiastic Visualizers, Illustrators, Photographers, Film makers executes ideas beyond boundaries to help us be among the leading integrated agencies in India today. Commercials to Weddings to Events we cover it the best in the Industry.</t>
  </si>
  <si>
    <t>www.purplemediaworks.com</t>
  </si>
  <si>
    <t>https://www.instagram.com/purplemediaworks_/</t>
  </si>
  <si>
    <t>https://card.tap-savvy.com/DIPESH-CHOUBISA_BNI-LIGHTHOUSE/9922</t>
  </si>
  <si>
    <t>Meditva Healthcare</t>
  </si>
  <si>
    <t>Dipesh CHoubisa</t>
  </si>
  <si>
    <t>Medical equipments and senior care at home</t>
  </si>
  <si>
    <t>Meditva's 360-degree healthcare-at-home service offering includes: Home medical equipment: A full range of medical devices and supplies to meet your needs, including oxygen concentrators, C-Pap , Bi-Pap, mobility aids, incontinence products, and more. Geriatric senior care: Personalized care plans to support seniors with daily living activities, medication management, and chronic disease management. In-home staff: Experienced caregivers who provide assistance with personal medical care and companionship. On-site x-ray and ECG: Convenient and accessible medical imaging services performed at your home. With Meditva, you can confidently manage your health and treatment in the comfort of your own home, knowing that you have a team of experienced professionals dedicated to your well-being.</t>
  </si>
  <si>
    <t>www.meditva.com</t>
  </si>
  <si>
    <t>Ground Floor, Shah Veera Building, behind suryoday bank, Borla, Union Park, Chembur, Mumbai, Maharashtra 400071</t>
  </si>
  <si>
    <t>https://www.instagram.com/meditva_/</t>
  </si>
  <si>
    <t>https://card.tap-savvy.com/DR-ANAGHA-VIVEK-KHAROLKAR_BNI-LIGHTHOUSE/4182</t>
  </si>
  <si>
    <t>GRAS-I_SANJEEV-ZAVERI</t>
  </si>
  <si>
    <t>sz@grasi.in</t>
  </si>
  <si>
    <t>Sanjiv Zaveri</t>
  </si>
  <si>
    <t>Founder and Managing Director</t>
  </si>
  <si>
    <t>#c71616</t>
  </si>
  <si>
    <t>#f3eeee</t>
  </si>
  <si>
    <t>https://www.instagram.com/grasi.in/</t>
  </si>
  <si>
    <t>https://www.facebook.com/LLumarFilms</t>
  </si>
  <si>
    <t>https://www.linkedin.com/company/gras-%E2%80%93i-intelligent-surface-solutions/</t>
  </si>
  <si>
    <t>https://www.youtube.com/@llumarindia</t>
  </si>
  <si>
    <t>bz@grasi.in</t>
  </si>
  <si>
    <t>Binita  Zaveri</t>
  </si>
  <si>
    <t>akhilesh.m@grasi.in</t>
  </si>
  <si>
    <t>amol.p@grasi.in</t>
  </si>
  <si>
    <t>LLumar India - YouTube</t>
  </si>
  <si>
    <t>bhavesh.oza@grasi.in</t>
  </si>
  <si>
    <t>devang.r@grasi.in</t>
  </si>
  <si>
    <t>kc.mohan@grasi.in</t>
  </si>
  <si>
    <t>RSM architectural South</t>
  </si>
  <si>
    <t>pritesh@grasi.in</t>
  </si>
  <si>
    <t>accounts@grasi.in</t>
  </si>
  <si>
    <t>ssz@grasi.in</t>
  </si>
  <si>
    <t>shobbitzaveri@gmail.com</t>
  </si>
  <si>
    <t>ashok.singh@grasi.in</t>
  </si>
  <si>
    <t>siddhesh.k@grasi.in</t>
  </si>
  <si>
    <t>sandeep.arora@grasi.in</t>
  </si>
  <si>
    <t>ashutosh.c@grasi.in</t>
  </si>
  <si>
    <t>deepak.k@grasi.in</t>
  </si>
  <si>
    <t>ram.k@grasi.in</t>
  </si>
  <si>
    <t>kaustav.g@grasi.in</t>
  </si>
  <si>
    <t>prasad.k@grasi.in</t>
  </si>
  <si>
    <t>suriya.m@grasi.in</t>
  </si>
  <si>
    <t>dhirendra.k@grasi.in</t>
  </si>
  <si>
    <t>shivraj.s@grasi.in</t>
  </si>
  <si>
    <t>General</t>
  </si>
  <si>
    <t>Gift Card</t>
  </si>
  <si>
    <t>Kb@autologixindia.com</t>
  </si>
  <si>
    <t>mrbrownbearcarwash@gmail.com</t>
  </si>
  <si>
    <t>sales@alwaysdrynewdelhi.com</t>
  </si>
  <si>
    <t>info@detailingbull.com</t>
  </si>
  <si>
    <t>97601 37397</t>
  </si>
  <si>
    <t>alwaysdrylucknow@gmail.com</t>
  </si>
  <si>
    <t>sdautoworks5@gmail.com</t>
  </si>
  <si>
    <t>pitstopmultibrand@gmail.com</t>
  </si>
  <si>
    <t>Abhishekk.juneja@gmail.com</t>
  </si>
  <si>
    <t>Aseem.juneja86@gmail.com</t>
  </si>
  <si>
    <t>mithru.cp@gmail.com</t>
  </si>
  <si>
    <t>ankur@autograde.biz</t>
  </si>
  <si>
    <t>Sameer@prodetail.in</t>
  </si>
  <si>
    <t>98814 44445</t>
  </si>
  <si>
    <t>98603 32787</t>
  </si>
  <si>
    <t>info@autozville.com</t>
  </si>
  <si>
    <t>carcareautoclinic@gmail.com</t>
  </si>
  <si>
    <t>AUTOCLINIC</t>
  </si>
  <si>
    <t>Iscon-ambli road,beside-rajwadi tea stall,opp.vikram nagar, Ahmedabad, Gujarat 380058</t>
  </si>
  <si>
    <t>ritweeks@gmail.com</t>
  </si>
  <si>
    <t xml:space="preserve">95837 77567 </t>
  </si>
  <si>
    <t>sales@primecarcare.in</t>
  </si>
  <si>
    <t>poonamotors2009@gmail.com</t>
  </si>
  <si>
    <r>
      <rPr>
        <sz val="11"/>
        <color rgb="FF000000"/>
        <rFont val="Arial"/>
        <scheme val="minor"/>
      </rPr>
      <t>Aditya</t>
    </r>
    <r>
      <rPr>
        <sz val="11"/>
        <color rgb="FF000000"/>
        <rFont val="Arial"/>
        <scheme val="minor"/>
      </rPr>
      <t xml:space="preserve"> </t>
    </r>
    <r>
      <rPr>
        <sz val="11"/>
        <color rgb="FF000000"/>
        <rFont val="Arial"/>
        <scheme val="minor"/>
      </rPr>
      <t>Jaiswal</t>
    </r>
  </si>
  <si>
    <r>
      <rPr>
        <sz val="11"/>
        <color rgb="FF000000"/>
        <rFont val="Arial"/>
        <scheme val="minor"/>
      </rPr>
      <t>Manish</t>
    </r>
    <r>
      <rPr>
        <sz val="11"/>
        <color rgb="FF000000"/>
        <rFont val="Arial"/>
        <scheme val="minor"/>
      </rPr>
      <t xml:space="preserve"> </t>
    </r>
    <r>
      <rPr>
        <sz val="11"/>
        <color rgb="FF000000"/>
        <rFont val="Arial"/>
        <scheme val="minor"/>
      </rPr>
      <t>Gupta</t>
    </r>
  </si>
  <si>
    <r>
      <rPr>
        <sz val="11"/>
        <color rgb="FF000000"/>
        <rFont val="Arial"/>
        <scheme val="minor"/>
      </rPr>
      <t>Khailendra</t>
    </r>
    <r>
      <rPr>
        <sz val="11"/>
        <color rgb="FF000000"/>
        <rFont val="Arial"/>
        <scheme val="minor"/>
      </rPr>
      <t xml:space="preserve"> </t>
    </r>
    <r>
      <rPr>
        <sz val="11"/>
        <color rgb="FF000000"/>
        <rFont val="Arial"/>
        <scheme val="minor"/>
      </rPr>
      <t>Singh</t>
    </r>
  </si>
  <si>
    <r>
      <rPr>
        <sz val="11"/>
        <color rgb="FF000000"/>
        <rFont val="Arial"/>
        <scheme val="minor"/>
      </rPr>
      <t>Mohit</t>
    </r>
    <r>
      <rPr>
        <sz val="11"/>
        <color rgb="FF000000"/>
        <rFont val="Arial"/>
        <scheme val="minor"/>
      </rPr>
      <t xml:space="preserve"> </t>
    </r>
    <r>
      <rPr>
        <sz val="11"/>
        <color rgb="FF000000"/>
        <rFont val="Arial"/>
        <scheme val="minor"/>
      </rPr>
      <t>Jain</t>
    </r>
  </si>
  <si>
    <r>
      <rPr>
        <sz val="11"/>
        <color rgb="FF000000"/>
        <rFont val="Arial"/>
        <scheme val="minor"/>
      </rPr>
      <t>Vaibhav</t>
    </r>
    <r>
      <rPr>
        <sz val="11"/>
        <color rgb="FF000000"/>
        <rFont val="Arial"/>
        <scheme val="minor"/>
      </rPr>
      <t xml:space="preserve"> </t>
    </r>
    <r>
      <rPr>
        <sz val="11"/>
        <color rgb="FF000000"/>
        <rFont val="Arial"/>
        <scheme val="minor"/>
      </rPr>
      <t>Solanki</t>
    </r>
  </si>
  <si>
    <r>
      <rPr>
        <sz val="11"/>
        <color rgb="FF000000"/>
        <rFont val="Arial"/>
        <scheme val="minor"/>
      </rPr>
      <t>Harsh</t>
    </r>
    <r>
      <rPr>
        <sz val="11"/>
        <color rgb="FF000000"/>
        <rFont val="Arial"/>
        <scheme val="minor"/>
      </rPr>
      <t xml:space="preserve"> </t>
    </r>
    <r>
      <rPr>
        <sz val="11"/>
        <color rgb="FF000000"/>
        <rFont val="Arial"/>
        <scheme val="minor"/>
      </rPr>
      <t>Gandhi</t>
    </r>
  </si>
  <si>
    <r>
      <rPr>
        <sz val="11"/>
        <color theme="1"/>
        <rFont val="Arial"/>
        <scheme val="minor"/>
      </rPr>
      <t>Yamank</t>
    </r>
    <r>
      <rPr>
        <sz val="11"/>
        <color theme="1"/>
        <rFont val="Arial"/>
        <scheme val="minor"/>
      </rPr>
      <t xml:space="preserve"> </t>
    </r>
    <r>
      <rPr>
        <sz val="11"/>
        <color theme="1"/>
        <rFont val="Arial"/>
        <scheme val="minor"/>
      </rPr>
      <t>Pattidar</t>
    </r>
  </si>
  <si>
    <r>
      <rPr>
        <sz val="11"/>
        <color theme="1"/>
        <rFont val="Arial"/>
        <scheme val="minor"/>
      </rPr>
      <t>Jay</t>
    </r>
    <r>
      <rPr>
        <sz val="11"/>
        <color theme="1"/>
        <rFont val="Arial"/>
        <scheme val="minor"/>
      </rPr>
      <t xml:space="preserve"> </t>
    </r>
    <r>
      <rPr>
        <sz val="11"/>
        <color theme="1"/>
        <rFont val="Arial"/>
        <scheme val="minor"/>
      </rPr>
      <t>Devecha</t>
    </r>
  </si>
  <si>
    <r>
      <rPr>
        <sz val="11"/>
        <color theme="1"/>
        <rFont val="Arial"/>
        <scheme val="minor"/>
      </rPr>
      <t>Masoom</t>
    </r>
    <r>
      <rPr>
        <sz val="11"/>
        <color theme="1"/>
        <rFont val="Arial"/>
        <scheme val="minor"/>
      </rPr>
      <t xml:space="preserve"> </t>
    </r>
    <r>
      <rPr>
        <sz val="11"/>
        <color theme="1"/>
        <rFont val="Arial"/>
        <scheme val="minor"/>
      </rPr>
      <t>Shah</t>
    </r>
  </si>
  <si>
    <r>
      <rPr>
        <sz val="11"/>
        <color theme="1"/>
        <rFont val="Arial"/>
        <scheme val="minor"/>
      </rPr>
      <t>Subhojeet</t>
    </r>
    <r>
      <rPr>
        <sz val="11"/>
        <color theme="1"/>
        <rFont val="Arial"/>
        <scheme val="minor"/>
      </rPr>
      <t xml:space="preserve"> </t>
    </r>
    <r>
      <rPr>
        <sz val="11"/>
        <color theme="1"/>
        <rFont val="Arial"/>
        <scheme val="minor"/>
      </rPr>
      <t>Chaterjee</t>
    </r>
  </si>
  <si>
    <t>anchits073@gmail.com</t>
  </si>
  <si>
    <t>suyash.3nov@gmail.com</t>
  </si>
  <si>
    <t>sureshbajoria@yahoo.com</t>
  </si>
  <si>
    <t>md@mquik.in</t>
  </si>
  <si>
    <t>https://card.tap-savvy.com/BAJAJ-CAPITAL_AJAY-PARMAR/1388</t>
  </si>
  <si>
    <t>ajay.parmar@bajajcapital.com</t>
  </si>
  <si>
    <t>Bajaj</t>
  </si>
  <si>
    <t>+91 98203 53314</t>
  </si>
  <si>
    <t>#08152E</t>
  </si>
  <si>
    <t>#FDF9F9</t>
  </si>
  <si>
    <t>#D8D4D8</t>
  </si>
  <si>
    <t xml:space="preserve">https://www.linkedin.com/in/ajay-parmar-b424829?utm_source=share&amp;utm_campaign=share_via&amp;utm_content=profile&amp;utm_medium=android_app </t>
  </si>
  <si>
    <t>https://card.tap-savvy.com/BAJAJ-CAPITAL_AVRO-MUKERJI/1389</t>
  </si>
  <si>
    <t>avro.mukerji@bajajcapital.com</t>
  </si>
  <si>
    <t xml:space="preserve">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
</t>
  </si>
  <si>
    <t>+91 91671 42325</t>
  </si>
  <si>
    <t>https://www.linkedin.com/in/avro-mukerji-48557421/</t>
  </si>
  <si>
    <t>https://card.tap-savvy.com/BAJAJ-CAPITAL_BULBUL-AGRAWAL/1390</t>
  </si>
  <si>
    <t>bulbul.agrawal@bajajcapital.com</t>
  </si>
  <si>
    <t xml:space="preserve">Bulbul Agrawal has an experience of over 12 years while working with being Kotak Mahindra Bank, RBL and Standard Charted Bank.  My last assignment was with DBS in the corporate banking segment. </t>
  </si>
  <si>
    <t>+91 99308 74875</t>
  </si>
  <si>
    <t>https://www.linkedin.com/in/bulbul-agrawal-2a81401a/</t>
  </si>
  <si>
    <t>https://card.tap-savvy.com/BAJAJ-CAPITAL_DHAVAL-VASAVADA/1391</t>
  </si>
  <si>
    <t>dhaval.vasavada@bajajcapital.com</t>
  </si>
  <si>
    <t xml:space="preserve">Dhaval Vasavada </t>
  </si>
  <si>
    <t xml:space="preserve">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
</t>
  </si>
  <si>
    <t>+91 99251 19995</t>
  </si>
  <si>
    <t>Bajaj Capital Limited.
502, Shivalik Shilp - II, Opp ITC Narmada, 
Near Mansi Crossroads, Satellite, 
Ahmedabad - 380015, Gujarat</t>
  </si>
  <si>
    <t>www.linkedin.com/in/dhaval-vasavada-30859a19</t>
  </si>
  <si>
    <t>https://card.tap-savvy.com/BAJAJ-CAPITAL_GAURAV-SINGH/1392</t>
  </si>
  <si>
    <t>gaurav.singh1@bajajcapital.com</t>
  </si>
  <si>
    <t xml:space="preserve">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
</t>
  </si>
  <si>
    <t>+91 98671 04247</t>
  </si>
  <si>
    <t>Bajaj Capital , WeWork India Management - GF, 264-265, Dr Annie Besant Rd, Municipal Colony, Worli Shivaji Nagar, Worli, Mumbai</t>
  </si>
  <si>
    <t>https://www.linkedin.com/in/gaurav-singh-68370910/</t>
  </si>
  <si>
    <t>https://card.tap-savvy.com/BAJAJ-CAPITAL_HANUMANTHA-RAO/1393</t>
  </si>
  <si>
    <t>hanumantha.rao@bajajcapital.com</t>
  </si>
  <si>
    <t xml:space="preserve">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 
</t>
  </si>
  <si>
    <t>88841 77414</t>
  </si>
  <si>
    <t>Wework Galaxy, Residency Road, Shanthala Nagar Ashok Nagar, Bangalore- 560025</t>
  </si>
  <si>
    <t>https://www.linkedin.com/in/hanumantha-rao-n-cpwm%E2%84%A2-ciwm%E2%84%A2-59397643/</t>
  </si>
  <si>
    <t>https://card.tap-savvy.com/BAJAJ-CAPITAL_HIMANSHU-SAXENA/1394</t>
  </si>
  <si>
    <t>himanshu.saxena@bajajcapital.com</t>
  </si>
  <si>
    <t xml:space="preserve">HIMANSHU SAXENA </t>
  </si>
  <si>
    <t xml:space="preserve">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
Linked in - https://www.linkedin.com/in/himanshu-saxena-b01571118?utm_source=share&amp;utm_campaign=share_via&amp;utm_content=profile&amp;utm_medium=ios_app
</t>
  </si>
  <si>
    <t>+91 94570 57008</t>
  </si>
  <si>
    <t>https://www.linkedin.com/in/himanshu-saxena-b01571118/</t>
  </si>
  <si>
    <t>https://card.tap-savvy.com/BAJAJ-CAPITAL_JAYANT-GANGULY/1395</t>
  </si>
  <si>
    <t>jayant.ganguly@bajajcapital.com</t>
  </si>
  <si>
    <t xml:space="preserve">Jayant Ganguly </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</si>
  <si>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</si>
  <si>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+917289099961</t>
  </si>
  <si>
    <t>https://www.linkedin.com/in/jayant-ganguly-17466251?trk=contact-info</t>
  </si>
  <si>
    <t>https://card.tap-savvy.com/BAJAJ-CAPITAL_JINESH-NAIR/1396</t>
  </si>
  <si>
    <t>jinesh.nair@bajajcapital.com</t>
  </si>
  <si>
    <t xml:space="preserve">Jines has a rich experience of 17 years Banking and Wealth Management where he has headed south regions and clusters.. His Last Stint was with Yes bank heading the largest branch in South.
</t>
  </si>
  <si>
    <t>https://www.linkedin.com/in/jinesh-nair-49875012/</t>
  </si>
  <si>
    <t>https://card.tap-savvy.com/BAJAJ-CAPITAL_KALPESH-DAVE/1397</t>
  </si>
  <si>
    <t>kalpesh.dave@bajajcapital.com</t>
  </si>
  <si>
    <t xml:space="preserve">Kalpesh Dave </t>
  </si>
  <si>
    <t>https://www.linkedin.com/in/kalpeshdave-domainexpert-investments/</t>
  </si>
  <si>
    <t>https://card.tap-savvy.com/BAJAJ-CAPITAL_KARAN-CHETRY/1398</t>
  </si>
  <si>
    <t>karan.chetry@bajajcapital.com</t>
  </si>
  <si>
    <t>https://www.linkedin.com/in/karan-chetry-83891194/</t>
  </si>
  <si>
    <t>https://card.tap-savvy.com/BAJAJ-CAPITAL_KARAN-RAJGARHIA/1399</t>
  </si>
  <si>
    <t>karan.rajgarhia@bajajcapital.com</t>
  </si>
  <si>
    <t xml:space="preserve">Karan Rajgarhia </t>
  </si>
  <si>
    <t xml:space="preserve">With More than 2 decades of experience and having worked with companies like IIFL &amp; Motilal karan has an extensive knowledge in Securitues/Mutual Fund Space. </t>
  </si>
  <si>
    <t>+91 98313 41166</t>
  </si>
  <si>
    <t>https://www.linkedin.com/in/karan-rajgarhia-303a511/</t>
  </si>
  <si>
    <t>https://card.tap-savvy.com/BAJAJ-CAPITAL_MEGHA-UPADHYAY/1400</t>
  </si>
  <si>
    <t>megha.upadhyay@bajajcapital.com</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</si>
  <si>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</si>
  <si>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+91 98253 28252</t>
  </si>
  <si>
    <t>linkedin.com/in/megha-upadhyay-30a86411</t>
  </si>
  <si>
    <t>https://card.tap-savvy.com/BAJAJ-CAPITAL_MOUSHUMI-ROY/1401</t>
  </si>
  <si>
    <t>moushumi.roy@bajajcapital.com</t>
  </si>
  <si>
    <t xml:space="preserve">Moushumi Roy </t>
  </si>
  <si>
    <t xml:space="preserve">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 
</t>
  </si>
  <si>
    <t>+91 98103 98781</t>
  </si>
  <si>
    <t>White House, GF, FF, NBCC Tower, Global Foyer, Sector 5, Pushp Vihar, New Delhi, Delhi 110017</t>
  </si>
  <si>
    <t>http://www.linkedin.com/in/moushumiroy2712</t>
  </si>
  <si>
    <t>https://card.tap-savvy.com/BAJAJ-CAPITAL_MOUSHUMI-TIWARY/1402</t>
  </si>
  <si>
    <t>moushumi.tiwary@bajajcapital.com</t>
  </si>
  <si>
    <t xml:space="preserve">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
</t>
  </si>
  <si>
    <t>https://www.linkedin.com/in/moushumi-tiwary-91b671bb?utm_source=share&amp;utm_campaign=share_via&amp;utm_content=profile&amp;utm_medium=android_app</t>
  </si>
  <si>
    <t>https://card.tap-savvy.com/BAJAJ-CAPITAL_NAGESH-TIWARI/1403</t>
  </si>
  <si>
    <t>nagesh.tiwari@bajajcapital.com</t>
  </si>
  <si>
    <t xml:space="preserve">With More than 2 decades of experience and having worked with companies like ICICI &amp; Realiance Securities, Nagesh has an extensive knowledge in Securitues/Mutual Fund Space. </t>
  </si>
  <si>
    <t>+91 99677 55818</t>
  </si>
  <si>
    <t>https://www.linkedin.com/in/nagesh-t-175baa48/?utm_source=share&amp;utm_campaign=share_via&amp;utm_content=profile&amp;utm_medium=ios_app</t>
  </si>
  <si>
    <t>https://card.tap-savvy.com/BAJAJ-CAPITAL_NEHA-TALWAR/1404</t>
  </si>
  <si>
    <t>neha.bipin@bajajcapital.com</t>
  </si>
  <si>
    <t xml:space="preserve">Neha Talwar </t>
  </si>
  <si>
    <t xml:space="preserve">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
</t>
  </si>
  <si>
    <t>+91 98206 89514</t>
  </si>
  <si>
    <t xml:space="preserve">https://www.linkedin.com/in/neha-talwar-317632125?utm_source=share&amp;utm_campaign=share_via&amp;utm_content=profile&amp;utm_medium=ios_app </t>
  </si>
  <si>
    <t>https://card.tap-savvy.com/BAJAJ-CAPITAL_NIRAJ-KUMAR/1405</t>
  </si>
  <si>
    <t>niraj.kumar@bajajcapital.com</t>
  </si>
  <si>
    <t xml:space="preserve">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
</t>
  </si>
  <si>
    <t>www.linkedin.com/in/niraj-kumar-नीरज-कुमर-49793230</t>
  </si>
  <si>
    <t>https://card.tap-savvy.com/BAJAJ-CAPITAL_NITIN-KALE/1406</t>
  </si>
  <si>
    <t>nitin.kale@bajajcapital.com</t>
  </si>
  <si>
    <t>https://www.linkedin.com/in/nitin-kale-b70614250?utm_source=share&amp;utm_campaign=share_via&amp;utm_content=profile&amp;utm_medium=android_app</t>
  </si>
  <si>
    <t>https://card.tap-savvy.com/BAJAJ-CAPITAL_NIZAMUDDIN-QUTUBUDDIN/1407</t>
  </si>
  <si>
    <t>nizamuddin.qutubuddin@bajajcapital.com</t>
  </si>
  <si>
    <t xml:space="preserve">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
</t>
  </si>
  <si>
    <t>https://www.linkedin.com/in/nizamuddin-qutubuddin-6a15725b?utm_source=share&amp;utm_campaign=share_via&amp;utm_content=profile&amp;utm_medium=android_app</t>
  </si>
  <si>
    <t>https://card.tap-savvy.com/BAJAJ-CAPITAL_PRERAK-DESAI/1408</t>
  </si>
  <si>
    <t>prerak.desai@bajajcapital.com</t>
  </si>
  <si>
    <t>+91 97247 49331</t>
  </si>
  <si>
    <t xml:space="preserve"> https://www.linkedin.com/in/prerakdipakdesaii</t>
  </si>
  <si>
    <t>https://card.tap-savvy.com/BAJAJ-CAPITAL_SANDEEP-ANANT-AMBEKAR/1409</t>
  </si>
  <si>
    <t>sandeep.ambekar@bajajcapital.com</t>
  </si>
  <si>
    <t xml:space="preserve">Sandeep Anant Ambekar </t>
  </si>
  <si>
    <t xml:space="preserve">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
</t>
  </si>
  <si>
    <t>+91 99300 71015</t>
  </si>
  <si>
    <t>https://www.linkedin.com/in/sandeep-ambekar-106831210/</t>
  </si>
  <si>
    <t>https://card.tap-savvy.com/BAJAJ-CAPITAL_SANGRAM-MOHANTY/1410</t>
  </si>
  <si>
    <t>sangram.mohanty@bajajcapital.com</t>
  </si>
  <si>
    <t xml:space="preserve">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
</t>
  </si>
  <si>
    <t>https://www.linkedin.com/in/sangram-mohanty-88461239?utm_source=share&amp;utm_campaign=share_via&amp;utm_content=profile&amp;utm_medium=android_app</t>
  </si>
  <si>
    <t>https://card.tap-savvy.com/BAJAJ-CAPITAL_SANJAY-MISHRA/1411</t>
  </si>
  <si>
    <t>sanjay.mishra@bajajcapital.com</t>
  </si>
  <si>
    <t xml:space="preserve">Sanjay Mishra </t>
  </si>
  <si>
    <t xml:space="preserve">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
</t>
  </si>
  <si>
    <t>+91 99992 27067</t>
  </si>
  <si>
    <t>https://www.linkedin.com/in/sanjay-mishra-b3079738/</t>
  </si>
  <si>
    <t>https://card.tap-savvy.com/BAJAJ-CAPITAL_SANJEEV-MAHESHWARI/1412</t>
  </si>
  <si>
    <t>sanjeevm@bajajcapital.com</t>
  </si>
  <si>
    <t xml:space="preserve">Bajaj House, 5th Floor, Nehru Place, Delhi </t>
  </si>
  <si>
    <t>https://www.linkedin.com/in/sanjeev-maheshwari-44189553?utm_source=share&amp;utm_campaign=share_via&amp;utm_content=profile&amp;utm_medium=android_app</t>
  </si>
  <si>
    <t>https://card.tap-savvy.com/BAJAJ-CAPITAL_SATIS-MONGA/1413</t>
  </si>
  <si>
    <t>satis.monga@bajajcapital.com</t>
  </si>
  <si>
    <t xml:space="preserve">Satis Monga </t>
  </si>
  <si>
    <t xml:space="preserve">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
</t>
  </si>
  <si>
    <t>+91 98112 92067</t>
  </si>
  <si>
    <t>https://www.linkedin.com/in/satismonga?utm_source=share&amp;utm_campaign=share_via&amp;utm_content=profile&amp;utm_medium=android_app</t>
  </si>
  <si>
    <t>https://card.tap-savvy.com/BAJAJ-CAPITAL_SAURABH-BHARGAVA/1414</t>
  </si>
  <si>
    <t>saurabh.bhargava@bajajcapital.com</t>
  </si>
  <si>
    <t xml:space="preserve">Saurabh Bhargava </t>
  </si>
  <si>
    <t xml:space="preserve">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
</t>
  </si>
  <si>
    <t>+91 98101 00782</t>
  </si>
  <si>
    <t>https://www.linkedin.com/in/saurabh-bhargava-cfp%C2%AE-164545b/</t>
  </si>
  <si>
    <t>https://card.tap-savvy.com/BAJAJ-CAPITAL_SHARAD-MITTAL/1415</t>
  </si>
  <si>
    <t>sharad.kumar@bajajcapital.com</t>
  </si>
  <si>
    <t xml:space="preserve">Sharad Mittal </t>
  </si>
  <si>
    <t xml:space="preserve">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
</t>
  </si>
  <si>
    <t>+91 93769 16607</t>
  </si>
  <si>
    <t>Bajaj Capital Limited - Global Private Wealth, Novus Tower, 1st Floor, Plot no. 18, Sector-18, Gurugram, Haryana-122015</t>
  </si>
  <si>
    <t xml:space="preserve">https://www.linkedin.com/in/sharad-kumar-78a3515?utm_source=share&amp;utm_campaign=share_via&amp;utm_content=profile&amp;utm_medium=android_app </t>
  </si>
  <si>
    <t>https://card.tap-savvy.com/BAJAJ-CAPITAL_SHIKHA-GOYAL/1416</t>
  </si>
  <si>
    <t>shikha.goyal@bajajcapital.com</t>
  </si>
  <si>
    <t xml:space="preserve">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 
</t>
  </si>
  <si>
    <t>https://www.linkedin.com/in/shikha-goyal-18923058?utm_source=share&amp;utm_campaign=share_via&amp;utm_content=profile&amp;utm_medium=android_app</t>
  </si>
  <si>
    <t>https://card.tap-savvy.com/BAJAJ-CAPITAL_SHUBHAM-SAXENA/1417</t>
  </si>
  <si>
    <t>shubham.saxena@bajajcapital.com</t>
  </si>
  <si>
    <t xml:space="preserve">Shubham Saxena </t>
  </si>
  <si>
    <t xml:space="preserve">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
</t>
  </si>
  <si>
    <t>+91 99188 88807</t>
  </si>
  <si>
    <t>https://www.linkedin.com/in/shubham-saxena-4a18b62a?utm_source=share&amp;utm_campaign=share_via&amp;utm_content=profile&amp;utm_medium=android_app</t>
  </si>
  <si>
    <t>https://card.tap-savvy.com/BAJAJ-CAPITAL_SIDDHARTH-CHAUHAN/1418</t>
  </si>
  <si>
    <t>siddharth.chauhan@bajajcapital.com</t>
  </si>
  <si>
    <t xml:space="preserve">Siddharth Chauhan </t>
  </si>
  <si>
    <t xml:space="preserve">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
</t>
  </si>
  <si>
    <t>https://www.linkedin.com/in/siddharth-chauhan-0844554a?utm_source=share&amp;utm_campaign=share_via&amp;utm_content=profile&amp;utm_medium=ios_app</t>
  </si>
  <si>
    <t>https://card.tap-savvy.com/BAJAJ-CAPITAL_SUNIL-S/1419</t>
  </si>
  <si>
    <t>sunil.s@bajajcapital.com</t>
  </si>
  <si>
    <t>https://www.linkedin.com/in/sunil-s-72b94923b?utm_source=share&amp;utm_campaign=share_via&amp;utm_content=profile&amp;utm_medium=android_app</t>
  </si>
  <si>
    <t>https://card.tap-savvy.com/BAJAJ-CAPITAL_TAUFEEQ-MIRZA-BEG/1420</t>
  </si>
  <si>
    <t>taufeeq.beg@bajajcapital.com</t>
  </si>
  <si>
    <t xml:space="preserve">Taufeeq Mirza Beg </t>
  </si>
  <si>
    <t xml:space="preserve">He brings 23 years of extensive banking experience with ICICI, Yes Bank, IDBI, and IndusInd Bank, covering private, retail, and corporate banking. Most recently, he was Regional Head at ICICI Bank for SME and Mid Corporates in the UPUK market before joining Bajaj Capital.
</t>
  </si>
  <si>
    <t>+91 78974 20278</t>
  </si>
  <si>
    <t>https://www.linkedin.com/in/taufeeq-mirza-201698aa</t>
  </si>
  <si>
    <t>https://card.tap-savvy.com/BAJAJ-CAPITAL_VIJAY-KUMAR-DEVAKATH/1421</t>
  </si>
  <si>
    <t>vijay.devakath@bajajcapital.com</t>
  </si>
  <si>
    <t xml:space="preserve">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
</t>
  </si>
  <si>
    <t>https://www.linkedin.com/in/vijay-kumar-devakath-60551915?utm_source=share&amp;utm_campaign=share_via&amp;utm_content=profile&amp;utm_medium=android_app</t>
  </si>
  <si>
    <t>https://card.tap-savvy.com/BAJAJ-CAPITAL_VIJAYENDRA-CHOPRA/1422</t>
  </si>
  <si>
    <t>vijayendra.chopra@bajajcapital.com</t>
  </si>
  <si>
    <t xml:space="preserve">Vijayendra Chopra </t>
  </si>
  <si>
    <t xml:space="preserve">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
</t>
  </si>
  <si>
    <t>+91 98198 60774</t>
  </si>
  <si>
    <t xml:space="preserve">linkedin.com/in/vijayendra-chopra-99600317 </t>
  </si>
  <si>
    <t>https://card.tap-savvy.com/BAJAJ-CAPITAL_VIPIN-ANAND/1423</t>
  </si>
  <si>
    <t>vipin.anand@bajajcapital.com</t>
  </si>
  <si>
    <t xml:space="preserve">Vipin Anand </t>
  </si>
  <si>
    <t xml:space="preserve">Vipin carries a Wealth of experience exceeding 22 years. He has contributed to prominent institutions such as ICICI Bank Wealth Management, AXIS Bank Burgundy, and Aditya Birla Capital.
</t>
  </si>
  <si>
    <t>+91 99100 59930</t>
  </si>
  <si>
    <t>https://www.linkedin.com/in/vipin-anand-36998753/</t>
  </si>
  <si>
    <t>https://card.tap-savvy.com/DR.KAPIL-JAIN_BNI-INFINITE/1263</t>
  </si>
  <si>
    <t>Kapildheeng@gmail.com</t>
  </si>
  <si>
    <t>Infinite</t>
  </si>
  <si>
    <t xml:space="preserve">Dr.Jain’s Smile World Dental Clinic </t>
  </si>
  <si>
    <t xml:space="preserve">Dentist </t>
  </si>
  <si>
    <t>Smileworlddental.in</t>
  </si>
  <si>
    <t>https://www.instagram.com/smileworlddentistry?igsh=MTN2N3JpMHN5MHdjNQ==</t>
  </si>
  <si>
    <t>https://www.linkedin.com/in/kapil-jain-32847965?utm_source=share&amp;utm_campaign=share_via&amp;utm_content=profile&amp;utm_medium=ios_app</t>
  </si>
  <si>
    <t>Kids Dental Treatment under Laughing Gas</t>
  </si>
  <si>
    <t xml:space="preserve">Aligners(Invisalign) and Braces </t>
  </si>
  <si>
    <t xml:space="preserve">Implants </t>
  </si>
  <si>
    <t>https://card.tap-savvy.com/SEEMA-MAKWANA_BNI-INFINITE/1272</t>
  </si>
  <si>
    <t>Seema.saffronbiz@gmail.com</t>
  </si>
  <si>
    <t xml:space="preserve">HR Recruitment </t>
  </si>
  <si>
    <t>Www.saffronhr.com</t>
  </si>
  <si>
    <t>https://www.instagram.com/sbs_jobs?igsh=MWhuejlqaGZzcWtiNQ==</t>
  </si>
  <si>
    <t>https://www.facebook.com/profile.php?id=100012803678665&amp;mibextid=LQQJ4d</t>
  </si>
  <si>
    <t>https://www.linkedin.com/in/seema-makwana-945819115?utm_source=share&amp;utm_campaign=share_via&amp;utm_content=profile&amp;utm_medium=ios_app</t>
  </si>
  <si>
    <t xml:space="preserve">HR Recruitment Services </t>
  </si>
  <si>
    <t>https://card.tap-savvy.com/PRASANNA-KHARE_BNI-INFINITE/1274</t>
  </si>
  <si>
    <t>prasanna@yellowdot.in</t>
  </si>
  <si>
    <t>+919819530812</t>
  </si>
  <si>
    <t>https://www.instagram.com/yellow_dot_entertainment/?hl=en</t>
  </si>
  <si>
    <t>https://www.facebook.com/YellowDot.in</t>
  </si>
  <si>
    <t>www.linkedin.com/in/prasanna-khare-7a22574</t>
  </si>
  <si>
    <t>https://www.youtube.com/@yellowdotmediaandentertainment</t>
  </si>
  <si>
    <t>https://card.tap-savvy.com/DEVANSHI-SHAH_BNI-INFINITE/1275</t>
  </si>
  <si>
    <t>shah.devanshi91@gmail.com</t>
  </si>
  <si>
    <t>https://www.instagram.com/instabizfilings/</t>
  </si>
  <si>
    <t>https://www.facebook.com/instabizfilings</t>
  </si>
  <si>
    <t>https://www.linkedin.com/company/instabizfilings/</t>
  </si>
  <si>
    <t>http://www.youtube.com/@instabizfilings</t>
  </si>
  <si>
    <t>https://card.tap-savvy.com/KRUPA-MEHTA_BNI-INFINITE/1276</t>
  </si>
  <si>
    <t>krupamehta74@gmail.com</t>
  </si>
  <si>
    <t xml:space="preserve">Krupamehtaspakwan </t>
  </si>
  <si>
    <t xml:space="preserve">Healthy food  service </t>
  </si>
  <si>
    <t>0821412900</t>
  </si>
  <si>
    <t xml:space="preserve">99203 09002 </t>
  </si>
  <si>
    <t xml:space="preserve">A/1 , hare Krishna apt Sarojni Naidu road </t>
  </si>
  <si>
    <t>https://www.instagram.com/krupamehtaspakwan/profilecard/?igsh=dzBqZHplY2t4b3U1</t>
  </si>
  <si>
    <t>Healthy  food</t>
  </si>
  <si>
    <t xml:space="preserve">Salads </t>
  </si>
  <si>
    <t xml:space="preserve">Diabetic-friendly  food </t>
  </si>
  <si>
    <t xml:space="preserve">Vegan Gluten-free diabetic-friendly  smoothie </t>
  </si>
  <si>
    <t xml:space="preserve">Millet sourdough </t>
  </si>
  <si>
    <t>https://card.tap-savvy.com/ASHAY-SAVE_BNI-INFINITE/1277</t>
  </si>
  <si>
    <t>ashaysave@gmail.com</t>
  </si>
  <si>
    <t xml:space="preserve">Borivali West </t>
  </si>
  <si>
    <t>https://card.tap-savvy.com/PRAVEEN-VISHWAKARMA_BNI-INFINITE/1278</t>
  </si>
  <si>
    <t>praveenvishwakarma@angelswork.in</t>
  </si>
  <si>
    <t xml:space="preserve">Praveen Vaastu </t>
  </si>
  <si>
    <t xml:space="preserve">Vaastu Consultant </t>
  </si>
  <si>
    <t>https://www.instagram.com/praveenvaastu?igsh=MWxxaDhxNWhsbDB2ag%3D%3D&amp;utm_source=qr</t>
  </si>
  <si>
    <t>https://card.tap-savvy.com/SMIT-SHAH_BNI-INFINITE/1279</t>
  </si>
  <si>
    <t>smitmshahandco@gmail.com</t>
  </si>
  <si>
    <t>https://card.tap-savvy.com/MOHIT-MEHTA_BNI-INFINITE/1280</t>
  </si>
  <si>
    <t>giftingaffair7@gmail.com</t>
  </si>
  <si>
    <t xml:space="preserve">GIFTING AFFAIR </t>
  </si>
  <si>
    <t xml:space="preserve">Gifting </t>
  </si>
  <si>
    <t xml:space="preserve">79773 30377 </t>
  </si>
  <si>
    <t xml:space="preserve">79776 20272 </t>
  </si>
  <si>
    <t>www.instagram.com/giftingaffair7</t>
  </si>
  <si>
    <t>https://www.linkedin.com/company/80550592/admin/dashboard/</t>
  </si>
  <si>
    <t xml:space="preserve">Bottles &amp; mugs </t>
  </si>
  <si>
    <t xml:space="preserve">Desk Products </t>
  </si>
  <si>
    <t>https://card.tap-savvy.com/CHIRAG-JAIN_BNI-INFINITE/1281</t>
  </si>
  <si>
    <t>Chiragbohra1997@gmail.com</t>
  </si>
  <si>
    <t xml:space="preserve">Mobile phones and accessories </t>
  </si>
  <si>
    <t>https://www.instagram.com/vardhman_olineo?igsh=YjJpbmwwOWV3em8y</t>
  </si>
  <si>
    <t>https://www.facebook.com/OlineoVardhmanMobile?mibextid=LQQJ4d</t>
  </si>
  <si>
    <t xml:space="preserve">All brands smart phones </t>
  </si>
  <si>
    <t xml:space="preserve">All finance Available </t>
  </si>
  <si>
    <t xml:space="preserve">Home delivery </t>
  </si>
  <si>
    <t>https://card.tap-savvy.com/MITHEEL-JAGADA_BNI-INFINITE/1282</t>
  </si>
  <si>
    <t>mmx.gic@mondialconsultants.com</t>
  </si>
  <si>
    <t>https://www.instagram.com/mondialmmx.official?igsh=MTIwYnJwZGY3ZGt4eA==</t>
  </si>
  <si>
    <t>https://www.linkedin.com/in/mitheel-jagada-a16b6bbb?utm_source=share&amp;utm_campaign=share_via&amp;utm_content=profile&amp;utm_medium=android_app</t>
  </si>
  <si>
    <t>https://card.tap-savvy.com/VICKY-BAFNA_BNI-INFINITE/1283</t>
  </si>
  <si>
    <t>info@navkarfurnishing.in</t>
  </si>
  <si>
    <t>https://www.instagram.com/navkardecor?igsh=dXB0YzQ4OHRpYTR1</t>
  </si>
  <si>
    <t>https://card.tap-savvy.com/MUSTAFA-SHABBIR_BNI-INFINITE/1284</t>
  </si>
  <si>
    <t>info@kanchbazaar.com</t>
  </si>
  <si>
    <t>https://www.instagram.com/kanchbazaar/profilecard/?igsh=MTQ0M3RvdmgzcmQ0Ng==</t>
  </si>
  <si>
    <t>https://www.facebook.com/Regal-Glass-House-162928277096583/</t>
  </si>
  <si>
    <t>https://www.linkedin.com/in/mustafa-regal-glass-house-5b810518b?utm_source=share&amp;utm_campaign=share_via&amp;utm_content=profile&amp;utm_medium=ios_app</t>
  </si>
  <si>
    <t xml:space="preserve">  </t>
  </si>
  <si>
    <t xml:space="preserve">Lacqured / Backpainted Glass </t>
  </si>
  <si>
    <t>https://card.tap-savvy.com/VISHAL-PANCHAL_BNI-INFINITE/1285</t>
  </si>
  <si>
    <t xml:space="preserve">Swastikindustriesindia@gmail.com </t>
  </si>
  <si>
    <t xml:space="preserve">Swastik Industries </t>
  </si>
  <si>
    <t xml:space="preserve">Product Display stands </t>
  </si>
  <si>
    <t xml:space="preserve">CNC Routing services </t>
  </si>
  <si>
    <t xml:space="preserve">Laser cutting services </t>
  </si>
  <si>
    <t>https://card.tap-savvy.com/HARDIK-GADHIA_BNI-INFINITE/1286</t>
  </si>
  <si>
    <t>hardik.gadia69@gmail.com</t>
  </si>
  <si>
    <t>https://www.instagram.com/hardik_gadhia_fabrics?igsh=N2wzbml3aXM4MXh5</t>
  </si>
  <si>
    <t>Na</t>
  </si>
  <si>
    <t>https://youtube.com/@hardik-gadhia?si=BWS8A7cwu5QXw8aV</t>
  </si>
  <si>
    <t>https://card.tap-savvy.com/LAVESH-KOTHARI_BNI-INFINITE/1287</t>
  </si>
  <si>
    <t>Dharmalaminatestudio@gmail.com</t>
  </si>
  <si>
    <t>https://www.instagram.com/reel/CVKmdCBoaJY/?utm_medium=share_sheet</t>
  </si>
  <si>
    <t>https://www.facebook.com/Dharmalaminate?mibextid=LQQJ4d</t>
  </si>
  <si>
    <t>https://card.tap-savvy.com/KRUPA-SHAH_BNI-INFINITE/1288</t>
  </si>
  <si>
    <t>info@pearltravels.in</t>
  </si>
  <si>
    <t>https://www.instagram.com/pearltravels.in/#</t>
  </si>
  <si>
    <t>pearltravelsmumbai</t>
  </si>
  <si>
    <t>https://card.tap-savvy.com/VIKAASH-VERMA-BNI-INFINITE/1289</t>
  </si>
  <si>
    <t>uniquesolutionmail@gmail.com</t>
  </si>
  <si>
    <t xml:space="preserve">Unique Mortgages Solutions </t>
  </si>
  <si>
    <t xml:space="preserve">Loans - Secured </t>
  </si>
  <si>
    <t xml:space="preserve">1108, IT Techno park, Eksar, Borivali west </t>
  </si>
  <si>
    <t xml:space="preserve">Home loan </t>
  </si>
  <si>
    <t xml:space="preserve">Business loans </t>
  </si>
  <si>
    <t xml:space="preserve">Working Capital over draft </t>
  </si>
  <si>
    <t>https://card.tap-savvy.com/JAYESH-MEGHNANI_BNI-INFINITE/1290</t>
  </si>
  <si>
    <t>jayesshmegnani@gmail.com</t>
  </si>
  <si>
    <t xml:space="preserve">60 DEGREE INTERIOR </t>
  </si>
  <si>
    <t xml:space="preserve">Interior designer </t>
  </si>
  <si>
    <t>09869587327</t>
  </si>
  <si>
    <t xml:space="preserve">8, Ganesh Darshan society behind Pruthvi chemist LT road Borivali West, Mumbai </t>
  </si>
  <si>
    <t>60_degreeinterior</t>
  </si>
  <si>
    <t xml:space="preserve">Interior space </t>
  </si>
  <si>
    <t xml:space="preserve">Home interior </t>
  </si>
  <si>
    <t xml:space="preserve">Office space </t>
  </si>
  <si>
    <t>https://card.tap-savvy.com/DR.AJINKYA-RAUT_BNI-INFINITE/1291</t>
  </si>
  <si>
    <t>dr.ajinkya.raut@gmail.com</t>
  </si>
  <si>
    <t>https://www.instagram.com/ifor.accountability</t>
  </si>
  <si>
    <t>www.linkedin.com/in/dr-ajinkya-raut-27003415</t>
  </si>
  <si>
    <t>https://card.tap-savvy.com/SIRISHA-RAVURI_BNI-INFINITE/1292</t>
  </si>
  <si>
    <t>sirisha@citrines.in</t>
  </si>
  <si>
    <t>+91 9920688080</t>
  </si>
  <si>
    <t>https://www.instagram.com/citrinesin</t>
  </si>
  <si>
    <t>https://www.facebook.com/sirisha.ravuri.5</t>
  </si>
  <si>
    <t>https://www.linkedin.com/in/sirisharavuri/</t>
  </si>
  <si>
    <t>https://youtu.be/mzWGt8ArhiA</t>
  </si>
  <si>
    <t>https://card.tap-savvy.com/CHETAN-JOSHI_BNI-INFINITE/1293</t>
  </si>
  <si>
    <t>chj@mondialconsultants.com</t>
  </si>
  <si>
    <t xml:space="preserve">Wealth Management </t>
  </si>
  <si>
    <t xml:space="preserve"> 331, Gundecha industrial complex, Akurli rd, nx to Star bazaar- Growels Mall, kandivali E.</t>
  </si>
  <si>
    <t xml:space="preserve">Home loan Interest Free </t>
  </si>
  <si>
    <t>https://card.tap-savvy.com/RUMA-DESAI_BNI-INFINITE/1294</t>
  </si>
  <si>
    <r>
      <rPr>
        <u/>
        <sz val="8"/>
        <rFont val="Arial"/>
        <scheme val="minor"/>
      </rPr>
      <t>desairuma@gmail.com</t>
    </r>
  </si>
  <si>
    <r>
      <rPr>
        <sz val="11"/>
        <color rgb="FF000000"/>
        <rFont val="Arial"/>
        <scheme val="minor"/>
      </rPr>
      <t>Ruma Desai</t>
    </r>
    <r>
      <rPr>
        <sz val="11"/>
        <color rgb="FF000000"/>
        <rFont val="Arial"/>
        <scheme val="minor"/>
      </rPr>
      <t xml:space="preserve"> </t>
    </r>
    <r>
      <rPr>
        <sz val="11"/>
        <color rgb="FF000000"/>
        <rFont val="Arial"/>
        <scheme val="minor"/>
      </rPr>
      <t>Bni Infinite</t>
    </r>
  </si>
  <si>
    <t>https://card.tap-savvy.com/BINA-PANDIT_BNI-INFINITE/1295</t>
  </si>
  <si>
    <r>
      <rPr>
        <u/>
        <sz val="8"/>
        <rFont val="Arial"/>
        <scheme val="minor"/>
      </rPr>
      <t>binapandit@gmail.com</t>
    </r>
  </si>
  <si>
    <r>
      <rPr>
        <sz val="11"/>
        <color rgb="FF000000"/>
        <rFont val="Arial"/>
        <scheme val="minor"/>
      </rPr>
      <t>Bina Pandit</t>
    </r>
    <r>
      <rPr>
        <sz val="11"/>
        <color rgb="FF000000"/>
        <rFont val="Arial"/>
        <scheme val="minor"/>
      </rPr>
      <t xml:space="preserve"> </t>
    </r>
    <r>
      <rPr>
        <sz val="11"/>
        <color rgb="FF000000"/>
        <rFont val="Arial"/>
        <scheme val="minor"/>
      </rPr>
      <t>Bni Infinite</t>
    </r>
  </si>
  <si>
    <t>https://card.tap-savvy.com/ALPESH-SHAH_BNI-INFINITE/1296</t>
  </si>
  <si>
    <r>
      <rPr>
        <u/>
        <sz val="8"/>
        <rFont val="Arial"/>
        <scheme val="minor"/>
      </rPr>
      <t>alpesh_eclipse@yahoo.co.in</t>
    </r>
  </si>
  <si>
    <r>
      <rPr>
        <sz val="11"/>
        <color rgb="FF000000"/>
        <rFont val="Arial"/>
        <scheme val="minor"/>
      </rPr>
      <t>Alpesh Shah</t>
    </r>
    <r>
      <rPr>
        <sz val="11"/>
        <color rgb="FF000000"/>
        <rFont val="Arial"/>
        <scheme val="minor"/>
      </rPr>
      <t xml:space="preserve"> </t>
    </r>
    <r>
      <rPr>
        <sz val="11"/>
        <color rgb="FF000000"/>
        <rFont val="Arial"/>
        <scheme val="minor"/>
      </rPr>
      <t>Bni Infinite</t>
    </r>
  </si>
  <si>
    <t>https://card.tap-savvy.com/PUSHPENDRA-JAIN_BNI-INFINITE/1297</t>
  </si>
  <si>
    <r>
      <rPr>
        <u/>
        <sz val="8"/>
        <rFont val="Arial"/>
        <scheme val="minor"/>
      </rPr>
      <t>info.abhishek.enterprise@gmail.com</t>
    </r>
  </si>
  <si>
    <r>
      <rPr>
        <sz val="11"/>
        <color rgb="FF000000"/>
        <rFont val="Arial"/>
        <scheme val="minor"/>
      </rPr>
      <t>Pushpendra Jain</t>
    </r>
    <r>
      <rPr>
        <sz val="11"/>
        <color rgb="FF000000"/>
        <rFont val="Arial"/>
        <scheme val="minor"/>
      </rPr>
      <t xml:space="preserve"> </t>
    </r>
    <r>
      <rPr>
        <sz val="11"/>
        <color rgb="FF000000"/>
        <rFont val="Arial"/>
        <scheme val="minor"/>
      </rPr>
      <t>Bni Infinite</t>
    </r>
  </si>
  <si>
    <t>https://card.tap-savvy.com/MOHIT-SHAH_BNI-INFINITE/1299</t>
  </si>
  <si>
    <r>
      <rPr>
        <u/>
        <sz val="8"/>
        <rFont val="Arial"/>
        <scheme val="minor"/>
      </rPr>
      <t>hi@mohitshah.space</t>
    </r>
  </si>
  <si>
    <r>
      <rPr>
        <sz val="11"/>
        <color rgb="FF000000"/>
        <rFont val="Arial"/>
        <scheme val="minor"/>
      </rPr>
      <t>Mohit Shah</t>
    </r>
    <r>
      <rPr>
        <sz val="11"/>
        <color rgb="FF000000"/>
        <rFont val="Arial"/>
        <scheme val="minor"/>
      </rPr>
      <t xml:space="preserve"> </t>
    </r>
    <r>
      <rPr>
        <sz val="11"/>
        <color rgb="FF000000"/>
        <rFont val="Arial"/>
        <scheme val="minor"/>
      </rPr>
      <t>Bni Infinite</t>
    </r>
  </si>
  <si>
    <t>https://card.tap-savvy.com/TEJAS-SANGHVI_BNI-INFINITE/1300</t>
  </si>
  <si>
    <r>
      <rPr>
        <u/>
        <sz val="8"/>
        <rFont val="Arial"/>
        <scheme val="minor"/>
      </rPr>
      <t>sanghvi.tejas@yahoo.co.in</t>
    </r>
  </si>
  <si>
    <r>
      <rPr>
        <sz val="11"/>
        <color rgb="FF000000"/>
        <rFont val="Arial"/>
        <scheme val="minor"/>
      </rPr>
      <t>Tejas Sanghvi</t>
    </r>
    <r>
      <rPr>
        <sz val="11"/>
        <color rgb="FF000000"/>
        <rFont val="Arial"/>
        <scheme val="minor"/>
      </rPr>
      <t xml:space="preserve"> </t>
    </r>
    <r>
      <rPr>
        <sz val="11"/>
        <color rgb="FF000000"/>
        <rFont val="Arial"/>
        <scheme val="minor"/>
      </rPr>
      <t>Bni Infinite</t>
    </r>
  </si>
  <si>
    <t>https://card.tap-savvy.com/ERINA-JAIN_BNI-INFINITE/1301</t>
  </si>
  <si>
    <r>
      <rPr>
        <u/>
        <sz val="8"/>
        <rFont val="Arial"/>
        <scheme val="minor"/>
      </rPr>
      <t>erinaashwin@gmail.com</t>
    </r>
  </si>
  <si>
    <r>
      <rPr>
        <sz val="11"/>
        <color rgb="FF000000"/>
        <rFont val="Arial"/>
        <scheme val="minor"/>
      </rPr>
      <t>Erina Jain</t>
    </r>
    <r>
      <rPr>
        <sz val="11"/>
        <color rgb="FF000000"/>
        <rFont val="Arial"/>
        <scheme val="minor"/>
      </rPr>
      <t xml:space="preserve"> </t>
    </r>
    <r>
      <rPr>
        <sz val="11"/>
        <color rgb="FF000000"/>
        <rFont val="Arial"/>
        <scheme val="minor"/>
      </rPr>
      <t>Bni Infinite</t>
    </r>
  </si>
  <si>
    <t>https://card.tap-savvy.com/DEEPAK-KUMAR_BNI-INFINITE/1302</t>
  </si>
  <si>
    <r>
      <rPr>
        <u/>
        <sz val="8"/>
        <rFont val="Arial"/>
        <scheme val="minor"/>
      </rPr>
      <t>gupta.deepak502@gmail.com</t>
    </r>
  </si>
  <si>
    <r>
      <rPr>
        <sz val="11"/>
        <color rgb="FF000000"/>
        <rFont val="Arial"/>
        <scheme val="minor"/>
      </rPr>
      <t>Deepak gupta</t>
    </r>
    <r>
      <rPr>
        <sz val="11"/>
        <color rgb="FF000000"/>
        <rFont val="Arial"/>
        <scheme val="minor"/>
      </rPr>
      <t xml:space="preserve"> </t>
    </r>
    <r>
      <rPr>
        <sz val="11"/>
        <color rgb="FF000000"/>
        <rFont val="Arial"/>
        <scheme val="minor"/>
      </rPr>
      <t>Bni Infinite</t>
    </r>
  </si>
  <si>
    <t>https://card.tap-savvy.com/RUSHABH-SOMANI_BNI-INFINITE/1303</t>
  </si>
  <si>
    <r>
      <rPr>
        <u/>
        <sz val="8"/>
        <rFont val="Arial"/>
        <scheme val="minor"/>
      </rPr>
      <t>trgemsjewels@gmail.com</t>
    </r>
  </si>
  <si>
    <r>
      <rPr>
        <sz val="11"/>
        <color rgb="FF000000"/>
        <rFont val="Arial"/>
        <scheme val="minor"/>
      </rPr>
      <t>Rushabh Somani</t>
    </r>
    <r>
      <rPr>
        <sz val="11"/>
        <color rgb="FF000000"/>
        <rFont val="Arial"/>
        <scheme val="minor"/>
      </rPr>
      <t xml:space="preserve"> </t>
    </r>
    <r>
      <rPr>
        <sz val="11"/>
        <color rgb="FF000000"/>
        <rFont val="Arial"/>
        <scheme val="minor"/>
      </rPr>
      <t>Bni Infinite</t>
    </r>
  </si>
  <si>
    <t>https://card.tap-savvy.com/DR.RIDDHI-SHAH_BNI-INFINITE/1304</t>
  </si>
  <si>
    <r>
      <rPr>
        <u/>
        <sz val="8"/>
        <rFont val="Arial"/>
        <scheme val="minor"/>
      </rPr>
      <t>drriddhishah@outlook.com</t>
    </r>
  </si>
  <si>
    <t>https://card.tap-savvy.com/KRISHNA-THALESAR_BNI-INFINITE/1305</t>
  </si>
  <si>
    <r>
      <rPr>
        <u/>
        <sz val="8"/>
        <rFont val="Arial"/>
        <scheme val="minor"/>
      </rPr>
      <t>ktcoenquires@gmail.com</t>
    </r>
  </si>
  <si>
    <r>
      <rPr>
        <sz val="11"/>
        <color rgb="FF000000"/>
        <rFont val="Arial"/>
        <scheme val="minor"/>
      </rPr>
      <t>Krishna Thalesar</t>
    </r>
    <r>
      <rPr>
        <sz val="11"/>
        <color rgb="FF000000"/>
        <rFont val="Arial"/>
        <scheme val="minor"/>
      </rPr>
      <t xml:space="preserve"> </t>
    </r>
    <r>
      <rPr>
        <sz val="11"/>
        <color rgb="FF000000"/>
        <rFont val="Arial"/>
        <scheme val="minor"/>
      </rPr>
      <t>Bni Infinite</t>
    </r>
  </si>
  <si>
    <t>https://www.instagram.com/dr_riddhishah?igsh=MTRlZjZhanNxZmFsbw==</t>
  </si>
  <si>
    <t>https://card.tap-savvy.com/SHUBHAM-PATIL_BNI-INFINITE/1306</t>
  </si>
  <si>
    <r>
      <rPr>
        <u/>
        <sz val="8"/>
        <rFont val="Arial"/>
        <scheme val="minor"/>
      </rPr>
      <t>autocareexperts.india@gmail.com</t>
    </r>
  </si>
  <si>
    <r>
      <rPr>
        <sz val="11"/>
        <color rgb="FF000000"/>
        <rFont val="Arial"/>
        <scheme val="minor"/>
      </rPr>
      <t>Subham Patil</t>
    </r>
    <r>
      <rPr>
        <sz val="11"/>
        <color rgb="FF000000"/>
        <rFont val="Arial"/>
        <scheme val="minor"/>
      </rPr>
      <t xml:space="preserve"> </t>
    </r>
    <r>
      <rPr>
        <sz val="11"/>
        <color rgb="FF000000"/>
        <rFont val="Arial"/>
        <scheme val="minor"/>
      </rPr>
      <t>Bni Infinite</t>
    </r>
  </si>
  <si>
    <t>https://card.tap-savvy.com/HARDIK-PUROHIT_BNI-iNFINITE/1307</t>
  </si>
  <si>
    <r>
      <rPr>
        <u/>
        <sz val="8"/>
        <rFont val="Arial"/>
        <scheme val="minor"/>
      </rPr>
      <t>hardik@hp-consulting.in</t>
    </r>
  </si>
  <si>
    <r>
      <rPr>
        <sz val="11"/>
        <color rgb="FF000000"/>
        <rFont val="Arial"/>
        <scheme val="minor"/>
      </rPr>
      <t>Hardik Purohit</t>
    </r>
    <r>
      <rPr>
        <sz val="11"/>
        <color rgb="FF000000"/>
        <rFont val="Arial"/>
        <scheme val="minor"/>
      </rPr>
      <t xml:space="preserve"> </t>
    </r>
    <r>
      <rPr>
        <sz val="11"/>
        <color rgb="FF000000"/>
        <rFont val="Arial"/>
        <scheme val="minor"/>
      </rPr>
      <t>Bni Infinite</t>
    </r>
  </si>
  <si>
    <t>https://card.tap-savvy.com/SUCHI-SHAH_BNI-INFINITE/1308</t>
  </si>
  <si>
    <r>
      <rPr>
        <u/>
        <sz val="8"/>
        <rFont val="Arial"/>
        <scheme val="minor"/>
      </rPr>
      <t>choreographybysuchi@gmail.com</t>
    </r>
  </si>
  <si>
    <r>
      <rPr>
        <sz val="11"/>
        <color rgb="FF000000"/>
        <rFont val="Arial"/>
        <scheme val="minor"/>
      </rPr>
      <t>Suchi Shah</t>
    </r>
    <r>
      <rPr>
        <sz val="11"/>
        <color rgb="FF000000"/>
        <rFont val="Arial"/>
        <scheme val="minor"/>
      </rPr>
      <t xml:space="preserve"> </t>
    </r>
    <r>
      <rPr>
        <sz val="11"/>
        <color rgb="FF000000"/>
        <rFont val="Arial"/>
        <scheme val="minor"/>
      </rPr>
      <t>Bni Infinite</t>
    </r>
  </si>
  <si>
    <t>https://card.tap-savvy.com/MILAN-PANDYA_BNI-INFINITE/1309</t>
  </si>
  <si>
    <r>
      <rPr>
        <u/>
        <sz val="8"/>
        <rFont val="Arial"/>
        <scheme val="minor"/>
      </rPr>
      <t>info@jmsolutions.co.in</t>
    </r>
  </si>
  <si>
    <r>
      <rPr>
        <sz val="11"/>
        <color rgb="FF000000"/>
        <rFont val="Arial"/>
        <scheme val="minor"/>
      </rPr>
      <t>Milan Pandya</t>
    </r>
    <r>
      <rPr>
        <sz val="11"/>
        <color rgb="FF000000"/>
        <rFont val="Arial"/>
        <scheme val="minor"/>
      </rPr>
      <t xml:space="preserve"> </t>
    </r>
    <r>
      <rPr>
        <sz val="11"/>
        <color rgb="FF000000"/>
        <rFont val="Arial"/>
        <scheme val="minor"/>
      </rPr>
      <t>Bni Infinite</t>
    </r>
  </si>
  <si>
    <r>
      <rPr>
        <sz val="11"/>
        <color rgb="FF000000"/>
        <rFont val="Arial"/>
        <scheme val="minor"/>
      </rPr>
      <t>Help people take better Financial Decisions.</t>
    </r>
  </si>
  <si>
    <t>https://www.instagram.com/milanpandya87/</t>
  </si>
  <si>
    <t>https://www.facebook.com/milan.j.pandya.3/</t>
  </si>
  <si>
    <t>https://www.linkedin.com/in/milan-pandya/</t>
  </si>
  <si>
    <t>https://card.tap-savvy.com/PURVI-BAJ_BNI-INFINITE/1310</t>
  </si>
  <si>
    <r>
      <rPr>
        <u/>
        <sz val="8"/>
        <rFont val="Arial"/>
        <scheme val="minor"/>
      </rPr>
      <t>connect@abhastudios.com</t>
    </r>
  </si>
  <si>
    <r>
      <rPr>
        <sz val="11"/>
        <color rgb="FF000000"/>
        <rFont val="Arial"/>
        <scheme val="minor"/>
      </rPr>
      <t>Purvi Baj</t>
    </r>
    <r>
      <rPr>
        <sz val="11"/>
        <color rgb="FF000000"/>
        <rFont val="Arial"/>
        <scheme val="minor"/>
      </rPr>
      <t xml:space="preserve"> </t>
    </r>
    <r>
      <rPr>
        <sz val="11"/>
        <color rgb="FF000000"/>
        <rFont val="Arial"/>
        <scheme val="minor"/>
      </rPr>
      <t>Bni Infinite</t>
    </r>
  </si>
  <si>
    <t>https://www.instagram.com/abhastudios/</t>
  </si>
  <si>
    <t>https://card.tap-savvy.com/SAGAR-POTHAN_BNI-INFINITE/1311</t>
  </si>
  <si>
    <r>
      <rPr>
        <u/>
        <sz val="8"/>
        <rFont val="Arial"/>
        <scheme val="minor"/>
      </rPr>
      <t>pothansagar@gmail.com</t>
    </r>
  </si>
  <si>
    <r>
      <rPr>
        <sz val="11"/>
        <color rgb="FF000000"/>
        <rFont val="Arial"/>
        <scheme val="minor"/>
      </rPr>
      <t>Sagar Babu Pothan</t>
    </r>
    <r>
      <rPr>
        <sz val="11"/>
        <color rgb="FF000000"/>
        <rFont val="Arial"/>
        <scheme val="minor"/>
      </rPr>
      <t xml:space="preserve"> </t>
    </r>
    <r>
      <rPr>
        <sz val="11"/>
        <color rgb="FF000000"/>
        <rFont val="Arial"/>
        <scheme val="minor"/>
      </rPr>
      <t>Bni Infinite</t>
    </r>
  </si>
  <si>
    <t>https://card.tap-savvy.com/DARSHANA-BHATT_BNI-INFINITE/1312</t>
  </si>
  <si>
    <r>
      <rPr>
        <u/>
        <sz val="8"/>
        <rFont val="sans-serif"/>
      </rPr>
      <t>darshanabhatt.db@gmail.com</t>
    </r>
  </si>
  <si>
    <t>https://card.tap-savvy.com/NILAY-BHATTER_BNI-INFINITE/1313</t>
  </si>
  <si>
    <r>
      <rPr>
        <u/>
        <sz val="8"/>
        <rFont val="Arial"/>
        <scheme val="minor"/>
      </rPr>
      <t>primeprinters07@gmail.com</t>
    </r>
  </si>
  <si>
    <r>
      <rPr>
        <sz val="11"/>
        <color rgb="FF000000"/>
        <rFont val="Arial"/>
        <scheme val="minor"/>
      </rPr>
      <t>Nilay Bhatter</t>
    </r>
    <r>
      <rPr>
        <sz val="11"/>
        <color rgb="FF000000"/>
        <rFont val="Arial"/>
        <scheme val="minor"/>
      </rPr>
      <t xml:space="preserve"> </t>
    </r>
    <r>
      <rPr>
        <sz val="11"/>
        <color rgb="FF000000"/>
        <rFont val="Arial"/>
        <scheme val="minor"/>
      </rPr>
      <t>Bni Infinite</t>
    </r>
  </si>
  <si>
    <t>https://card.tap-savvy.com/MINAL-NATHVANI_BNI-INFINITE/1314</t>
  </si>
  <si>
    <r>
      <rPr>
        <u/>
        <sz val="8"/>
        <rFont val="Arial"/>
        <scheme val="minor"/>
      </rPr>
      <t>salesccrrunchyblossom@gmail.com</t>
    </r>
  </si>
  <si>
    <r>
      <rPr>
        <sz val="11"/>
        <color rgb="FF000000"/>
        <rFont val="Arial"/>
        <scheme val="minor"/>
      </rPr>
      <t>Minal Nathvani</t>
    </r>
    <r>
      <rPr>
        <sz val="11"/>
        <color rgb="FF000000"/>
        <rFont val="Arial"/>
        <scheme val="minor"/>
      </rPr>
      <t xml:space="preserve"> </t>
    </r>
    <r>
      <rPr>
        <sz val="11"/>
        <color rgb="FF000000"/>
        <rFont val="Arial"/>
        <scheme val="minor"/>
      </rPr>
      <t>Bni Infinite</t>
    </r>
  </si>
  <si>
    <t>https://card.tap-savvy.com/NAITRI-MEHTA_BNI-INFINITE/1315</t>
  </si>
  <si>
    <r>
      <rPr>
        <u/>
        <sz val="8"/>
        <rFont val="Arial"/>
        <scheme val="minor"/>
      </rPr>
      <t>naitri@namodecor.com</t>
    </r>
  </si>
  <si>
    <r>
      <rPr>
        <sz val="11"/>
        <color rgb="FF000000"/>
        <rFont val="Arial"/>
        <scheme val="minor"/>
      </rPr>
      <t>Naitri Mehta</t>
    </r>
    <r>
      <rPr>
        <sz val="11"/>
        <color rgb="FF000000"/>
        <rFont val="Arial"/>
        <scheme val="minor"/>
      </rPr>
      <t xml:space="preserve"> </t>
    </r>
    <r>
      <rPr>
        <sz val="11"/>
        <color rgb="FF000000"/>
        <rFont val="Arial"/>
        <scheme val="minor"/>
      </rPr>
      <t>Bni Infinite</t>
    </r>
  </si>
  <si>
    <t xml:space="preserve">Gala no 7 Lokhandwala compound dalmil line chincholi bhihaind hp petrol pump malad west mumbai 400064      </t>
  </si>
  <si>
    <t>https://card.tap-savvy.com/SANDEEP-DUGGAL_BNI-INFINITE/1316</t>
  </si>
  <si>
    <r>
      <rPr>
        <u/>
        <sz val="8"/>
        <rFont val="Arial"/>
        <scheme val="minor"/>
      </rPr>
      <t>ssfincorp@ymail.com</t>
    </r>
  </si>
  <si>
    <r>
      <rPr>
        <sz val="11"/>
        <color rgb="FF000000"/>
        <rFont val="Arial"/>
        <scheme val="minor"/>
      </rPr>
      <t>Sandeep Duggal</t>
    </r>
    <r>
      <rPr>
        <sz val="11"/>
        <color rgb="FF000000"/>
        <rFont val="Arial"/>
        <scheme val="minor"/>
      </rPr>
      <t xml:space="preserve"> </t>
    </r>
    <r>
      <rPr>
        <sz val="11"/>
        <color rgb="FF000000"/>
        <rFont val="Arial"/>
        <scheme val="minor"/>
      </rPr>
      <t>Bni Infinite</t>
    </r>
  </si>
  <si>
    <t>https://card.tap-savvy.com/NIRMAL-TAK_BNI-INFINITE/1317</t>
  </si>
  <si>
    <r>
      <rPr>
        <u/>
        <sz val="8"/>
        <rFont val="Arial"/>
        <scheme val="minor"/>
      </rPr>
      <t>saiaircon@hotmail.com</t>
    </r>
  </si>
  <si>
    <r>
      <rPr>
        <sz val="11"/>
        <color rgb="FF000000"/>
        <rFont val="Arial"/>
        <scheme val="minor"/>
      </rPr>
      <t>Nirmal S. Tak</t>
    </r>
    <r>
      <rPr>
        <sz val="11"/>
        <color rgb="FF000000"/>
        <rFont val="Arial"/>
        <scheme val="minor"/>
      </rPr>
      <t xml:space="preserve"> </t>
    </r>
    <r>
      <rPr>
        <sz val="11"/>
        <color rgb="FF000000"/>
        <rFont val="Arial"/>
        <scheme val="minor"/>
      </rPr>
      <t>Bni Infinite</t>
    </r>
  </si>
  <si>
    <t>https://card.tap-savvy.com/POONAM-GUPTA_BNI-INFINITE/1318</t>
  </si>
  <si>
    <r>
      <rPr>
        <u/>
        <sz val="8"/>
        <rFont val="Arial"/>
        <scheme val="minor"/>
      </rPr>
      <t>poonammakeupstry@gmail.com</t>
    </r>
  </si>
  <si>
    <r>
      <rPr>
        <sz val="11"/>
        <color rgb="FF000000"/>
        <rFont val="Arial"/>
        <scheme val="minor"/>
      </rPr>
      <t>Poonam Gupta</t>
    </r>
    <r>
      <rPr>
        <sz val="11"/>
        <color rgb="FF000000"/>
        <rFont val="Arial"/>
        <scheme val="minor"/>
      </rPr>
      <t xml:space="preserve"> </t>
    </r>
    <r>
      <rPr>
        <sz val="11"/>
        <color rgb="FF000000"/>
        <rFont val="Arial"/>
        <scheme val="minor"/>
      </rPr>
      <t>Bni Infinite</t>
    </r>
  </si>
  <si>
    <t>https://card.tap-savvy.com/AFSHAN-NAFIS_BNI-INFINITE/1319</t>
  </si>
  <si>
    <r>
      <rPr>
        <u/>
        <sz val="8"/>
        <rFont val="Arial"/>
        <scheme val="minor"/>
      </rPr>
      <t>nafisafshan@gmail.com</t>
    </r>
  </si>
  <si>
    <r>
      <rPr>
        <sz val="11"/>
        <color rgb="FF000000"/>
        <rFont val="Arial"/>
        <scheme val="minor"/>
      </rPr>
      <t>Afshan Nafis</t>
    </r>
    <r>
      <rPr>
        <sz val="11"/>
        <color rgb="FF000000"/>
        <rFont val="Arial"/>
        <scheme val="minor"/>
      </rPr>
      <t xml:space="preserve"> </t>
    </r>
    <r>
      <rPr>
        <sz val="11"/>
        <color rgb="FF000000"/>
        <rFont val="Arial"/>
        <scheme val="minor"/>
      </rPr>
      <t>Bni Infinite</t>
    </r>
  </si>
  <si>
    <t>https://card.tap-savvy.com/PRASHANTH-SOLANKI_BNI-INFINITE/1320</t>
  </si>
  <si>
    <r>
      <rPr>
        <u/>
        <sz val="8"/>
        <rFont val="Arial"/>
        <scheme val="minor"/>
      </rPr>
      <t>info@silverstaronline.in</t>
    </r>
  </si>
  <si>
    <r>
      <rPr>
        <sz val="11"/>
        <color rgb="FF000000"/>
        <rFont val="Arial"/>
        <scheme val="minor"/>
      </rPr>
      <t>Prashant Solanki</t>
    </r>
    <r>
      <rPr>
        <sz val="11"/>
        <color rgb="FF000000"/>
        <rFont val="Arial"/>
        <scheme val="minor"/>
      </rPr>
      <t xml:space="preserve"> </t>
    </r>
    <r>
      <rPr>
        <sz val="11"/>
        <color rgb="FF000000"/>
        <rFont val="Arial"/>
        <scheme val="minor"/>
      </rPr>
      <t>Bni Infinite</t>
    </r>
  </si>
  <si>
    <t>92.5 sterling silver ladies  bracelet</t>
  </si>
  <si>
    <t>https://card.tap-savvy.com/MAHESH-PATEL_BNI-INFINITE/1321</t>
  </si>
  <si>
    <r>
      <rPr>
        <u/>
        <sz val="8"/>
        <rFont val="Arial"/>
        <scheme val="minor"/>
      </rPr>
      <t>maheshgujarati04@gmail.com</t>
    </r>
  </si>
  <si>
    <r>
      <rPr>
        <sz val="11"/>
        <color rgb="FF000000"/>
        <rFont val="Arial"/>
        <scheme val="minor"/>
      </rPr>
      <t>Mahesh Patel</t>
    </r>
    <r>
      <rPr>
        <sz val="11"/>
        <color rgb="FF000000"/>
        <rFont val="Arial"/>
        <scheme val="minor"/>
      </rPr>
      <t xml:space="preserve"> </t>
    </r>
    <r>
      <rPr>
        <sz val="11"/>
        <color rgb="FF000000"/>
        <rFont val="Arial"/>
        <scheme val="minor"/>
      </rPr>
      <t>Bni Infinite</t>
    </r>
  </si>
  <si>
    <t>https://card.tap-savvy.com/WINSTON-FERNANDES_BNI-INFINITE/1322</t>
  </si>
  <si>
    <r>
      <rPr>
        <u/>
        <sz val="8"/>
        <rFont val="sans-serif"/>
      </rPr>
      <t>visa@axploreholidays.com</t>
    </r>
  </si>
  <si>
    <r>
      <rPr>
        <sz val="11"/>
        <color rgb="FF000000"/>
        <rFont val="sans-serif"/>
      </rPr>
      <t>Winston Fernandes</t>
    </r>
    <r>
      <rPr>
        <sz val="11"/>
        <color rgb="FF000000"/>
        <rFont val="sans-serif"/>
      </rPr>
      <t xml:space="preserve"> </t>
    </r>
    <r>
      <rPr>
        <sz val="11"/>
        <color rgb="FF000000"/>
        <rFont val="sans-serif"/>
      </rPr>
      <t>Bni Infinite</t>
    </r>
  </si>
  <si>
    <t>https://www.instagram.com/axplore_holidays/</t>
  </si>
  <si>
    <t>https://card.tap-savvy.com/VIRALBHAI-PATEL_BNI-INFINITE/1323</t>
  </si>
  <si>
    <r>
      <rPr>
        <u/>
        <sz val="8"/>
        <rFont val="sans-serif"/>
      </rPr>
      <t>viral2857@gmail.com</t>
    </r>
  </si>
  <si>
    <r>
      <rPr>
        <sz val="11"/>
        <color rgb="FF000000"/>
        <rFont val="sans-serif"/>
      </rPr>
      <t>Viralbhai Patel</t>
    </r>
    <r>
      <rPr>
        <sz val="11"/>
        <color rgb="FF000000"/>
        <rFont val="sans-serif"/>
      </rPr>
      <t xml:space="preserve"> </t>
    </r>
    <r>
      <rPr>
        <sz val="11"/>
        <color rgb="FF000000"/>
        <rFont val="sans-serif"/>
      </rPr>
      <t>Bni Infinite</t>
    </r>
  </si>
  <si>
    <t>https://card.tap-savvy.com/ARIF-SAYED_BNI-INFINITE/1324</t>
  </si>
  <si>
    <r>
      <rPr>
        <u/>
        <sz val="8"/>
        <rFont val="sans-serif"/>
      </rPr>
      <t>sayedarifali09@gmail.com</t>
    </r>
  </si>
  <si>
    <r>
      <rPr>
        <sz val="11"/>
        <color rgb="FF000000"/>
        <rFont val="sans-serif"/>
      </rPr>
      <t>Arif Sayed</t>
    </r>
    <r>
      <rPr>
        <sz val="11"/>
        <color rgb="FF000000"/>
        <rFont val="sans-serif"/>
      </rPr>
      <t xml:space="preserve"> </t>
    </r>
    <r>
      <rPr>
        <sz val="11"/>
        <color rgb="FF000000"/>
        <rFont val="sans-serif"/>
      </rPr>
      <t>Bni infinite</t>
    </r>
  </si>
  <si>
    <t>https://card.tap-savvy.com/ARJUN-CHATURVEDI_BNI-INFINITE/1385</t>
  </si>
  <si>
    <r>
      <rPr>
        <u/>
        <sz val="8"/>
        <rFont val="Arial"/>
        <scheme val="minor"/>
      </rPr>
      <t>arjun@pinetreepictures.in</t>
    </r>
  </si>
  <si>
    <t xml:space="preserve"> Arun Chaturvedi Bni Infinite</t>
  </si>
  <si>
    <t>https://card.tap-savvy.com/NIKUNJ-GALA_BNI-INFINITE/1386</t>
  </si>
  <si>
    <r>
      <rPr>
        <u/>
        <sz val="8"/>
        <rFont val="sans-serif"/>
      </rPr>
      <t>premjis2020@gmail.com</t>
    </r>
  </si>
  <si>
    <t>www.instagram.com/premjis.borivali</t>
  </si>
  <si>
    <t>https://www.facebook.com/share/pYt5h1gfmHRdcfj8/</t>
  </si>
  <si>
    <t>https://card.tap-savvy.com/DHARMESH-PATEL_BNI-INFINITE/1387</t>
  </si>
  <si>
    <r>
      <rPr>
        <u/>
        <sz val="8"/>
        <rFont val="sans-serif"/>
      </rPr>
      <t>dharmesh.patel@critontech.com</t>
    </r>
  </si>
  <si>
    <t xml:space="preserve">https://www.instagram.com/criton_technology/ </t>
  </si>
  <si>
    <t>https://m.facebook.com/p/Criton-Technology-100089642377998/?wtsid=rdr_0xBC31U4UOyqdLbhz</t>
  </si>
  <si>
    <t>https://in.linkedin.com/company/criton-technology-and-automation</t>
  </si>
  <si>
    <t>Manufacturing Management Software</t>
  </si>
  <si>
    <t>#ERROR!</t>
  </si>
  <si>
    <t>Dr. Konstantin Popov</t>
  </si>
  <si>
    <t>At Ashish Life Science Pvt Limited (ALS), we believe in creating value within the "human-animal" ecosystem.</t>
  </si>
  <si>
    <t>Our range of advanced veterinary products, world-class manufacturing infrastructure, and relationship-based approach are a testament to this belief.</t>
  </si>
  <si>
    <t>Based on this conviction, we have grown many times over since our founding in 2002 as a manufacturer of veterinary pharmaceutical products.</t>
  </si>
  <si>
    <t>PRIMARY CONTACT</t>
  </si>
  <si>
    <t>URL CODE</t>
  </si>
  <si>
    <t>URL NAME</t>
  </si>
  <si>
    <t>ABOUT COMPANY</t>
  </si>
  <si>
    <t>ALTERNATE CONTACT</t>
  </si>
  <si>
    <t>WHATSAPP CONTACT</t>
  </si>
  <si>
    <t>https://card.tap-savvy.com/AshishLifeScience_Nirdesh-Kumar/1030</t>
  </si>
  <si>
    <t>https://card.tap-savvy.com/AshishLifeScience_Ronitt-Agarrwal/1038</t>
  </si>
  <si>
    <t>FULL NAME</t>
  </si>
  <si>
    <t xml:space="preserve">URL </t>
  </si>
  <si>
    <t>The_GameDrive_Anosh-Koppikar</t>
  </si>
  <si>
    <t>The-Game-Drive _Amita-Matkar</t>
  </si>
  <si>
    <t>SERIAL NO</t>
  </si>
  <si>
    <t>PROFILE PICUTRE</t>
  </si>
  <si>
    <t>COVER PICUTRE</t>
  </si>
  <si>
    <t>DESEIGNATION</t>
  </si>
  <si>
    <t>EMAIL ID</t>
  </si>
  <si>
    <t>PRIMARY ADDRESS</t>
  </si>
  <si>
    <t>TEMPLATE</t>
  </si>
  <si>
    <t>BG</t>
  </si>
  <si>
    <t>FONT</t>
  </si>
  <si>
    <t>BG BUTTON</t>
  </si>
  <si>
    <t>BUTTON FONT</t>
  </si>
  <si>
    <t>Turtle down</t>
  </si>
  <si>
    <t>ask konsultancy</t>
  </si>
  <si>
    <t>933</t>
  </si>
  <si>
    <t>936</t>
  </si>
  <si>
    <t>935</t>
  </si>
  <si>
    <t>938</t>
  </si>
  <si>
    <t>1029</t>
  </si>
  <si>
    <t>1022</t>
  </si>
  <si>
    <t>1023</t>
  </si>
  <si>
    <t>1024</t>
  </si>
  <si>
    <t>1025</t>
  </si>
  <si>
    <t>1026</t>
  </si>
  <si>
    <t>1028</t>
  </si>
  <si>
    <t>1030</t>
  </si>
  <si>
    <t>1031</t>
  </si>
  <si>
    <t>1032</t>
  </si>
  <si>
    <t>1033</t>
  </si>
  <si>
    <t>1034</t>
  </si>
  <si>
    <t>1035</t>
  </si>
  <si>
    <t>1038</t>
  </si>
  <si>
    <t>1096</t>
  </si>
  <si>
    <t>1039</t>
  </si>
  <si>
    <t>AshishLifeScience_Nirdesh-Kumar</t>
  </si>
  <si>
    <t>AshishLifeScience_DrKonstantin-Popov</t>
  </si>
  <si>
    <t>448</t>
  </si>
  <si>
    <t>449</t>
  </si>
  <si>
    <t>450</t>
  </si>
  <si>
    <t>451</t>
  </si>
  <si>
    <t>PROFILE PICTURE</t>
  </si>
  <si>
    <t>COVER PICTURE</t>
  </si>
  <si>
    <t>Azb &amp; Partners</t>
  </si>
  <si>
    <t>Kuber Enterprises</t>
  </si>
  <si>
    <t>A To Z Services Pvt. Ltd</t>
  </si>
  <si>
    <t>Dd Holistic Health Care</t>
  </si>
  <si>
    <t>Undefined</t>
  </si>
  <si>
    <t>Asian Opticians</t>
  </si>
  <si>
    <t>Setuz Sales Pvt Ltd</t>
  </si>
  <si>
    <t>Cbv &amp; Associates Llp</t>
  </si>
  <si>
    <t>Shakti Acryplast Llp</t>
  </si>
  <si>
    <t>Scs Bearings</t>
  </si>
  <si>
    <t>Vlite Furnitech</t>
  </si>
  <si>
    <t>Vaishali Nx</t>
  </si>
  <si>
    <t>Megh Jewellers</t>
  </si>
  <si>
    <t>Win At Relationships By Kuunjal Paal</t>
  </si>
  <si>
    <t>Key2Happylife Pvt Ltd</t>
  </si>
  <si>
    <t>Vishwakarma International</t>
  </si>
  <si>
    <t>Ab Jewels</t>
  </si>
  <si>
    <t>Bhagat Jewellers</t>
  </si>
  <si>
    <t>Bholasons Jewellers</t>
  </si>
  <si>
    <t>B L Hissaria</t>
  </si>
  <si>
    <t>Avr Swarna Mahal</t>
  </si>
  <si>
    <t>M P Swarna Mahal</t>
  </si>
  <si>
    <t>Lahore Jewellers</t>
  </si>
  <si>
    <t>Dp Abhushan</t>
  </si>
  <si>
    <t>Pavithra Jewels</t>
  </si>
  <si>
    <t>Motisons Jewellers</t>
  </si>
  <si>
    <t>Saheli Jewellers</t>
  </si>
  <si>
    <t>Om Jewellers</t>
  </si>
  <si>
    <t>Panna Diamond World Jewellers</t>
  </si>
  <si>
    <t>Pp Jewellers</t>
  </si>
  <si>
    <t>Modern Jewellers</t>
  </si>
  <si>
    <t>Sona Chandi Jewellers</t>
  </si>
  <si>
    <t>Chosen By Tejpal Ranka</t>
  </si>
  <si>
    <t>Ranka Jewellers</t>
  </si>
  <si>
    <t>Kamna Jewellers</t>
  </si>
  <si>
    <t>Manikchand Jewellers</t>
  </si>
  <si>
    <t>Hira Panna Jewellers</t>
  </si>
  <si>
    <t>Talla Jewellers</t>
  </si>
  <si>
    <t>Dass Jewellers</t>
  </si>
  <si>
    <t>Hsj Badaun</t>
  </si>
  <si>
    <t>Kk Jewels</t>
  </si>
  <si>
    <t>Manoharlal Jewellers Preet Vihar</t>
  </si>
  <si>
    <t>Jp Jewellers</t>
  </si>
  <si>
    <t>Rokde Jewellers</t>
  </si>
  <si>
    <t>Raman Jewellers</t>
  </si>
  <si>
    <t>Challani Jewellery Mart</t>
  </si>
  <si>
    <t>Rare Jewels</t>
  </si>
  <si>
    <t>Metal Focus</t>
  </si>
  <si>
    <t>Arjunaa Jewellers</t>
  </si>
  <si>
    <t>Jugal Kishore The Jeweller</t>
  </si>
  <si>
    <t>L. Gopal And Sons</t>
  </si>
  <si>
    <t>Ckc</t>
  </si>
  <si>
    <t>Khurana Jewellery House</t>
  </si>
  <si>
    <t>Nazrana Fine Jewels</t>
  </si>
  <si>
    <t>Josalukkas</t>
  </si>
  <si>
    <t>Bhima Jewellery- Trivandrum</t>
  </si>
  <si>
    <t>Prism Jewellery</t>
  </si>
  <si>
    <t>Kama Jewellery</t>
  </si>
  <si>
    <t>Batukbhai Sons Jewellers</t>
  </si>
  <si>
    <t>Kalyan Jewellers</t>
  </si>
  <si>
    <t>Zaveri And Co.</t>
  </si>
  <si>
    <t>Radhika Jewel Tech</t>
  </si>
  <si>
    <t>Manoharlal Sarraf And Sons Jewellers</t>
  </si>
  <si>
    <t>Tribhovandas Bhimji Zaveri</t>
  </si>
  <si>
    <t>Talwarsons</t>
  </si>
  <si>
    <t>Reliance Jewels</t>
  </si>
  <si>
    <t>Shobha Shringar Jewellers</t>
  </si>
  <si>
    <t>Jawhara Jewellery Llc</t>
  </si>
  <si>
    <t>Navrathan Jewellers</t>
  </si>
  <si>
    <t>Sunil Jewel Palace</t>
  </si>
  <si>
    <t>Malabar Gold And Diamonds</t>
  </si>
  <si>
    <t>Sri Krishna Diamonds &amp; Jewellery</t>
  </si>
  <si>
    <t>Damas Jewellery</t>
  </si>
  <si>
    <t>Joyalukkas Jewellery</t>
  </si>
  <si>
    <t>World Gold Council</t>
  </si>
  <si>
    <t>De Beers Group</t>
  </si>
  <si>
    <t>Meena Jewellers</t>
  </si>
  <si>
    <t>Anmol Jewellers</t>
  </si>
  <si>
    <t>Thangam Jewellery</t>
  </si>
  <si>
    <t>Pn Gadgil Sons Jewellers</t>
  </si>
  <si>
    <t>Bafleh Jewellery</t>
  </si>
  <si>
    <t>Navrathan</t>
  </si>
  <si>
    <t>Aisshpra Gems And Jewellery</t>
  </si>
  <si>
    <t>Manoj Vaibhav Gems &amp; Jewellery</t>
  </si>
  <si>
    <t>Jewellers Anopchand Bhansali</t>
  </si>
  <si>
    <t>Emerald Jewel Industry</t>
  </si>
  <si>
    <t>Bhima Jewellery</t>
  </si>
  <si>
    <t>Bhima Jewellery Madhurai</t>
  </si>
  <si>
    <t>Manoharlal Saraf And Sons Jewellers</t>
  </si>
  <si>
    <t>Grt Jewellers</t>
  </si>
  <si>
    <t>Mohan Shyam Kalyandas Jewellers</t>
  </si>
  <si>
    <t>Diamond World Fzc</t>
  </si>
  <si>
    <t>Nnp Law Associates</t>
  </si>
  <si>
    <t>Bni</t>
  </si>
  <si>
    <t>Shubh Exim</t>
  </si>
  <si>
    <t>The Writemind</t>
  </si>
  <si>
    <t>Sr Store</t>
  </si>
  <si>
    <t>Nj Digit</t>
  </si>
  <si>
    <t>Mrj Home Improvements Pvt Ltd</t>
  </si>
  <si>
    <t>Chemtronics Technologies (India) Pvt Ltd</t>
  </si>
  <si>
    <t>Property Services</t>
  </si>
  <si>
    <t>Arihant-Nx</t>
  </si>
  <si>
    <t>Lorven Biologics Germany Gmbh</t>
  </si>
  <si>
    <t>Glitorium - The Finishing Touch</t>
  </si>
  <si>
    <t>Rock Punks Clothing</t>
  </si>
  <si>
    <t>Vchic Image Consultancy</t>
  </si>
  <si>
    <t>Morya Enterprises</t>
  </si>
  <si>
    <t>Chandorkar And Associates</t>
  </si>
  <si>
    <t>Innerspaces</t>
  </si>
  <si>
    <t>Nsrm Taxation &amp; Accounting Llc</t>
  </si>
  <si>
    <t>Vinayak Dental Clinic</t>
  </si>
  <si>
    <t>Sbc Accounts And Financial Services</t>
  </si>
  <si>
    <t>Society Stores Retail Pvt Ltd</t>
  </si>
  <si>
    <t>Avaran Jewellery</t>
  </si>
  <si>
    <t>Spiritual Healing By Khushnam</t>
  </si>
  <si>
    <t>V P Thakkar &amp; Co</t>
  </si>
  <si>
    <t>Dinesh Chaudhary &amp; Co</t>
  </si>
  <si>
    <t>Wraps And Tags</t>
  </si>
  <si>
    <t>Simone Salon And Spa</t>
  </si>
  <si>
    <t>Cosmic Healings By Chaitali</t>
  </si>
  <si>
    <t>Nikitaa'S Earthborn</t>
  </si>
  <si>
    <t>Paper To Project</t>
  </si>
  <si>
    <t>Datamatics Global Services.Ltd</t>
  </si>
  <si>
    <t>Rikam</t>
  </si>
  <si>
    <t>Mclaren Track Day 2024</t>
  </si>
  <si>
    <t>Rainbow</t>
  </si>
  <si>
    <t>Deepikadiya</t>
  </si>
  <si>
    <t>Sd Jaipur</t>
  </si>
  <si>
    <t>Pitstop Chd</t>
  </si>
  <si>
    <t>Studio J Guntur</t>
  </si>
  <si>
    <t>Studio J Vijaywada</t>
  </si>
  <si>
    <t>Pacompro</t>
  </si>
  <si>
    <t>Autograde</t>
  </si>
  <si>
    <t>Xtremegraphix</t>
  </si>
  <si>
    <t>Prodetail</t>
  </si>
  <si>
    <t>Autozville</t>
  </si>
  <si>
    <t>Wiper Auto</t>
  </si>
  <si>
    <t>Detailing Expert</t>
  </si>
  <si>
    <t>Prime Car</t>
  </si>
  <si>
    <t>Rpr</t>
  </si>
  <si>
    <t>Turtle Down Under (Dmc - Australia &amp; Newzealand)</t>
  </si>
  <si>
    <t>Vishal Signages</t>
  </si>
  <si>
    <t>Stalwart World</t>
  </si>
  <si>
    <t>Aisshpra Gems And Jewels</t>
  </si>
  <si>
    <t>Insync Analytics</t>
  </si>
  <si>
    <t>Ask Konsultancy Architects &amp; Designers</t>
  </si>
  <si>
    <t>Neel'S Diviiine Soul</t>
  </si>
  <si>
    <t>Arete</t>
  </si>
  <si>
    <t>Spectacle 'O' &amp; 'C' Clinic</t>
  </si>
  <si>
    <t>Mna &amp; Associates,Advocates</t>
  </si>
  <si>
    <t>Lizard'S Skin Tattoo</t>
  </si>
  <si>
    <t>Avanstrate</t>
  </si>
  <si>
    <t>Chandra Trading Company</t>
  </si>
  <si>
    <t>Nakshatra</t>
  </si>
  <si>
    <t>Spectre - Corporate Finance Solution Llp</t>
  </si>
  <si>
    <t>Travezy</t>
  </si>
  <si>
    <t>Kashvi'S Cardiac Care</t>
  </si>
  <si>
    <t>Nill</t>
  </si>
  <si>
    <t>Ruchira Pure Veg Restaurant &amp; Bhojnalaya</t>
  </si>
  <si>
    <t>Maya'S Salon &amp; Academy</t>
  </si>
  <si>
    <t>Meraakii Solutions</t>
  </si>
  <si>
    <t>Tahaan Pest Solutions Llp</t>
  </si>
  <si>
    <t>Soulful Designs Llp</t>
  </si>
  <si>
    <t>Kude Investment</t>
  </si>
  <si>
    <t>Tee Esstyle Llp</t>
  </si>
  <si>
    <t>Tales Of Fabric</t>
  </si>
  <si>
    <t>Creative Plus Nettrade Llp</t>
  </si>
  <si>
    <t>J Madhu Advt &amp; Mktg Pvt Ltd</t>
  </si>
  <si>
    <t>Jm Anna Idly Cafe Pvt Ltd</t>
  </si>
  <si>
    <t>Dalal Satish D Upadhyay</t>
  </si>
  <si>
    <t>Aaa Ruchira</t>
  </si>
  <si>
    <t>Mquik</t>
  </si>
  <si>
    <t>Para</t>
  </si>
  <si>
    <t>Growpro Technology</t>
  </si>
  <si>
    <t>Healing Arts Centre</t>
  </si>
  <si>
    <t>Sangam Mart</t>
  </si>
  <si>
    <t>Dr.Jain’S Smile World Dental Clinic</t>
  </si>
  <si>
    <t>Facets Hong Kong Limited</t>
  </si>
  <si>
    <t>Saffronbizz Solutions Llp</t>
  </si>
  <si>
    <t>Gifting Affair</t>
  </si>
  <si>
    <t>-Line-Oo Vardhman Mobile</t>
  </si>
  <si>
    <t>Mondial Mmx Financial Distributors Pvt. Ltd.</t>
  </si>
  <si>
    <t>Navkar Furnishing Since 1996</t>
  </si>
  <si>
    <t>Dharma Ply And Laminate Studio</t>
  </si>
  <si>
    <t>Pearl Travels</t>
  </si>
  <si>
    <t>60 Degree Interior</t>
  </si>
  <si>
    <t>I For Accountability</t>
  </si>
  <si>
    <t>Mondial Mmx Financial Distributors Pvt. Ltd</t>
  </si>
  <si>
    <t>Erina'S Desserts</t>
  </si>
  <si>
    <t>Platinum Autozone</t>
  </si>
  <si>
    <t>Tr Jewels</t>
  </si>
  <si>
    <t>Dot41 Customs</t>
  </si>
  <si>
    <t>Hp Consulting</t>
  </si>
  <si>
    <t>Jm Solutions</t>
  </si>
  <si>
    <t>Darshana - Beauty Reinvented</t>
  </si>
  <si>
    <t>Ss Fincorp</t>
  </si>
  <si>
    <t>Care Of Mind, Body &amp; Soul Llp</t>
  </si>
  <si>
    <t>Bluearch</t>
  </si>
  <si>
    <t>Ortho-Care</t>
  </si>
  <si>
    <t>Neptune Computers</t>
  </si>
  <si>
    <t>Chocolato</t>
  </si>
  <si>
    <t>Klassic Mounts</t>
  </si>
  <si>
    <t>Defy-Decor For You</t>
  </si>
  <si>
    <t>Cs Krishna &amp; Associates</t>
  </si>
  <si>
    <t>Fundspinner Advisors Private Limited</t>
  </si>
  <si>
    <t>General Insurance Company</t>
  </si>
  <si>
    <t>Koil Aluminium &amp; Glass</t>
  </si>
  <si>
    <t>Aryanivesh Investment Services</t>
  </si>
  <si>
    <t>Kreston Sgco Advisors Llp</t>
  </si>
  <si>
    <t>The Decal Hub</t>
  </si>
  <si>
    <t>J M Adv.&amp; Marketing.Pvt Ltd</t>
  </si>
  <si>
    <t>Stalagmite Consultancy Pvt Ltd</t>
  </si>
  <si>
    <t>Rn Shah Associate</t>
  </si>
  <si>
    <t>M/S. Global Nanotech</t>
  </si>
  <si>
    <t>Dr Mayank Doshi'S Microdentistry &amp; Digital Dental Centre</t>
  </si>
  <si>
    <t>Mahavir Hardware Studio</t>
  </si>
  <si>
    <t>Nikita Hardware</t>
  </si>
  <si>
    <t>Leadership With Deepa</t>
  </si>
  <si>
    <t>Glisna</t>
  </si>
  <si>
    <t>Iron Paradise The Club House</t>
  </si>
  <si>
    <t>Pine Tree Pictures Pvt Ltd</t>
  </si>
  <si>
    <t>Premji'S</t>
  </si>
  <si>
    <t>Goyam-General Insurance Specialist</t>
  </si>
  <si>
    <t>Nuvama Wealth</t>
  </si>
  <si>
    <t>Paper Project</t>
  </si>
  <si>
    <t>Dynamic Investments</t>
  </si>
  <si>
    <t>Khushhnm Kkaranjia</t>
  </si>
  <si>
    <t>Krupali Mahorey &amp; Associates</t>
  </si>
  <si>
    <t>Mna &amp; Associates</t>
  </si>
  <si>
    <t>Tap Savvy Technologies</t>
  </si>
  <si>
    <t>Pneumatics Manufacturer</t>
  </si>
  <si>
    <t>Eskay Construction Technology</t>
  </si>
  <si>
    <t>Psa</t>
  </si>
  <si>
    <t>Deep Computer And Services</t>
  </si>
  <si>
    <t>Holistic Art'S Centre</t>
  </si>
  <si>
    <t>Atharva Capital Management Llp</t>
  </si>
  <si>
    <t>Opc Asset Solutions Pvt Ltd</t>
  </si>
  <si>
    <t>Simone Salon &amp; Spa Academy</t>
  </si>
  <si>
    <t>3 Cheers</t>
  </si>
  <si>
    <t>Invento</t>
  </si>
  <si>
    <t>Nisarg Gandhi Designs</t>
  </si>
  <si>
    <t>Mohit Style Studio</t>
  </si>
  <si>
    <t>Lic , Mediclaim</t>
  </si>
  <si>
    <t>Llumar Autoclinic</t>
  </si>
  <si>
    <t>Vishvibesbysaloni</t>
  </si>
  <si>
    <t>Bfit By Harsha</t>
  </si>
  <si>
    <t>A To Z Services</t>
  </si>
  <si>
    <t>Invento Restaurant And Catering Services</t>
  </si>
  <si>
    <t>Puredust</t>
  </si>
  <si>
    <t>Kvar</t>
  </si>
  <si>
    <t>Sona Tv Centre &amp; Furniture</t>
  </si>
  <si>
    <t>Air Tech Pneumatics</t>
  </si>
  <si>
    <t>Azb&amp;Partners_Prerak-Ved</t>
  </si>
  <si>
    <t>Azb&amp;Partners_Aditya-Vikram-Bhat</t>
  </si>
  <si>
    <t>Brijesh-Rathod</t>
  </si>
  <si>
    <t>Atoz-Services_Sandeep-Agarwal</t>
  </si>
  <si>
    <t>Dd-Holistic-Health-Care_Urwiz-Dara-Chavda</t>
  </si>
  <si>
    <t>Azb&amp;Partners_Ajay-Upadhyay</t>
  </si>
  <si>
    <t>Jas-Shah</t>
  </si>
  <si>
    <t>Asian-Optician</t>
  </si>
  <si>
    <t>Swastik_Tejmalpokharna</t>
  </si>
  <si>
    <t>Setuz</t>
  </si>
  <si>
    <t>Cbv&amp;Associate_Vinay-Pathak</t>
  </si>
  <si>
    <t>Shakti-Acryplast-Llp_Sahil-Jain</t>
  </si>
  <si>
    <t>Scs-Bearings</t>
  </si>
  <si>
    <t>Vlite-Furnitech</t>
  </si>
  <si>
    <t>Chopstick_Tushar-Marolia</t>
  </si>
  <si>
    <t>Vasupati-Jewellers_Srishti-Kothari</t>
  </si>
  <si>
    <t>White-Company_Abhayraj-Singh-Kohli</t>
  </si>
  <si>
    <t>Vaishalinx_Nayan-Doshi</t>
  </si>
  <si>
    <t>Vaishalinx_Namdev-Deshmukh</t>
  </si>
  <si>
    <t>Vasupati-Jewellers_Avnip-Kothari</t>
  </si>
  <si>
    <t>Vasupati-Jewellers_Mukesh-Kothari</t>
  </si>
  <si>
    <t>Vasupati-Jewellers_Mansukh-Kothari</t>
  </si>
  <si>
    <t>Vasupati-Jewellers_Nishi-Kothari</t>
  </si>
  <si>
    <t>Megh-Jewellers_Bhavesh-Solanki</t>
  </si>
  <si>
    <t>Kashish-Furnishing_Vishal-Jain</t>
  </si>
  <si>
    <t>Kashish-Furnishings_Manish-Jain</t>
  </si>
  <si>
    <t>Kashish-Furnishing</t>
  </si>
  <si>
    <t>Kashish-Enterprise_Ravi-Jain</t>
  </si>
  <si>
    <t>Win-At-Relationship_Kuunjal-Paal</t>
  </si>
  <si>
    <t>Key2Happylifepvtltd_Mallickparekh</t>
  </si>
  <si>
    <t>Happylife_Amit-Roy</t>
  </si>
  <si>
    <t>Key2Happylifepvtltd_Naveenkhanna</t>
  </si>
  <si>
    <t>Vishwakarma-International_Sanjay-Goyal</t>
  </si>
  <si>
    <t>Ab-Jewels_Manoj-Soni</t>
  </si>
  <si>
    <t>Ab-Jewels_Vijay-Soni</t>
  </si>
  <si>
    <t>Ab-Jewels_Vanajam-Soni</t>
  </si>
  <si>
    <t>Ab-Jewels_Kirtan-Soni</t>
  </si>
  <si>
    <t>Bhagat-Jewellers_Akash-Manglik</t>
  </si>
  <si>
    <t>Bholasons-Jewellers_Dr.Rajendra-Bhola</t>
  </si>
  <si>
    <t>B.L-Hissaria_Sachin-Hissaria</t>
  </si>
  <si>
    <t>B.L-Hissaria_Rajesh-Hissaria</t>
  </si>
  <si>
    <t>Avr-Swarna-Mahal_A.B.S-Sanjjay</t>
  </si>
  <si>
    <t>Avr-Swarna-Mahal_Soumyha-Sanjjay</t>
  </si>
  <si>
    <t>Avr-Swarna-Mahal_Avr-Siddanth</t>
  </si>
  <si>
    <t>Mp-Swarna-Mahal_Sanjay-Bantia</t>
  </si>
  <si>
    <t>Mp-Swarna-Mahal_Samkith-Sanjay</t>
  </si>
  <si>
    <t>Lahore-Jewellers_Sandeep-Kapoor</t>
  </si>
  <si>
    <t>Dp-Abhushan_Vikas-Kataria</t>
  </si>
  <si>
    <t>Dp-Abhushan_Anil-Kataria</t>
  </si>
  <si>
    <t>Dp-Abhushan_Vimal-Rawal</t>
  </si>
  <si>
    <t>Dp-Abhushan_Shrenik-Jain</t>
  </si>
  <si>
    <t>Pavithra-Jewels_Raghunath-Vs</t>
  </si>
  <si>
    <t>Motisons-Jewellers_Nawal-Agarwal</t>
  </si>
  <si>
    <t>Motisons-Jewellers_Lalit-Musal</t>
  </si>
  <si>
    <t>Saheli-Jewellers_Pavan-Jain</t>
  </si>
  <si>
    <t>Om-Jewellers_Bhavin-Jhakia</t>
  </si>
  <si>
    <t>Om-Jewellers_Bhavesh-Jhakia</t>
  </si>
  <si>
    <t>Panna-Diamond-World-Jewellers_Pintu-Agarwal</t>
  </si>
  <si>
    <t>Panna-Diamond-World-Jewellers_Dilip-Agarwal</t>
  </si>
  <si>
    <t>Pp-Jewellers_Pawan-Gupta</t>
  </si>
  <si>
    <t>Pp-Jewellers_Piyush-Gupta</t>
  </si>
  <si>
    <t>Modern-Jewellers_Subodh-Agarwal</t>
  </si>
  <si>
    <t>Sona-Chandi-Jewellers_Rajendra-Agarwal</t>
  </si>
  <si>
    <t>Sona-Chandi-Jewellers_Deepa-Agarwal</t>
  </si>
  <si>
    <t>Chosen-By-Tejpal-Ranka_Tejpal-Ranka</t>
  </si>
  <si>
    <t>Chosen-By-Tejpal-Ranka_Asha-Ranka</t>
  </si>
  <si>
    <t>Ranka-Jewellers_Ishita-Ranka</t>
  </si>
  <si>
    <t>Kamna-Jewellers_Shikhar-Agarwal</t>
  </si>
  <si>
    <t>Kamna-Jewellers_Shimul-Agarwal</t>
  </si>
  <si>
    <t>Manikchand-Jewellers_Kishan-Soni</t>
  </si>
  <si>
    <t>Hira-Panna-Jewellers_Shekhar-Kesari</t>
  </si>
  <si>
    <t>Talla-Jewellers_Aman-Talla</t>
  </si>
  <si>
    <t>Talla-Jewellers_Ajay-Talla</t>
  </si>
  <si>
    <t>Dass-Jewellers_Ojas-Vastani</t>
  </si>
  <si>
    <t>Dass-Jewellers_Chetan-Vastani</t>
  </si>
  <si>
    <t>Dass-Jewellers_Avish-Vastani</t>
  </si>
  <si>
    <t>Hsj-Badaun_Parul-Anand</t>
  </si>
  <si>
    <t>Hsj-Badaun_Sachit-Anand</t>
  </si>
  <si>
    <t>Kk-Jewels_Kailash-Kabra</t>
  </si>
  <si>
    <t>Kk-Jewels_Siddharth-Sethia</t>
  </si>
  <si>
    <t>Kk-Jewels_Anand-Thakkar</t>
  </si>
  <si>
    <t>Manoharlal-Jewellers-Preet-Vihar_Prabhat-Shekhar</t>
  </si>
  <si>
    <t>Manoharlal-Jewellers-Preet-Vihar_Manita-Shekhar</t>
  </si>
  <si>
    <t>Manoharlal-Jewellers-Preet-Vihar_Surbhi-Shekhar</t>
  </si>
  <si>
    <t>Jp-Jewellers_Dhaval-As</t>
  </si>
  <si>
    <t>Rokde-Jewellers_Rajesh-Rokde</t>
  </si>
  <si>
    <t>Rokde-Jewellers_Sarang-Rokde</t>
  </si>
  <si>
    <t>Raman-Jewellers_Raman-Jain</t>
  </si>
  <si>
    <t>Challani-Jewellery-Mart_Jayantilal-Challani</t>
  </si>
  <si>
    <t>Challani-Jewellery-Mart_Goutham-Challani</t>
  </si>
  <si>
    <t>Rare-Jewels_Vastupal-Ranka</t>
  </si>
  <si>
    <t>Metal-Focus_Chirag-Sheth</t>
  </si>
  <si>
    <t>Metal-Focus_Harshal-Barot</t>
  </si>
  <si>
    <t>Arjunaa-Jewellers_Ashok-Kumar-Jain</t>
  </si>
  <si>
    <t>Jugal-Kishore-The-Jeweller_Nilaya-Rastogi</t>
  </si>
  <si>
    <t>L.Gopal-And-Sons_Vikash-Soni</t>
  </si>
  <si>
    <t>Ckc-Jewellers_Dr.C.Vinod-Hayagriv</t>
  </si>
  <si>
    <t>Khurana-Jewellery-House_Pankaj-Khurana</t>
  </si>
  <si>
    <t>Khurana-Jewellery-House_Munish-Khurana</t>
  </si>
  <si>
    <t>Khurana-Jewellery-House_Prerna-Khurana</t>
  </si>
  <si>
    <t>Nazrana-Fine-Jewels_Ridhima</t>
  </si>
  <si>
    <t>Nazrana-Fine-Jewels_Gagan</t>
  </si>
  <si>
    <t>Josalukkas_Varghese-Alukkas</t>
  </si>
  <si>
    <t>Josalukkas_Paul-Alukkas</t>
  </si>
  <si>
    <t>Josallukas_John-Allukas</t>
  </si>
  <si>
    <t>Bhima-Jewellery-Trivandrum_Suhas</t>
  </si>
  <si>
    <t>Bhima-Jewellery-Trivandrum_Gayathri</t>
  </si>
  <si>
    <t>Bhima-Jewellery-Trivandrum_Dr.B.-Govindan</t>
  </si>
  <si>
    <t>Prism-Jewellery_Nirav-Bhansali</t>
  </si>
  <si>
    <t>Prism-Jewellery_Reshma-Bhansali</t>
  </si>
  <si>
    <t>Kama-Jewellery_Colin-Shah</t>
  </si>
  <si>
    <t>Kama-Jewellery_Vaishali-Shah</t>
  </si>
  <si>
    <t>Kama-Jewellery_Simran-Shah</t>
  </si>
  <si>
    <t>Batukbhai-Sons-Jewellers_Bharat-Sheth</t>
  </si>
  <si>
    <t>Batukbhai-Sons-Jewellers_Mohit-Sheth</t>
  </si>
  <si>
    <t>Batukbhai-Sons-Jewellers_Viraj-Sheth</t>
  </si>
  <si>
    <t>Batukbhai-Sons-Jewellers_Kishor-Sheth</t>
  </si>
  <si>
    <t>Batukbhai-Sons-Jewellers_Naina-Sheth</t>
  </si>
  <si>
    <t>Kalyan-Jewellers_Rajesh-Kalyanaraman</t>
  </si>
  <si>
    <t>Kalyan-Jewellers_Mani-Thottath</t>
  </si>
  <si>
    <t>Kalyan-Jewellers_Paulson-Cj</t>
  </si>
  <si>
    <t>Zaveri-And-Co._Zaverilal-Zaveri</t>
  </si>
  <si>
    <t>Zaveri-And-Co._Chandresh-Zaveri</t>
  </si>
  <si>
    <t>Zaveri-And-Co._Bharat-Zaveri</t>
  </si>
  <si>
    <t>Zaveri-And-Co._Raj-Zaveri</t>
  </si>
  <si>
    <t>Ranka-Jewellers_Shlok-Ranka</t>
  </si>
  <si>
    <t>Ranka-Jewellers_Manav-Ranka</t>
  </si>
  <si>
    <t>Ranka-Jewellers_Anil-Ranka</t>
  </si>
  <si>
    <t>Radhika-Jewel-Tech_Haresh-Soni</t>
  </si>
  <si>
    <t>Manoharlal-Saraf-And-Sons-Jewellers_Himanshu-Shekhar</t>
  </si>
  <si>
    <t>Manoharlal-Saraf-And-Sons-Jewellers_Sundeep-Tyagi</t>
  </si>
  <si>
    <t>Manoharlal-Sarraf-And-Sons-Jewellers_Mohit-Shekhar</t>
  </si>
  <si>
    <t>Harsahaimal-Shiamlal-Jewellers-Lucknow_Ankur-Anand</t>
  </si>
  <si>
    <t>Harsahaimal-Shiamlal-Jewellers-Lucknow_Kanupriya-Anand</t>
  </si>
  <si>
    <t>Tribhovandas-Bhimji-Zaveri_Sandhya-Patel</t>
  </si>
  <si>
    <t>Tribhovandas-Bhimji-Zaveri_Mehul-Soni</t>
  </si>
  <si>
    <t>Tribhovandas-Bhimji-Zaveri_Sanjay-Bilimora</t>
  </si>
  <si>
    <t>Talwarsons_Anil-Talwar</t>
  </si>
  <si>
    <t>Talwarsons_Vikram-Talwar</t>
  </si>
  <si>
    <t>Talwarsons_Dhruv-Talwar</t>
  </si>
  <si>
    <t>Reliance-Jewels_Sunil-Nayak</t>
  </si>
  <si>
    <t>Reliance-Jewels_Piyush-Seth</t>
  </si>
  <si>
    <t>Reliance-Jewels_Ashwin-Bafna</t>
  </si>
  <si>
    <t>Reliance-Jewels_Nitin-Misra</t>
  </si>
  <si>
    <t>Reliance-Jewels_Hiten-Mastram</t>
  </si>
  <si>
    <t>Shobha-Shringar-Jewellers_Snehal-Choksey</t>
  </si>
  <si>
    <t>Shobha-Shringar-Jewellers_Sujay-Choksey</t>
  </si>
  <si>
    <t>Jawhara-Jewellery-Llc_Mohd.Tamjit-Abdullah</t>
  </si>
  <si>
    <t>Jawhara-Jewellery-Llc_Tawhid-Abdullah</t>
  </si>
  <si>
    <t>Jawhara-Jewellery-Llc_Paras-Mehta</t>
  </si>
  <si>
    <t>Jawhara-Jewellery-Llc_Anwer-Hussain</t>
  </si>
  <si>
    <t>Jawhara-Jewellery-Llc_Vinod</t>
  </si>
  <si>
    <t>Navrathan-Jewellers_Gyanchand-P</t>
  </si>
  <si>
    <t>Sunil-Jewel-Palace_Rajendra-Kumar</t>
  </si>
  <si>
    <t>Malabar-Gold-And-Diamonds_Shaheer-Parambath</t>
  </si>
  <si>
    <t>Malabar-Gold-And-Diamonds_Sakkeer-Parappurath</t>
  </si>
  <si>
    <t>Malabar-Gold-And-Diamonds_Asher</t>
  </si>
  <si>
    <t>Malabar-Gold-And-Diamonds_Abdul-Kandampath</t>
  </si>
  <si>
    <t>Malabar-Gold-And-Diamonds_Dilip-Narayan</t>
  </si>
  <si>
    <t>Malabar-Gold-And-Diamonds_Shamlal-Parambath</t>
  </si>
  <si>
    <t>Sri-Krishna-Diamonds-&amp;-Jewellery_Sajjanraj-Jain</t>
  </si>
  <si>
    <t>Damas-Jewellery_Mani-Dharman</t>
  </si>
  <si>
    <t>Damas-Jewellery_Binod-Bhatt</t>
  </si>
  <si>
    <t>Damas-Jewellery_Shilendhar-Reddy</t>
  </si>
  <si>
    <t>Joyalukkas-Jewellery_P-Jose</t>
  </si>
  <si>
    <t>Joyallukkas-Jewellery_Deepak-Tp</t>
  </si>
  <si>
    <t>Joyallukas-Jewellery_Suresh-V.N</t>
  </si>
  <si>
    <t>World-Gold-Council_Somasundaram-Pr</t>
  </si>
  <si>
    <t>World-Gold-Council_Aarti-Saxena</t>
  </si>
  <si>
    <t>World-Gold-Council_Rakhi-Khanna</t>
  </si>
  <si>
    <t>De-Beers-Group_Sachin-Jain</t>
  </si>
  <si>
    <t>Meena-Jewellers_Sanjay-Jethwani</t>
  </si>
  <si>
    <t>Meena-Jewellers_Girish</t>
  </si>
  <si>
    <t>Anmol-Jewellers_Mahendra-Tayal</t>
  </si>
  <si>
    <t>Thangam-Jewellery_Vikram-Devraj</t>
  </si>
  <si>
    <t>Pn-Gadgil-Sons-Jewellers_Saurabh-Gadgil</t>
  </si>
  <si>
    <t>Pn-Gadgil-Sons-Jewellers_Nahush-Gadre</t>
  </si>
  <si>
    <t>Pn-Gadgil-Sons-Jewellers_Yuvraj-Belapurkar</t>
  </si>
  <si>
    <t>Pn-Gadgil-Sons-Jewellers_Suresh-Krishnan</t>
  </si>
  <si>
    <t>Pn-Gadgil-Sons-Jewellers_Ameya-Shetye</t>
  </si>
  <si>
    <t>Pn-Gadgil-Sons-Jewellers_Bhushan-Dandawate</t>
  </si>
  <si>
    <t>Bafleh-Jewellery_Ramesh-Vora</t>
  </si>
  <si>
    <t>Navrathan_Mahendra-Bafna</t>
  </si>
  <si>
    <t>Navrathan_Mitesh-Bafna</t>
  </si>
  <si>
    <t>Aisshpra-Gems-And-Jewellery_Vandana-Saraf</t>
  </si>
  <si>
    <t>Aisshpra-Gems-And-Jewellery_Atul-Saraf</t>
  </si>
  <si>
    <t>Aisshpra-Gems-And-Jewellery_Vaibhav-Saraf</t>
  </si>
  <si>
    <t>Aisshpra-Gems-And-Jewellery_Saumitra-Saraf</t>
  </si>
  <si>
    <t>Manoj-Vaibhav-Gems-&amp;-Jewellery_Suresh-Addanki</t>
  </si>
  <si>
    <t>Manoj-Vaibhav-Gems-&amp;-Jewellery_Bharata-Mallika-Ratna</t>
  </si>
  <si>
    <t>Manoj-Vaibhav-Gems-&amp;-Jewellery_Sai-Keerthana-Grandhi</t>
  </si>
  <si>
    <t>Jewellers-Anopchand-Bhansali_Palash-Bhansali</t>
  </si>
  <si>
    <t>Jevar-Jewellers_Prithviraj</t>
  </si>
  <si>
    <t>Emerald-Jewel-Industry_Srinivasan-K</t>
  </si>
  <si>
    <t>Emerald-Jewel-Industry_Dhiaan-Srinivasan</t>
  </si>
  <si>
    <t>Emerald-Jewel-Industry_Nishta-Srinivasan</t>
  </si>
  <si>
    <t>Emerald-Jewel-Industry_Shakthi-Srinivasan</t>
  </si>
  <si>
    <t>Manoj-Vaibhav-Gems-&amp;-Jewellery_Rakhal-Gontla</t>
  </si>
  <si>
    <t>Bhima-Jewellery_Sudhir-Kapoor</t>
  </si>
  <si>
    <t>Bholasons-Jewellers_Sangeeta-Bhola</t>
  </si>
  <si>
    <t>Om-Jewellers_Narendra-Jhakia</t>
  </si>
  <si>
    <t>Om-Jewellers_Mukesh-Jhakia</t>
  </si>
  <si>
    <t>Challani-Jewellery-Mart_Sripal-Challani</t>
  </si>
  <si>
    <t>Arjunna-Jewellers_Rahul-Jain</t>
  </si>
  <si>
    <t>Shobha-Shringar-Jewellers_Nisha-Choksey</t>
  </si>
  <si>
    <t>Sunil-Jewel-Palace_Vaibhav-Daga</t>
  </si>
  <si>
    <t>Sunil-Jewel-Palace_Sunil-Kumar</t>
  </si>
  <si>
    <t>Sunil-Jewel-Palace_Anand-Kumar</t>
  </si>
  <si>
    <t>Sri-Krishna-Diamonds-&amp;-Jewellery_Nikhil-Jain</t>
  </si>
  <si>
    <t>Sri-Krishna-Diamonds-&amp;-Jewellery_Vikas-Jain</t>
  </si>
  <si>
    <t>Anmol-Jewellers_Suryaprakash-Tayal</t>
  </si>
  <si>
    <t>Anmol-Jewellers_Amrit-Tayal</t>
  </si>
  <si>
    <t>Bhima-Jewellery_Deepa-Kapoor</t>
  </si>
  <si>
    <t>Harsahaimal-Shiamlal-Jewellers-P.-Ltd._Mohit-Anand</t>
  </si>
  <si>
    <t>Harsahaimal-Shiamlal-Jewellers-P.Ltd_Ruchika-Anand</t>
  </si>
  <si>
    <t>Manoharlal-Sarraf-And-Sons-Jewellers_Neelam-Shekhar</t>
  </si>
  <si>
    <t>Prerna-Makhariaa</t>
  </si>
  <si>
    <t>Grt-Jewellers_G.R-Ananthapadmanabhan</t>
  </si>
  <si>
    <t>Grt-Jewellers_G.R-Radhakrishnan</t>
  </si>
  <si>
    <t>Mohan-Shyam-Kalyandas-Jewellers_Amit-Rastogi</t>
  </si>
  <si>
    <t>Bhindi-Jewellers_Vinod-Bhindi</t>
  </si>
  <si>
    <t>Vasupati-Jewellers_Anand-Mehta</t>
  </si>
  <si>
    <t>Vasupati-Jewellers_Haresh-Rathod</t>
  </si>
  <si>
    <t>Bhima-Jewels_Abhishek-Bindumadhav</t>
  </si>
  <si>
    <t>Jevar-Jewellers_Mayank-Arya</t>
  </si>
  <si>
    <t>Vrinda-Jewellers_Ambrish-Rohatgi</t>
  </si>
  <si>
    <t>Diamond-World-Fzc_Rajesh-Ganeriwal</t>
  </si>
  <si>
    <t>Diamond-World-Ltd._Sabita-Agarwala</t>
  </si>
  <si>
    <t>Harry-Bycycle-Rental</t>
  </si>
  <si>
    <t>Tejas-Bodawala_Cosmos-Aircon-Pvt-Ltd</t>
  </si>
  <si>
    <t>Nnp-Laws-Associates_Nehal-Parekh</t>
  </si>
  <si>
    <t>Bni-India_Nikhil-Desai</t>
  </si>
  <si>
    <t>Rajeshvakil_Primeindiainternational</t>
  </si>
  <si>
    <t>Shubh-Exim_Amit-Jain</t>
  </si>
  <si>
    <t>Shubh-Exim_Himmat-Jain</t>
  </si>
  <si>
    <t>Shubh-Exim_Pravin-Jain</t>
  </si>
  <si>
    <t>Siddharthjainvelcordtextiles</t>
  </si>
  <si>
    <t>Mukeshnagarvelcordtextiles</t>
  </si>
  <si>
    <t>Samrut-Holdays_Niraj-Lalwani</t>
  </si>
  <si>
    <t>3-Cheers-Ads_Sulakshana-Herekar</t>
  </si>
  <si>
    <t>Qvitta-Thewritemind</t>
  </si>
  <si>
    <t>Sr-Store_Roshan-Jain</t>
  </si>
  <si>
    <t>Pds-Mfg_Manoj-Dimri</t>
  </si>
  <si>
    <t>Gate-Way-Abroad_Pratik-Malde</t>
  </si>
  <si>
    <t>Chocolate-Cosmos_Simra-Sonule</t>
  </si>
  <si>
    <t>Neena-Jamdade</t>
  </si>
  <si>
    <t>Aman-Memon</t>
  </si>
  <si>
    <t>Namaste_Neha-Mishra</t>
  </si>
  <si>
    <t>Mrj-Home-Improvements-Pvt-Ltd_Rajesh-Ahuja</t>
  </si>
  <si>
    <t>Pest-Relief-Services_Sunil-Akhade</t>
  </si>
  <si>
    <t>Amitpatel</t>
  </si>
  <si>
    <t>Sunil-Shah</t>
  </si>
  <si>
    <t>Gras-I_Binita-Zaveri</t>
  </si>
  <si>
    <t>Ankit_Jain_Tap</t>
  </si>
  <si>
    <t>Akash-Gja</t>
  </si>
  <si>
    <t>Lalit-Gja</t>
  </si>
  <si>
    <t>Gras-I_Akhilesh-Mathur</t>
  </si>
  <si>
    <t>Gras_I-Amol-Parse</t>
  </si>
  <si>
    <t>Gras-I_Bhavesh-Oza</t>
  </si>
  <si>
    <t>Gras-I_Devang-Rami</t>
  </si>
  <si>
    <t>Gras-I_Kc-Mohan</t>
  </si>
  <si>
    <t>Gras-I_Pritesh-Prajapati</t>
  </si>
  <si>
    <t>Gras-I_Bharat-Pandya</t>
  </si>
  <si>
    <t>Gras-I_Siddharth-Zaveri</t>
  </si>
  <si>
    <t>Gras-I_Shobbhit-Zaveri</t>
  </si>
  <si>
    <t>Gras-I_Ashok-Singh</t>
  </si>
  <si>
    <t>Gras-I_Siddhesh-Khedekar</t>
  </si>
  <si>
    <t>Gras-I_Sandeep-Arora</t>
  </si>
  <si>
    <t>Gras-I-Ashutosh-Chaptekar</t>
  </si>
  <si>
    <t>Gras-I_Deepakkumar-Das</t>
  </si>
  <si>
    <t>Gras-I_Ram-Gujjar</t>
  </si>
  <si>
    <t>Gras-I_Kaustav-Chaudhary</t>
  </si>
  <si>
    <t>Gras-I_K.V.S.-Prasad</t>
  </si>
  <si>
    <t>Gras-I_M-Suriya</t>
  </si>
  <si>
    <t>Gras-I_Dhirendra-Kulkarni</t>
  </si>
  <si>
    <t>Gras-I_Shivraj-Singh</t>
  </si>
  <si>
    <t>Advsaaurabhbchanddorkar_Chandorkar&amp;Associates</t>
  </si>
  <si>
    <t>Gras-I</t>
  </si>
  <si>
    <t>Innerspaces_Dharna</t>
  </si>
  <si>
    <t>Sheetal-Mouthfreshners_Samveg-Mehta</t>
  </si>
  <si>
    <t>Anupalan-Online_Deepak-Variya</t>
  </si>
  <si>
    <t>Xtasy_By_Megh</t>
  </si>
  <si>
    <t>Mockingbird-Studios_Jai-Pangaonkar</t>
  </si>
  <si>
    <t>Webinsight_Dinesh-Soni</t>
  </si>
  <si>
    <t>White-Wish-Co_Devanshi</t>
  </si>
  <si>
    <t>White-Wish-Co_Vidhi</t>
  </si>
  <si>
    <t>Rajatkapoor</t>
  </si>
  <si>
    <t>Vinayak-Dental-Clinic_Karan-Gaikwad</t>
  </si>
  <si>
    <t>The-Dental-Suite</t>
  </si>
  <si>
    <t>Pencil-Stroke_Mustafa-Darukhanawala</t>
  </si>
  <si>
    <t>Blossom_Zainab-Calcuttawala</t>
  </si>
  <si>
    <t>P-S-Creations_Hetaal-Sethia</t>
  </si>
  <si>
    <t>Heal-Heplping-Lives_Habiba-Kudrati</t>
  </si>
  <si>
    <t>Even-Better-Ads_Raahuul-Advani</t>
  </si>
  <si>
    <t>Piparasancheti&amp;Associates_Priyank-Sancheti</t>
  </si>
  <si>
    <t>Alicantos-Studio_Himani-Jain</t>
  </si>
  <si>
    <t>Sbc-Accounts&amp;Financialservices_Sourabh-Chandorkar</t>
  </si>
  <si>
    <t>Spiritual-Healing-By-Khushnam</t>
  </si>
  <si>
    <t>Cavaibhavpthakkar_28022020</t>
  </si>
  <si>
    <t>Dinesh-Chaudhary&amp;Co_Rishabh-Dinesh-Chaudhary</t>
  </si>
  <si>
    <t>Thegamedrive_Anosh-Koppikar</t>
  </si>
  <si>
    <t>Simmone-Salonandspa_Simmone-Dhanwani</t>
  </si>
  <si>
    <t>Papertoproject_Jalpa-Shah</t>
  </si>
  <si>
    <t>Datamatics_Sabha-Khan</t>
  </si>
  <si>
    <t>Llumar-India_Mclaren-Track-Day-2024</t>
  </si>
  <si>
    <t>Llumar-India_Mclaren-Track-Day-2024_Vishan-Shah</t>
  </si>
  <si>
    <t>Llumar-India_Mclaren-Track-Day-2024_Sandeep-Gandhi</t>
  </si>
  <si>
    <t>Llumar-India_Mclaren-Track-Day-2024_Mohit-Chuganee</t>
  </si>
  <si>
    <t>Llumar-India-Mclaren-Track-Day-2024_Bharat-Shomi</t>
  </si>
  <si>
    <t>Llumar-India-Mclaren-Track-Day-2024_Abhishek-Agarwal</t>
  </si>
  <si>
    <t>Llumar-India-Mclaren-Track-Day-2024_Vikas-Anand</t>
  </si>
  <si>
    <t>Llumar-India-Mclaren-Track-Day-2024_Rahul-Yadav</t>
  </si>
  <si>
    <t>Llumar-India-Mclaren-Track-Day-2024_Samsher-Singh</t>
  </si>
  <si>
    <t>Llumar-India-Mclaren-Track-Day-2024-Aryan-Dandhania</t>
  </si>
  <si>
    <t>Llumar-India-Mclaren-Track-Day-2024_Faiz-Rezwan</t>
  </si>
  <si>
    <t>Llumar-India-Mclaren-Track-Day-2024_Bharat-Reddy</t>
  </si>
  <si>
    <t>Llumar-India-Mclaren-Track-Day-2024-Vinay-Mohan</t>
  </si>
  <si>
    <t>Vanshika-Parmar</t>
  </si>
  <si>
    <t>Vedant-Shelar</t>
  </si>
  <si>
    <t>Llumar_Autologix_Karthik-Bhandari</t>
  </si>
  <si>
    <t>Llumar_Rainbow_Balwant-Singh</t>
  </si>
  <si>
    <t>Llumar-Detailing-Bull_Ved-Prakash</t>
  </si>
  <si>
    <t>Aakshae-Group-Of-Companies_Shubhankar-Das</t>
  </si>
  <si>
    <t>Llumar_Deepikadiya_Deepika-Jaiswal</t>
  </si>
  <si>
    <t>Llumar_Sd-Jaipur_Ravi-Dewani</t>
  </si>
  <si>
    <t>Llumar_Pitstop_Manmeet-Ahluwalia</t>
  </si>
  <si>
    <t>Llumar_Studio-J-Guntur_Abhishek-Juneja</t>
  </si>
  <si>
    <t>Llumar_Studio-J-Vijaywada_Aseem-Juneja</t>
  </si>
  <si>
    <t>Llumar_Pacompro_Mithru-Parthipan</t>
  </si>
  <si>
    <t>Llumar_Autograde_Ankur</t>
  </si>
  <si>
    <t>Llumar_Xtremegraphix_Chirayu-Bendre</t>
  </si>
  <si>
    <t>Llumar_Prodetail_Sameer-Shah</t>
  </si>
  <si>
    <t>Llumar_Motor-Artz_Sufiyan</t>
  </si>
  <si>
    <t>Llumar-Autozville_Ambrose</t>
  </si>
  <si>
    <t>Llumar_Wiper-Auto_Ankush-Gourshettiwar</t>
  </si>
  <si>
    <t>Llumar_Detailing-Expert_Prashant-Thakor</t>
  </si>
  <si>
    <t>Llumar-Prime-Car_Ashu</t>
  </si>
  <si>
    <t>Llumar_Poona-Motors_Anup-Chauhan</t>
  </si>
  <si>
    <t>Llumar_Rpr_Ritweek-Ray</t>
  </si>
  <si>
    <t>Urbansports_Antonio-D'Silva-School</t>
  </si>
  <si>
    <t>Giftamstore_Om-Dave</t>
  </si>
  <si>
    <t>Turtledownunder</t>
  </si>
  <si>
    <t>Vishalsignages_Vishal-Salvi</t>
  </si>
  <si>
    <t>Ashishlifescience_Amardeep-Athawaley</t>
  </si>
  <si>
    <t>Ashishlifescience_Jayesh-Khatri</t>
  </si>
  <si>
    <t>Ashishlifescience_Ashish-Shah</t>
  </si>
  <si>
    <t>Ashishlifescience_Chirag-Shukla</t>
  </si>
  <si>
    <t>Ashishlifescience_Vivek-Kedia</t>
  </si>
  <si>
    <t>Ashishlifescience_Jaiprakash-Todi</t>
  </si>
  <si>
    <t>Ashishlifescience_Drsaurabh-Agarwal</t>
  </si>
  <si>
    <t>Ashishlifescience_Pooja-Karnik</t>
  </si>
  <si>
    <t>Ashishlifescience_Drkirankumar-Madpathi</t>
  </si>
  <si>
    <t>Ashishlifescience_Raujesh-Agarrwal</t>
  </si>
  <si>
    <t>Ashishlifescience_Nilesh-Chavan</t>
  </si>
  <si>
    <t>Ashishlifescience_Sutanu-Nayak</t>
  </si>
  <si>
    <t>Ashishlifescience_Ronitt-Agarrwal</t>
  </si>
  <si>
    <t>Llumar_Motor-Artz_Salman</t>
  </si>
  <si>
    <t>Llumar_Always-Dry-Lucknow_Aditya-Jaiswal</t>
  </si>
  <si>
    <t>Llumar_Autologix_Manish-Gupta</t>
  </si>
  <si>
    <t>Llumar_Detailing-Bull_Khailendra-Singh</t>
  </si>
  <si>
    <t>Llumar_Tyres-Shoppe_Mohit-Jain</t>
  </si>
  <si>
    <t>Llumar_Always-Dry-Newdelhi_Vijay</t>
  </si>
  <si>
    <t>Llumar_Auto-Clinic_Vaibhav-Solanki</t>
  </si>
  <si>
    <t>Llumar_Pro-Detail_Harsh-Gandhi</t>
  </si>
  <si>
    <t>Llumar_Poona-Motors_Vinit-Chauhan</t>
  </si>
  <si>
    <t>Urbansports_Mahalaxmi-Evergreen-Ind.-Estate</t>
  </si>
  <si>
    <t>Urbansports_Dadar-Antonia-D%E2%80%99Silva-High-School</t>
  </si>
  <si>
    <t>Urbansports_Shivaji-Park-Antonio-D'Silva-Technicalh-School</t>
  </si>
  <si>
    <t>Urbansports_Shivaji-Park-The-Park-Club</t>
  </si>
  <si>
    <t>Urbansports_Santacruz-Balkanji</t>
  </si>
  <si>
    <t>Urbansports_Andheri-Janki-Devi-School</t>
  </si>
  <si>
    <t>Urbansports_Prabodhan-Krida-Bhawan</t>
  </si>
  <si>
    <t>Urbansports_Swami-Vivekanand-School</t>
  </si>
  <si>
    <t>Urbansports_Thakur-International-School</t>
  </si>
  <si>
    <t>Urbansports_Chogale-H.-School</t>
  </si>
  <si>
    <t>Urbansports_Five-Garden-St.Joseph-School</t>
  </si>
  <si>
    <t>Urbansports_Goregaon-Bangur-Nagar</t>
  </si>
  <si>
    <t>Urbansports_Narayan-Guru-College</t>
  </si>
  <si>
    <t>Urbansports_St-Xaviers-School</t>
  </si>
  <si>
    <t>Urbansports_Terna-College</t>
  </si>
  <si>
    <t>Urbansports_N.R.-Bhagat-School</t>
  </si>
  <si>
    <t>Urbansports_Upvan-Lake</t>
  </si>
  <si>
    <t>Urbansports_Rustomjee-Int.-School</t>
  </si>
  <si>
    <t>Urbansports_Nes-Bhandup-Turf</t>
  </si>
  <si>
    <t>Ashishlifescience_Mr.Abdulla-Fatiya</t>
  </si>
  <si>
    <t>Aisshpra-Gems-And-Jewels_Saumitra-Saraf</t>
  </si>
  <si>
    <t>Insync-Analytics_Gunbir-Sethi</t>
  </si>
  <si>
    <t>Insync-Analytics_Abhijeet-Akash</t>
  </si>
  <si>
    <t>Ask-Konsultancy_Bushra-Vora</t>
  </si>
  <si>
    <t>Ask-Konsultancy_Jyoti-Mishra</t>
  </si>
  <si>
    <t>Ask-Konsultancy_Mitali-Raut</t>
  </si>
  <si>
    <t>Ask-Konsultancy_Ranjana-Upadhyay</t>
  </si>
  <si>
    <t>Neels-Diviiine-Soul_Neelu-Kumar</t>
  </si>
  <si>
    <t>Thetapegassi_Nniki-Hingad</t>
  </si>
  <si>
    <t>Arete_Ami-Medirata</t>
  </si>
  <si>
    <t>Spectacle-O&amp;C-Clinic_Nandkishor-Amburle</t>
  </si>
  <si>
    <t>Backpack-Travellers_Nitish-Sawant</t>
  </si>
  <si>
    <t>Mna&amp;Associates-Advocates_Megha-Agrawwal</t>
  </si>
  <si>
    <t>Niloy-Das_Lst</t>
  </si>
  <si>
    <t>Sucharita-Paik_Fashion</t>
  </si>
  <si>
    <t>Llumar_The-Detailing-Studio_Jay-Devecha</t>
  </si>
  <si>
    <t>Llumar_Detailing-Xpert_Masoom-Shah</t>
  </si>
  <si>
    <t>Avanstrate_Akarsh-Hebbar</t>
  </si>
  <si>
    <t>Urbansports_Svis</t>
  </si>
  <si>
    <t>Chandratradingcompany_Pritesh-Sanghavi</t>
  </si>
  <si>
    <t>Dentales-Optimumdentalcare</t>
  </si>
  <si>
    <t>Llumar_Detailingdada_Subhojeet-Chaterjee</t>
  </si>
  <si>
    <t>Sarika-Shirsat</t>
  </si>
  <si>
    <t>Nayak-Pharma_Dharam-Shah</t>
  </si>
  <si>
    <t>Spectre_Anirban-Basu</t>
  </si>
  <si>
    <t>Spectre_Ritwik-Bhawsinghka</t>
  </si>
  <si>
    <t>Purva-Farm_Aappa-Gaikwad</t>
  </si>
  <si>
    <t>Ishika-Sharma</t>
  </si>
  <si>
    <t>Travezy_Paresh-Mehta</t>
  </si>
  <si>
    <t>Asian-Paints_Lalit-Kumar</t>
  </si>
  <si>
    <t>Kashvi'S-Cardiac-Care_Dr.Amit-Gangwani</t>
  </si>
  <si>
    <t>Rashi-Aircons_Rajesh-Rajani</t>
  </si>
  <si>
    <t>Rsquare-Beer-Shop</t>
  </si>
  <si>
    <t>Sunil-Zanjugade</t>
  </si>
  <si>
    <t>Ruchira_Pure_Veg_Restaurant_And_Bhojnalaya</t>
  </si>
  <si>
    <t>Maya'S-Salon&amp;Academy</t>
  </si>
  <si>
    <t>Goldenhourhospital_Drsantanu-Kumar-Sahu</t>
  </si>
  <si>
    <t>Padmawatijewellers_Manish-Lunkad</t>
  </si>
  <si>
    <t>Meraakisolutions_Nidhi-Gaglani</t>
  </si>
  <si>
    <t>Tahaanpestsolutionsllp_Zoheb-Shaikh</t>
  </si>
  <si>
    <t>Soulfuldesignsllp_Harshal-Thore</t>
  </si>
  <si>
    <t>Llumar_Perronmarketersanddistributors_Anchit</t>
  </si>
  <si>
    <t>Kude-Investment_Shantanu-Kude</t>
  </si>
  <si>
    <t>Imaxopticals&amp;Watches_Monali-Gada</t>
  </si>
  <si>
    <t>Scaleupconsultants_Ca-Pratik-Damani</t>
  </si>
  <si>
    <t>Tee-Esstyle-Llp_Devesh-Singh</t>
  </si>
  <si>
    <t>Food-Lexicon-Pvt-Ltd_Rubyray</t>
  </si>
  <si>
    <t>Hsr-Creation_Devendra-Kothari</t>
  </si>
  <si>
    <t>Hsr-Creation_Darshan-Sanghavi</t>
  </si>
  <si>
    <t>Rajendra-Bhanushali_Creative-Plus-Nettrade-Llp</t>
  </si>
  <si>
    <t>Sameer-Khetani_Creative-Plus-Nettrade-Llp</t>
  </si>
  <si>
    <t>J-Madhu-Advertising&amp;Marketing-Pvt-Ltd_Prakash-Konar</t>
  </si>
  <si>
    <t>Jm-Anna-Idli-Cafe-Pvt-Ltd_Prakash-Konar</t>
  </si>
  <si>
    <t>Allure&amp;Adorn_Pooja-Gupta</t>
  </si>
  <si>
    <t>Akash-Enterprises_Dinesh-Toraskar</t>
  </si>
  <si>
    <t>Foot-Fuel_Preeti-Jain</t>
  </si>
  <si>
    <t>Desi-Vibrant_Kapil-Vaid</t>
  </si>
  <si>
    <t>Satish-D-Upadhyay</t>
  </si>
  <si>
    <t>Triple_Aaa_Pure_Veg_Restaurant_Bhojnalaya</t>
  </si>
  <si>
    <t>Atul-Parikh</t>
  </si>
  <si>
    <t>Aayushman-Aman-Maheshwari</t>
  </si>
  <si>
    <t>Llumar_Bajoria-Car-Care_Suyash-Bajoria</t>
  </si>
  <si>
    <t>Llumar_Bajoria-Car-Care_Suresh-Bajoria</t>
  </si>
  <si>
    <t>Llumar_Mquik_Mehul-Desai</t>
  </si>
  <si>
    <t>Global-Copier-Resource-Pte-Ltd_Aatish-Patel</t>
  </si>
  <si>
    <t>Sweet-Fashion_Rakesh-Lakhotia</t>
  </si>
  <si>
    <t>Para-Kids-N-Men'S-Clothing_Pooja-Jhunjhunwala</t>
  </si>
  <si>
    <t>Astrix_Illuminar-Ventures-Pvt-Ltd_Saket-Dongre</t>
  </si>
  <si>
    <t>Growpro-Technology_Karan-Dabrai</t>
  </si>
  <si>
    <t>Nippon-Life-Insurance_10001</t>
  </si>
  <si>
    <t>Aarti-Agrawal</t>
  </si>
  <si>
    <t>Panchdev-Traders_Ramashankar-Patel</t>
  </si>
  <si>
    <t>Lovely-Mix-Co_Lovely-Jagtiani</t>
  </si>
  <si>
    <t>Vastra-By-Mala-Munde_Mala-Munde</t>
  </si>
  <si>
    <t>Jainco-Consulting-India-Private-Limited_Kejal-Punamia</t>
  </si>
  <si>
    <t>Biopole_Akshata-Joshi</t>
  </si>
  <si>
    <t>Dinesh-Chaudhary-&amp;-Co_Dinesh-Chaudhary</t>
  </si>
  <si>
    <t>Healing-Arts-Centre_Rinkal-Shah</t>
  </si>
  <si>
    <t>Dr.Alplesh-Jain_Bni-Lighthouse</t>
  </si>
  <si>
    <t>Dr.Kapil-Jain_Bni-Infinite</t>
  </si>
  <si>
    <t>Facets-Hong-Kong-Limited_Kunal-Jain</t>
  </si>
  <si>
    <t>Sheth-Dental-Clinic_Dr.Nomal-Sheth</t>
  </si>
  <si>
    <t>Seema-Makwana_Bni-Infinite</t>
  </si>
  <si>
    <t>Prasanna-Khare_Bni-Infinite</t>
  </si>
  <si>
    <t>Devanshi-Shah_Bni-Infinite</t>
  </si>
  <si>
    <t>Krupa-Mehta_Bni-Infinite</t>
  </si>
  <si>
    <t>Ashay-Save_Bni-Infinite</t>
  </si>
  <si>
    <t>Praveen-Vishwakarma_Bni-Infinite</t>
  </si>
  <si>
    <t>Smit-Shah_Bni-Infinite</t>
  </si>
  <si>
    <t>Mohit-Mehta_Bni-Infinite</t>
  </si>
  <si>
    <t>Chirag-Jain_Bni-Infinite</t>
  </si>
  <si>
    <t>Mitheel-Jagada_Bni-Infinite</t>
  </si>
  <si>
    <t>Vicky-Bafna_Bni-Infinite</t>
  </si>
  <si>
    <t>Mustafa-Shabbir_Bni-Infinite</t>
  </si>
  <si>
    <t>Vishal-Panchal_Bni-Infinite</t>
  </si>
  <si>
    <t>Hardik-Gadhia_Bni-Infinite</t>
  </si>
  <si>
    <t>Lavesh-Kothari_Bni-Infinite</t>
  </si>
  <si>
    <t>Krupa-Shah_Bni-Infinite</t>
  </si>
  <si>
    <t>Vikaash-Verma-Bni-Infinite</t>
  </si>
  <si>
    <t>Jayesh-Meghnani_Bni-Infinite</t>
  </si>
  <si>
    <t>Dr.Ajinkya-Raut_Bni-Infinite</t>
  </si>
  <si>
    <t>Sirisha-Ravuri_Bni-Infinite</t>
  </si>
  <si>
    <t>Chetan-Joshi_Bni-Infinite</t>
  </si>
  <si>
    <t>Ruma-Desai_Bni-Infinite</t>
  </si>
  <si>
    <t>Bina-Pandit_Bni-Infinite</t>
  </si>
  <si>
    <t>Alpesh-Shah_Bni-Infinite</t>
  </si>
  <si>
    <t>Pushpendra-Jain_Bni-Infinite</t>
  </si>
  <si>
    <t>Mohit-Shah_Bni-Infinite</t>
  </si>
  <si>
    <t>Tejas-Sanghvi_Bni-Infinite</t>
  </si>
  <si>
    <t>Erina-Jain_Bni-Infinite</t>
  </si>
  <si>
    <t>Deepak-Kumar_Bni-Infinite</t>
  </si>
  <si>
    <t>Rushabh-Somani_Bni-Infinite</t>
  </si>
  <si>
    <t>Dr.Riddhi-Shah_Bni-Infinite</t>
  </si>
  <si>
    <t>Krishna-Thalesar_Bni-Infinite</t>
  </si>
  <si>
    <t>Shubham-Patil_Bni-Infinite</t>
  </si>
  <si>
    <t>Hardik-Purohit_Bni-Infinite</t>
  </si>
  <si>
    <t>Suchi-Shah_Bni-Infinite</t>
  </si>
  <si>
    <t>Milan-Pandya_Bni-Infinite</t>
  </si>
  <si>
    <t>Purvi-Baj_Bni-Infinite</t>
  </si>
  <si>
    <t>Sagar-Pothan_Bni-Infinite</t>
  </si>
  <si>
    <t>Darshana-Bhatt_Bni-Infinite</t>
  </si>
  <si>
    <t>Nilay-Bhatter_Bni-Infinite</t>
  </si>
  <si>
    <t>Minal-Nathvani_Bni-Infinite</t>
  </si>
  <si>
    <t>Naitri-Mehta_Bni-Infinite</t>
  </si>
  <si>
    <t>Sandeep-Duggal_Bni-Infinite</t>
  </si>
  <si>
    <t>Nirmal-Tak_Bni-Infinite</t>
  </si>
  <si>
    <t>Poonam-Gupta_Bni-Infinite</t>
  </si>
  <si>
    <t>Afshan-Nafis_Bni-Infinite</t>
  </si>
  <si>
    <t>Prashanth-Solanki_Bni-Infinite</t>
  </si>
  <si>
    <t>Mahesh-Patel_Bni-Infinite</t>
  </si>
  <si>
    <t>Winston-Fernandes_Bni-Infinite</t>
  </si>
  <si>
    <t>Viralbhai-Patel_Bni-Infinite</t>
  </si>
  <si>
    <t>Arif-Sayed_Bni-Infinite</t>
  </si>
  <si>
    <t>Dipesh-Doshi_Bni-Lighthouse</t>
  </si>
  <si>
    <t>Ateet-Vengurlekar_Bni-Lighthouse</t>
  </si>
  <si>
    <t>Deepak-Jain_Bni-Lighthouse</t>
  </si>
  <si>
    <t>Dr.Sachin-Jain_Bni-Lighthouse</t>
  </si>
  <si>
    <t>Devanshi-Sidhpura_Bni-Lighthouse</t>
  </si>
  <si>
    <t>Manish-Jain_Bni-Lighthouse</t>
  </si>
  <si>
    <t>Ami-Damaani_Bni-Lighthouse</t>
  </si>
  <si>
    <t>Ketan-Jain_Bni-Lighthouse</t>
  </si>
  <si>
    <t>Dr.Hatim-Merchant_Bni-Lighthouse</t>
  </si>
  <si>
    <t>Saumya-Sanghvi_Bni-Lighthouse</t>
  </si>
  <si>
    <t>Bhavesh-Jain_Bni-Lighthouse</t>
  </si>
  <si>
    <t>Ayush-Lahoti_Bni-Lighthouse</t>
  </si>
  <si>
    <t>Krishna-Popat_Bni-Lighthouse</t>
  </si>
  <si>
    <t>Pulkit-Martwal_Bni-Lighthouse</t>
  </si>
  <si>
    <t>Monali-Sanghvi_Bni-Lighthouse</t>
  </si>
  <si>
    <t>Ramesh-Sakpal_Bni-Lighthouse</t>
  </si>
  <si>
    <t>Nayan-Patel_Bni-Lighthouse</t>
  </si>
  <si>
    <t>Maziya-Chandiwala_Bni-Lighthouse</t>
  </si>
  <si>
    <t>Sohil-Shah_Bni-Lighthouse</t>
  </si>
  <si>
    <t>Nayana-Oza_Bni-Lighthouse</t>
  </si>
  <si>
    <t>Varun-Ginodia_Bni-Lighthouse</t>
  </si>
  <si>
    <t>Yash-Jain_Bni-Lighthouse</t>
  </si>
  <si>
    <t>Trapti-Karia_Bni-Lighthouse</t>
  </si>
  <si>
    <t>Nitin-Bhansali_Bni-Lighthouse</t>
  </si>
  <si>
    <t>Vishal-Chandra_Bni-Lighthouse</t>
  </si>
  <si>
    <t>Manish-Balwani_Bni-Lighthouse</t>
  </si>
  <si>
    <t>Aditiya-Birla_Bni-Lighthouse</t>
  </si>
  <si>
    <t>Vishal-Lahoti_Bni-Lighthouse</t>
  </si>
  <si>
    <t>Nupen-Gandhi_Bni-Lighthouse</t>
  </si>
  <si>
    <t>Ruchi-Jain_Bni-Lighthouse</t>
  </si>
  <si>
    <t>Dhruvi-Shah_Bni-Lighthouse</t>
  </si>
  <si>
    <t>Prakash-Konar_Bni-Lighthouse</t>
  </si>
  <si>
    <t>Nagesh-More_Bni-Lighthouse</t>
  </si>
  <si>
    <t>Abdeali-Contractor_Bni-Lighthouse</t>
  </si>
  <si>
    <t>Akash-Shah_Bni-Lighthouse</t>
  </si>
  <si>
    <t>Rahul-Sharma_Bni-Lighthouse</t>
  </si>
  <si>
    <t>Chaitali-Thakkar_Bni-Lighthouse</t>
  </si>
  <si>
    <t>Jai-Pangaonkar_Bni-Triummph</t>
  </si>
  <si>
    <t>M-S-Global-Nanotech_Mr-Jinesh-S-Shah</t>
  </si>
  <si>
    <t>Lucent-Gardens-Pvt-Ltd_Dilip-Murkute</t>
  </si>
  <si>
    <t>Drmayankdoshi-Dentalclinic</t>
  </si>
  <si>
    <t>Dhrisha-Jewels-Private-Limited_Dainik-Gothi</t>
  </si>
  <si>
    <t>Mahavir-Hardware-Studio_Ramesh-Jain</t>
  </si>
  <si>
    <t>Nikita-Hardware_Bhagwan-Jain</t>
  </si>
  <si>
    <t>Rajvi-Shah_Bni-Lighthouse</t>
  </si>
  <si>
    <t>Leadership-With-Deepa_Deepa-Padda</t>
  </si>
  <si>
    <t>Glisna_Nirali-Charaniya</t>
  </si>
  <si>
    <t>One-Click-Logistics-India-Limited_Mahesh-Bhanushali</t>
  </si>
  <si>
    <t>Iron-Paradise-The-Club-House_Kunal-Kishor-Kerkar</t>
  </si>
  <si>
    <t>Arjun-Chaturvedi_Bni-Infinite</t>
  </si>
  <si>
    <t>Nikunj-Gala_Bni-Infinite</t>
  </si>
  <si>
    <t>Dharmesh-Patel_Bni-Infinite</t>
  </si>
  <si>
    <t>Bajaj-Capital_Ajay-Parmar</t>
  </si>
  <si>
    <t>Bajaj-Capital_Avro-Mukerji</t>
  </si>
  <si>
    <t>Bajaj-Capital_Bulbul-Agrawal</t>
  </si>
  <si>
    <t>Bajaj-Capital_Dhaval-Vasavada</t>
  </si>
  <si>
    <t>Bajaj-Capital_Gaurav-Singh</t>
  </si>
  <si>
    <t>Bajaj-Capital_Hanumantha-Rao</t>
  </si>
  <si>
    <t>Bajaj-Capital_Himanshu-Saxena</t>
  </si>
  <si>
    <t>Bajaj-Capital_Jayant-Ganguly</t>
  </si>
  <si>
    <t>Bajaj-Capital_Jinesh-Nair</t>
  </si>
  <si>
    <t>Bajaj-Capital_Kalpesh-Dave</t>
  </si>
  <si>
    <t>Bajaj-Capital_Karan-Chetry</t>
  </si>
  <si>
    <t>Bajaj-Capital_Karan-Rajgarhia</t>
  </si>
  <si>
    <t>Bajaj-Capital_Megha-Upadhyay</t>
  </si>
  <si>
    <t>Bajaj-Capital_Moushumi-Roy</t>
  </si>
  <si>
    <t>Bajaj-Capital_Moushumi-Tiwary</t>
  </si>
  <si>
    <t>Bajaj-Capital_Nagesh-Tiwari</t>
  </si>
  <si>
    <t>Bajaj-Capital_Neha-Talwar</t>
  </si>
  <si>
    <t>Bajaj-Capital_Niraj-Kumar</t>
  </si>
  <si>
    <t>Bajaj-Capital_Nitin-Kale</t>
  </si>
  <si>
    <t>Bajaj-Capital_Nizamuddin-Qutubuddin</t>
  </si>
  <si>
    <t>Bajaj-Capital_Prerak-Desai</t>
  </si>
  <si>
    <t>Bajaj-Capital_Sandeep-Anant-Ambekar</t>
  </si>
  <si>
    <t>Bajaj-Capital_Sangram-Mohanty</t>
  </si>
  <si>
    <t>Bajaj-Capital_Sanjay-Mishra</t>
  </si>
  <si>
    <t>Bajaj-Capital_Sanjeev-Maheshwari</t>
  </si>
  <si>
    <t>Bajaj-Capital_Satis-Monga</t>
  </si>
  <si>
    <t>Bajaj-Capital_Saurabh-Bhargava</t>
  </si>
  <si>
    <t>Bajaj-Capital_Sharad-Mittal</t>
  </si>
  <si>
    <t>Bajaj-Capital_Shikha-Goyal</t>
  </si>
  <si>
    <t>Bajaj-Capital_Shubham-Saxena</t>
  </si>
  <si>
    <t>Bajaj-Capital_Siddharth-Chauhan</t>
  </si>
  <si>
    <t>Bajaj-Capital_Sunil-S</t>
  </si>
  <si>
    <t>Bajaj-Capital_Taufeeq-Mirza-Beg</t>
  </si>
  <si>
    <t>Bajaj-Capital_Vijay-Kumar-Devakath</t>
  </si>
  <si>
    <t>Bajaj-Capital_Vijayendra-Chopra</t>
  </si>
  <si>
    <t>Bajaj-Capital_Vipin-Anand</t>
  </si>
  <si>
    <t>Bni-Triummph_Ahad-Shaikh</t>
  </si>
  <si>
    <t>Bni-Triummph_Aneree-Satra</t>
  </si>
  <si>
    <t>Bni-Trimmph_Ayushi-Shah</t>
  </si>
  <si>
    <t>Bni-Triummph_Dhvanil-Shah</t>
  </si>
  <si>
    <t>Bni-Triummph_Dinesh-Soni</t>
  </si>
  <si>
    <t>Bni-Triummph_Ishika-Sharma</t>
  </si>
  <si>
    <t>Bni-Triummph_Jalpa-Shah</t>
  </si>
  <si>
    <t>Bni-Triummph_Jeetender-Manwani</t>
  </si>
  <si>
    <t>Bni-Triummph_Kapil-Vaid</t>
  </si>
  <si>
    <t>Bni-Triummph_Khushnam-Karanjia</t>
  </si>
  <si>
    <t>Bni-Triummph_Krupali-Mahorey</t>
  </si>
  <si>
    <t>Bni-Triummph_Megha-Agrawwal</t>
  </si>
  <si>
    <t>Bni-Triummph_Naveen-Upadhyay</t>
  </si>
  <si>
    <t>Bni-Triummph_Neena-Jamdade</t>
  </si>
  <si>
    <t>Bni-Triummph_Niraj-Lalwani</t>
  </si>
  <si>
    <t>Bni-Triummph_Nitin-Ghadge</t>
  </si>
  <si>
    <t>Bni-Triummph_Omkar-Kale</t>
  </si>
  <si>
    <t>Bni-Triummph_Priyank-Sancheti</t>
  </si>
  <si>
    <t>Bni-Triummph_Ramsevak-Verma</t>
  </si>
  <si>
    <t>Bni-Triummph_Rinkal-Shah</t>
  </si>
  <si>
    <t>Bni-Triummph_Rishabh-Chaudhary</t>
  </si>
  <si>
    <t>Opc-Asset-Sloutions-Pvt-Ltd_R-Venkatasan</t>
  </si>
  <si>
    <t>Opc-Asset-Solutions-Pvt-Ltd_Parag-Kapasi</t>
  </si>
  <si>
    <t>Bni-Triummph_Sagar-Poojary</t>
  </si>
  <si>
    <t>Bni-Triummph_Dr.Sanket-Brahmbhatt</t>
  </si>
  <si>
    <t>Bni-Triummph_Simone-Dhanwani</t>
  </si>
  <si>
    <t>Bni-Triummph_Sulakshana-Herekar</t>
  </si>
  <si>
    <t>Bni-Triummph_Sunil-Akhade</t>
  </si>
  <si>
    <t>Bni-Triummph_Arun-Gupta</t>
  </si>
  <si>
    <t>Bni-Triummph_Kunal-Jain</t>
  </si>
  <si>
    <t>Bni-Triummph_Sumanta-Banerjee</t>
  </si>
  <si>
    <t>Bni-Triummph_Moin-Mistry</t>
  </si>
  <si>
    <t>Nisarg-Gandhi</t>
  </si>
  <si>
    <t>Mohit_Style_Studio</t>
  </si>
  <si>
    <t>Rajmani-Kori</t>
  </si>
  <si>
    <t>Bni-Triummph_Sapna-Narula</t>
  </si>
  <si>
    <t>Bni-Triummph_Vishwas-K-Bavisi</t>
  </si>
  <si>
    <t>Llumar_Autoclinic_Sagar-Jetva</t>
  </si>
  <si>
    <t>Bni-Triummph_Urwiz-Chawda</t>
  </si>
  <si>
    <t>Bni-Triummph_Harsha-Nachne</t>
  </si>
  <si>
    <t>Drashti-Sapra_A-To-Z-Services</t>
  </si>
  <si>
    <t>Invento-Restaurant-And-Catering-Services_Arun-Gupta</t>
  </si>
  <si>
    <t>Pure-Dust_Surbhi-Mantri</t>
  </si>
  <si>
    <t>Kvar_Kunal-Mehta</t>
  </si>
  <si>
    <t>Sona-Tv-Centre_Sampatraj-J-Surana</t>
  </si>
  <si>
    <t>Biopole_Mihiika-A-Sampat</t>
  </si>
  <si>
    <t>Biopole_Kedar-Jadhav</t>
  </si>
  <si>
    <t>Kvar_Vibha-Mehta</t>
  </si>
  <si>
    <t>Archit-Mantri</t>
  </si>
  <si>
    <t>Air-Tech-Pneumatics_Nitin-Ghadge</t>
  </si>
  <si>
    <t>Even-Better-Ads_Tushar-Bothra</t>
  </si>
  <si>
    <t>Dr-Anagha-Vivek-Kharolkar_Bni-Lighthouse</t>
  </si>
  <si>
    <t>Card.Tap-Savvy.Com</t>
  </si>
  <si>
    <t>Dr. Urwiz Dara Chavda</t>
  </si>
  <si>
    <t>Ajay Upadhyay</t>
  </si>
  <si>
    <t>Raajeev Mehta Atul Mehta</t>
  </si>
  <si>
    <t>Vinay Pathak</t>
  </si>
  <si>
    <t>Vishnu Sharma</t>
  </si>
  <si>
    <t>Avnip Kothari</t>
  </si>
  <si>
    <t>Mukesh Kothari</t>
  </si>
  <si>
    <t>Mansukh Kothari</t>
  </si>
  <si>
    <t>Bhavesh Subhash Solanki</t>
  </si>
  <si>
    <t>Ravi P Jain</t>
  </si>
  <si>
    <t>Mallick S Parekh</t>
  </si>
  <si>
    <t>Manoj Soni</t>
  </si>
  <si>
    <t>Vijay Soni</t>
  </si>
  <si>
    <t>Vanjam Soni</t>
  </si>
  <si>
    <t>Akash Manglik</t>
  </si>
  <si>
    <t>Dr. Rajendra Bhola</t>
  </si>
  <si>
    <t>Sachin Hissaria</t>
  </si>
  <si>
    <t>Rajesh Hissaria</t>
  </si>
  <si>
    <t>A.B.S.Sanjjay</t>
  </si>
  <si>
    <t>Soumyha Sanjjay</t>
  </si>
  <si>
    <t>Avr Siddanth</t>
  </si>
  <si>
    <t>Sanjay Bantia</t>
  </si>
  <si>
    <t>Samkith Sanjay</t>
  </si>
  <si>
    <t>Sandeep Kapoor</t>
  </si>
  <si>
    <t>Vikas Kataria</t>
  </si>
  <si>
    <t>Anil Kataria</t>
  </si>
  <si>
    <t>Vimal Rawal</t>
  </si>
  <si>
    <t>Shrenik Jain</t>
  </si>
  <si>
    <t>Raghunath Vs</t>
  </si>
  <si>
    <t>Nawal Agarwal</t>
  </si>
  <si>
    <t>Lalit Musal</t>
  </si>
  <si>
    <t>Pavan Jain</t>
  </si>
  <si>
    <t>Bhavin N Jhakia</t>
  </si>
  <si>
    <t>Bhavesh M Jhakia</t>
  </si>
  <si>
    <t>Subodh Agarwal</t>
  </si>
  <si>
    <t>Rajendra Agarwal</t>
  </si>
  <si>
    <t>Deepa Agarwal</t>
  </si>
  <si>
    <t>Tejpal Ranka</t>
  </si>
  <si>
    <t>Asha Ranka</t>
  </si>
  <si>
    <t>Ishita Ranka</t>
  </si>
  <si>
    <t>Shikhar Agarwal</t>
  </si>
  <si>
    <t>Shimul Agarwal</t>
  </si>
  <si>
    <t>Kishan Kumar Soni</t>
  </si>
  <si>
    <t>Shekhar Kesari</t>
  </si>
  <si>
    <t>Aman Talla</t>
  </si>
  <si>
    <t>Ajay Talla</t>
  </si>
  <si>
    <t>Ojas Vastani</t>
  </si>
  <si>
    <t>Chetan Vastani</t>
  </si>
  <si>
    <t>Avish Vastani</t>
  </si>
  <si>
    <t>Parul Anand</t>
  </si>
  <si>
    <t>Sachit Anand</t>
  </si>
  <si>
    <t>Kailash Kabra</t>
  </si>
  <si>
    <t>Siddharth Sethia</t>
  </si>
  <si>
    <t>Anand Thakkar</t>
  </si>
  <si>
    <t>Prabhat Shekhar</t>
  </si>
  <si>
    <t>Manita Shekhar</t>
  </si>
  <si>
    <t>Surbhi Shekhar</t>
  </si>
  <si>
    <t>Dhaval As</t>
  </si>
  <si>
    <t>Rajesh Rokde</t>
  </si>
  <si>
    <t>Sarang Rokde</t>
  </si>
  <si>
    <t>Raman Jain</t>
  </si>
  <si>
    <t>Jayantilal Challani</t>
  </si>
  <si>
    <t>Goutham Challani</t>
  </si>
  <si>
    <t>Vastupal Ranka</t>
  </si>
  <si>
    <t>Chirag Sheth</t>
  </si>
  <si>
    <t>Harshal Barot</t>
  </si>
  <si>
    <t>Ashok Kumar D Jain</t>
  </si>
  <si>
    <t>Nilaya Rastogi</t>
  </si>
  <si>
    <t>Vikash Soni</t>
  </si>
  <si>
    <t>Dr. C. Vinod Hayagriv</t>
  </si>
  <si>
    <t>Pankaj Khurana</t>
  </si>
  <si>
    <t>Munish Khurana</t>
  </si>
  <si>
    <t>Prerna Khurana</t>
  </si>
  <si>
    <t>Ridhima</t>
  </si>
  <si>
    <t>Gagan</t>
  </si>
  <si>
    <t>Varghese Alukkas</t>
  </si>
  <si>
    <t>Paul Alukkas</t>
  </si>
  <si>
    <t>John Alukkas</t>
  </si>
  <si>
    <t>Suhas. Ms</t>
  </si>
  <si>
    <t>Colin Shah</t>
  </si>
  <si>
    <t>Vaishali Shah</t>
  </si>
  <si>
    <t>Simran Shah</t>
  </si>
  <si>
    <t>Bharat Sheth</t>
  </si>
  <si>
    <t>Mohit Sheth</t>
  </si>
  <si>
    <t>Viraj Sheth</t>
  </si>
  <si>
    <t>Kishor Sheth</t>
  </si>
  <si>
    <t>Naina Sheth</t>
  </si>
  <si>
    <t>Paulson Cj</t>
  </si>
  <si>
    <t>Zaverilal V Zaveri</t>
  </si>
  <si>
    <t>Bharat Zaveri</t>
  </si>
  <si>
    <t>Raj Zaveri</t>
  </si>
  <si>
    <t>Haresh Soni</t>
  </si>
  <si>
    <t>Himanshu Shekhar</t>
  </si>
  <si>
    <t>Sundeep T. Sarraf</t>
  </si>
  <si>
    <t>Mohit Shekhar</t>
  </si>
  <si>
    <t>Ankur Anand</t>
  </si>
  <si>
    <t>Kanupriya Anand</t>
  </si>
  <si>
    <t>Sandhya Patel</t>
  </si>
  <si>
    <t>Mehul Soni</t>
  </si>
  <si>
    <t>Sanjay Bilimoria</t>
  </si>
  <si>
    <t>Anil Talwar</t>
  </si>
  <si>
    <t>Vikram Talwar</t>
  </si>
  <si>
    <t>Dhruv Talwar</t>
  </si>
  <si>
    <t>Sunil Nayak</t>
  </si>
  <si>
    <t>Piyush Seth</t>
  </si>
  <si>
    <t>Ashwin Bafna</t>
  </si>
  <si>
    <t>Nitin Misra</t>
  </si>
  <si>
    <t>Hiten Mastram</t>
  </si>
  <si>
    <t>Sujay Choksey</t>
  </si>
  <si>
    <t>Mohd. Tamjit Abdullah</t>
  </si>
  <si>
    <t>Tawhid Abdullah</t>
  </si>
  <si>
    <t>Paras Mehta</t>
  </si>
  <si>
    <t>Anwer Hussain</t>
  </si>
  <si>
    <t>Vinod Kumar C</t>
  </si>
  <si>
    <t>Gyanchand P</t>
  </si>
  <si>
    <t>Rajendra Kumar</t>
  </si>
  <si>
    <t>Shaheer Mannam Parambath</t>
  </si>
  <si>
    <t>Sakkeer Parappurath</t>
  </si>
  <si>
    <t>Asher O</t>
  </si>
  <si>
    <t>Abdul Salam Kandampath</t>
  </si>
  <si>
    <t>Dilip Narayan</t>
  </si>
  <si>
    <t>Shamlal Madathum Parambath</t>
  </si>
  <si>
    <t>Sajjanraj Jain</t>
  </si>
  <si>
    <t>P D Jose</t>
  </si>
  <si>
    <t>Deepak Tp</t>
  </si>
  <si>
    <t>Somasundaram Pr</t>
  </si>
  <si>
    <t>Aarti Saxena</t>
  </si>
  <si>
    <t>Rakhi Khanna</t>
  </si>
  <si>
    <t>Sachin Jain</t>
  </si>
  <si>
    <t>Sanjay Jethwani</t>
  </si>
  <si>
    <t>Girish</t>
  </si>
  <si>
    <t>Mahendra Tayal</t>
  </si>
  <si>
    <t>Vikram Devraj</t>
  </si>
  <si>
    <t>Saurabh Gadgil</t>
  </si>
  <si>
    <t>Nahush Gadre</t>
  </si>
  <si>
    <t>Yuvraj S Belapurkar</t>
  </si>
  <si>
    <t>Suresh Krishnan</t>
  </si>
  <si>
    <t>Ameya Shetye</t>
  </si>
  <si>
    <t>Bhushan Dandawate</t>
  </si>
  <si>
    <t>Ramesh Vora</t>
  </si>
  <si>
    <t>Suresh Addanki</t>
  </si>
  <si>
    <t>Bharata Mallika Ratna Kumari Gandhi</t>
  </si>
  <si>
    <t>Sai Keerthana Grandhi</t>
  </si>
  <si>
    <t>Palash Bhansali</t>
  </si>
  <si>
    <t>Prithviraj</t>
  </si>
  <si>
    <t>Rakhal Gontla</t>
  </si>
  <si>
    <t>Sangeeta Bhola</t>
  </si>
  <si>
    <t>Sripal Challani</t>
  </si>
  <si>
    <t>Rahul A Jain</t>
  </si>
  <si>
    <t>Nisha Choksey</t>
  </si>
  <si>
    <t>Vaibhav Daga</t>
  </si>
  <si>
    <t>Sunil Kumar</t>
  </si>
  <si>
    <t>Anand Kumar</t>
  </si>
  <si>
    <t>Nikhil Sajjanraj Jain</t>
  </si>
  <si>
    <t>Vikas Roopachand Jain</t>
  </si>
  <si>
    <t>Suryaprakash Tayal</t>
  </si>
  <si>
    <t>Amrit Tayal</t>
  </si>
  <si>
    <t>G.R Radhakrishnan</t>
  </si>
  <si>
    <t>Himmat Jain</t>
  </si>
  <si>
    <t>Niraj Lalwani - Bni Triummph</t>
  </si>
  <si>
    <t>Ankit Shriyans Jain</t>
  </si>
  <si>
    <t>Mitul Gada</t>
  </si>
  <si>
    <t>Kc Mohan</t>
  </si>
  <si>
    <t>Kvs Prasad</t>
  </si>
  <si>
    <t>Llumar India</t>
  </si>
  <si>
    <t>Society Stores Retail Pvt.Ltd Vile Parle</t>
  </si>
  <si>
    <t>Society Stores Retail Pvt.Ltd Chembur</t>
  </si>
  <si>
    <t>Society Stores Retail Pvt.Ltd Santacruz</t>
  </si>
  <si>
    <t>Society Stores Retail Pvt Ltd Altamount</t>
  </si>
  <si>
    <t>Society Stores Retail Pvt Ltd Lokhandwala</t>
  </si>
  <si>
    <t>Society Stores Retail Pvt Ltd Oshiwara</t>
  </si>
  <si>
    <t>Ca Vaibhav Pravin Thakkar</t>
  </si>
  <si>
    <t>In Association With Llumar</t>
  </si>
  <si>
    <t>Anup Chauhan</t>
  </si>
  <si>
    <t>Turtle Down Under Australia And Newzealand</t>
  </si>
  <si>
    <t>Mahalaxmi-Evergreen Ind. Estate</t>
  </si>
  <si>
    <t>Dadar-Antoinio D'Silva High School</t>
  </si>
  <si>
    <t>Shivaji Park - Antonio D'Silva Technicalh School</t>
  </si>
  <si>
    <t>Shivaji Park - The Park Club</t>
  </si>
  <si>
    <t>Santacruz-Balkanji</t>
  </si>
  <si>
    <t>Juhu-Ritambhara College</t>
  </si>
  <si>
    <t>Janki-Devi School</t>
  </si>
  <si>
    <t>Prabodhan Krida Bhawan</t>
  </si>
  <si>
    <t>Swami Vivekanand School</t>
  </si>
  <si>
    <t>Thakur International School</t>
  </si>
  <si>
    <t>Chogale H. School</t>
  </si>
  <si>
    <t>Five Garden-St-Joseph</t>
  </si>
  <si>
    <t>Goregaon-Bangur Nagar</t>
  </si>
  <si>
    <t>Chembur-Narayan Guru College</t>
  </si>
  <si>
    <t>St Xaviers School</t>
  </si>
  <si>
    <t>Terna Collage</t>
  </si>
  <si>
    <t>N.R.Bhagat School</t>
  </si>
  <si>
    <t>Upvan Lake</t>
  </si>
  <si>
    <t>Rustomjee Int. School</t>
  </si>
  <si>
    <t>Ruchira</t>
  </si>
  <si>
    <t>Bni Harshal Arun Thore</t>
  </si>
  <si>
    <t>Ca Pratik Damani</t>
  </si>
  <si>
    <t>Dev Bni Ace Jio Conclave</t>
  </si>
  <si>
    <t>Aaa Pure Veg Restaurant &amp; Bhojnalaya</t>
  </si>
  <si>
    <t>Karan Dabrai Growpro Hydroponics</t>
  </si>
  <si>
    <t>Krupa Mehta Bni Infinite</t>
  </si>
  <si>
    <t>Chirag Jain Bni Infinite</t>
  </si>
  <si>
    <t>Lavesh Kothari Bni Infinite</t>
  </si>
  <si>
    <t>Deepak Gupta Bni Infinite</t>
  </si>
  <si>
    <t>Arif Sayed Bni Infinite</t>
  </si>
  <si>
    <t>Ramesh Jain</t>
  </si>
  <si>
    <t>Bhagwan Jain</t>
  </si>
  <si>
    <t>Deepa Padda</t>
  </si>
  <si>
    <t>Mrs.Nirali Charaniya</t>
  </si>
  <si>
    <t>Kunal Kishor Kerkar</t>
  </si>
  <si>
    <t>Himanshu Saxena</t>
  </si>
  <si>
    <t>Ahad Shaikh Bni Triummph</t>
  </si>
  <si>
    <t>Aneree Satra Bni Triummph</t>
  </si>
  <si>
    <t>Ayushi Shah Bni Triummph</t>
  </si>
  <si>
    <t>Dhvanil Shah Bni Triummph</t>
  </si>
  <si>
    <t>Dinesh Soni Website Design Development Bni Triummph</t>
  </si>
  <si>
    <t>Ishika Sharma Bni Triummph</t>
  </si>
  <si>
    <t>Jalpa Shah Bni Triummph</t>
  </si>
  <si>
    <t>Jeetender Manwani Bni Triummph</t>
  </si>
  <si>
    <t>Kapil Vaid Bni Triummph</t>
  </si>
  <si>
    <t>Khushhnm Kkaranjia Bni Triummph</t>
  </si>
  <si>
    <t>Krupali Mahorey Bni Triummph</t>
  </si>
  <si>
    <t>Megha Agrawwal Bni Triummph</t>
  </si>
  <si>
    <t>Naveen Upadhyay Bni Triummph</t>
  </si>
  <si>
    <t>Neena Jamdade Bni Triummph</t>
  </si>
  <si>
    <t>Niraj Lalwani Bni Triummph</t>
  </si>
  <si>
    <t>Nitin Ghadge Bni Triummph</t>
  </si>
  <si>
    <t>Omkar Kale Bni Triummph</t>
  </si>
  <si>
    <t>Priyank Sancheti Bni Triummph</t>
  </si>
  <si>
    <t>Ramsevak Verma Bni Triummph</t>
  </si>
  <si>
    <t>Rinkal Shah Bni Triummph</t>
  </si>
  <si>
    <t>Rishabh Chaudhary Bni Triummph</t>
  </si>
  <si>
    <t>Parag Kapasi</t>
  </si>
  <si>
    <t>Sagar Poojary Bni Triummph</t>
  </si>
  <si>
    <t>Dr. Sanket Brahmabhatt Bni Triummph</t>
  </si>
  <si>
    <t>Simone Dhanwani Bni Triummph</t>
  </si>
  <si>
    <t>Sulakshana Herekar Bni Triummph</t>
  </si>
  <si>
    <t>Sunil Akhade Bni Triummph</t>
  </si>
  <si>
    <t>Arun Gupta Bni Triummph</t>
  </si>
  <si>
    <t>Kunal Jain Bni Triummph</t>
  </si>
  <si>
    <t>Sumanta Banerjee Bni Triummph</t>
  </si>
  <si>
    <t>Moin Mistry Bni Triummph</t>
  </si>
  <si>
    <t>Nisarg Gandhi</t>
  </si>
  <si>
    <t>Mohit Sharma</t>
  </si>
  <si>
    <t>Urwiz Chawda Bni Triummph</t>
  </si>
  <si>
    <t>Harsha Nachne Bni Triummph</t>
  </si>
  <si>
    <t>Arun Gupta</t>
  </si>
  <si>
    <t>Sona Tv Centre</t>
  </si>
  <si>
    <t>Nitin S Ghadge</t>
  </si>
  <si>
    <t>(Md(Im),Bacu,Dch.)</t>
  </si>
  <si>
    <t>Tax Consultant</t>
  </si>
  <si>
    <t>Ceo</t>
  </si>
  <si>
    <t>Creative Head</t>
  </si>
  <si>
    <t>Genx Jeweller</t>
  </si>
  <si>
    <t>Founder And Director</t>
  </si>
  <si>
    <t>Founder &amp;Managing Director</t>
  </si>
  <si>
    <t>Director &amp; Partner</t>
  </si>
  <si>
    <t>Creative Director</t>
  </si>
  <si>
    <t>Divisional Head- Gold Procurement</t>
  </si>
  <si>
    <t>Vice Chairman - Management</t>
  </si>
  <si>
    <t>Head - Bullion</t>
  </si>
  <si>
    <t>Managing Director International Operations</t>
  </si>
  <si>
    <t>Chairperson &amp; Managing Director</t>
  </si>
  <si>
    <t>Whole Time Director &amp; Cfo</t>
  </si>
  <si>
    <t>Coo</t>
  </si>
  <si>
    <t>Chief Executive Officer</t>
  </si>
  <si>
    <t>Cycle Entrepreneur</t>
  </si>
  <si>
    <t>Gm - International Sales</t>
  </si>
  <si>
    <t>Individual Financial Advisor</t>
  </si>
  <si>
    <t>Chief Problem Solving Officer</t>
  </si>
  <si>
    <t>Manager Key Accounts</t>
  </si>
  <si>
    <t>Brand And Marketing Manager</t>
  </si>
  <si>
    <t>Rsm South</t>
  </si>
  <si>
    <t>Area Sales Manager (Mumbai)</t>
  </si>
  <si>
    <t>Sr. Sales Exec (Pune And Rom)</t>
  </si>
  <si>
    <t>Area Sales Manager (Delhi &amp; Ncr)</t>
  </si>
  <si>
    <t>Manager Oecd - South Division</t>
  </si>
  <si>
    <t>Business Development Manager (Ap&amp;Telangana)</t>
  </si>
  <si>
    <t>Founder - Vchic Image Consultancy</t>
  </si>
  <si>
    <t>Sole Proprietor</t>
  </si>
  <si>
    <t>Founder And Lead Designer</t>
  </si>
  <si>
    <t>B.Com, F.C.S, Llb</t>
  </si>
  <si>
    <t>Head Curator</t>
  </si>
  <si>
    <t>Co-Founder</t>
  </si>
  <si>
    <t>Founder'S</t>
  </si>
  <si>
    <t>Founder And Ceo</t>
  </si>
  <si>
    <t>Ceo And Event Planner</t>
  </si>
  <si>
    <t>Here’S A Gift Card Specially Curated For You, Mr. Vishan Shah!</t>
  </si>
  <si>
    <t>Here’S A Gift Card Specially Curated For You, Mr. Sandeep Gandhi!</t>
  </si>
  <si>
    <t>Here’S A Gift Card Specially Curated For You, Mr. Mohit Chuganee!</t>
  </si>
  <si>
    <t>Here’S A Gift Card Specially Curated For You, Mr. Bharat Shomi!</t>
  </si>
  <si>
    <t>Here’S A Gift Card Specially Curated For You, Mr. Abhishek Agarwal!</t>
  </si>
  <si>
    <t>Here’S A Gift Card Specially Curated For You, Mr. Vikas Anand!</t>
  </si>
  <si>
    <t>Here’S A Gift Card Specially Curated For You, Mr. Rahul Yadav!</t>
  </si>
  <si>
    <t>Here’S A Gift Card Specially Curated For You, Mr.Samsher Singh!</t>
  </si>
  <si>
    <t>Here’S A Gift Card Specially Curated For You, Mr. Aryan Dhandiya!</t>
  </si>
  <si>
    <t>Here’S A Gift Card Specially Curated For You, Mr.Faiz Rezwan!</t>
  </si>
  <si>
    <t>Here’S A Gift Card Specially Curated For You, Mr. Bharat Reddy!</t>
  </si>
  <si>
    <t>Here’S A Gift Card Specially Curated For You, Mr. Vinay Mohan!</t>
  </si>
  <si>
    <t>Gm - Strategy,Business Excellence And Md Office</t>
  </si>
  <si>
    <t>Ceo And Managing Director - Group</t>
  </si>
  <si>
    <t>Director - Recruitment, Hr Strategy And Consulting</t>
  </si>
  <si>
    <t>Co-Founder &amp; Ceo</t>
  </si>
  <si>
    <t>Dermatoglyphics Consultant, Nlp Counsellor, Parenting Coach, Memory Trainer.</t>
  </si>
  <si>
    <t>Global Managing Director, Display And Semiconductor</t>
  </si>
  <si>
    <t>Gm</t>
  </si>
  <si>
    <t>Mbbs(Dnb),Fnb(Critical Care Medicine) ,Consultant Critical Care Specialist</t>
  </si>
  <si>
    <t>The Best Pure Veg Food Restaurant And Bhojnalay In Trumbakeshwar.</t>
  </si>
  <si>
    <t>Social Media &amp; Communication Manager</t>
  </si>
  <si>
    <t>Gm-Sales &amp; Marketing</t>
  </si>
  <si>
    <t>Mds,Bds (Reg No.A-16193)</t>
  </si>
  <si>
    <t>Hr Recruitment</t>
  </si>
  <si>
    <t>Healthy Food Service</t>
  </si>
  <si>
    <t>Mobile Phones And Accessories</t>
  </si>
  <si>
    <t>Home Furnishing Mfg</t>
  </si>
  <si>
    <t>Acrylic Fabrication (Retail Branding)</t>
  </si>
  <si>
    <t>Plywood And Laminates</t>
  </si>
  <si>
    <t>Tours And Travels</t>
  </si>
  <si>
    <t>It- Sale And Service</t>
  </si>
  <si>
    <t>Structural Engineer &amp; Contractors</t>
  </si>
  <si>
    <t>Interior Design Residential</t>
  </si>
  <si>
    <t>Car Dealer</t>
  </si>
  <si>
    <t>Auto Detailing</t>
  </si>
  <si>
    <t>Bookkeeping And Accounting</t>
  </si>
  <si>
    <t>Help People Take Better Financial Decisions.</t>
  </si>
  <si>
    <t>Manpower Supply</t>
  </si>
  <si>
    <t>Hvac</t>
  </si>
  <si>
    <t>Hvac Airconditioning Company</t>
  </si>
  <si>
    <t>Indirect Tax</t>
  </si>
  <si>
    <t>Labour Laws, Esic-P Consultant.</t>
  </si>
  <si>
    <t>Direct Tax</t>
  </si>
  <si>
    <t>Dental Surgeon</t>
  </si>
  <si>
    <t>Film Production</t>
  </si>
  <si>
    <t>Home Decor Gifts</t>
  </si>
  <si>
    <t>Computer &amp; Programming- Erp Software</t>
  </si>
  <si>
    <t>Hydraulic Machines &amp; Equipment</t>
  </si>
  <si>
    <t>Architect</t>
  </si>
  <si>
    <t>Web Designer &amp; Developer</t>
  </si>
  <si>
    <t>Debt &amp; Structured Products</t>
  </si>
  <si>
    <t>Saree Trader</t>
  </si>
  <si>
    <t>Tarot Card Reader Craniosacral Therapist</t>
  </si>
  <si>
    <t>Non-Litigation</t>
  </si>
  <si>
    <t>Nfc Products And Qr Solutions</t>
  </si>
  <si>
    <t>Travel And Tours</t>
  </si>
  <si>
    <t>Building Repairs</t>
  </si>
  <si>
    <t>One Stop It Accesories</t>
  </si>
  <si>
    <t>Graphic Designer</t>
  </si>
  <si>
    <t>Salon &amp; Spa</t>
  </si>
  <si>
    <t>Corporate Videos</t>
  </si>
  <si>
    <t>Pest Control</t>
  </si>
  <si>
    <t>Veg Catering</t>
  </si>
  <si>
    <t>Diamond Jeweller</t>
  </si>
  <si>
    <t>Pr &amp; Communication</t>
  </si>
  <si>
    <t>Unsecured Loans</t>
  </si>
  <si>
    <t>Co Founder</t>
  </si>
  <si>
    <t>Bd Manager/Executive</t>
  </si>
  <si>
    <t>Vice President - Human Resources And Administration</t>
  </si>
  <si>
    <t>I Am Passionate About Being A Problem Solver For My Clients. Whichever Role I Find Myself In (Whether A White-Collar Crime Defence/Investigation Matter, A Transaction, Or Corporate/Regulatory Advisory), My Focus Is On Identifying The Client’S Needs And Concerns, And Helping Them Arrive At A Solution In The Best Possible Manner.</t>
  </si>
  <si>
    <t>I Am Driven By My Love For The Law And The System That Upholds The Rule Of Law. All My Other Passions, Including Indic Culture, History, Nature, Art, And Sport Feed My Understanding Of The Law And Converge In My Practice Of The Law.</t>
  </si>
  <si>
    <t>A To Z Services Pvt. Ltd. Is An Outcome Of An Aim Seen By Us Who Started Their Journey Way Back In The Year 2002 As A Small Unit Before Incorporation. With Constant Learning Process, We Are Progressing Gradually To Increase Our Services.</t>
  </si>
  <si>
    <t>I Am A Firm Believer In Rule Of Law And Driven By Desire To Have An Ethical, Transparent And Fair Business Environment.</t>
  </si>
  <si>
    <t>Hey There,I'M Student Pursuing Bachelor With Goals,Visions And Exceed Expectations. I'M Also Learning And Practicing Gold &amp; Jewellery Business. My Aim Is To Learn New Things That Enhances My Knowledge And Helps Me To Come Forward And Achieve Success</t>
  </si>
  <si>
    <t>Asian Optician Is Well Established Brand Since 1960 With Great Experience In Eyewear Industry. Having Such A Rich Experience Has Brought Us To A Juncture Of Building Value To Our Hundred And Thousand Of Clients. We Don'T Fail To Delight You In Your Selection Of Your Favourite Designer Eyewear From Our Wide Array Of Branded Designer Frames &amp; Sunglasses. Availibility- Monday-Saturday (10:00-21:00) Sunday- Closed.</t>
  </si>
  <si>
    <t>Shri Swastik Stores Is An One Stop Store Located In Sion Koliwada. We Provide Grains, Pulses &amp; Dry Fruits. Hotel And Catering Specialist (Chinese, Italian, Thai &amp; Indian)</t>
  </si>
  <si>
    <t>Serving Clients Is Our Passion, Purpose And Privilege.. We Are Dedicated To Improving Our Customer'S Lives Through Innovative Products That Offer Great Comforts And Convenience. Sspl (Setuz Sales Private Limited) Where All Hardware Fittings Ranges Under One Roof. Sspl Is A Registered Company Having Registered Office In Mumbai And Also Having Branch Office At Pune And Hyderabad. We Are Selling Our Product Under Brand Name 'Setuz'.</t>
  </si>
  <si>
    <t>We Have Earned Our Client'S Trust By Delivering A Consistency High Level Of Professional Expertise In The Field Of Taxation, Corporate Advisory, Transaction Advisory Services, And Special Services Ethics The Best Way To Gain That Trust Is To Demonstrate Ethics And Integrity In Our Dealings. At C B V &amp; Associates Llp, Partners And Employees Pledge To Demonstrate High Levels Of Integrity And Professionalism.</t>
  </si>
  <si>
    <t>Shakti Acryplast Llp Is A Leading Company That Serves The Global Marketplace. We Are One Of The Largest Suppliers And Dealers Of Cast Acrylic Sheets All Over India. Shakti Acryplast Llp Was Started In 1989 In Mumbai By Jayantilal Ji Rathod And Then In 1998, Jayesh Rathod Joined Further In 2003; Alpesh Rathod Joined In To Grow The Business At The More Advanced Level. With Years Of Experience And Leadership With Prominent Service, It Has Become One Of The Leading Suppliers Of Acrylic Sheets.</t>
  </si>
  <si>
    <t>Scs Is A Leading Industrial Supplier With Growing Portfolio Of Engineered Bearings And Power Transmission Product Brands With More Than 25 Years Of Experience &amp; Knowledge. We Deal In All Major Reputed Brands Along With We Have Been Importing Spherical Roller Bearings From China. We Work Hard To Create Loyal Relationships With Our Clients By Our Unparalleled Commitment To Customer Care, Quality Products And Efficient Logistics.</t>
  </si>
  <si>
    <t>Vlite Furnitech Is An Innovative Idea Of Providing A New Identity To The Industry Of Office Furniture Manufacturing. The Idea Was Implemented In 2008 And Vlite Came Into Existence. From The Day Of Establishment Till The Date, Vlite Is Potentially Crossing The Significant Milestones In Creations And Innovations. We Are Currently Leading Among India’S Most Recommended Brands In Office Furniture Manufacturing. We Create A Wide Range Of Modular And Trendy Chairs, Tables And Workstations.</t>
  </si>
  <si>
    <t>“Feel The Indian Artistry, Absorb The Culture, And Exude The Radiance.” Vasupati Jewellers Has Been A Leading Manufacturer, Wholesaler And Exporter Of Ethnic, Antique And Traditional Gold Jewellery. With Their Prime Focus On The Production And Manufacturing Of Bridal Jewellery, The Family Has Been In The Jewellery Business For Over Fifty Years. The Company Engaged In Supplying Its Bridal Ornaments To Prominent Jewellery Companies In India And Also Exporting Its Products To U.K. And Middle-East.</t>
  </si>
  <si>
    <t>Feel The Indian Artistry, Absorb The Culture,And Exude The Radiance .Megh Jewellers Has Been A Leading Manufacturer, Retailer Of All Type Gold Jewellery ..With Their Prime Focus On The Production And Retailing Of From Antique Gold Jewellery To Light Weight Designer Jewellery..The Family Has Been In The Business Over Sixty Five Years..</t>
  </si>
  <si>
    <t>Kashish Furnishing Was Founded By Mr. Ravi Jain And Mr. Vishal Jain In 2003. In The Heart Of The Mumbai By A High Powered Team Of Young Enthusiast Over A Decade Ago, A Notable Home Decor Firm Was Born. Over The Years "Kashish Furnishing" Has Earned The Reputation As One Of The Indias Largest, Finest And Most Trusted Source Of Premium Home Furnishings.</t>
  </si>
  <si>
    <t>Introducing Win At Relationships, Founded By Kuunjal Paal – An Icf Certified Coach With 12 Years Of Corporate Expertise In People And Culture. With Over 7000 Individuals Coached, Kuunjal Specializes In Personal And Professional Relationships, Helping People Leverage Their Strengths And Achieve Personal Growth. For Organizations, She Has Designed Coaching Programs That Empower Employees To Excel. The Second Program Focuses On Transforming Leaders Into Coaches, Fostering A Coaching Culture.</t>
  </si>
  <si>
    <t>Happy Life Has Been In Business For Over 6 Years And Have Helped Thousands Of People Explore Different Parts Of The World. We'Re Passionate About Travel And Love Nothing More Than Helping Our Clients Create Lasting Memories. We Feel Immense Pleasure To Introduce Ourselves As A Leading "Tourism House In India". Though We Have Moved Out Of The Incubation Stage Since Last Five Years And Are In The Process Of Getting A Strong Foothold In Today Arena....</t>
  </si>
  <si>
    <t>The Visionary Proprietor Behind Vishwakarma International, A Stalwart Leader With A Passion For Excellence In The Fabrication Industry. With A Wealth Of Experience And A Keen Understanding Of The Nuances Of Aluminum Windows, Glass Facades, And Bespoke Architectural Solutions, Mr. Sanjay Goyal Has Been Instrumental In Steering The Company Towards Unparalleled Success.</t>
  </si>
  <si>
    <t>Society Stores® Is One Of Mumbai’S Oldest Supermarkets Since 1969 That Offers An International Shopping Experience Where Customers Can Shop In A Warm And Friendly Environment. The Brand Sources A Wide Range Of Food And Fmcg Products From Across The World With A Goal To Be A One-Stop-Destination For Day-To-Day Needs As Well As Specialty Food Needs Of Today’S Urban Household. With Consistent Service And A Superior Range Of Quality Products, We Have Expanded To 6 Stores Spanning The Finest Catchmen</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</si>
  <si>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</si>
  <si>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1 : 45 X 115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</si>
  <si>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 3 : 70 X 90 Sq. Ft. Cricket Turf – 1 : 90 X 50 Sq.Ft. Multi Sports – 1 : 90 X 50 Sq. Ft. Cricket Pitch – 2 : 12.5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</si>
  <si>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90 X 50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</si>
  <si>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70 X 90 Sq. Ft. Cricket Turf – 1 : 50 X 120 Sq. Ft. Cricket Turf – 1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</si>
  <si>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61 X 115 Sq. Ft. Football Turf – 1 : 70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</si>
  <si>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-1 : 50 X 100 Sq. Ft. Cricket Pitch -1 : 20 X 120 Sq. Ft. Cricket Turf -1 : 30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</si>
  <si>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170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</si>
  <si>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60 X 90 Sq. Ft. Multi Tiles – 1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</si>
  <si>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</si>
  <si>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2 : 55 X 75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</si>
  <si>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50 X 90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</si>
  <si>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90 X 54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</si>
  <si>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Experience.Small Football Turf – 2 : 80 X 85 Sq. Ft. Big Football Turf – 1 : 45 X 100 Sq. Ft.</t>
  </si>
  <si>
    <t>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</si>
  <si>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3 173.6 X 117.6 = 20415.36 Sq.Ft Dagout 20 X 3 X3 = 180 Sq.Ft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</si>
  <si>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1 : 60 X 121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</si>
  <si>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 3 : 80 X 60 Sq. Ft. Football Turf – 1 : 45 X 70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</si>
  <si>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Turf 6 : 100 X 60 Sq. Ft. Multisport 1 : 100 X 50 Sq. Ft. Cricket Pitch 2 :</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</si>
  <si>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Turf 4 : 150 X 88 Sq. Ft. Multisport 1 : 75 X 58 Sq. Ft. Small Ground 75 X 58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</si>
  <si>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Experience.Football Cricket Turf – 2 : 50 X 100 Sq. Ft.</t>
  </si>
  <si>
    <t>.We'Re Indians. Young, Energetic And Focused, We Bleed Blue. We'Re Dreamers. We Dream Big. We Dream Sports. We'Re Hard Workers. We Sweat And Strive To Realise What We'Ve Set Our Heart On. And We'Ve Come Up With A Spectacular Game Plan To Provide India'S Youth Something They Lack - The Ultimate Stadium Experience. Football Cricket Turf – 1 : 82 X 50 Sq. Ft.</t>
  </si>
  <si>
    <t>2018 All Over Mumbai. We Are 24*7 Just Confirm Your Time Before Few Hours Or Days Different Cycles Different Rates? 80/120/150 Per Hour. 500 Deposit. 500/700 Per Day. 1K Deposit. 1500/2100 Week. 2K Deposit. 2500/3100/3500 Month. 5K Deposit + Id. For Gear 100 Extra We Can Deliver At Your Place. We Charge For That According To Km.</t>
  </si>
  <si>
    <t>Tejas Is Highly Passionate About Providing World-Class Air-Conditioning Experience To Their Clients, He Has 25 Years Of Rich Experience In The Hvac Industry. He Strongly Believes That A Precise Harmony Between Temperature, Humidity, And Indoor Air Quality Is Needed For A Comfortable Ambience. Tejas Started Hvac Journey From Surat And To Pursue His Dreams Reached The City Of Dreams Mumbai And Established Capl In The Year 2000. The Past 25 Years Were An Eventful One Wherein Turn-Key Hvac Solutions Were Provided To Various Clients From High-End Residential To Commercial To Industrial Segments.</t>
  </si>
  <si>
    <t>Advocate Nehal Parekh Is An Alumni Of Government Law College, Mumbai (2008-2011). She Has Worked With Prestigious Firms Like Pds Legal For 3 1/2 Years And Economic Law Practice, Mumbai For 6 1/2 Years Director At Mandukhlal Hiralal &amp; Company For 1 Year And Now Is An Independent Practitioner. (Your Friend In Law)</t>
  </si>
  <si>
    <t>Prime India International, A Pioneering Gas Carburizing Fluid Manufacturing Company Based In Mumbai Since 1971. Prime India International'S Revolutionary Gas Carburizing Fluids, Designed To Enhance The Performance And Durability Of Your Metal Components.</t>
  </si>
  <si>
    <t>One Of The Top Power Tool &amp; Accessories Companies That Specialises In Core Cutting Is Shubh Exim. We Offer Power Tools That Are Both Innovative And Of High Quality. For The Finest Customer Experience, Pravin Machine Tools Is Renowned For Its Products That Have Undergone Thorough Testing For Their Unwavering Quality, Dependability, Durability, And Performance.</t>
  </si>
  <si>
    <t>Since Inception In 1981, Velcord Textiles Pvt. Ltd. Has Been Continuously Expanding To Meet The Market Demand For Superior Quality Fabrics. Headquartered In Mumbai, The Commercial Capital Of India, Velcord’S Manufacturing Operations Are Strategically Spread Throughout Western India. Catering Exclusively To International Brands As Well As The Garment Export Markets For Several Years, Velcord Is Known For Its High Quality Standards, Timely Deliveries And Superb Customer Service</t>
  </si>
  <si>
    <t>Voyage, Explore, Discover!!!! Customized Package For Both Domestic And International.- Involving Your Flights</t>
  </si>
  <si>
    <t>3Cheers! Is A Full-Service Brand Agency, Offering Creative Services In Atl, Btl And Digital. From Designing Brand Communication, To Creating Content For The Digital Space, To Producing Corporate Videos... We Offer All Creative Services Under One Roof. In A Span Of 7 Years, We Have Built A Portfolio That Includes Projects Done For Corporates Like Reliance General Insurance, Icici Prudential, Kokan Bazar, Reliance Smart Money, Tata Aia, Edelweiss, Sterling And Wilson (Shapoorji Pallonji Group), Western Railway, Saviesa Modular Furniture, Evowood, Marathon Trends, Among Others.</t>
  </si>
  <si>
    <t>Masters In Counseling Psychology | Psychological Counsellor | E- Consulting | Graphologist| Signature Analyst| Art Therapist| Dream Analyst??</t>
  </si>
  <si>
    <t>Sr Store (Navkar Apparels) Was Launched In 2014 With A Vision To Provide Our Customers With The Latest Trends In Fashion Clothing And Accessories. Journey Began With Offering Vintage Clothing And In A Span Of Just A Year; Sr Store Emerged As A Leading Fashion Destination. @ Sr Store, We Are Redefining Style. Because Fashion Changes Every Day, But The Style Endures. We Believe In Being A Step Ahead In Defining The Trends And That Is What Keeps Us Passionate And Driven @ Style Redefined.</t>
  </si>
  <si>
    <t>State Of The Art Manufacturing Facility In Bangladesh, With Over A Million Units Production Capacity.</t>
  </si>
  <si>
    <t>Studied Bachelor In Management Studies From University Of Mumbai, Then Attended The Kingston University For His Postgrad. With A Msc In Finance, I Have Paved A Way Towards Building My Own Business. A Vision Of Providing Career-Oriented Services To Students And Changed It Into A Reality. We Harbour Good Knowledge About Studying And Living In The Uk. Our Services Are Extended To Ireland, Australia, And Canada Too</t>
  </si>
  <si>
    <t>Commerce Graduate With Post-Graduation In Finance From Karnataka University. In My Early Days Of Career, I Have Worked With Asian Markets And Bajaj Alliance General Insurance Started As An Investor In 2012 And Since 2015 Have Been Managing Portfolios Of 50+ Customers In Equity, Mutual Funds, Pms And Derivatives. Helping Customers Invest And Grow Their Portfolios Year On Year With Sound Strategies, Technical Analysis, Digital Adoption, And Industry Trends.</t>
  </si>
  <si>
    <t>Hey , Aman Here . You Can Connect With Me Regarding All Your Insurance Related Product. Happy To Connect.</t>
  </si>
  <si>
    <t>Namaste Event Company: Celebrating Moments, Creating Memories Founded In December 2022, Namaste Event Company Has Quickly Become A Name Synonymous With Exceptional Event Planning And Execution. With A Track Record Of Successfully Orchestrating Over 25+ Diverse Events, Ranging From Enchanting Birthday Parties And Elegant Engagements To Breathtaking Weddings And Seamless Corporate Gatherings, We Pride Ourselves On Turning Dreams Into Reality. Providing Manpower Support For Your Event I Am A Business Coach And Trainer With Over 25 Years Of Experience In The World Of Entrepreneurship. I Am A Licensed Business Coach From The Uk'S Premier Coaching Company, Mindspace Coaching. I Am Also A Certified Master Trainer And Master Facilitator. I Am On A Mission To Help Business Owners Make More Money, Increase Their Impact, And Achieve Time Freedom. I Help Business Owners To Grow Their Businesses Anywhere Between 20% To 200% In Less Than A Year. Saviesa Has Been Founded By The Pioneers Of Modular Kitchens In India. These Highly Customer–Focused Experts, The Founding Saviesa, With Their Knowledge, Insights And Expertise, Gained In The Field Over Two Decades, Bring You World-Standard Modular Kitchens Undefined Undefined Undefined Undefined Undefined Nectartreatss Is A 10+Yrs Young Company . We Are Manufacturer Of Premium Chocolates And Dryfruit Products With 200+ Varities Of Products, We Are Hampers Curator At Pan India. Chartered Accountant With 5+ Years Of Experience In Audit And Assurance, Financial Accounting And Reporting, Management Consultancy (Mis), And Taxation. Committed To Providing The Highest Quality Of Service And Maintaining The Highest Ethical Standards. Chartered Accountant With 5+ Years Of Experience In Audit And Assurance, Financial Accounting And Reporting, Management Consultancy (Mis), And Taxation. Committed To Providing The Highest Quality Of Service And Maintaining The Highest Ethical Standards. Undefined Arihant-Nx Is Leading Wholesaler In The Hardware Industry Established In The Year 2002. With Amazing Experience Of More Than 20 Years , Arihant-Nx Helps You To Get The Best Products . Mks Studios Is A Brand Which Deals In Custom Wall-Coverings, Custom Murals. We Maintain High Quality Standards With Respect To Design, Durability And Maintenance By Providing Beautiful Custom Wall-Covering Solutions And Making The Process Fast, Easy &amp; Transparent For Architects, Interior Designers &amp; All Our Clients. Undefined Started In 2001, Glitorium Is Driven By The Commitment To Deliver Quality Products For Homes And Offices. Be It Stylish Contemporary Designs Or Handcrafted Imperial Looking Hardware With Embellishments, The Collection Of Glitorium Will Give Wings To Your Imagination And Make You Stretch Your Interior Budgets For The Right Reason. The Tiles By The Brand Make Perfect Flooring Choice For Your Abode. We Are An End-To-End Creative And Digital Agency, With Experience Of Working With Companies Like Cnbc, Jio, Tata, Times Group, Itc, Jockey, Sony, Zee, Titan To Name A Few. We Respect Transparency, Clarity, And Honesty. We Are Honest With Ourselves And Our Clients, Keeping Them In The Loop Of Every Step Of The Process. Undefined Rahul Sharma Is An International Award Winning Photographer Who Is Known For Shooting In Over 49 Countries Across The Globe. He Was Awarded As Disney Usa’S Photographer Of The Year In New York City. Rahul’S Work Has Been Featured In Ace Magazines Including Forbes And The Entrepreneurs Of India. I Make Ordinary Things Extraordinary! Our Motto 'Be The True You' Encapsulates Our Ultimate Vision Of Enabling Our Clients To Live A Life Of Confidence, Passion, And Authenticity. We Aim To Provide Quality Services To Our Clients To Help Them Discover Their True Self. Morya Sign Is Dedicated To Providing, Manufacturing And Fabrication Of Quality Digital Signage Products And All Kinds Of Branding Material. We Make High-End Products For Sign Makers, Well-Known Architects And Major Brands Of The Country. We Have A Proven Track Record, Trust And Confidence That Many Local Companies Depend On. Our Experienced And Skilled Team Know What It Takes To Get A Great Finish. Ÿ I Am Adv Saaurabh B Chanddorkar &amp; My Company Is Called Chandorkar &amp; Associates Ÿ We Are Into All Kind Of Legal Solutions For The Last 5 Years. Ÿ We Are Known For Our Legal Expertise In The Area Of Registration Of Trade Mark / Registration Of Trust / Society / Llp / Company We Are An Interior Design Firm Offering Designing, Styling And Complete End To End Design Solutions For Your Spaces,From Residential To Commercial,Retail And Hospitality We Lend Our Design Services For All Areas. 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 Anupalan Is Your E-Compliance Partner And A One Stop Portal For All Your Compliance Obstacles. It’S User Friendly Software To Ease Company’S Compliance For Entrepreneur And Professionals Alike. We Cater Our Clients In More Than 30 Industries With Our Decades Of Experience. Cs Deepak A. Variya, Founder Of Deepak A. Variya &amp; Co. ( Dav &amp; Co. ) Practicing Company Secretaries. He Is A Fellow Member Of Icsi, Holds A Bachelor’S Degree In Commerce &amp; Law. He Has Extensive Knowledge And Experience In Corporate Governance And Various Company Law Matters. His Rich Expertise In The Field Of Corporate Management And Legal Advisory Is Well Known In The Business World. He Regularly Appears Before The National Company Law Tribunal, Official Liquidator, Regional Director(S) Custom Jewelry Manufacturer Mockingbird Studios Believes In The Simple Of Concept Of ‘Delight’. Whether It Is In Providing You With Concepts, Executing Your Ideas, Giving The Best Quality Print Output Or Doing Precise Installations, We Ensure That You Are Delighted At Every Step Of The Process. Whether It Is Our Processes Or People, They Are All Formulated In Such A Way That A Fabulous Experience Is Guaranteed Every Time. Check Out Our Ratings On Justdial.Com If You Don’T Believe Us!! Webinsight Is An Independent Web Development &amp; Digital Marketing Agency With The Passion For Crafting Beautiful Experiences. We Are Based Out Of Vasai, A Beautiful Suburb Near Mumbai, And Our Office Is Located In Mumbai, India. Undefined Undefined Undefined We Are Committed To Providing The Highest Quality Of Dental Clinical Care And Personalised Service In A Warm And Compassionate Atmosphere. Along With Treatment Our Doctor And Staff Enjoy Getting To Know Each Patient And Their Families And Love Creating Relationships That Last Multiple Generations. 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Headed By Young, Experienced Professionals -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Certified Professional Mua At Ps Creation, We Design Elegant, Effortless Pieces That Suit Every Occasion. All Our Creations Are Rooted In Conscious Luxury, And Contemporary Interpretations Of Craft.Be Unique You With Ps Creation. I Want To Inspire People. I Want Someone To Look At Me And Say, Because Of You I Didn'T Give Up."</t>
  </si>
  <si>
    <t>At Even Better, We Bring A Wealth Of Expertise And A Passionate Team To Deliver Unmatched Results. From Strategic Planning To Creative Campaigns, We Empower Your Brand To Thrive In The Digital Landscape. Our Proven Track Record, Innovative Approaches, And Client-Centric Focus Make Us Your Go-To Partner For Sustainable Success. Trust Us To Elevate Your Brand, Exceed Your Goals, And Be Your Everlasting Ally In Conquering The Digital Realm.</t>
  </si>
  <si>
    <t>Ours Is A Firm Of Chartered Accountants Practicing In The Name And Style Of M/S. Pipara Sancheti &amp; Associates Duly Registered With Icai With Firm No. 147120W.</t>
  </si>
  <si>
    <t>At Pest Relief Services, We Take Pride In Being A Full-Service Professional Pest Control And Bird Netting Corporation Dedicated To Safeguarding Your Health And Property. Pest Relief Services Proudly Serves The Diverse Regions Of Mumbai And Maharashtra, Drawing Upon Years Of Experience In Both Commercial And Residential Pest Management. Our Journey Has Allowed Us To Establish A Safe, Effective, And Convenient System Within The Pest Control Industry.</t>
  </si>
  <si>
    <t>Hello! I Am Khushnam, A Skilled Practitioner In Both Craniosacral Therapy And Tarot Reading. With A Deep Understanding Of The Body'S Subtle Energies Through Craniosacral Therapy And An Intuitive Approach In Tarot, I Offer Healing And Deep Insights To Those Seeking Balance And Guidance.</t>
  </si>
  <si>
    <t>Founded In 1997, We Have Gained Significant Experience And Expertise In Surface Solutions Over The Past Two Decades. As A Reputable Player In The Industry Today, We Are Consistently Striving To Offer Innovative And High-Quality Solutions That Cater To All Customer Needs While Standing Head-To-Head With Future Trends.</t>
  </si>
  <si>
    <t>Chartered Accountant With 5+ Years Of Experience In Audit And Assurance, Financial Accounting And Reporting, Management Consultancy (Mis), And Taxation. Committed To Providing The Highest Quality Of Service And Maintaining The Highest Ethical Standards.</t>
  </si>
  <si>
    <t>A Finance Professional For Close To 2 Decades Whose Life Revolves Around The Daily Rigors Of Global And Local Financial Markets And The Stress, Anxiety, Ecstasy, And Other Extreme Sentiments That Come With It. Until Recently Little Did People Know About My Other Passions That Run Deeper Within Me—One Has Been With Me Ever Since I Was A Child;—My Love For Wildlife. . 30+ Years Since I First Ventured Into The Jungle At Ranthambore National Park In The State Of Rajasthan In India.</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</si>
  <si>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t>
  </si>
  <si>
    <t>At 3 Minds Digital, Our Dedicated Team Is Committed To Delivering Exceptional Services That Drive Mutual Growth. With A Focus On Collaboration And Innovation, We Ensure That Every Partnership With Us Is A Winning Proposition. Our Expert Team Combines Experience And Expertise To Provide Tailored Solutions That Meet Your Needs And Propel Your Brand Growth. We Understand That Your Success Is Our Success, And That'S Why We Strive For Win-Win Outcomes In Every Endeavour. For Us, Win Win Win Focuses On Win For The Client, Win For The Team, And Win For The Company.</t>
  </si>
  <si>
    <t>I Am A Multi-Faceted Photographer And Artist. My Photography Could Be Described As Life’S Many Compositions With The Panorama Of Landscapes, The Beauty Of Still Life, And The Realism Of Urban Life. My Goal Is To Bring To The Palette The Various Marvels Of Life’S Everyday Wonders By Utilizing My Passion And Vision Of That Certain Moment In Time. As An Appreciator Of Realism And The Abstract, My Photography Is Honest, Kind, At Times Humorous, And Always Done With Passion</t>
  </si>
  <si>
    <t>At Nikitaa'S Earthborn, We Believe In Complete Transparency And Prioritize Your Well-Being Above All Else. We Understand That Many Conventional Products In The Market Contain Chemicals That Can Have Detrimental Effects On Your Skin And Overall Health. Our Mission Is To Revolutionize The Indian Market By Creating And Providing 100% Pure Organic, Plant-Derived, And Vegan Haircare And Skincare Products. Gst No # 27Aaxha0697L1Zj</t>
  </si>
  <si>
    <t>Jalpa Shah, A Highly Skilled And Creative Interior Designer With A Passion For Transforming Spaces Into Captivating Environments. With Over 20 Years Of Experience In The Industry, Jalpa Is Known For Her Versatile Design Approach, Seamlessly Blending Contemporary Trends With Timeless Elegance. Her Commitment To Personalized And Sustainable Design Has Earned Her Recognition And Praise, And She Continues To Be A Tastemaker In The Field.</t>
  </si>
  <si>
    <t>The Completeness, Beauty And Purity Signify Goddess Tripura Sundari Also Known As *Shodashi*, Which Exactly Resonates With Our Candles Our Aesthetic Candles Are Made Up Of Pure Organic Soy Wax And A Blend Of Essential Oils. Also, They Are Hand-Poured And Made With Love And Passion In Small Batches. Natural Ingredients Are Used Like Pure Soy And Essential Or Premium Quality Fragrance Oils. And The Colours In Candles Are Chemical-Free, Non-Toxic And Skin-Friendly.</t>
  </si>
  <si>
    <t>We Are An Interior Design Firm Offering Designing, Styling And Complete End To End Design Solutions For Your Spaces,From Residential To Commercial,Retail And Hospitality We Lend Our Design Services For All Areas.</t>
  </si>
  <si>
    <t>A Great Meal Needs To End In The Tastiest Way! At Sheetal Mouthfreshners, We Have Vast Varieties Of Mukhwas, Handmade And Especially Concotaed As Per Our Tried And Tested Recipes. We Cater To A Range Of Palates Across All Age-Groups. Let'S Just Say, This Is The Most Delicious Way To Seal The Meal!!</t>
  </si>
  <si>
    <t>Seventeen Events Is An Experiential Marketing Company That’S About Executing Unique Ideas And Innovative Solutions. We Create Vibrant, Engaging Experiences To Bring Your Brand And Consumers Closer Together, Not Just On Ground, But Also In The Online Space.</t>
  </si>
  <si>
    <t>Welcome To Mockingbird Studios – Where Walls Burst With Creativity And Style! With More Than Ten Years Of Experience And Five Branches Across The Nation, Mockingbird Studios Is Your Go-To Destination For Vibrant Wall Graphics That Bring Life And Character To Any Space. Our Team Is All About Breaking Boundaries And Reimagining The World Of Interior Design. As A Company, We’Ve Honed Our Skills Over The Years, Creating Durable, Captivating Wall Graphics That Make An Impact.</t>
  </si>
  <si>
    <t>Webinsight Is An Independent Web Development &amp; Digital Marketing Agency With The Passion For Crafting Beautiful Experiences. We Are Based Out Of Vasai, A Beautiful Suburb Near Mumbai, And Our Office Is Located In Mumbai, India.</t>
  </si>
  <si>
    <t>We Do Events Ranging From Birthday Parties, Pre / Post Wedding Events, Society Events, Cultural Events, Corporate Events, Milestone Events, You Name It.</t>
  </si>
  <si>
    <t>He Is An Expert In Taxation Be It Direct, Indirect, Or International Taxation. Experience In Audit And Taxation Of Corporates In Technology, Talent Management, Tours &amp; Travels, Chemicals, And Textiles Sector. In His Professional Career He Has Spent Years Learning Everything There Is To Know About Various Industries Involving Business Setup To Domestic And International Taxation Laws And Loan Arrangements. He Is A Certified Fraud Investigator And Fellow Member Of The Institute Of Chartered Accountants Of India.</t>
  </si>
  <si>
    <t>Meet Vedant Shelar, A Distinguished Fitness Trainer Based In Mumbai, India. With A Proven Track Record Of Excellence, Vedant Has Garnered Numerous Medals And Accolades In The Fitness Arena. His Dedication, Expertise, And Commitment To Fitness Have Earned Him A Reputable Standing In The Industry. As A Seasoned Professional, Vedant Shelar Continues To Inspire And Empower Individuals To Achieve Their Fitness Goals With Precision And Passion.</t>
  </si>
  <si>
    <t>The Dental Suite Strives To Provide Superior Quality Dentistry With Complete Dental Solutions And Exemplary Customer Service In An Impeccably Clean Atmosphere Of The Utmost Comfort, Beauty And Safety. Our Suite Ensures Excellence In Every Aspect Of Dentistry. We Believe That A Healthy Smile Is A Reflection Of A Healthy Mind And Soul, And So We Aspire To Keep You Smiling, Always!!! The Dental Suite Is Well Endowed With Cutting-Edge 21St Century Technology And Latest Suite-Like Amenities To Add To Our Flair And Style. Being A Multi-Speciality Centre, We Provide An Array Of Dental Treatments That Restore The Health Of Your Mouth And Improve The Beauty Of Your Smile, All This Under One Roof, With Class…Comfort…Care So Walk In And Discover How A New Smile Can Transform Your Life!!!</t>
  </si>
  <si>
    <t>Headed By Young, Experienced Professionals Pencil Stroke Is A Small Dynamite With Big Ideas. We Have Dedicated Our Professional Lives To Brand Communication Including Social Media, Branding, Brochures/Catalogues, Web Development, Ad Films, Audio Visuals And Hoardings To Arrive At Just One Thing Brands Really Need – Ideas That Work. Our Motive Being To Create Brand Building And Brand Sustaining Ideas We Create Ideas In All Spheres Of Customer Interface… Mass Media, Retail, Customer Relationship Management, Etc.</t>
  </si>
  <si>
    <t>Certified Professional Mua</t>
  </si>
  <si>
    <t>At Ps Creation, We Design Elegant, Effortless Pieces That Suit Every Occasion. All Our Creations Are Rooted In Conscious Luxury, And Contemporary Interpretations Of Craft.Be Unique You With Ps Creation.</t>
  </si>
  <si>
    <t>I Want To Inspire People. I Want Someone To Look At Me And Say, "Because Of You I Didn'T Give Up."</t>
  </si>
  <si>
    <t>The Firm Is Engaged In Providing Services In The Field Of Domestic Taxation Solutions, International Taxation Solutions, Indirect Taxation Solutions, Accounts Process Outsourcing And Audits. Our Client-Base Includes Clients From Various Industries Vis-A-Vis Gems And Jewellery, Textile And Fashion Apparel, Logistics, Metal Industry, Electronic, Plywood And Hardware, Dealers And Retailers. Over The Years We Have Developed Professional Relationship With Various Professionals In Field On Company Secretary, Lawyers, Financial Advisors, Stock Brokers And Consultancy Firms By Rendering Services To Their Satisfaction.</t>
  </si>
  <si>
    <t>Driven By A Passion For Helping Businesses Navigate Uncertainty, Ms. Ayushi Shah Founded Papercurrency Consultants. She Recognized The Growing Need For Proactive Risk Management And Envisioned A Firm Dedicated To Empowering Businesses To Thrive In Today’S Complex World. Her Commitment To Client Success And A Proactive Approach To Risk Management Has Been The Cornerstone Of The Firm’S Success. She Has Past Work-Ex With Big Fours For 5 Years And Has Served Clients Across Media &amp; Entertainment, It &amp; Ites, Manufacturing Sector, Pharma, Fmcg, Etc.. She Has Also Led Various Internal Audits, Ifc Documentation And Review, Sop Design &amp; Implementation Assignments, Db Audits, Stock Audits, Due Diligence, Etc. For Various Clients.</t>
  </si>
  <si>
    <t>Wrapsandtags Is A Gifting Assistance Company. We Make Personalised Gifts And Hampers. We Understand Your Needs, Like, Taste And Budget And Curate Gifts And Hampers According To That. It Is To Make Gifting Experience Easy For You.</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</si>
  <si>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</si>
  <si>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Simone Founder And Creative Director Being One Of India’S Most Renowned Hairdresser Studied In London At Vidal Sassoon , Tony And Guy And Trevor Sorbie . Among Others Great Lengths – Singapore Etc . She Has Worked With Several Celebrities Including Kareena Kapoor , Priyanka Chopra , Shahid Kapoor , Shah Rukh Khan And Many Others . Cathay Pacific , Air Atlanta ,Quantas , Kingfisher , Jet Airways And Numerous Avaiation Schools Were Also Taught For Their Grooming Sessions . Runway Shows , Various Films , Ad Campaigns , Fashion Shows All Are A Part Of It … Professional Hair Dressing Books Are Also Published By Her For Trained Professionals . She Has Trained And Inspired More Than 25000 Hairdressers .. As A Constant Source Of Inspiration Millions Of Shows And Seminars Are Also Being Conducted . With Great Technical Expertise , Creativity And An Experienced Team We Promise Superior Level Of Services Along With A Great Future</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</si>
  <si>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 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</si>
  <si>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We Offer Personalized Attention, Crafting Every Itinerary To Align Perfectly With Your Unique Preferences And Travel Aspirations. Our Deep Connections With Top Lodges, Expert Guides, And Conservationists Ensure Unparalleled Access To Exclusive Experiences And Insider Insights. At Thegamedrive, Luxury Meets Adventure, Blending Opulent Comfort With The Raw Thrill Of Encountering Wildlife In Its Natural Habitat. Additionally, Our Commitment To Conservation Means That Your Journey Contributes To Supporting Local Communities And Preserving The Ecosystems We Explore, Making Your Adventure Both Unforgettable And Meaningful..</t>
  </si>
  <si>
    <t>Serial Entrepreneur 🌟Investor 💫 Philanthropist ⚡️| Part-Time Developer🧑🏻‍💻, Full-Time Adventurer 🤩| Aspiring Tech Giant | Founder &amp; Ceo @ Easy Investo |Bat🦇Man Of Coding (Not Really!) | 🌟Miles🛣️ To🍁 Go 🗺 Before I 💫Sleep ✌️|Ai&amp;Ml🤖|#Web3 🌐</t>
  </si>
  <si>
    <t>Chaitali Creation Is A Name That Gives A Better And Beautiful Look To The Filmmaking Process, Named After Our Proprietor Chaitali Himanshu Jhaveri</t>
  </si>
  <si>
    <t>I Am Chaitali Himanshu Jhaveri, From Mumbai, India.The Land Of Sages &amp; Hermits Who Developed The Transcendental Meditation, The Ancient Ways Of Healings Through Different Modalities And Soul Energies. My Aim Is To Be Helpful And Guide People In Their Spiritual Journey To Empower Them With Hope, Vision, Knowledge And Happiness. Which Is Possible Only If They Know How Important It Is To Keep Their Lives Balanced Mentally, Physically And Spiritually At The Soul Level, For A Better Living In A More Peaceful Environment. And The Time For You Starts Now....!!!</t>
  </si>
  <si>
    <t>Embrace The Transformative Journey To Gorgeous Hair Only With Nikitaa'S Earthborn Haircare Products And Let Your Hair Dance With Vitality. We'Ve Harnessed The Power Of Nature To Deliver A Range Of Meticulously Crafted Formulas That Fight Dullness, Dandruff, And Limpness. Prepare To Shine Brighter Than Ever Before &amp; Say Hello To Hair That Defies Gravity And Never Settles For Anything Less Than Perfection!</t>
  </si>
  <si>
    <t>Datamatics Is A Digital Technologies, Operations, And Experiences Company That Enables Enterprises To Go Deep In Digital To Boost Their Productivity, Customer Experience And Competitive Advantage.</t>
  </si>
  <si>
    <t>Ask Konsultancy Architects &amp; Designers Is A Prominent Architecture And Interior Design Firm That Offers Everything From Design Consultancy To Turnkey Solutions For Architectural And Interior Projects. And We’Re Known For Our Professionalism, Creativity, And Versatility. But More Than Anything, We’Re Loved For Our Timely Execution, Cost-Effective Designs, And Personalized Touch To Everything We Do.</t>
  </si>
  <si>
    <t>Show The Physical Card To Any Llumar Afc Across India And Get A Flat 20% Off On Llumar Ppf For Your Next Car</t>
  </si>
  <si>
    <t>Neel'S Divine, With A Stellar 5-Star Google Rating, Offers Astrology, Numerology, Tarot, Vaastu, Spiritual Healing, And Therapy. Trusted Globally, They Blend These Sciences, Serving Over 10K Clients, Prioritizing Confidentiality, And Evolving Through Feedback. They'Re A Beacon Of Guidance And Solace.</t>
  </si>
  <si>
    <t>We At Aakshae Group Of Companies Wanted To Take This Opportunity To Introduce Our Group Of Companies That Are Involved In Various Sectors Such As Infrastructure, Healthcare, Agriculture, Aquaculture, And Chemical Industries. We Pride Ourselves On Our Commitment To Excellence And Our Dedication Towards Delivering High-Quality Products And Services To Our Valued Customers.</t>
  </si>
  <si>
    <t>Giftam Is Your One-Stop Destination For An Extensive Array Of Products Tailored To Suit Various Needs. From Corporate Gifts, Bulk Purchases, To Wholesale And Wedding Gifts, Including Special Occasions Like Diwali And Thoughtful Employee Gifts—We Have You Covered. Our Customization Services Offer A Wide Range Of Possibilities: Personalize Polo T-Shirts, Caps, Pen Drives, Keychains, Office Bags, Watches, Water Bottles, And Much More.</t>
  </si>
  <si>
    <t>Ever Since The Wright Brothers Made Flying A Reality, The World Became A Smaller Place. It Suddenly Became Possible To Fly Across The World To Any Destination At A Time Of Your Choice. And It Is That Spirit That Becomes The Bedrock For Everything That ‘I Fly Now’ Stands For – We Are ‘Ready To Go’ Whenever You Are.</t>
  </si>
  <si>
    <t>Turtle Down Under Currently Focuses On Australia And Is Committed To Helping Travellers Explore And Unite With This Exotic Part Of Our World. As An Ito, Turtle Down Under Also Specializes In Aiding Travel Agencies To Cater To The Varying Demands Of The ‘Ever-Excited, Always Curious Traveller’. Our Mission Is To Provide Instant Solutions To Agencies As They Look To Support Their Customers. We Are All About Empowering Your Travel Agency To Do What It Does Best – Delight The Customer.</t>
  </si>
  <si>
    <t>Ashish Life Science Pvt Limited Which Is Part Of “Ashish Group Of Industries” Established In 1975. In The Year 2002, We Began Our Pharmaceutical Manufacturing. Since Inception, We Have Been Serving Customers Worldwide, Delivering Veterinary Products, No Matter The Size Of The Order. Over The Years, We Have Built Up A Reputation For Reliability And Trust Between Us And Our Customers.</t>
  </si>
  <si>
    <t>We Started This Brand With The Vision Of Paying Homage To The Supreme Craftmanship Of India With The Sole Aim Of Uplifting Our Artisans And Keeping Their Work Alive During The Hard Times Of Pandemic. We Seek To Create Contemporary Ethnic And Cocktail Wear With Unique Variations In Our Silhouettes. We Engage In Luxury Pret And Create Exquisite Ensembles With Contemporary Embroidery Using Traditional Techniques.</t>
  </si>
  <si>
    <t>A Compassionate Numerologist, Tarot Reader, Vaastu Consultant, Crystal Healer And Life Coach By Profession Based Out Of Kolkata, India With 5 Years Of Experience In Helping People Gain Insights Into Their Lives Through The Power Of Energies. I Help People Who Feel Stuck In Their Life Journey Such As In Career, Relationship, Finances Or Health And Guide Them To Achieve Balance And Abundance In Their Lives Through Result-Oriented Program.</t>
  </si>
  <si>
    <t>Meet Prathamesh, The Dynamic Leader At The Helm Of Holiday Tribe India. With A Passion For Travel And A Keen Business Acumen, Prathmesh Has Spearheaded Innovative Strategies That Have Propelled The Company To New Heights In The Ever-Evolving Travel Industry. As Ceo, He Is Committed To Delivering Exceptional Experiences And Shaping The Future Of Travel.</t>
  </si>
  <si>
    <t>With 13 Years Of Experience In The Financial Industry (Mutual Fund &amp; Insurance). I'M A Business Owner (Financial Planner) Since 2021 &amp; Have Successfully Guided Numerous Individuals &amp; Families To Achieve Their Financial Goals Through Personalized Financial Planning &amp; Investment Strategies. Offering Them A Wide Range Of Investment Options Such As Mutual Fund, Insurance, Stockbroking, Fixed-Income Products, &amp; Properties As Well As Lending Solutions Accessible Through Dedicated Web &amp; App Platforms.</t>
  </si>
  <si>
    <t>Stalwart World Truly Believes In Independence, Responsibility, Transparency, Professionalism, Accountability And Code Of Ethics, Which Are The Basic Tenets Of Corporate Governance. We Always Seeks To Achieve Optimum Performance At All Levels In Adopting And Adhering To Best Corporate Governance Practices. Stalwart World Has Always Focused On Corporate Governance As A Means To Maximize Long-Term Stakeholders’ Value Through Disciplined And Sustained Growth And Value Creation.</t>
  </si>
  <si>
    <t>Established In 2009, The Stalwart World Group Of Companies Have Established Their Credentials As Premiere Service Providers In The Sphere Of Human Resources. We Leverage The Capabilities Of Our Two Group Companies – Stalwart Management Consulting And Stalwart Hitech Consulting Llp – To Offer Comprehensive Solutions For Our Clients’ Ongoing Manpower Needs In The Areas Of Talent Acquisition, Hr Strategy, Learning &amp; Development, Pms, Leadership Coaching, Etc</t>
  </si>
  <si>
    <t>Aisshpra Jewels Is Best Jewellery Shop In Gorakhpur. 75 Years Of Independent India And 82 Years Of The Hari Prasad Gopi Krishna Saraf Group, Resulted In The Formation Of Its Evolved Identity Aisshpra Gems &amp; Jewels. The Fundamental Existence Has Been Revamped To Cater To The Needs Of The Newer Audience In And Around Uttar Pradesh. We Are Most Trusted Jewellery Brand In Uttar Pradesh.</t>
  </si>
  <si>
    <t>We Create Exceptional Customized Consensus, Financial Models And Data Sets That Are A Perfect Solution For Our Buy-Side Clients Investment Analysis Needs. We Do That By Combining Our 15+ Years Of Human-Centered Financial Modeling And Data Expertise With The Scale And Accuracy Of Real-Time Analytics, Technology And Automation.</t>
  </si>
  <si>
    <t>Abhijeet Has Been With Insync For Over 10 Years And Served As Head Of Business Development In Mumbai, India. He Understands Client Business Challenges/Requirements And Mobilizing Teams To Create Valuable Solutions That Drive Business Results. Abhijeet Is Responsible For On-Boarding Clients, Identifying Leads, And Tracking Users. He Also Maintains A Good Working Relationship With All On Insync’S Clients. He Has Bachelor Of Engineering, And A Post Graduate Diploma (Pgdbm) In Finance From Mumbai.</t>
  </si>
  <si>
    <t>We Are Manufacturer Of Ethnic Fabric.Our Designs Are Fusion Of Indian Traditional And Western Touch. To Embrace The Vividness Of Colours We Keep Our Fabrics 100% Dyable. At Tales Of Fabric We Intend To Create A Tale Behind Everyy Fabric.</t>
  </si>
  <si>
    <t>Naturally Procured Theta Pegasi Essential Oils Work Effectively On Cellular Levels Of The Body. It Can Be Used For Introducing Certain Specific Kinds Of Frequencies/Roles In The Aura. E.G. Relaxation, Mood Enhancement, Or General Well-Being. When Used Frequently It Supports A Healthy Lifestyle, Immune System, Respiratory System, Digestive System, Nervous System, And A Balanced Mental, Emotional, And Physical Body.</t>
  </si>
  <si>
    <t>Mna Is Based At Mumbai (India) Focusing On Property Laws, Legal Drafting Of Agreements, Deeds &amp; Conveyancing, General Corporate &amp; Commercial Advisory, Intellectual Property Laws &amp; Testamentary Laws, Posh Practice. Mna Is Amongst The Few Law Firms Who Are Exclusively Practicing In Deeds And Conveyancing Which Makes It Most Reliable Option When It Comes To Any Kind Of Documentation Ranging From Small Letter To Complex Agreements And At The Same Time It Caters Various Industry Viz.</t>
  </si>
  <si>
    <t>In 2010 We Started A Dream, Wrapped With Dream, Passion, Zeal And Futurism. While Baby Steps Had Been Taken At That Time, Lizard'S Skin Tattoos Has Proudly Crossed More Than 14 Years In The Business. As The Best Tattoo Artists In Kolkata Started With The Firm And Trusted Hands, Nurtured With The Caring Hands Of Punam Barua Das And With All The Support Of Our Experienced And Perceptive Team Of Best Custom Tattoo Artists Now We Are Proud To Be Known As The Best Tattoo Studio In Kolkata.</t>
  </si>
  <si>
    <t>With 13+ Yrs Of Experience In The Financial Industry, I Specialize In Mutual Fund, Insurance, And Comprehensive Financial Planning. Since 2021, I’Ve Guided Numerous Individuals And Families Achieve Their Financial Goals Through Personalized Smart Investment Strategies. As An Amfi-Registered Mfd And Channel Partner With Prudent Corporate Advisory Services Ltd., I Leverage Their Platform, Fundzbazar.Com, To Offer Diverse Investment Solutions To My Clients Which Includes Mutual Fund, Insurance, Stockbroking (Smallcase), Fixed-Income Products, Property Investments, And Loans. From Goal Based Investment To Retirement Planning And Wealth Creation, I Ensure My Client'S Investment Journey Is Seamless And Tailored To Their Goals. Do You Need Guidance With Your Financial Planning? Click Enquiry To Choose The Product/Services You Need Assistance With, And I’Ll Connect With You To Guide You Further!</t>
  </si>
  <si>
    <t>Been Serving Healthcare Industry Since Last 25 Years.Presence Pan Mumbai Across Major Institutions, Mcgm Hospital, State Government Hospitals, Railway And Defence/Navy Sector.</t>
  </si>
  <si>
    <t>Welcome To Purva Farms: Where Luxury Meets Nature. Our Serene Retreat Offers Elegantly Designed Accommodations Surrounded By Lush Greenery. Indulge In Farm-To-Table Dining And Outdoor Activities, Promising A Rejuvenating Escape From City Life. Welcome To Your Oasis Of Tranquility.</t>
  </si>
  <si>
    <t>Travezy Is One Of The Fast Growing Travel Brands In India That Exclusively Caters To The Unique Needs Of Travellers World Wide. With A Global Approach And Local Knowledge, We Take Your Holiday Experience Across Globe To An All-New Level.</t>
  </si>
  <si>
    <t>"Meet Lalit Kumar , A Cornerstone Of Our Painting Company'S Artistic Prowess. With A Blend Of Technical Precision And Creative Flair, Lalit Kumar Elevates Every Project To A Masterpiece. Their Keen Eye For Detail And Commitment To Excellence Ensure That Each Brushstroke Brings Our Clients' Visions To Life With Unparalleled Craftsmanship. Join Us In Celebrating Lalit Kumar'S Talent As They Continue To Inspire Awe And Set The Standard For Excellence In Our Industry.</t>
  </si>
  <si>
    <t>Introducing Dr.Amit, A Leading Interventional Cardiologist Dedicated To Saving Lives And Improving Heart Health. With Extensive Expertise In Minimally Invasive Procedures And A Compassionate Approach To Patient Care, Dr. Amit Is At The Forefront Of Cutting-Edge Treatments For Cardiovascular Diseases. As A Trusted Expert In The Field, Dr. Amit G Gangwani Is Committed To Providing Personalized Care And Innovative Solutions To Enhance The Well-Being Of Every Patient.</t>
  </si>
  <si>
    <t>Longer Than A Decade Ago, The Founders Started Out With A Vision Of Serving Customers With Products And Services In The Field Of Heating, Ventilation And Air Conditioning. Today, Rashi Aircons Has Carved Out A Space For Itself And Worked With A Number Of Esteemed Clients Belonging To The Residential, Commercial, Real Estate, Corporate And Hospitality Industry Across The Country.</t>
  </si>
  <si>
    <t>"15 Years" Exp Ex Ragistrar : Maulana Aajad Medical College Ex. Consultant :Ragistrar : Global Hospital, Maunt Abu (Rajasthan) Ex. Consultant : Gitanjali Medical College, Udaypur (Rajasthan) Ex. Consultant : Apolo Hospital, Ahmedabad (Gujrat) Ex. Consultant : All Is Well Hospital, Burhanpur</t>
  </si>
  <si>
    <t>Nidhi Gaglani, Founder Of Meraaki Solutions, Leads One Of Top Graphic Design Agency Known For Turning Ideas Into Stunning Visuals. With Years Of Experience, She'S Driven By A Passion For Design And Innovation, Pushing Creative Boundaries To Deliver Exceptional Results For Clients.</t>
  </si>
  <si>
    <t>Mumbai Is The Commercial Capital Of India, And There Are A Large Number Of Business Establishments And Residential And Commercial Complexes. The Health-Conscious People Of Mumbai Aspire For A Hygienic Environment At Home And Office. Insects Like Cockroaches, Mosquitoes, And Bedbugs Can Cause Serious Health Damage, And Pest Control Or Removal Is The Only Solution. Our Pest Control Services In Mumbai Are The Best In Business As We Focus On Systematic Investigation, Advanced Technology, Protective Safeguards, And Efficient Treatment Plans. Our Pest Control Service Covers Independent Houses, Residential Complexes, And Commercial Properties. In Mumbai &amp; Navi Mumbai, Home And Commercial Property Owners Can Rely On Us For Clean, Healthy, And Spotless Premises.</t>
  </si>
  <si>
    <t>We At Soul Designs Llp, Dedicate Ourselves To Plan And Execute Our Clients Space Reflecting Their Soul. Be It Commercial Or Residential, We Believe In Investing Our Heart And Soul In Carving And Creating Best For The Best!</t>
  </si>
  <si>
    <t>Welcome To The World Of Designer Eye-Wear, Expert Eye-Care &amp; Exclusive Watches. Imax Opticals &amp; Watches Has The Biggest Showstopper Collection Of All The International Eye-Wear Brands. Imax Opticals Offers A World-Class Optical Experience With Complete Transparency In Pricing &amp; Gauranteed Optical Expertise. More Than 70,000 Worldwide Clients Since 21 Years. Official Ray-Ban Store. Expert In Corporate Gifting: Eye-Wear &amp; Watches. Authorised Dealer Of Over 110 International Brands.</t>
  </si>
  <si>
    <t>Kothari Investments Is An Entity Focused On Providing Customized Wealth Management &amp; Financial Planning Solutions To Individuals, Families &amp; Organizations While Keeping In Mind Their Long Term Objectives, Goals And Risk Profile. We Also Offer Services Like Estate Planning &amp; Financial Consulting In Order To Ensure That There Is A Smooth Transition Of Wealth To Future Generations.</t>
  </si>
  <si>
    <t>T-Shirt Manufacturing</t>
  </si>
  <si>
    <t>Mr. Kunal Joined The Family Jewelry Business After Graduating In Business Studies, Where He Became A Jewellery Expert At The Starting Stage Of His Career. He Is An Expert At Product Design And Understanding Consumer Behavior. Kunal A. Jain Has Spent His Jewellery Career Spanning About 15 Years &amp; Is Responsible For Overall Technical Operations, Product Development And Sales And Marketing Of Facets Which He Founded In 2007.</t>
  </si>
  <si>
    <t>What Are You Looking For ? 1) "Dairy" Quantity Start From Just 100 Pcs 2) "Calendar" Quantity Start From Just 100 Pcs 3) Publishing Books 4) Mono Carton 5) Labels &amp; Sticker (Roll &amp; Sheet Based) Shape Cutting</t>
  </si>
  <si>
    <t>Creative Plus Nettrade Llp Is A Leading Computer And Related Service Provider In Mumbai. Established 30 Years Ago, This Firm Has Provided Its Service To Almost All Parts Of Mumbai And Its Suburbs. We Deliver Day To Day Service To All Our Customer And Also To Companies, Institutions And Firms.</t>
  </si>
  <si>
    <t>We Are Delighted To Introduce Jm Brand Promotion, Your One-Stop Destination For High-Quality Printing Services And Promotional Materials. With A Commitment To Excellence And A Passion For Delivering Exceptional Results, Jm Brand Promotion Stands At The Forefront Of The Printing Industry. J M Brand Promotion Is Based In Mumbai-Maharashtra And Proud To Announce That We Are One Of The Leading Retail Advertisement Solution Providers For Last 20 Years. We Cover Btl Activities Through Our Strong Network In Pan India Level Basis.</t>
  </si>
  <si>
    <t>Pooja Gupta Is An Innovative Entrepreneur And The Founder Of Allure And Adorn, A Startup Specializing In High-Quality Sling Straps And Lanyards. With A Keen Eye For Design And A Passion For Fashion Accessories, Pooja Launched Allure And Adorn To Offer Stylish And Functional Products That Cater To Both Everyday Users And Professionals. Her Brand Is Quickly Gaining Recognition For Its Unique Blend Of Aesthetics And Practicality, Making A Mark In The Fashion And Accessories Industry.</t>
  </si>
  <si>
    <t>Walk The World In Style With Foot Fuel. We Believe In The Power Of Exquisite Craftsmanship And Natural Materials To Create Pieces That Resonate With Your Ideal Aesthetic. Here, Amidst The Clinking Of Beads, We Handcraft Footwear That Becomes An Extension Of Your Personality The Background Of Several Generations Of Shoemaking Within The Company Was The Ground For A Versatile Collection Of Styles.</t>
  </si>
  <si>
    <t>Kapil Vaid, Founder Of Vibrant Desi, Is Dedicated To Promoting Indian Heritage Through Traditional Sarees And Bandhani. His Brand Blends Age-Old Craftsmanship With Contemporary Designs, Bringing The Rich, Colorful Fabrics Of India To A Global Audience. Kapil'S Commitment To Quality And Authenticity Has Made Vibrant Desi A Renowned Name.</t>
  </si>
  <si>
    <t>Manufacturers Of Diamond Jewellery, Specialised In South-Indian Traditional Diamond Jewellery Since 1995. It Is Located At Ramwadi, Mumbai.</t>
  </si>
  <si>
    <t>Para Was Started By Sister Duo Of Pooja &amp; Rachna Agarwal. They Have Studied Fashion Designing From Nift &amp; Sndt Respectively, Both Reputed Institutions Of Mumbai. At The Beginning Of Their Career They Have Gained Experience Under Well Known Designers Like Payal Singhal, Rock S, Arjun Khanna &amp; Krishna Mehta. After Gaining Practical Experience From The Above Mentioned Designers The Sisters Started Their Own Brand, Para Based Out Of Mumbai.</t>
  </si>
  <si>
    <t>At Growpro We Fabricate, Install And Offer Services To Enable Our Customers Grow Their Own Fresh, Pesticide-Free Food Completely Without Soil- Hydroponically. We Also Supply Veggies, Herbs And Salad Greens All Grown In Our Rooftop Farm In Mumbai</t>
  </si>
  <si>
    <t>Shades Is A Unique Building Design Firm That Works As A One-Stop Resource Point For Its Clients In The Construction Industry. Shades Provides A Platform Of Services To Builders With Specialized And Customized Designs And Efficient On-Time Implementation Of Projects.</t>
  </si>
  <si>
    <t>Where Elegance Meets Sophistication, And Style Meets Substance. Our Journey Began With A Passion For Creating Unique, High-Quality Jewelry That Makes A Statement. Founded In 2013 By 3 Sisters, Niyati Mehta, Pankti Choksi And Nidhi Modi, Nidhiti Has Evolved Into A Trusted Name In The Fashion Industry, Synonymous With Luxury And Craftsmanship. At Nidhiti, We Promise To Deliver: - Exquisite Craftsmanship - High-Quality Materials - Unique And Trendy Designs - A Personalized Shopping Experience.</t>
  </si>
  <si>
    <t>As A Seasoned Content Writer Since 2000, I Have Catered To Global Clients, Leveraging My Master’S In Psychology And Diploma In Journalism &amp; Mass Communication. Based In Mumbai, I Excel In Creating Compelling Content Across Diverse Industries, Including Health, Hospitality, Technology, Sports, And More. My Expertise In Simplifying Complex Concepts And Efficient Project Management Ensures Top-Notch Content Delivery, Making Me One Of The Best Content Writers In Mumbai.</t>
  </si>
  <si>
    <t>We Create Opportunities For Talents - From Beginners To Pros - So That You Can Excel In Their Fields! Also, We Send Out Notifications To Big Companies And Production Houses To Update Them About The Talents We Have Onboard. We Bring Together A Whole Team Of Studios, Artists, Talent Managers, Production House Tie-Ups Under One Roof. We Ensure Modelling Jobs For Children, Teens And Adults.</t>
  </si>
  <si>
    <t>At Biopole, Our Products Begin With Nature And End With Purpose. Using Sustainably Sourced Raw Materials, We Craft High-Quality Additives Like Antioxidants, Antiozonants &amp; Antifungal Agents Without Compromising The Ecosystems We Depend On. From Field To Finish, Each Step In Our Process Honors Biodiversity, Transforming Responsibly Gathered Resources Into Powerful Additives That Enhance Durability And Performance—Because A Better Product Shouldn’T Come At The Earth’S Expense.</t>
  </si>
  <si>
    <t>Synthetic Molecules Pvt Ltd (Smpl) Is An Established Pharmaceutical Manufacturer And Trading House. Commencing The Business In The Year 2003 Under The Leadership Of Mr. Kishore Thakur, Who Has An Expertise In This Field, We Cater The Ranges Of Intermediates, Active Pharma Ingredients, Vitamins And Specialty Chemicals To Domestic As Well As International Markets.</t>
  </si>
  <si>
    <t>Welcome To Dent O Cares, Your Premier Destination For Top-Quality Dental Care In Lower Parel. With A Commitment To Excellence And A Focus On Patient Satisfaction, We Strive To Provide Comprehensive Dental Services To Meet All Your Oral Health Needs.</t>
  </si>
  <si>
    <t>Welcome To Smile World Dental Clinic, Where We Specialize In Providing Top-Notch Dental Care For Children And Expert Orthodontic Treatments, Including Braces. Our Friendly Team Is Dedicated To Creating A Comfortable, Fun, And Stress-Free Environment For Kids, Ensuring Their Oral Health Is In The Best Hands. From Preventive Care To Advanced Orthodontics, We’Re Committed To Brightening Every Smile!</t>
  </si>
  <si>
    <t>Dr. Nomal Sheth Is A Specialist (Mds In Conservative Dentistry And Endodontics) Practicing Since 13 Years. She Is Expertise In Saving Teeth Giving A Conservative Dimension To Dentistry. Sheth Dental Clinic Is Equipped With A State-Of-The-Art Facilities And Has Team Of Experts Of Implants , Dentures, Aligners, Pediatric Dentistry And Many More.She Is Also An Entrepreneur And Innovator In Dentistry. She Has Given Many National Level Lectures And Bagged With Nationaland Interawards And Publication.</t>
  </si>
  <si>
    <t>We Are A Young And Dynamic Company With A Team Of Core Expertise In Fulfilling All Kinds Of Human Resource Requirements. We Started Primarily As A Recruitment Focused Company, Our Natural&amp; Positive, Progression Has Been Into Human Resource Consulting Saffron Bizz Solutions Llp Is Specialized In Providing Hr Services On Pan India. We Have Qualified And Industry Expertise In The Team Who Dedicatedly Works To Hire The Best Talent From The Industry And To Give The Best Hr Solutions.</t>
  </si>
  <si>
    <t>Yellow Dot Is A Bespoke Celebrity Management Agency That Specializes In Providing A Wide Range Of Celebrities For Various Brand-Related Activities. Our Services Include Brand Endorsements, Celebrity Appearances, Live Performances, In-Film Promotions, Digital Promotions, And More. We Prides Ourselves In Recommending And Providing Celebrities Who Align With Brand’S Preferences And Budget, Using Scientific Brand And Celebrity Mapping Techniques.</t>
  </si>
  <si>
    <t>Instabizfilings Is A Brand Name Of Adih Biztech Private Limited, An Indian Company Registered Under The Companies Act, 2013. Instabizfilings Is An Online Platform Providing Gamut Of Services Viz. Business Registration And Licenses, Compliance Services Related To Companies, Llp, Rbi, Xbrl Etc. With Instabizfilings, We Want To Combine Technology With Traditional System And Provide A 360 Degree Of Top-Quality Services. Our Mission Is To Provide Our Services At A Very Affordable Rate Which Is Convenient For Anyone Wishing To Start Their Business. To Partner With Professionals And Provide Them With The Necessary Resources To Handle Clients Efficiently. To Provide User-Friendly, Efficient And Secure Experience To Our Clientele And Partners</t>
  </si>
  <si>
    <t>We Serve Healthy Soulful Food 😋</t>
  </si>
  <si>
    <t>We Are Only &amp; Only Specialised For Creating Story By Dynamic / Cms / Brand Awareness / Mobile Responsive Website Design &amp; Development From Last 15 Years. Shopping Cart With Whats App / Ssl Domain &amp; Hosting / Fully E-Commerce Portal / Whats App Integration/ Visitor Counting / Seo / Mobile Version / Google Mapping &amp; Google Analytics / Payment Gateway</t>
  </si>
  <si>
    <t>Praveen Vaastu Is A Remedial Vaastu Consultation Company That Uses The Ancient Knowledge Of Vaastu In Modern Aesthetics Of A Space And Delivers Clients Do-Able, Reasonable And Practical Solutions.</t>
  </si>
  <si>
    <t>5000+Products Acrossproduct Range Starts From 5Rs To 5Lac Rupees. Different Categories For Corporates. Sourcing Specialist. Gifting Expert.</t>
  </si>
  <si>
    <t>Olineo Vardhman Mobile Is A Leading Retail Chain With A Strong E-Commerce Platform, Offering A Wide Range Of Smartphones And Smart Gadgets From Top Brands. With Over Two Decades Of Experience, It Was One Of The Pioneers In Providing Door-To-Door Services In This Niche Along With Seamless After Sales Services.</t>
  </si>
  <si>
    <t>Mondial Mmx Is Multi-Company General Insurance Solution Provider With 25 Years Of Rich Experience. We Deal With All Private General Insurance Companies, Enabling Us To Offer The Best Comprehensive Sampoorna Suraksha Solutions Which Covers Sufficient Health Cover, Critical Illness Cover, Personal Accidental Cover &amp; Home Cover. At Mondial Mmx, We Prioritize Understanding Your Unique Requirements And Recommending The Most Cost-Effective And Suitable Options Available In This Competitive Market. Our Philosophy Is Simple: We Don’T Sell; We Help You Buy. As A Fully Digital Enterprise, We Provide Our Products And Services Across India And Globally, Ensuring Seamless And Efficient Service Delivery.</t>
  </si>
  <si>
    <t>Established In 1996, Navkar Furnishings Is A Trusted Name In The Furnishing Industry, Offering A Wide Range Of Products Including Sofas, Curtains, Wallpapers, Blinds, Mattresses, And Dining Chairs. With Five Manufacturing Units Located In Rajasthan, Bhiwandi, Charkop, Oshiwara, And Gorai, They Ensure Top-Notch Quality And Innovation. Their Products Are Known For Comfort, Style, And Durability, Catering To Both Residential And Commercial Markets.</t>
  </si>
  <si>
    <t>Deal In All Kinds Of Glasses And Mirrors Since 2005. We Provide Custom Made Mirrors And Glasses For The Interior Decor Of Your Homes And Offices. We Are One Stop Solution For All Your Interior And Exterior Glass Solutions. We Manufacture Led Mirrors And Lacquered Glasses. We Have A Showroom In Mira Road And Factory In Vasai.</t>
  </si>
  <si>
    <t>We Manufacture Product Display Stands, Cosmetic Display Stands, Advertising &amp; Promotional Display Stands Along With Inshop Branding &amp; Signages. We Also Provide Services Like Laser Cutting, Cnc Routing And Flat Bed Uv Printing.</t>
  </si>
  <si>
    <t>We Are In Stitching Of Formals For Mens. Also We Sell Readymade Kurtas And Tshirts. We Also Provide Rental Ethnics.</t>
  </si>
  <si>
    <t>3 Outlets In Mumbai Warehouse At Jogeshwari More Than 500 Sheets Of Laminate Display Since 1986</t>
  </si>
  <si>
    <t>Pearl Travels Is Full Service Travel Company For Staycation, Domestic , International And Mice Packages . We Also Do B2B Dmc For Maldives, Mauritius, Thailand And Vietnam</t>
  </si>
  <si>
    <t>We Give Loans At Lowest Rates From Last 23 Yrs</t>
  </si>
  <si>
    <t>We Interior Designers Having Sites Pan India And Have Worked Internationally. We Specialise Instays, Hotels, Restaurant, Cafes, Salon And Spa</t>
  </si>
  <si>
    <t>I For Accountability Is A Dedicated Coaching Service Focused On Helping Individuals And Businesses Achieve Their Goals Through Personalized Accountability Strategies. Whether You'Re Looking To Improve Time Management, Build Better Habits, Or Reach Your Next Level Of Success, We Partner With You To Create Actionable Plans, Track Progress, And Provide The Support You Need To Stay On Track. With A Clear, Results-Driven Approach, We Empower You To Turn Intentions Into Accomplishments.</t>
  </si>
  <si>
    <t>Citrines Is A Premier Transformation Coaching Firm Dedicated To Helping Business Owners Unlock Their Full Potential Through Neuro-Linguistic Programming (Nlp). We Specialize In Transforming Mindsets, Aligning Them With Business Goals To Drive Growth, And Maximizing Impact. With Expertise In Influence, Leadership, And Sales, We Help Clients Tap Into The Power Of Their Subconscious To Create Sustainable, High-Performance Habits. What Sets Citrines Apart Is Our Unique Learning Journey: Both Of Our Coaches Have Trained Directly Under Dr. Richard Bandler, The Co-Creator Of Nlp. This Direct Mentorship Gives Us Unparalleled Insight Into Nlp Techniques, Which We Seamlessly Integrate Into Our Coaching Approach. We Work Closely With Our Clients To Understand Their Goals, Recalibrate Their Mindset, And Ultimately Produce Extraordinary Business Results. At Citrines, We Pride Ourselves On Our 100% Success Rate, Delivering Measurable And Lasting Improvements In Both Leadership And Sales Performance. Our Proven Methods Enable Clients To Harness The True Potential Of Their Business, Unlocking Growth That They Never Thought Possible. We Don’T Just Guide Clients; We Work Magic With Their Business Numbers. With Citrines, Transformation Is Not Just Possible—It'S Inevitable.</t>
  </si>
  <si>
    <t>We Are Distributors Of Multiple Financial Products With Expertise In Alternate Investments Giving Return Of 12% To 18% In Debt For A Short Tenure Of 2 To 12 Months. Before Buying New House Or Car, Contact Mmx To Make The Entire Purchase Free W/O Any Additional Investment.</t>
  </si>
  <si>
    <t>Move Freely, Faster Recovery With Minimal Pain Is Our Success Mantra.</t>
  </si>
  <si>
    <t>We Are A Leading Firm In The Investment Management Process. We Have Rich Exposure In The Financial Literacy Space, Consolidation Of Portfolio And Offer World-Class Technology Support For All Your Financial Needs.</t>
  </si>
  <si>
    <t>We'Re A Full-Spectrum Visual Design Studio With Roots In Jaipur And Mumbai, India. We Are A Talented Mix Of Designers And Illustrators That Blend Ideas And Art To Craft Smart, Striking Solutions That Speak Straight To Your Audience. Think Of Us As The Ultimate Brand Whisperers, Giving Your Brand A Voice And Personality That'S Impossible To Ignore.</t>
  </si>
  <si>
    <t>Our Main Aim Is To Provide Exceptional Customer Service And Build Lasting Relationships With Our Customers. We Have An Inordinate Background In Jewelry Receiving It From Our Forefathers Being The 3Rd Successful Generation In Our Renowned Business Of Gold. Silverstar Is A Brand That Was Established In 2021 Gaining Success Gradually. We Aim To Be A Well Known Brand In Mumbai To The Whole Wide Word. People Started Noticing Us First From Our Instagram, Aiming To Serve The World With Our Exquisite Jewelry We Provide Free Shipping And Exciting Offers.</t>
  </si>
  <si>
    <t>Base In Mumbai Since 26 Yeas We Have 2 Office In Mumbai We Have Specialist In Fine Italian Jewellery We Have Range Of Italian Gold Jewellery Our Jewellery Start From 8000 Only We Understand Customers Concept And Deliverd That We Have More Than 800 Satishfied Customers We Have Deep Knowledge Of Elements And Attribute Of Italian Jewellery.</t>
  </si>
  <si>
    <t>Axplore Holidays Is A Travel And Tour Management Company With Offices In Mumbai, Bangalore, Delhi, And Valsad. We Specialize In Comprehensive Travel Solutions, Including: Flight And Railway Ticketing: Offering Seamless Booking Services For Both Domestic And International Flights, As Well As Railways, Ensuring Convenient Travel Experiences Tailored To Individual And Corporate Needs. Visa Assistance: Providing Expert Guidance On Visa Applications For Various Destinations, Including Document Preparation And Submission, To Help Travellers Secure Their Visas Efficiently.</t>
  </si>
  <si>
    <t>At In-Nexus Automation, We Specialize In Home Automation Solutions, With Over 12 Years Of Experience And More Than 500 Spaces Smartified. We Offer Tailor-Made Solutions For Every Space And Need, Ensuring Comfort, Convenience, Security, And Energy Efficiency. Our Usp Lies In Our Experienced Team, High-Quality Products, And Top-Notch Service, Delivering Seamless And Intelligent Living Experiences.</t>
  </si>
  <si>
    <t>For Over 15 Years, Bluearch Designs Architects &amp; Interiors Has Been Dedicated To Crafting Exceptional Living Spaces. Our Mission Is To Bring Luxury, Uniqueness, And Comfort To Every Design We Create. With Meticulous Attention To Detail And A Keen Eye For Color And Texture, We Transform Spaces Into Relaxed And Inviting Environments. At Bluearch Designs, We'Ve Established Ourselves As Leaders In The Industry, Consistently Exceeding Expectations With Our Impeccable Designs. Our Success Is Attributed To Our Dedicated Team Of Talented And Approachable Designers, Who Work Tirelessly To Bring Our Clients' Visions To Life. As A Result, We'Ve Become One Of The Most Sought-After Firms In The Field, Trusted To Deliver Excellence In Every Project We Undertake.</t>
  </si>
  <si>
    <t>I M Dr Sachin Jain Orthopedic Surgeon Practicing Since 15 Years Attached To Esteem Hospitals In South Mumbai . Im Specialist In Joint Replacement Surgeries N Spine Surgeries Sports Injuries. We Also Practice Pain Managment For Joint N Back Pain. We Also Manage Rhematoid Arthritis Case N Bone Cancer.</t>
  </si>
  <si>
    <t>Tirthankar Insure Llp Is One Stop Solutions For All Insurance Needs.</t>
  </si>
  <si>
    <t>Chocolatoo Established In 2007 Under Propritership Of Ami Damaani , First Order Was Food Spot , And Than No Looking Back , Orders Started Pouring In , We Tooks Orders From Premsons , Breachcandy , Diwali Corporate Orders From Standard Chartered , Abn Ambro Hsbc , Citibank , Florista , Brijwasi , Godrej Natures Basket , Gradually Chocolatoo Was Climbing Ladders Of Success With Orders From Bni Members Was Also Very Supportive , Nova’ Ac Company , Takato , Rathis , To Name A Few Twice Featured On Cnbc Awaaz And Journey Is Still Going Strong With My Bni Friends</t>
  </si>
  <si>
    <t>We Are Manufacturer Of Diamond Jewellery. We Undertake Jobwork And Mounting Work Also. We Have Specialized Team Of 100+ Skilled Artisans.We Take Customised Order Also.In This Industry For +18 Years.</t>
  </si>
  <si>
    <t>"We Have Successfully Trained Children Subconsciously Aged 5-18 From Over 40 Countries, Fostering The Development Of Crucial Skills Such As Memory Enhancement, Confidence Building, Concentration Improvement, Accelerated Reading Speed, Emotional Resilience, Academic Achievement, Enhanced Mathematical Abilities, Quicker Grasping, Motivation, Creativity, And Proficiency In Sports. Our Comprehensive Approach Extends To Overcoming Challenges Such As Laziness, Stress Reduction, Hyperactivity Management, And The Cultivation Of Greater Intuition And Cheerfulness. In A Remarkably Brief Span Of Less Than 30 Minutes, We Specialize In Eliminating Fears Among Individuals. Our Diverse Adult Training Programs Encompass Communication, Sales Strategies, Leadership Development, Team Building, Train-The-Trainer Sessions, Marketing Techniques, Motivation Enhancement, And Negotiation Skills."</t>
  </si>
  <si>
    <t>Winshine Financial Services Provides Expert Financial Advisory, Offering Tailored Solutions In Equity, Mutual Funds, Insurance, And Alternate Investments. With A Client-First Approach And A Focus On Optimizing Surplus Funds, We Help Individuals And Businesses Grow Wealth And Achieve Their Financial Goals Through Smart, Diversified Investments.</t>
  </si>
  <si>
    <t>Cs Krishna Popat Is The Sole Proprietor Of Krishna &amp; Associates Which Is A Practicing Company Secretary Firm Based Out Of Mumbai Since 2020. We Provide Consulting Services To Idea Stage Entrepreneurs, Existing Companies/Llp’S Also Other Services W.R.T. Roc/Mca, Ipr, Legal Service, Audit Services, Advisory Service, Drafting Of Agreements Etc. We Are A One Stop Solution For All The Compliance Related Needs. You Can Visit Our Website: Https://Cskrishnap.Com/ For More Details On What We Do Exactly.</t>
  </si>
  <si>
    <t>Vyomaga Skincare Private Limited Is A Dynamic Startup Offering A Diverse Range Of Fine Fragrances, Home Fragrances, Essential Oils, Personal Care, And Spa Products. With A Mission To Fill Market Gaps, Vyomaga Delivers Products That Inspire, Motivate, And Enhance Daily Life. Known For Its Bespoke Fragrance Services, Vyomaga Tailors Unique Scents To Individual Preferences, Creating Unforgettable Experiences.</t>
  </si>
  <si>
    <t>Vegan: Our Products Are 100% Cruelty-Free And Made Without Any Animal-Derived Material. Sustainable: We Are Committed To Eco-Friendly Practices That Minimize Our Environmental Impact. Made To Measure: Each Piece Is Tailored To Your Exact Measurements For A Perfect Fit. Versatile: Our Designs Seamlessly Transition Across Various Occasions, From Casual To Formal. Exclusive: Enjoy Unique, Limited-Edition Pieces Crafted Just For You. Premium Quality: We Use Only The Finest Materials And Craftsmanship To Ensure Lasting Durability. Measurement Service At Your Office Place: We Offer Convenient Measurement Services At Your Office For A Hassle-Free Experience.</t>
  </si>
  <si>
    <t>Innovent Aircon Iso 9001 Certified Hvac Co. Provide End 2 End Solutions From Design, Estimation, Execution To After Sales Service For Vrv, Ductable,Chilled Water System, Small Duct High Velocity Systems ( Sdhv) &amp; Ventilation Systems.</t>
  </si>
  <si>
    <t>Queens Furniture Is Located At Buyculla , Mumbai With A Space Of 1500Sqft With Inhouse Carpentry, Polish And Paint Services. We Also Provide Other Interior Services Required For Site Completion.</t>
  </si>
  <si>
    <t>We Are A Team Of Ex Bankers And Chartered Accountants With Banking Industry Experience Of More Then 14 Years. We Specialise Into Home Loans, Lap, Business Loans, Msme Loans And Working Capital Loans. We Help You In Choosing The Right Bank For Your Loan Requirement. #Fundingyourdreams</t>
  </si>
  <si>
    <t>Bulwark Advisors Is A One-Stop Solution For All Your Equity Investment Needs. We Have Curated A Portfolio Of 15 Small/Mid-Cap Stocks. The Portfolio Is Backed By Our Bottom-Up, Research Backed, Framework Driven Approach With Strong Financials And Quality Promoters With Reasonable Valuations.</t>
  </si>
  <si>
    <t>We Are A Leading Manufacturer, Wholesaler &amp; Exporter Of Gold, Diamond &amp; 925 Silver Jewellery &amp; Idols, Vertical Mala, Mangalsutra And Casting Jewelry.</t>
  </si>
  <si>
    <t>Avro Mukerji Brings In 20+ Years Of Experience In The Wealth Management Space. He Started His Career With Nestle And Later Worked With Leading Financial Institutions At Key Positions Like With Hdfc Bank, Icici Securities, Indusind Bank, Rbl Bank, Axis Bank And Aditya Birla Capital. He Is The Founding Member Of Global Private Wealth Team At Bajaj Capital Based Out Of Gurgaon. Avro Is Graduate From Jadavpur University And Mba From Cardiff Metropolitan University, England. Born Into The City Of Joy, To A Family Of Academicians, Avro Has Lived And Worked Across Kolkata, London, Mumbai And Gurgaon.</t>
  </si>
  <si>
    <t>Cause We Curate Your Dream Living.</t>
  </si>
  <si>
    <t>Travel Without Stress , One Stop Solution For All Travel Related Services</t>
  </si>
  <si>
    <t>Stand, Banner, Product Branding, Cloth Print Largest Manufacturer In Mumbai</t>
  </si>
  <si>
    <t>Mr. Kalpesh Dave Has Over 20 Years Of Experience In Banking, Investments, And Wealth Management. He Is A Seasoned Professional And Strategic Leader Who Has Driven Growth, Innovation, And Excellence In The Financial Services Industry Across Various Assignments. As The Deputy Chief Executive Officer At Bajaj Capital Ltd, He Oversees Investment Operations, Sales, And Customer Service At One Of India'S Leading Investment Advisory And Financial Planning Firms. His Focus Is On Delivering Value-Added Solutions To Hni/Uhni/Family Offices And Nri Clientele. Mr. Dave Was A Founding Team Member At Incred Wealth Before Joining Bajaj Capital. Prior To That, He Led And Worked With Private Banking Teams At L&amp;T, Aditya Birla Wealth, Kotak Mahindra Bank And Icici Bank.</t>
  </si>
  <si>
    <t>We Create Spaces That Make People Happier, Productive And Proud.</t>
  </si>
  <si>
    <t>Welcome To Dr Mayank Doshi‘S Micro Dentistry And Digital Dental Centre, A State Of Our Dental Clinic Located In The Heart Of Kandivali West, Mumbai Led By The Renowned Dr Mayank Doshi, A National Speaker And Expert In Digital And Advanced Dental Care And Dr Prachi Doshi, A Compassionate And Skilled Dentist Dedicated To Providing Personalised And High Quality Treatments. We Are Committed To Providing Exceptional Patient Centred Dental Services Using Latest Technologies And Techniques We Specialised In Dental Implants In-House Aligners Certified Invisalign Provider Smile Designing Veneers Digital And Conventional Dentures Micro Dentistry, Gum Treatment, Wisdom Tooth Removal, Braces, Root Canal Treatment Teeth Fillings Caps And Bridges, Teeth Cleaning Teeth Whitening At Our Clinic. We Emphasise Precision And Comfort Through Cutting Edge Tools Like Microscopes, Rubberdams, And Digital Workflow For Diagnostic And Treatment Planning. Whether You Are Looking To Restore Your Smile Or Improve Your Oral Health. We Are Here To Ensure A Seamless And Personalised Experience. Your Journey To A Healthier Brighter. Smile Begins With Us.</t>
  </si>
  <si>
    <t>Manufacturers Of Diamond Jewellery, Specialised In South-Indian Traditional Diamond Jewellery Since 1995. It Is Located At Ramwadi, Mumbai. Sunny Mehta (Director) - +91 9821359662</t>
  </si>
  <si>
    <t>Rise Design Is A Full Service Interior Design &amp; Execution Practice. We Focus On Tailoring Personalised Interior Spaces That Inspire &amp; Enhance Daily Living.</t>
  </si>
  <si>
    <t>’M Not Just Another Leadership Coach. With 18 Years Of Enriching Experience And Having Empowered Over 300,000 Professionals, I Transform Leadership Practices With A Blend Of Practical Wisdom And Deep Insights. Having Travelled To Over 80 Countries, I Bring A Rich, Global Perspective To My Training, Shaping Leaders Who Thrive On Diversity And Dynamic Challenges.</t>
  </si>
  <si>
    <t>Nirali Charaniya, A Chartered Accountant By Profession And A Devoted Mother, Was Inspired By Her Daughter To Seek Natural Effective Solutions For Harmless Skincare And Haircare. She Decided To Blend Her Professional Skills With Her Passion For Ayurveda, Which Lead To The Making Of Glisna.</t>
  </si>
  <si>
    <t>Oneclick Is A Dynamic And Professional Freight Forwarding And Logistics Company, Renowned For Its Proficiency In The Fastest And Safest Cargo Delivery. We Aim To Provide Customers In The Field Of Freight Forwarding And Warehousing That Corresponds Well With Extensive Business Solutions All Over The World. As A Leading Freight Forwarding Company With An Experience Of 20 Years, We Feel Happy To Personalize All Our Services In Accordance With The Customers’ Needs And Logistics Flow.</t>
  </si>
  <si>
    <t>Pinetree Pictures Pvt. Ltd. Is A Media Solutions Company With Over 17+ Years Of Experience In Film Making.The Portfolio Includes Over 800+ Films. With An In-House Creative Team Of Writers, Directors, Cameramen, Animators And Editors, We Are Well Equipped To Understand Your Business Requirement And Create Films Tailor-Made For Your Tg. Be It A Tv Commercial Or Any Corporate Requirement, Like A Corporate Film Or A Specific Requirement Like An Induction, Training, Safety, Motivational Or Launch Film, We Cater To All Needs.</t>
  </si>
  <si>
    <t>*Welcome To Premji'S, Your Trusted Destination For Home Decor And Gift Articles* Since 1994, Premji'S Has Been The Go-To Destination For Discerning Individuals Seeking Unique And Elegant Home Decor, Thoughtful Gifts, And Personalized Treasures. Our Legacy Spans Nearly Three Decades, Built On A Foundation Of Exceptional Quality, Impeccable Taste, And Unparalleled Customer Service. *Explore Our Curated Collection* Step Into Our Inviting Store And Discover An Extensive Array Of Meticulously Selected Products, Each One A Testament To Our Passion For Beauty And Craftsmanship. Our Diverse Range Includes: - Exquisite Showpieces And Water Fountains To Elevate Your Space - Divine God Idols And Spiritual Artifacts For Serenity - Elegant Photo Frames, Flower Vases, And Wall Clocks To Complete Your Home *A Gift For Every Occasion* At Premji'S, We Understand The Importance Of Finding The Perfect Gift.</t>
  </si>
  <si>
    <t>We Are A Leading Provider Of Software Solutions Specializing In Digital Transformation. Our Erp Offerings Are Designed To Cater To A Wide Range Of Industries, Including Retail, Manufacturing, Healthcare, Jewellery, Education, Rental Business, E-Learning Etc. Our Comprehensive Erp Platform Encompasses All The Essential Modules For Effective Business Management, Such As Crm, Sales, Procurement, Accounting, Inventory, Manufacturing, Quality Control, Helpdesk Support, Hr, Recruitment, Payroll Etc, And Ecommerce. With Robust Integration Capabilities, Our Solution Seamlessly Connects With Third-Party Systems, Providing Flexibility And Customization Based On Client Requirements. Whether You Need A Complete End-To-End Erp System Or Tailored Modular Solutions, We Deliver Systems That Scale With Your Business. Additionally, We Provide Advanced Reporting And Analytics To Empower Management Teams To Monitor Both Top-Line And Bottom-Line Performance, Driving Informed Decision-Making And Business Growth. Feel Free To Consult Us For Personalized Solutions That Can Drive Your Digital Transformation And Streamline Your Operations</t>
  </si>
  <si>
    <t>Ajay Is A Visionary Leader And Bfsi Expert With Over Three Decades Of Experience Driving Growth, Profitability, And Team Excellence. His Illustrious Career Spans Leadership Roles At Renowned Institutions Like Kotak, Edelweiss, And Motilal Oswal, Where He Has Consistently Delivered Results, Fostered High-Performing Teams, And Assumed Senior P&amp;L Responsibilities. With A Unique Blend Of Strategic Acumen, Industry Insights, And Collaborative Leadership Style, Ajay Is A Sought-After Expert In Sales, Distribution, And Bfsi Operations.</t>
  </si>
  <si>
    <t>Bulbul Agrawal Has An Experience Of Over 12 Years While Working With Being Kotak Mahindra Bank, Rbl And Standard Charted Bank. My Last Assignment Was With Dbs In The Corporate Banking Segment.</t>
  </si>
  <si>
    <t>Seasoned Professional With A Mba In Finance And Marketing From International Institute Of Planning &amp; Management (Iipm)- Ahmedabad. Securities Market And Wealth Management Professional With Over 15 Years+ Of Significant Experience In The Financial Services Industry. Domain Knowledge In Securities Market And Wealth Management Products- Direct Equities, Forex, Bullion, Derivatives, Global Investment, Mutual Funds, Pms, Aif, Investment Advisory, Unlisted, Life Insurance, Health And General Insurance, Fixed Income, Structure Products, Etc. Long And Enriching Work Experience With Brands Like Motilal Oswal Financial Services Limited, Kotak Securities Limited, Religare Securities Limited, Icici Securities Limited. Specialities In Financial Advisory, Financial Planning, Goal Planning, Retirement Planning, Asset Allocation, Wealth Management, Investment And Business Strategy.</t>
  </si>
  <si>
    <t>With Over 16 Years In Capital Markets And 2 Years As A Ceo, I Specialize In Strategic Planning, Product Distribution, Digital Transformation, And P&amp;L Management. I Have A Proven Ability To Lead Teams, Drive Business Growth, And Build Strong Relationships Across The Investment Spectrum, Including Mutual Funds, Insurance, Pms, Aif, Pe, And Bonds. Previously With Motilal Oswal, Iifl, And Religare.</t>
  </si>
  <si>
    <t>Hanumantha Is A Certified Private Wealth Manager And Certified International Wealth Manager With Nearly Two Decades Of Rich Experience In Wealth Management, Family Office, Retail Banking, Hni Sales, Financial Planning, Goal Setting, Need Analysis, And Suitability Profiling Across Various Investment Products. His Expertise Lies In Structuring And Managing Client Portfolios To Consistently Outperform Market Benchmark Strategic Portfolio Management</t>
  </si>
  <si>
    <t>Himanshu Prior To Joining Bajaj Capital Was Associated With Yes Securities As Regional Head - Affluent &amp; Private And Icici Securities. He Worked In Dynamic Geography Of Delhi Ncr &amp; Mumbai. Himanshu Holds A Pgpm Degree From Ibs Mumbai And Has Completed His Economics Certification From London School Of Economics. He Has Active Interests In Behaviour Finance, Capital Market &amp; Economics.</t>
  </si>
  <si>
    <t>Jayant Ganguly Is A Seasoned Professional With Extensive Experience In Marketing And Sales, Having Held Notable Positions In The Financial Sector Across The Middle East. He Began His Career With Citi, Managing Nri Business In Bahrain, And Continued With Standard Chartered As A Senior Relationship Manager, Focusing On Priority Banking For Offshore Markets Including Kuwait, Qatar, And Saudi Arabia. Jayanta Also Served As A Senior Wealth Advisor At Noor Bank In Dubai Before Joining National Bank Of Oman In Muscat, Where He Worked As A Senior Wealth Advisor From 2016 Until April 2024. Currently, Jayanta Is A Founding Member Of Global Private Wealth At Bajaj Capital, Where He Is Instrumental In Expanding Their Offshore Market Operations.</t>
  </si>
  <si>
    <t>Jinesh Has A Rich Experience Of 17 Years Banking And Wealth Management Where He Has Headed South Regions And Clusters.. His Last Stint Was With Yes Bank Heading The Largest Branch In South.</t>
  </si>
  <si>
    <t>Karan Brings An Impressive 16-Year Legacy Of Expertise Spanning Banking, Wealth Management, And Life Insurance Industry. In His Most Recent Role, He Made Significant Strides With Icici Bank’S Prestigious Private Banking Group. More Than Just A Financial Expert, Karan Is An Avid Traveler, Enjoys The Thrill Of Swimming, A Lover Of Reading Books, And The Spirit Of Playing Cricket</t>
  </si>
  <si>
    <t>With More Than 2 Decades Of Experience And Having Worked With Companies Like Iifl &amp; Motilal Karan Has An Extensive Knowledge In Securitues/Mutual Fund Space.</t>
  </si>
  <si>
    <t>Megha Upadhyay Boasts 20+ Years Of Experience In Financial Services Spanning Across Wealth Management, Pms, Mutual Funds And Insurance Industries, Having Spent 14+ Years Of Work Life With Global Marquee Meet The Expert Franchises Such As Jp Morgan Asset Management India Private Limited And Lgt Wealth India Pvt Ltd. Her Unwavering Dedication To Mitigating Risks While Delivering Commendable Returns Underscores Her Commitment To Excellence. Megha'S Approach To Wealth Management Is Characterised By A Judicious Balance Of Innovation And Prudence, Ensuring Better Risk-Adjusted Returns Across Client Portfolios, Thus Ensuring Capital Safety At All Times, Even In Challenging Market Conditions. Her Diverse Mix Of Work Experiences Has Helped Her To Gain Crystallised Insights And A Profound Understanding Of Market Cycles With A Greater Track Record Of Success. She Aims To Be A Driving Force In The Wealth Management Industry And Continue To Deliver Value To Client Portfolios And Relationships Built On Trust, Transparency And Performance.</t>
  </si>
  <si>
    <t>Seasoned Financial Advisor: With A Work Experience Of More Than A Decade, With Leading Banking &amp; Nbfc’S. Her Approach Combines: Professionalism With A Personalised Touch, Discretion, And A Deep Understanding Of Financial Markets To Ensure Tailored Solutions That Meet Each Investor’S Unique Goals And Risk Profile. Her Expertise Extends Beyond Investment Advisory To Include Comprehensive Financial Strategies, Encompassing Retirement Planning, Tax Efficiency, And Succession Planning. I Provided Advice On Risk &amp; Liability Management, Through Insurance &amp; Estate Planning And Other Personal/Financial &amp; Allied Matters, Ensuring A Holistic Approach To Wealth &amp; Portfolio Management.</t>
  </si>
  <si>
    <t>With Over 15 Years Of Enriching Experience In Banking And Wealth Management, Moushumi Brings Invaluable Expertise To Our Organization. She Has Made Significant Contributions During Her Tenure At Indusind Bank In Pioneer Banking &amp; Wealth Management And Her Role As A Branch Manager At Hdfc Bank Underscores Her Exceptional Track Record Beyond Her Professional Achievements, Moushumi Is A Passionate Traveller, Yoga Enthusiast, Passionate Cook, And Enjoys Exploring New Destinations.</t>
  </si>
  <si>
    <t>With More Than 2 Decades Of Experience And Having Worked With Companies Like Icici &amp; Realiance Securities, Nagesh Has An Extensive Knowledge In Securitues/Mutual Fund Space.</t>
  </si>
  <si>
    <t>Neha Talwar, A Seasoned Professional In The Banking Industry, With An Impressive 10-Year Tenure Spanning Across Renowned Institutions Like Standard Chartered Bank, Indusind Bank, And Kotak Mahindra Bank. Her Deep Knowledge Of Banking Products And Capital Markets, Combined With My Proven Track Record</t>
  </si>
  <si>
    <t>Niraj Has A Two Decade Of Rich Experience Across Nri Banking, Branch Banking, Wealth Management And Life Insurance Business In India And Abroad. His Last Stint Was With Pioneer Banking Indusind Bank Ltd, And Prior To This, He Was With Citi Private Equity At Qatar, Hdfc Bank Ltd - Imperia Banking, Yes Bank And Barclays Bank - Nri Services Division. His Hobbies Include Travelling, Long Driving, Reading Books, And Playing Badminton.</t>
  </si>
  <si>
    <t>Nitin Has More Than 10 Years Of Experience In The Wealth &amp; Banking Industry, Having Previously Managed Hni Client Acquisition At Axis Bank.</t>
  </si>
  <si>
    <t>"Nizamuddin Is A Seasoned Professional With Total Work Experience Of 17 Years In Banking And Wealth Management. He Has Showcased Exceptional Leadership And Growth At Hdfc Bank, Where He Elevated The Branch Performance From ₹187 Crores To ₹2100 Crores. He Was Associated With Axis Bank, Spanning Over A Decade, Prior To Joining Bajaj Capital. Outside Of My Professional Life, He Enjoys Travelling, Swimming, And Reading Novels.</t>
  </si>
  <si>
    <t>Prerak Desai A Seasoned Banker With Over 2 Decades Of Experience In Various Roles Within The Financial Services Industry- Banking, Securities &amp; Amc. In His Past Endeavours He Has Worked For Shcil, Icicibank, Hdfc Bank, Kotak Securities, Uti Amc</t>
  </si>
  <si>
    <t>Mr. Sandeep Anant Ambekar, B.E. (Electrical), Mms (Finance), Having An Industry Experience Of More Than 20 Years In The Field Of Wealth Management. He Specializes In Managing Corporate Relationships And From The Last 6 Years Manages Investments Of Ultra Hni Client’S Due To His Profound Knowledge In Investment Products. He Has Worked With Institutions Of Pedigree Like Enam, Axis Bank, Motilal Oswal Private Wealth And Is The Founder Member Of Global Private Wealth Team In Bajaj Capital Ltd.</t>
  </si>
  <si>
    <t>Sangram Has A Rich 22 Years Of Experience Across Banking Viz. Icici Bank, Hdfc Bank And Indusind Bank. His Last Stint Was With Indusind Bank - Premier Banking Partner - Pioneer Banking. His Hobbies Include Travelling, Reading Books, And Playing Badminton. We Would Like To Extend Our Warmest Welcome And Wish Him A Rewarding Career With Bajaj Capital Family.</t>
  </si>
  <si>
    <t>With 16-17 Years In Equity Advisory And Wealth Management, My Career Spans Key Roles At Top Financial Institutions. I Spent Seven Years At Citi Wealth Advisors In Equity Advisory, Followed By Three Years As Equity Ic For North India At Bnp Paribas Wealth. Most Recently, I Served As A Team Lead In The Private Client Group At Motilal Oswal Financial Services For Four Years. Across These Roles, I'Ve Consistently Delivered Tailored Investment Solutions, Driving Client Success And Business Growth.</t>
  </si>
  <si>
    <t>Having Depth Knowledge And Over 32 Years’ Experience In Various Functions Of The Stock Broking And Financial Services.Responsible For Overseeing The Day-To-Day Operations Of Our Stock Broking Company, Ensuring The Seamless Execution Of Trading Activities And Operational Efficiency And Also Had Experience In Leading Financial &amp; Accounting (Balance Sheet, Taxation, Audit &amp; Cash Flow).</t>
  </si>
  <si>
    <t>"Satis As A Founding Team Member &amp; , Is Focused On Building Global Private Wealth In India &amp; Middle East In Bajaj Capital Group. Backed By More Than 25 Years Of Rich Experience In Financial Services, Satis Monga Had Been A Trusted Banker To An Elite Clientele That Includes Royal Families, Ultra-High-Net-Worth Individuals (Uhnis), High-Net-Worth Individuals (Hnwis), C-Suite Executives, Professionals, Startups, Msmes, And Non-Resident Indians (Nris).In His Esteemed Roles During His Earlier Stints In Icici Bank And Hdfc Bank, Satis Has Demonstrated Exceptional Proficiency In Managing Wealth As Well As Business Banking Portfolios And Driving Remarkable Growth With Client Satisfaction Building High-Performing Business Teams.</t>
  </si>
  <si>
    <t>"Saurabh Bhargava Brings In Over 18 Years Of Experience In The Wealth Management Industry. He Commenced His Career At Abn Amro Bank As A Wealth Specialist And Subsequently Held Various Client Management Profiles At Leading Multinational Banks And Wealth Management Firms. Throughout His Career, He Has Developed Expertise In Portfolio Management, Investment Advisory, And People Management.</t>
  </si>
  <si>
    <t>"Sharad Has Rich Experience Of Around 25 Years In Banking And Financial Industry. He Worked With Icici, Hdfc And In Sbi. In His Last Assignment He Was Working With Sbi Private Wealth As Zonal Head. He Is A Quiet, Enthusiastic Person And Hard Working, Winner Of All The Contest Held In All Last Three Years At Sbi And Has Been Recognised By Sbi Md For This Amazing Feat.</t>
  </si>
  <si>
    <t>"Shikha Has An Impressive 18-Year Journey Across Banking And Wealth Management. Shikha Brings Invaluable Expertise To Our Team. Her Previous Roles Include Significant Contributions At Indusind Bank - Pioneer Banking &amp; Wealth Management And Kotak Privy Banking. In Addition To Her Professional Accomplishments, Shikha Is An Avid Enthusiast Of Shooting, Swimming, Painting, And Discovering New Places On Her Royal Enfield. Her Passion For Biking Underscores Her Adventurous Nature.</t>
  </si>
  <si>
    <t>"Shubham Brings With Him 16 Years Of Experience In The Investment Banking Sector, Having Worked With Prominent Organizations Such As Hdfc, Aditya Birla, Icici Bank, And Bandhan Bank. In His Most Recent Role At Bandhan Bank, He Served As The Regional Sales Manager For Bihar And Jharkhand. He Holds An Mba From Icfai Dehradun.</t>
  </si>
  <si>
    <t>Siddharth Is A Seasoned Professional Having Over 3 Decades Of Experience In Retail , Insurance And Private Wealth Management Between North India And Uae. Has Deep Client Relationships And Networks. Having Worked In Organizations Like Citi Bank, Abn Amro, Rbs And Boutique Asset Management Firms Out Of Difc Dubai Has Acquired The Requisite Professional Management Skills And Understanding Of Local And International Financial Products. He Is A Founding Team Member At Global Private Wealth And Looking Forward To A Successful Journey Together.</t>
  </si>
  <si>
    <t>Mr. Sunil S Has Joined Us As Senior Avp Sunil Brings With Him 18 Years Of Extensive Experience In Banking, Wealth Management, And Life Insurance Sector. Before Joining Us, He Played A Key Role At Axis Bank - Burgundy Private And Has Also Worked With Indusind Pioneer Wealth Management. Beyond His Professional Achievements, Sunil Is An Avid Traveller, Enjoys Swimming, Reading, And Is Passionate About Cricket.</t>
  </si>
  <si>
    <t>He Brings 23 Years Of Extensive Banking Experience With Icici, Yes Bank, Idbi, And Indusind Bank, Covering Private, Retail, And Corporate Banking. Most Recently, He Was Regional Head At Icici Bank For Sme And Mid Corporates In The Upuk Market Before Joining Bajaj Capital.</t>
  </si>
  <si>
    <t>Vijay Boasts A Rich Professional Journey Spanning 20.3 Years Across Diverse Sectors Such As Wealth Management, Banking, Mutual Funds, And Insurance. Renowned For His Expertise In Establishing Businesses, He Played A Pivotal Role As A Founding Team Member In Two Successful Ventures, Laying Their Foundations From Scratch And Nurturing Them Into Prominent Entities Within The Karnataka Market.</t>
  </si>
  <si>
    <t>Enterprising Investment Advisory Specialist With 17+ Years Of Robust Experience Across Asset &amp; Wealth Management Industry. He Is Adept In Driving Market Analysis/Trends, Identifying &amp; Evaluating Investment Opportunities Across Diverse Sectors Along With • Experience In Steering Investment Advisory Of Aum 1000+ Cr, With Strong Strategies, Delivering Excellent Profits.</t>
  </si>
  <si>
    <t>Vipin Carries A Wealth Of Experience Exceeding 22 Years. He Has Contributed To Prominent Institutions Such As Icici Bank Wealth Management, Axis Bank Burgundy, And Aditya Birla Capital.</t>
  </si>
  <si>
    <t>Based In Mumbai, India The Renowned Manufacturer And Supplier Of Hydraulic Products, Sn Hydraulics Was Established In The Year 2012, And It Went On To Become Sovereign In The Industry By Pioneering Products That Are Unparalleled With Their Quality And World-Class Service. With Some Of The Most Distinguished Clientele Intricately Built Through Dealings That Are Backed With Transparency And Ethical Business Practices, It Has Grown A Conglomeration Of Clients From Diverse Streams Of Industries Such As Chemical And Pharmaceutical Industries, Industrial Presses, Plastic Industries, Metal Foundries, Material Handling Equipment, Construction Machines, Drilling Rigs, And Metal Extraction.</t>
  </si>
  <si>
    <t>Studio A'17: Boutique Design Studio Specializing In High-Rise Planning, Bungalow Designing &amp; Master Planning. 3Rd-Gen Real Estate Experts With Tech-Savvy Approach &amp; Construction Management App Quickso. 300+ Bungalows, 15+ High-Rise Redevelopments In Mumbai &amp; 3,00,000+ Sqft Construction Area Delivered. Your Architectural Partner For Society Redevelopment Needs.</t>
  </si>
  <si>
    <t>Goyam: Premier Financial Services Provider. Building Trust Through Value Creation. Helping Individuals And Businesses Grow Financially Stronger. Offering A Spectrum Of Products And Services. Investing In The Future.</t>
  </si>
  <si>
    <t>Webinsight Is A Dynamic Digital Agency Dedicated To Crafting Impactful Online Experiences. Specializing In Website Design, Development, And Digital Marketing, We Bring Your Vision To Life With Creativity And Purpose.</t>
  </si>
  <si>
    <t>Welcome To Paper To Project, An Innovative Interior Design Firm Dedicated To Turning Your Ideas Into Stunning Realities. Our Team Of Passionate Designers Believes Every Space Tells A Unique Story, And We’Re Here To Help Bring That Narrative To Life. We Specialize In Residential Design, Offering Services From Concept Development To Project Management. With A Focus On Functionality And Aesthetics, We Create Environments That Enhance Comfort And Well-Being While Incorporating Sustainable Practices. Collaboration Is At The Heart Of Our Process. We Work Closely With You, Ensuring Your Vision Is Realized Every Step Of The Way. At Paper To Project, We Don’T Just Design Spaces; We Craft Experiences. Let’S Turn Your Dreams Into Beautifully Designed Interiors!</t>
  </si>
  <si>
    <t>We Are Seeking People Who Wish To Do Something For Their Financial Future Like Retirement. Mutual Funds Are A Wonderful Product Which Gives Inflation Beating Returns Without Client Having To Worry What Stocks To Choose.</t>
  </si>
  <si>
    <t>Kapil Vaid, Founder Of Vibrant Desi, Is Dedicated To Promoting Indian Heritage Through Traditional Sarees Like Silks And Bandhanis. His Brand Blends Age Old Craftsmanship With Contemporary Designs, Bringing The Rich, Colourful Fabrics Of India To A Global Audience. Kapil’S Commitment To Quality And Authenticity Has Made Vibrant Desi A Renowned Name.</t>
  </si>
  <si>
    <t>Professional Tarot Reader From 4 Years, Ensures Secrecy, Corporate Tarot And Events Experience. Craniosacral Therapy Centre At Juhu For Emotional And Mental Wellness.</t>
  </si>
  <si>
    <t>In Practice For More Than 14 Years.</t>
  </si>
  <si>
    <t>Tap Savvy Is A Cutting-Edge Platform Revolutionizing The Way Individuals, Professionals, And Businesses Manage Their Digital Presence. We Offer Innovative Nfc Products Like Cards And Standees, Enabling Seamless And Efficient Networking.</t>
  </si>
  <si>
    <t>Investment Advisory Services , Portfolio Management Services And Deravatives Investment</t>
  </si>
  <si>
    <t>Our Expertise Lies In Crafting Personalized Travel Packages For Both Domestic And International Destinations, Encompassing Flights, Hotel Accommodations, Land Arrangements, And Cruises. Additionally, We Offer Weekend Getaways At Resorts And Villas.</t>
  </si>
  <si>
    <t>At Eskay Construction Technology, We Believe That The Strength Of Our Company Lies In Our Dedicated Team Of Professionals. With A Robust Workforce And State-Of-The-Art Equipment, We Are Equipped To Handle Projects Of Any Scale With Precision And Expertise.</t>
  </si>
  <si>
    <t>Right Tax Advice Helps The Business And Corporate In Taking Sound Business Decisions At Right Time. Innovative Tax Strategy And Proper Planning Can Help The Corporate Entities And Individuals To Optimize Their Tax Efficiencies. We Provide Tailored And Effective Tax-Cost Management Solutions In The Field Of Indirect Taxation</t>
  </si>
  <si>
    <t>We, Deep Computer &amp; Services, Situated At Andheri East, Mumbai, Maharashtra, India Since 2012 Are Leading E-Retailer And Retailer Committed To Becoming The Most Loved And Trusted Store For All Computer, Laptops And Other Devices And Their Repairing Services, With A Focus On Computer Components By Providing A Great Shopping Experience, Rapid Delivery, Tech Customer Service And Provide The Best Warranty Support.</t>
  </si>
  <si>
    <t>What If I Tell You A Typical Adult Makes 27 Judgments A Day &amp; Each Decision Can Take Up To Nine Minutes, Which Adds Up To A Mind-Numbing Four Hours Lost In Thought. 2,000 Decisions Per Hour Or One Decision Every Two Seconds In An Average Life Of 80 Years⏳ It'S Crazy Right?🤯 Well, With So Much To Process We Forget The Karma, Energy We Consume To Heal Our Body Is Instead Used In Anxiety, Stress &amp; Pain Which Leads To A Feeling Of More Blocked. 5D Healing &amp; Advance Brain Tunning Fork Therapy Is An Effective Healing Modality Which Enables You Find Your Blockages, Inner Connect &amp; Raise Your Energy Vibrations🧬 Knowing Self Karmic Blockages Flowing From The Past, Inherited From The Family Through Dna Adding On Your Blockages, Breaking The Dna Matrix To Heal Yourself Is Crucial These Days To Not Feel Blocked And Stressed All The Time. …It’S Time To Redesign Your Destiny So I Am Rinkal K Shah Dna Matrix 5D Healer 5D Advance Brain Tunning Fork Therapist Business Healer Akashic Reader &amp; Autowriter Karmic Numerologist Property Vastu Dosh Healer</t>
  </si>
  <si>
    <t>At Opc Asset Solutions, We Help Your Business Retain Its Competitive Edge By Empowering You To Keep Up With The Latest Technology And Infrastructure Without Worrying About Huge Investments. It Is A Known Fact That , Organizations Succeed Only By Concentrating On Its Core Business Rather Than Grappling With Asset Management, Cost Of Ownership, Rapid Obsolescence, Skyrocketing Technology Upgrade Costs Etc.</t>
  </si>
  <si>
    <t>We Offer Professional Graphic Design And Digital Marketing Services To Help Businesses Enhance Their Brand Identity And Boost Online Presence. From Social Media Graphics, E-Learning Course Design, And Landing Pages To Ads And Marketing Campaigns, My Tailored Solutions Drive Engagement And Growth, Helping Businesses Stand Out And Succeed.</t>
  </si>
  <si>
    <t>The Dental Suite, Located In Vile Parle, Mumbai, Is A Multi-Speciality Dental Clinic That Provides A Wide Range Of Dental Treatments In A Comfortable And Luxurious Environment. Their Services Include General Dentistry, Cosmetic Procedures Like Teeth Whitening, Painless Root Canals, And Specialized Treatments Such As Gum Surgeries And Dental Implants. The Clinic Prides Itself On Using Advanced Technology, Such As Digital X-Ray Scanners And Appointment Reminder Software, To Enhance The Patient Experience. Founded By Dr. Rucha Baphna Brahmbhatt, A Cosmetic And Aesthetic Dentist, And Dr. Sanket Brahmbhatt, A Periodontist And Implantologist, The Dental Suite Focuses On Combining High-Quality Dental Care With Personalized Attention. They Follow Strict Sterilization Protocols To Ensure Patient Safety And Use Cutting-Edge Tools For Diagnostics And Treatment</t>
  </si>
  <si>
    <t>3 Cheers! Gives Your Brand The Big Push Of Advertising And Communication It Needs, To Be A Success In The Marketplace. From Brand Identity, Print Advertising, Outdoor Advertising To Radio &amp; Television To Digital Media... We Have It All Covered. Brand Design Services, Video Film Production, Media Buying And Selling, Digital Marketing... You Don'T Have To Look Any Further Than 3 Cheers!</t>
  </si>
  <si>
    <t>“Invento “ Is The Place That Serves Mexican , Italian And Fast Food. The Place Is Around 10 Minutes From Lower Parel Station.</t>
  </si>
  <si>
    <t>What Matters Us The Most Is Eternal Relationships.......</t>
  </si>
  <si>
    <t>At Scenic Communication, We Pride Ourselves On Being The Best Public Relations Agency In Mumbai. As A Top Public Relations Company In Mumbai, We Offer Holistic And Integrated Marketing Communications Solutions Tailored To Meet Our Clients’ Unique Needs. Recognized As The Best Pr Company In Mumbai And A Top Pr Company In Mumbai, We Deliver Effective Public Relations Strategies That Align With Our Clients’ Brand Objectives.</t>
  </si>
  <si>
    <t>A &amp; H Capital Is A Multi-Disciplinary Financial Company, Fundamentally Offering Services For Securing And Disbursement Of Loans. With The Economies More Energetic Than Before, And Financial Forecasts Promising, Large Business And Corporate Houses Are Seeking Financial Advances More Regularly Than Before. Established In July, 2014, A &amp; H Capital Is More Than A Startup. It Is Promoted By A Dynamic Team Of Financial Professionals Who Collectively Have Experience Of 24 Years In Underwriting And Covering Risk Contingent. A &amp; H Capital Is Associated With All Major Bank And Nbfc In Retail Segment. With A Single Minded Goal Of Extending Financial Assistance, A &amp; H Capital Boasts Of Securing Loans And Disbursing For Vehicles, Home Loans, Mortgage Finance Etc.</t>
  </si>
  <si>
    <t>You Are Not Reading Even 10% Of What And Who I Am, For That You'D Have To Connect With Me. But You May Think What Is In It For You? You Will Meet Someone Who Is Dedicated, Passionate And Above All A Creative Person Who Will, With An Experience Over 6+ Years, Give You The Best Of The Ideas And Designs.</t>
  </si>
  <si>
    <t>"At Mohit Style Studio, We Are Dedicated To Providing Exceptional Barbering Services With A Personal Touch. Led By Mohit, Our Skilled Team Of Professionals Is Committed To Delivering Top-Notch Haircuts, Shaves, And Grooming Experiences That Leave You Looking And Feeling Your Best. We Pride Ourselves On Creating A Welcoming And Stylish Environment Where Every Client Feels Valued And Appreciated. Come Visit Us And Discover Why Mohit Style Studio Is The Go-To Destination For All Your Grooming Needs."</t>
  </si>
  <si>
    <t>"As A Dedicated Lic And Mediclaim Agent, I Am Committed To Helping You Secure Your Financial Future And Protect Your Health. With Extensive Experience And In-Depth Knowledge Of Insurance Products, I Provide Tailored Solutions That Meet Your Unique Needs And Goals. My Priority Is To Offer Reliable And Transparent Advice, Ensuring You Have Peace Of Mind And Confidence In Your Coverage. Let’S Work Together To Build A Safer And Healthier Tomorrow."</t>
  </si>
  <si>
    <t>We Can Help You In Recovering Your Tally Data, Admin Vault Password, And Can Also Customize The Tally As Per Your Needs.</t>
  </si>
  <si>
    <t>Saloni Is A Certified Nutritionist, Nlp Practitioner And Life Coach. She Has Worked With Individuals To Asses Their Current Dietary Habits, Identify Areas For Improvement, And Develop Personalized Plans To Help Clients Achieve Their Health Goals. She Has Also Worked With Groups And Organizations To Develop Educational Programs And Initiatives Aimed At Promoting Healthy Eating Habits And Preventing Nutrition-Related Health Problems. She Has Been A Regular Speaker At Colleges And Corporates Sharing Knowledge And Her Life Transformational Journey. Her Experience Of 7 Years Have Transformed More Than 1000 Lives.</t>
  </si>
  <si>
    <t>I Am A Passionate Nutritionist Helping Individuals To Live A Healthy Life By Making Dietary Changes.</t>
  </si>
  <si>
    <t>Principal Designer Of Kvar, Seamlessly Merges His Business Acumen With A Passion For Interior Design. Armed With A Masters In Business Management &amp; International Marketing From The University Of Hertfordshire, Hatfield – London, He Channels His Expertise Into Crafting Extraordinary Interior Spaces.</t>
  </si>
  <si>
    <t>Hello Chandan This Side From Mahaveer Motors Which Is Manged By Big Boy Bakes. We Are Into Buying And Selling Of Old And New Two And Four Wheelers.</t>
  </si>
  <si>
    <t>We Are Leading Manufacturer Of We Spoke Outdoor Furniture. We Were Closely With Builders Resort Owners, And Hotels Across India.</t>
  </si>
  <si>
    <t>Head Of Design, An Internationally Acclaimed Interior Designer, Brings A Decade Of Experience In Styling Private Homes, Hotels, And Palaces Worldwide. With An Impressive Portfolio That Includes Iconic Spaces Such As Taj Mahal Palace Towers In Mumbai, The Lake Palace Udaipur, And Hotel Du Collectionneur Paris, She Collaborates With Renowned Designers For Design And Styling On A Global Scale.</t>
  </si>
  <si>
    <t>Empowering Precision With Air Tech Pneumatic. Crafting Excellence In Pneumatic Valves &amp; Accessories.</t>
  </si>
  <si>
    <t>Specialized In Doing Advanced Therapies That Are Non-Invasive &amp; Effective In Reversing Lifestyle Disorders Like- Chronic Heart Disease, Diabetes, High Bp (Hypertension), Obesity, High Cholesterol, Thyroid Disease, Joint Pain (Arthritis), Cervical &amp; Lumbar Spondylosis, Help You In Diagnosis, Do Expert Doctor'S Consultation -Ayurvedic Medicines, Panchakarma Treatments, Exercise &amp; Lifestyle Modification -Diet Kits -Investigations &amp; Monitoring</t>
  </si>
  <si>
    <t>9892891823</t>
  </si>
  <si>
    <t>7506194091</t>
  </si>
  <si>
    <t>9930141714</t>
  </si>
  <si>
    <t>9769401691</t>
  </si>
  <si>
    <t>9324545101</t>
  </si>
  <si>
    <t>7208186169</t>
  </si>
  <si>
    <t>9820160166</t>
  </si>
  <si>
    <t>9146534013</t>
  </si>
  <si>
    <t>9323280709</t>
  </si>
  <si>
    <t>8452040352</t>
  </si>
  <si>
    <t>9887540065</t>
  </si>
  <si>
    <t>9930589029</t>
  </si>
  <si>
    <t>9821300401</t>
  </si>
  <si>
    <t>9702255504</t>
  </si>
  <si>
    <t>9833178484</t>
  </si>
  <si>
    <t>9167372039</t>
  </si>
  <si>
    <t>8879950624</t>
  </si>
  <si>
    <t>9869804124</t>
  </si>
  <si>
    <t>9662336578</t>
  </si>
  <si>
    <t>9324226442</t>
  </si>
  <si>
    <t>9821004738</t>
  </si>
  <si>
    <t>7738294928</t>
  </si>
  <si>
    <t>9867770001</t>
  </si>
  <si>
    <t>9867308841</t>
  </si>
  <si>
    <t>8850703667</t>
  </si>
  <si>
    <t>9819042381</t>
  </si>
  <si>
    <t>9920449944</t>
  </si>
  <si>
    <t>9820291283</t>
  </si>
  <si>
    <t>9824077142</t>
  </si>
  <si>
    <t>9824068796</t>
  </si>
  <si>
    <t>9727056000</t>
  </si>
  <si>
    <t>9909281199</t>
  </si>
  <si>
    <t>9837080987</t>
  </si>
  <si>
    <t>9810033158</t>
  </si>
  <si>
    <t>9460544444</t>
  </si>
  <si>
    <t>9414095266</t>
  </si>
  <si>
    <t>9789755333</t>
  </si>
  <si>
    <t>9790001337</t>
  </si>
  <si>
    <t>9994235533</t>
  </si>
  <si>
    <t>9845268916</t>
  </si>
  <si>
    <t>9742290916</t>
  </si>
  <si>
    <t>9837009555</t>
  </si>
  <si>
    <t>9993077760</t>
  </si>
  <si>
    <t>9893522611</t>
  </si>
  <si>
    <t>9328262681</t>
  </si>
  <si>
    <t>9993839644</t>
  </si>
  <si>
    <t>9844142313</t>
  </si>
  <si>
    <t>9799622622</t>
  </si>
  <si>
    <t>8952020201</t>
  </si>
  <si>
    <t>9713276000</t>
  </si>
  <si>
    <t>9820643678</t>
  </si>
  <si>
    <t>9820503678</t>
  </si>
  <si>
    <t>9748703730</t>
  </si>
  <si>
    <t>1711549640</t>
  </si>
  <si>
    <t>9810020954</t>
  </si>
  <si>
    <t>9810620954</t>
  </si>
  <si>
    <t>9837030863</t>
  </si>
  <si>
    <t>9935505051</t>
  </si>
  <si>
    <t>9935888882</t>
  </si>
  <si>
    <t>9823069608</t>
  </si>
  <si>
    <t>9823249608</t>
  </si>
  <si>
    <t>9673149608</t>
  </si>
  <si>
    <t>9548523999</t>
  </si>
  <si>
    <t>9897693624</t>
  </si>
  <si>
    <t>9678068920</t>
  </si>
  <si>
    <t>9835038979</t>
  </si>
  <si>
    <t>9419150000</t>
  </si>
  <si>
    <t>9419192408</t>
  </si>
  <si>
    <t>9823011209</t>
  </si>
  <si>
    <t>9822367425</t>
  </si>
  <si>
    <t>9823873183</t>
  </si>
  <si>
    <t>9927064999</t>
  </si>
  <si>
    <t>9837054999</t>
  </si>
  <si>
    <t>9898063243</t>
  </si>
  <si>
    <t>9662013243</t>
  </si>
  <si>
    <t>9898955222</t>
  </si>
  <si>
    <t>9873075990</t>
  </si>
  <si>
    <t>9818277802</t>
  </si>
  <si>
    <t>8800209298</t>
  </si>
  <si>
    <t>9099191999</t>
  </si>
  <si>
    <t>9373373305</t>
  </si>
  <si>
    <t>9373373306</t>
  </si>
  <si>
    <t>9816030003</t>
  </si>
  <si>
    <t>9940147199</t>
  </si>
  <si>
    <t>9840409916</t>
  </si>
  <si>
    <t>9822029212</t>
  </si>
  <si>
    <t>9820390024</t>
  </si>
  <si>
    <t>9892051999</t>
  </si>
  <si>
    <t>9845484346</t>
  </si>
  <si>
    <t>9598981616</t>
  </si>
  <si>
    <t>9864063634</t>
  </si>
  <si>
    <t>9611101869</t>
  </si>
  <si>
    <t>9814082690</t>
  </si>
  <si>
    <t>9814665555</t>
  </si>
  <si>
    <t>9814502843</t>
  </si>
  <si>
    <t>9419161718</t>
  </si>
  <si>
    <t>9419121718</t>
  </si>
  <si>
    <t>9847000915</t>
  </si>
  <si>
    <t>9847030305</t>
  </si>
  <si>
    <t>9847000916</t>
  </si>
  <si>
    <t>9846011465</t>
  </si>
  <si>
    <t>9895991465</t>
  </si>
  <si>
    <t>9847089442</t>
  </si>
  <si>
    <t>9820046574</t>
  </si>
  <si>
    <t>9820194321</t>
  </si>
  <si>
    <t>9820081069</t>
  </si>
  <si>
    <t>9820343007</t>
  </si>
  <si>
    <t>9920527298</t>
  </si>
  <si>
    <t>9823013745</t>
  </si>
  <si>
    <t>7798778899</t>
  </si>
  <si>
    <t>9823261100</t>
  </si>
  <si>
    <t>9823023457</t>
  </si>
  <si>
    <t>9810203822</t>
  </si>
  <si>
    <t>9496019142</t>
  </si>
  <si>
    <t>9944583333</t>
  </si>
  <si>
    <t>9496019064</t>
  </si>
  <si>
    <t>9824133333</t>
  </si>
  <si>
    <t>9825010810</t>
  </si>
  <si>
    <t>9825034747</t>
  </si>
  <si>
    <t>9925034747</t>
  </si>
  <si>
    <t>9168998990</t>
  </si>
  <si>
    <t>9158998996</t>
  </si>
  <si>
    <t>9823186500</t>
  </si>
  <si>
    <t>8980240000</t>
  </si>
  <si>
    <t>9910400382</t>
  </si>
  <si>
    <t>8130744440</t>
  </si>
  <si>
    <t>9971012349</t>
  </si>
  <si>
    <t>9837005999</t>
  </si>
  <si>
    <t>9837007011</t>
  </si>
  <si>
    <t>8652095788</t>
  </si>
  <si>
    <t>9967242801</t>
  </si>
  <si>
    <t>9819133327</t>
  </si>
  <si>
    <t>9814089140</t>
  </si>
  <si>
    <t>9878102030</t>
  </si>
  <si>
    <t>9876304050</t>
  </si>
  <si>
    <t>9004947000</t>
  </si>
  <si>
    <t>9008004270</t>
  </si>
  <si>
    <t>9004470200</t>
  </si>
  <si>
    <t>9967584647</t>
  </si>
  <si>
    <t>9930994692</t>
  </si>
  <si>
    <t>9820035803</t>
  </si>
  <si>
    <t>8879332431</t>
  </si>
  <si>
    <t>506555992</t>
  </si>
  <si>
    <t>506444144</t>
  </si>
  <si>
    <t>507653878</t>
  </si>
  <si>
    <t>504517994</t>
  </si>
  <si>
    <t>56508308</t>
  </si>
  <si>
    <t>9425550000</t>
  </si>
  <si>
    <t>9844512223</t>
  </si>
  <si>
    <t>553757916</t>
  </si>
  <si>
    <t>559595916</t>
  </si>
  <si>
    <t>9947234916</t>
  </si>
  <si>
    <t>504535793</t>
  </si>
  <si>
    <t>9833181057</t>
  </si>
  <si>
    <t>555545916</t>
  </si>
  <si>
    <t>9844033749</t>
  </si>
  <si>
    <t>9744784447</t>
  </si>
  <si>
    <t>507028721</t>
  </si>
  <si>
    <t>502777347</t>
  </si>
  <si>
    <t>9447777899</t>
  </si>
  <si>
    <t>9496991600</t>
  </si>
  <si>
    <t>9447777918</t>
  </si>
  <si>
    <t>8879180056</t>
  </si>
  <si>
    <t>7738760566</t>
  </si>
  <si>
    <t>9987045485</t>
  </si>
  <si>
    <t>9810413805</t>
  </si>
  <si>
    <t>556839000</t>
  </si>
  <si>
    <t>505883623</t>
  </si>
  <si>
    <t>9848057291</t>
  </si>
  <si>
    <t>553046740</t>
  </si>
  <si>
    <t>9850699999</t>
  </si>
  <si>
    <t>9822417119</t>
  </si>
  <si>
    <t>9850205685</t>
  </si>
  <si>
    <t>8806907546</t>
  </si>
  <si>
    <t>7768073377</t>
  </si>
  <si>
    <t>9850955199</t>
  </si>
  <si>
    <t>506250063</t>
  </si>
  <si>
    <t>9880344121</t>
  </si>
  <si>
    <t>9886008825</t>
  </si>
  <si>
    <t>9838009999</t>
  </si>
  <si>
    <t>9838079999</t>
  </si>
  <si>
    <t>9918363111</t>
  </si>
  <si>
    <t>9984559999</t>
  </si>
  <si>
    <t>8008203789</t>
  </si>
  <si>
    <t>9948577777</t>
  </si>
  <si>
    <t>9581694777</t>
  </si>
  <si>
    <t>9301625557</t>
  </si>
  <si>
    <t>9334700454</t>
  </si>
  <si>
    <t>9843012343</t>
  </si>
  <si>
    <t>9843112343</t>
  </si>
  <si>
    <t>9843612343</t>
  </si>
  <si>
    <t>9790688300</t>
  </si>
  <si>
    <t>9676754368</t>
  </si>
  <si>
    <t>9366607111</t>
  </si>
  <si>
    <t>9910033158</t>
  </si>
  <si>
    <t>9820364447</t>
  </si>
  <si>
    <t>9821010480</t>
  </si>
  <si>
    <t>9994166063</t>
  </si>
  <si>
    <t>9980421448</t>
  </si>
  <si>
    <t>9819835803</t>
  </si>
  <si>
    <t>9019427190</t>
  </si>
  <si>
    <t>9886468485</t>
  </si>
  <si>
    <t>9845146496</t>
  </si>
  <si>
    <t>9901933749</t>
  </si>
  <si>
    <t>9844365155</t>
  </si>
  <si>
    <t>9849447104</t>
  </si>
  <si>
    <t>8897588670</t>
  </si>
  <si>
    <t>7708007110</t>
  </si>
  <si>
    <t>9837002000</t>
  </si>
  <si>
    <t>9837007012</t>
  </si>
  <si>
    <t>9810512900</t>
  </si>
  <si>
    <t>9820055544</t>
  </si>
  <si>
    <t>9841043299</t>
  </si>
  <si>
    <t>9841045052</t>
  </si>
  <si>
    <t>9919999936</t>
  </si>
  <si>
    <t>15624028755</t>
  </si>
  <si>
    <t>9222223645</t>
  </si>
  <si>
    <t>8591266096</t>
  </si>
  <si>
    <t>9414075764</t>
  </si>
  <si>
    <t>8800000000000</t>
  </si>
  <si>
    <t>9819439878</t>
  </si>
  <si>
    <t>9227097100</t>
  </si>
  <si>
    <t>9833997796</t>
  </si>
  <si>
    <t>9920031422</t>
  </si>
  <si>
    <t>9322246670</t>
  </si>
  <si>
    <t>9819656189</t>
  </si>
  <si>
    <t>9699087887</t>
  </si>
  <si>
    <t>9324625627</t>
  </si>
  <si>
    <t>8104934764</t>
  </si>
  <si>
    <t>9711247007</t>
  </si>
  <si>
    <t>7666368119</t>
  </si>
  <si>
    <t>9619098408</t>
  </si>
  <si>
    <t>9920979629</t>
  </si>
  <si>
    <t>9820082259</t>
  </si>
  <si>
    <t>9892103999</t>
  </si>
  <si>
    <t>9930358990</t>
  </si>
  <si>
    <t>9819434975</t>
  </si>
  <si>
    <t>7045557876</t>
  </si>
  <si>
    <t>9082236396</t>
  </si>
  <si>
    <t>9321614638</t>
  </si>
  <si>
    <t>9167993517</t>
  </si>
  <si>
    <t>8108693840</t>
  </si>
  <si>
    <t>9833788744</t>
  </si>
  <si>
    <t>9945309551</t>
  </si>
  <si>
    <t>9321234527</t>
  </si>
  <si>
    <t>9821178123</t>
  </si>
  <si>
    <t>9820720122</t>
  </si>
  <si>
    <t>9833533469</t>
  </si>
  <si>
    <t>9870942711</t>
  </si>
  <si>
    <t>8976864436</t>
  </si>
  <si>
    <t>8169607878</t>
  </si>
  <si>
    <t>7666820738</t>
  </si>
  <si>
    <t>7021480916</t>
  </si>
  <si>
    <t>492000000000</t>
  </si>
  <si>
    <t>7977755253</t>
  </si>
  <si>
    <t>9920489374</t>
  </si>
  <si>
    <t>9004446670</t>
  </si>
  <si>
    <t>9136013074</t>
  </si>
  <si>
    <t>9004446682</t>
  </si>
  <si>
    <t>8657995911</t>
  </si>
  <si>
    <t>9004492304</t>
  </si>
  <si>
    <t>9004446693</t>
  </si>
  <si>
    <t>9833051251</t>
  </si>
  <si>
    <t>9821436720</t>
  </si>
  <si>
    <t>9821136720</t>
  </si>
  <si>
    <t>9004446681</t>
  </si>
  <si>
    <t>8657859790</t>
  </si>
  <si>
    <t>9004425450</t>
  </si>
  <si>
    <t>8451901601</t>
  </si>
  <si>
    <t>7400420545</t>
  </si>
  <si>
    <t>8976909097</t>
  </si>
  <si>
    <t>9136699303</t>
  </si>
  <si>
    <t>8451903628</t>
  </si>
  <si>
    <t>8879058840</t>
  </si>
  <si>
    <t>7777078478</t>
  </si>
  <si>
    <t>7400492872</t>
  </si>
  <si>
    <t>9987599943</t>
  </si>
  <si>
    <t>9892841461</t>
  </si>
  <si>
    <t>9967535390</t>
  </si>
  <si>
    <t>9967535389</t>
  </si>
  <si>
    <t>8459952541</t>
  </si>
  <si>
    <t>920000000000</t>
  </si>
  <si>
    <t>7400480852</t>
  </si>
  <si>
    <t>9820562470</t>
  </si>
  <si>
    <t>9821558801</t>
  </si>
  <si>
    <t>9223319777</t>
  </si>
  <si>
    <t>9920966561</t>
  </si>
  <si>
    <t>9137509343</t>
  </si>
  <si>
    <t>7276787924</t>
  </si>
  <si>
    <t>9833267644</t>
  </si>
  <si>
    <t>9769640262</t>
  </si>
  <si>
    <t>71589616375</t>
  </si>
  <si>
    <t>9082114554</t>
  </si>
  <si>
    <t>9619066672</t>
  </si>
  <si>
    <t>9892770777</t>
  </si>
  <si>
    <t>771804071</t>
  </si>
  <si>
    <t>7506608316</t>
  </si>
  <si>
    <t>9833664646</t>
  </si>
  <si>
    <t>7021902696</t>
  </si>
  <si>
    <t>7208353203</t>
  </si>
  <si>
    <t>8854049767</t>
  </si>
  <si>
    <t>8779500452</t>
  </si>
  <si>
    <t>9833666133</t>
  </si>
  <si>
    <t>9819892630</t>
  </si>
  <si>
    <t>8080703001</t>
  </si>
  <si>
    <t>9833449855</t>
  </si>
  <si>
    <t>9769108701</t>
  </si>
  <si>
    <t>7977738636</t>
  </si>
  <si>
    <t>9167574302</t>
  </si>
  <si>
    <t>9594443216</t>
  </si>
  <si>
    <t>8591708395</t>
  </si>
  <si>
    <t>9619800493</t>
  </si>
  <si>
    <t>8879316929</t>
  </si>
  <si>
    <t>9820325251</t>
  </si>
  <si>
    <t>9833629934</t>
  </si>
  <si>
    <t>8369075554</t>
  </si>
  <si>
    <t>8104672056</t>
  </si>
  <si>
    <t>7044213777</t>
  </si>
  <si>
    <t>8850070778</t>
  </si>
  <si>
    <t>9820768266</t>
  </si>
  <si>
    <t>9820735575</t>
  </si>
  <si>
    <t>9323195233</t>
  </si>
  <si>
    <t>9004477002</t>
  </si>
  <si>
    <t>9820941012</t>
  </si>
  <si>
    <t>8149634693</t>
  </si>
  <si>
    <t>9867267202</t>
  </si>
  <si>
    <t>9833775438</t>
  </si>
  <si>
    <t>9930065435</t>
  </si>
  <si>
    <t>7506022996</t>
  </si>
  <si>
    <t>9664237770</t>
  </si>
  <si>
    <t>9833920865</t>
  </si>
  <si>
    <t>9289900999</t>
  </si>
  <si>
    <t>7021091539</t>
  </si>
  <si>
    <t>9967768202</t>
  </si>
  <si>
    <t>9999666099</t>
  </si>
  <si>
    <t>9830006429</t>
  </si>
  <si>
    <t>9969983000</t>
  </si>
  <si>
    <t>8562066666</t>
  </si>
  <si>
    <t>7021031804</t>
  </si>
  <si>
    <t>61430442201</t>
  </si>
  <si>
    <t>8070905905</t>
  </si>
  <si>
    <t>8062260000</t>
  </si>
  <si>
    <t>9819946897</t>
  </si>
  <si>
    <t>7045358783</t>
  </si>
  <si>
    <t>7506407720</t>
  </si>
  <si>
    <t>7506965545</t>
  </si>
  <si>
    <t>8657968797</t>
  </si>
  <si>
    <t>8657968796</t>
  </si>
  <si>
    <t>8657601586</t>
  </si>
  <si>
    <t>8657006837</t>
  </si>
  <si>
    <t>8657052649</t>
  </si>
  <si>
    <t>8657962271</t>
  </si>
  <si>
    <t>9820989960</t>
  </si>
  <si>
    <t>8657031693</t>
  </si>
  <si>
    <t>8657713033</t>
  </si>
  <si>
    <t>9819516937</t>
  </si>
  <si>
    <t>9920484605</t>
  </si>
  <si>
    <t>860332787</t>
  </si>
  <si>
    <t>9918686269</t>
  </si>
  <si>
    <t>9354910500</t>
  </si>
  <si>
    <t>9760137397</t>
  </si>
  <si>
    <t>9560003770</t>
  </si>
  <si>
    <t>9999415021</t>
  </si>
  <si>
    <t>9586461141</t>
  </si>
  <si>
    <t>8605001401</t>
  </si>
  <si>
    <t>9370313451</t>
  </si>
  <si>
    <t>7828947823</t>
  </si>
  <si>
    <t>9819860110</t>
  </si>
  <si>
    <t>9987779979</t>
  </si>
  <si>
    <t>8655083000</t>
  </si>
  <si>
    <t>9969987000</t>
  </si>
  <si>
    <t>9969921234</t>
  </si>
  <si>
    <t>9969041234</t>
  </si>
  <si>
    <t>9969961234</t>
  </si>
  <si>
    <t>9969931234</t>
  </si>
  <si>
    <t>8928623994</t>
  </si>
  <si>
    <t>9969941234</t>
  </si>
  <si>
    <t>8928623991</t>
  </si>
  <si>
    <t>9969051234</t>
  </si>
  <si>
    <t>9969071234</t>
  </si>
  <si>
    <t>9324983695</t>
  </si>
  <si>
    <t>9969061234</t>
  </si>
  <si>
    <t>9969981234</t>
  </si>
  <si>
    <t>9969011234</t>
  </si>
  <si>
    <t>8928623992</t>
  </si>
  <si>
    <t>9969986000</t>
  </si>
  <si>
    <t>9969951234</t>
  </si>
  <si>
    <t>9324983699</t>
  </si>
  <si>
    <t>9969985000</t>
  </si>
  <si>
    <t>8928787501</t>
  </si>
  <si>
    <t>9137299981</t>
  </si>
  <si>
    <t>8779398553</t>
  </si>
  <si>
    <t>8657962272</t>
  </si>
  <si>
    <t>16464250063</t>
  </si>
  <si>
    <t>9176367939</t>
  </si>
  <si>
    <t>9967758499</t>
  </si>
  <si>
    <t>8208406133</t>
  </si>
  <si>
    <t>9321697279</t>
  </si>
  <si>
    <t>9082395719</t>
  </si>
  <si>
    <t>950604111</t>
  </si>
  <si>
    <t>9820298682</t>
  </si>
  <si>
    <t>9820081014</t>
  </si>
  <si>
    <t>8655241941</t>
  </si>
  <si>
    <t>9833409290</t>
  </si>
  <si>
    <t>9051646424</t>
  </si>
  <si>
    <t>7044127834</t>
  </si>
  <si>
    <t>9819499143</t>
  </si>
  <si>
    <t>9099077028</t>
  </si>
  <si>
    <t>8591697900</t>
  </si>
  <si>
    <t>9969982000</t>
  </si>
  <si>
    <t>9833930531</t>
  </si>
  <si>
    <t>8080704119</t>
  </si>
  <si>
    <t>7777029097</t>
  </si>
  <si>
    <t>9820947010</t>
  </si>
  <si>
    <t>9903635366</t>
  </si>
  <si>
    <t>7977963942</t>
  </si>
  <si>
    <t>9699393949</t>
  </si>
  <si>
    <t>8286810610</t>
  </si>
  <si>
    <t>9534114404</t>
  </si>
  <si>
    <t>9167547808</t>
  </si>
  <si>
    <t>9967119121</t>
  </si>
  <si>
    <t>9831788868</t>
  </si>
  <si>
    <t>8697046543</t>
  </si>
  <si>
    <t>9921947820</t>
  </si>
  <si>
    <t>8446053121</t>
  </si>
  <si>
    <t>9987655062</t>
  </si>
  <si>
    <t>8080877002</t>
  </si>
  <si>
    <t>7050657559</t>
  </si>
  <si>
    <t>7987590946</t>
  </si>
  <si>
    <t>9821050365</t>
  </si>
  <si>
    <t>7045111355</t>
  </si>
  <si>
    <t>9664086422</t>
  </si>
  <si>
    <t>7219460020</t>
  </si>
  <si>
    <t>7715068245</t>
  </si>
  <si>
    <t>777394435</t>
  </si>
  <si>
    <t>9373290157</t>
  </si>
  <si>
    <t>9967220115</t>
  </si>
  <si>
    <t>7045671515</t>
  </si>
  <si>
    <t>7021112677</t>
  </si>
  <si>
    <t>9123426199</t>
  </si>
  <si>
    <t>9423443188</t>
  </si>
  <si>
    <t>9820488881</t>
  </si>
  <si>
    <t>9819338777</t>
  </si>
  <si>
    <t>9867380759</t>
  </si>
  <si>
    <t>8369464157</t>
  </si>
  <si>
    <t>9830056475</t>
  </si>
  <si>
    <t>9773304882</t>
  </si>
  <si>
    <t>9820065040</t>
  </si>
  <si>
    <t>9324285712</t>
  </si>
  <si>
    <t>9820574070</t>
  </si>
  <si>
    <t>9082084426</t>
  </si>
  <si>
    <t>9930182255</t>
  </si>
  <si>
    <t>9220778904</t>
  </si>
  <si>
    <t>9819201521</t>
  </si>
  <si>
    <t>9819824233</t>
  </si>
  <si>
    <t>9323735972</t>
  </si>
  <si>
    <t>7666286662</t>
  </si>
  <si>
    <t>9819879642</t>
  </si>
  <si>
    <t>9903896480</t>
  </si>
  <si>
    <t>9423681546</t>
  </si>
  <si>
    <t>9825309838</t>
  </si>
  <si>
    <t>9821359662</t>
  </si>
  <si>
    <t>9820561214</t>
  </si>
  <si>
    <t>9821324699</t>
  </si>
  <si>
    <t>9820149620</t>
  </si>
  <si>
    <t>9370795843</t>
  </si>
  <si>
    <t>9321887125</t>
  </si>
  <si>
    <t>9930880788</t>
  </si>
  <si>
    <t>8668290535</t>
  </si>
  <si>
    <t>8108055577</t>
  </si>
  <si>
    <t>9833110483</t>
  </si>
  <si>
    <t>9323115729</t>
  </si>
  <si>
    <t>9870279593</t>
  </si>
  <si>
    <t>9324433535</t>
  </si>
  <si>
    <t>9920366493</t>
  </si>
  <si>
    <t>7696719671</t>
  </si>
  <si>
    <t>8291139581</t>
  </si>
  <si>
    <t>9769003397</t>
  </si>
  <si>
    <t>9323881334</t>
  </si>
  <si>
    <t>#Error!</t>
  </si>
  <si>
    <t>9821073129</t>
  </si>
  <si>
    <t>9022122046</t>
  </si>
  <si>
    <t>8005912562</t>
  </si>
  <si>
    <t>8591345050</t>
  </si>
  <si>
    <t>9820726026</t>
  </si>
  <si>
    <t>9893036888</t>
  </si>
  <si>
    <t>8850230627</t>
  </si>
  <si>
    <t>7977277626</t>
  </si>
  <si>
    <t>85291327736</t>
  </si>
  <si>
    <t>9076399090</t>
  </si>
  <si>
    <t>9820400388</t>
  </si>
  <si>
    <t>8691998984</t>
  </si>
  <si>
    <t>9819530812</t>
  </si>
  <si>
    <t>8082750689</t>
  </si>
  <si>
    <t>821412900</t>
  </si>
  <si>
    <t>9867362104</t>
  </si>
  <si>
    <t>8928988350</t>
  </si>
  <si>
    <t>9869080076</t>
  </si>
  <si>
    <t>9819886266</t>
  </si>
  <si>
    <t>7021580050</t>
  </si>
  <si>
    <t>8928100149</t>
  </si>
  <si>
    <t>9820097619</t>
  </si>
  <si>
    <t>9819536373</t>
  </si>
  <si>
    <t>9619454049</t>
  </si>
  <si>
    <t>8369160229</t>
  </si>
  <si>
    <t>8655386188</t>
  </si>
  <si>
    <t>9833815269</t>
  </si>
  <si>
    <t>9987006880</t>
  </si>
  <si>
    <t>9869587327</t>
  </si>
  <si>
    <t>9029074739</t>
  </si>
  <si>
    <t>9820176230</t>
  </si>
  <si>
    <t>9821260586</t>
  </si>
  <si>
    <t>9320053632</t>
  </si>
  <si>
    <t>9322236151</t>
  </si>
  <si>
    <t>9869061087</t>
  </si>
  <si>
    <t>9869305269</t>
  </si>
  <si>
    <t>9892441818</t>
  </si>
  <si>
    <t>8169780935</t>
  </si>
  <si>
    <t>9987171736</t>
  </si>
  <si>
    <t>9892988369</t>
  </si>
  <si>
    <t>9913553605</t>
  </si>
  <si>
    <t>9326065636</t>
  </si>
  <si>
    <t>8928256074</t>
  </si>
  <si>
    <t>8452825740</t>
  </si>
  <si>
    <t>9920520211</t>
  </si>
  <si>
    <t>9987012368</t>
  </si>
  <si>
    <t>9829621721</t>
  </si>
  <si>
    <t>8169833371</t>
  </si>
  <si>
    <t>7977409471</t>
  </si>
  <si>
    <t>8104322402</t>
  </si>
  <si>
    <t>9920053727</t>
  </si>
  <si>
    <t>8928697921</t>
  </si>
  <si>
    <t>9820673302</t>
  </si>
  <si>
    <t>9769906048</t>
  </si>
  <si>
    <t>9224462625</t>
  </si>
  <si>
    <t>9820074221</t>
  </si>
  <si>
    <t>9820291104</t>
  </si>
  <si>
    <t>9820222401</t>
  </si>
  <si>
    <t>9930699995</t>
  </si>
  <si>
    <t>9619911226</t>
  </si>
  <si>
    <t>9833222872</t>
  </si>
  <si>
    <t>9920470711</t>
  </si>
  <si>
    <t>9664433550</t>
  </si>
  <si>
    <t>8779659057</t>
  </si>
  <si>
    <t>9892201507</t>
  </si>
  <si>
    <t>9833725455</t>
  </si>
  <si>
    <t>9833959607</t>
  </si>
  <si>
    <t>9987200510</t>
  </si>
  <si>
    <t>9820189554</t>
  </si>
  <si>
    <t>9702084679</t>
  </si>
  <si>
    <t>7506061751</t>
  </si>
  <si>
    <t>9594430114</t>
  </si>
  <si>
    <t>9819157943</t>
  </si>
  <si>
    <t>8007193206</t>
  </si>
  <si>
    <t>9920077286</t>
  </si>
  <si>
    <t>9892050530</t>
  </si>
  <si>
    <t>9820842723</t>
  </si>
  <si>
    <t>7299999459</t>
  </si>
  <si>
    <t>9930767460</t>
  </si>
  <si>
    <t>9920378708</t>
  </si>
  <si>
    <t>9320006365</t>
  </si>
  <si>
    <t>9819711898</t>
  </si>
  <si>
    <t>7738744374</t>
  </si>
  <si>
    <t>9320537219</t>
  </si>
  <si>
    <t>9324559400</t>
  </si>
  <si>
    <t>9322261279</t>
  </si>
  <si>
    <t>9820359079</t>
  </si>
  <si>
    <t>8824466187</t>
  </si>
  <si>
    <t>9920399723</t>
  </si>
  <si>
    <t>7738106055</t>
  </si>
  <si>
    <t>769956468</t>
  </si>
  <si>
    <t>917021749472</t>
  </si>
  <si>
    <t>8828053118</t>
  </si>
  <si>
    <t>9820862583</t>
  </si>
  <si>
    <t>9619040158</t>
  </si>
  <si>
    <t>9920421202</t>
  </si>
  <si>
    <t>9619035525</t>
  </si>
  <si>
    <t>7506045864</t>
  </si>
  <si>
    <t>9172247382</t>
  </si>
  <si>
    <t>9662580912</t>
  </si>
  <si>
    <t>9619406081</t>
  </si>
  <si>
    <t>9820384621</t>
  </si>
  <si>
    <t>9167736388</t>
  </si>
  <si>
    <t>9099073074</t>
  </si>
  <si>
    <t>9870465678</t>
  </si>
  <si>
    <t>8591016313</t>
  </si>
  <si>
    <t>9820089713</t>
  </si>
  <si>
    <t>9920307373</t>
  </si>
  <si>
    <t>7710881457</t>
  </si>
  <si>
    <t>9820353314</t>
  </si>
  <si>
    <t>9167142325</t>
  </si>
  <si>
    <t>9930874875</t>
  </si>
  <si>
    <t>9925119995</t>
  </si>
  <si>
    <t>9867104247</t>
  </si>
  <si>
    <t>8884177414</t>
  </si>
  <si>
    <t>9457057008</t>
  </si>
  <si>
    <t>7289099961</t>
  </si>
  <si>
    <t>9008461183</t>
  </si>
  <si>
    <t>9930220525</t>
  </si>
  <si>
    <t>9739555155</t>
  </si>
  <si>
    <t>9831341166</t>
  </si>
  <si>
    <t>9825328252</t>
  </si>
  <si>
    <t>9810398781</t>
  </si>
  <si>
    <t>9051296111</t>
  </si>
  <si>
    <t>9967755818</t>
  </si>
  <si>
    <t>9820689514</t>
  </si>
  <si>
    <t>9572393665</t>
  </si>
  <si>
    <t>7021880274</t>
  </si>
  <si>
    <t>9880164681</t>
  </si>
  <si>
    <t>9724749331</t>
  </si>
  <si>
    <t>9930071015</t>
  </si>
  <si>
    <t>9606697222</t>
  </si>
  <si>
    <t>9999227067</t>
  </si>
  <si>
    <t>9811881718</t>
  </si>
  <si>
    <t>9811292067</t>
  </si>
  <si>
    <t>9810100782</t>
  </si>
  <si>
    <t>9376916607</t>
  </si>
  <si>
    <t>7892027134</t>
  </si>
  <si>
    <t>9918888807</t>
  </si>
  <si>
    <t>9773885950</t>
  </si>
  <si>
    <t>8884858585</t>
  </si>
  <si>
    <t>7897420278</t>
  </si>
  <si>
    <t>8861006799</t>
  </si>
  <si>
    <t>9819860774</t>
  </si>
  <si>
    <t>9910059930</t>
  </si>
  <si>
    <t>9768065722</t>
  </si>
  <si>
    <t>9833384422</t>
  </si>
  <si>
    <t>9920112208</t>
  </si>
  <si>
    <t>9819115854</t>
  </si>
  <si>
    <t>9820439012</t>
  </si>
  <si>
    <t>9321768154</t>
  </si>
  <si>
    <t>9820692870</t>
  </si>
  <si>
    <t>9619296630</t>
  </si>
  <si>
    <t>8898500703</t>
  </si>
  <si>
    <t>9967351920</t>
  </si>
  <si>
    <t>9820023209</t>
  </si>
  <si>
    <t>9029452341</t>
  </si>
  <si>
    <t>9920248604</t>
  </si>
  <si>
    <t>9833283756</t>
  </si>
  <si>
    <t>8800290327</t>
  </si>
  <si>
    <t>9898881424</t>
  </si>
  <si>
    <t>90225381396</t>
  </si>
  <si>
    <t>7715933230</t>
  </si>
  <si>
    <t>9833909686</t>
  </si>
  <si>
    <t>9819777308</t>
  </si>
  <si>
    <t>9324122211</t>
  </si>
  <si>
    <t>9833529301</t>
  </si>
  <si>
    <t>8291118926</t>
  </si>
  <si>
    <t>9172881872</t>
  </si>
  <si>
    <t>8779032265</t>
  </si>
  <si>
    <t>9022512767</t>
  </si>
  <si>
    <t>9892130129</t>
  </si>
  <si>
    <t>9029934614</t>
  </si>
  <si>
    <t>7021783598</t>
  </si>
  <si>
    <t>919820320705</t>
  </si>
  <si>
    <t>8080833834</t>
  </si>
  <si>
    <t>9913252758</t>
  </si>
  <si>
    <t>9603314626</t>
  </si>
  <si>
    <t>8657913169</t>
  </si>
  <si>
    <t>EMAIL ON CARD</t>
  </si>
  <si>
    <t>SAME CONATACT OR NOT</t>
  </si>
  <si>
    <t>7Th Floor, Embassy Icon, Infantry Road, Bangalore Karnataka</t>
  </si>
  <si>
    <t>Antop Hill Ware Housing Co. Limited, Unit No. C-339, V.I.T. College Road, Mumbai Maharashtra</t>
  </si>
  <si>
    <t>Unit No. 3, 4, 5, 6, First Floor, Sheetal Industrial Estate,</t>
  </si>
  <si>
    <t>Shop No. 26, 4Th Floor, Alliance Building Mumbai Maharashtra</t>
  </si>
  <si>
    <t>C-329, 336 3Rd Floor, Antop Hill, Ware Housing Company,</t>
  </si>
  <si>
    <t>Maruti Clothing,Chopstick T-Shirts,Plot No 711,Phase 2,New Gidc,Gundlav,Valsad - 396035 Valsad Gujarat</t>
  </si>
  <si>
    <t>104, Giriraj Building, 1St Floor, 226/230, Mumbai Maharastra</t>
  </si>
  <si>
    <t>104, Giriraj Building, 1St Floor, 226/230, Mumbai-400002, Mumbai. Mumbai Maharashtra</t>
  </si>
  <si>
    <t>Shop No 40, Dagina Bazar, Mumbadevi Road, Mumbai Maharashtra</t>
  </si>
  <si>
    <t>Shop No.6, Darshana Apt, Mumbai, Maharashtra.</t>
  </si>
  <si>
    <t>101 ,1St Floor, Niraj Industrial Premises Co-Operative Soc. Ltd. Mumbai Maharashtra</t>
  </si>
  <si>
    <t>C Wing 915, One Bkc, Bkc,</t>
  </si>
  <si>
    <t>5/5A, 1St Floor, 136/138, Vv Chandan Street,</t>
  </si>
  <si>
    <t>T-3/1204, Runwal Rosewood Chs, Mumbai Maharashtra</t>
  </si>
  <si>
    <t>Shop No 2, Bhasin House, Pd Hinduja Road Mumbai Maharashtra</t>
  </si>
  <si>
    <t>The Playce, 1St Floor, Marathon Maxima, Lbs Road Mumbai Maharashtra</t>
  </si>
  <si>
    <t>C-10.Arafat Society, Shantiniketan Bldg,</t>
  </si>
  <si>
    <t>207, Shoppers Point, S.V Road, Andheri West Mumbai Maharashtra</t>
  </si>
  <si>
    <t>Unit No. 6 Tukaram Bhandari Compound Mumbai Maharashtra</t>
  </si>
  <si>
    <t>Office No 5, 2Nd Floor , Rahimtoola House , 7, Homji Street, Fort Mumbai Maharashtra</t>
  </si>
  <si>
    <t>Gateway Abroad, The Playce, 1St Floor, Marathon Maxima Mumbai Maharashtra</t>
  </si>
  <si>
    <t>16/128, Cci Colony , Unnat Nagar 4, Mg Road Mumbai Maharashtra</t>
  </si>
  <si>
    <t>203, Akruti Star, Midc Central Rd Mumbai Maharashtra</t>
  </si>
  <si>
    <t>D N Nagar, Andheri West Mumbai Maharashtra</t>
  </si>
  <si>
    <t>*Sheetal Mouthfreshners* Office No. 109, Shri Ram Heights, Building No. 105, Opp. Pant Nagar Post Office, Pant Nagar, Ghatkopar East, Mumbai-400075 Mumbai Maharashtra</t>
  </si>
  <si>
    <t>Dahisar Check Naka, 113, Sagar Industrial Estate, Beside Mahanagar Gas Station,</t>
  </si>
  <si>
    <t>Beyond Limits Business Centre, 19Th Floor, Exchange Tower, Business Bay, Dubai, Uae Dubai</t>
  </si>
  <si>
    <t>Ground Floor, Rishiket Chs, Next To Kls Memorial Hospital, N.T Malusare Marg ( Irla Lane ), Off S.V Road, Vile Parle West, Mumbai 400056.</t>
  </si>
  <si>
    <t>Ashoka Shopping Centre, 228 1St Floor, Dhobi Talao, Next To Gt Hospital Mumbai Maharashtra</t>
  </si>
  <si>
    <t>Soningra Polyclinic, Opp Saifee Park, Helal Building, Mazgaon Mumbai Maharashtra</t>
  </si>
  <si>
    <t>A/202, Padmavati Palace, Nanda Patkar Road, Vile Parle East, Mumbai 400057</t>
  </si>
  <si>
    <t>Plot No.23, Mira Co-Op Industrial Estate, Kashi Mira, Near State Bank Of India, Mira Road (E), Thane-401107.</t>
  </si>
  <si>
    <t>Simone Salon, Spa &amp; Academy, Jp Road, Jeet Nagar, Versova, Andheri West, Mumbai, Maharashtra, India</t>
  </si>
  <si>
    <t>Road No. 6 Ex, Trimurti Apartment, Opp. S.T.S. Mission School/ Dayanand School, Next To Uco Bank, Trimurti Rd, Near Paras Paanwala, Malad, Navy Colony, Mamledarwadi, Malad West, Mumbai, Maharashtra 400064, India</t>
  </si>
  <si>
    <t>Shed No 135 A, Hsiidc, Industrial Area, Sector 31, Faridabad, Haryana, 121003</t>
  </si>
  <si>
    <t>A 212, Sector 83, Phase-2, Noida, Uttar Pradesh 201302, Near Sec 83 Metro Station</t>
  </si>
  <si>
    <t>Plot D-59, Phase-5, Sector-58, Industrial Area, Mohali, Punjab 160055</t>
  </si>
  <si>
    <t>Studio J, 52-1/3-1A, Nh5, Vetinarary Colony, Road No. 2, Vijaywada - 520008</t>
  </si>
  <si>
    <t>Bungalow No 10 Kalanagar, Bandra East, Mumbai 400051</t>
  </si>
  <si>
    <t>Shop # 5 &amp; 6, Shriban Chs, Fc Road, Shivaji Nagar, Pune 411016</t>
  </si>
  <si>
    <t>Godown, Sr No 105, 20, Kondhwa Main Rd, Opp. S K (Hp) Petrol Pump, Near Talab Factory, Kondhwa Budruk, Pune, Maharashtra 411048</t>
  </si>
  <si>
    <t>Aundh - Baner Link Road Opposite Aditi Reberra Apartment, Near Jupiter Hospital, Baner, Pune, Maharashtra 411045</t>
  </si>
  <si>
    <t>Society, Opposite To La Vida Loca, Pimple Saudagar, Pimpri-Chinchwad, Maharashtra 411027</t>
  </si>
  <si>
    <t>Ground Floor, Aq6, Next To Kia Showroom, Aq Block, Sector V, Bidhannagar, Kolkata, West Bengal 700091</t>
  </si>
  <si>
    <t>Poona Motors Pvt Ltd Camp Shop No. 2404, East Street, Behind Corporation Bank, Agarwal Colony, Sadar Bazaar, Pune, Maharashtra 411001 020 2634 2249</t>
  </si>
  <si>
    <t>60 Albert Rd, South Melbourne Vic 3205</t>
  </si>
  <si>
    <t>Evergreen Industrial Estate, Cs No. 1A/66,Shakti Mills Lane, Opp E. Moses Road, Mahalaxmi, Mumbai 400 011. Mumbai Maharashtra</t>
  </si>
  <si>
    <t>Kelushkar Road, Opp. To Scout Hall, Shivaji Park, Dadar(W), Mumbai - 400028 Mumbai Maharashtra</t>
  </si>
  <si>
    <t>25, Juhu Road, Goi Staff Colony, Santacruz West, Mumbai 400 047 Mumbai Maharastra</t>
  </si>
  <si>
    <t>St. Joseph School, Nxt. Church Of Our Lady Of Dolours, Baretto Road, Five Gardens, Wadala West, Mumbai 400 031. Mumbai Maharashtra</t>
  </si>
  <si>
    <t>St. Xavier'S High School, Sector 3, Nerul, Navi Mumbai 400 706. Navi Mumbai Maharashtra</t>
  </si>
  <si>
    <t>Cp Goenka International School, X2Jg+H2C, Sector 5, Ulwe, Wahal, Sector 5, Ulwe, Navi Mumbai, Maharashtra 410206 Navi Mumbai Maharashtra</t>
  </si>
  <si>
    <t>Urban Sports Loyanka Eastat, Khayrani Road. Jangaleshor. Mandir., Asalfa, Saibaba Mandir, Mumbai 400084 Mumbai Maharashtra</t>
  </si>
  <si>
    <t>409, 4Th Floor, Vakratunda Corporate Park,Vishwesvar Road Nagar, Near Udipi Vihar Hotel, Goregaon- East, Mumbai.</t>
  </si>
  <si>
    <t>Unit No 6 , Koteshwar Apartment,Near Regency Hotel , Andheri (East)</t>
  </si>
  <si>
    <t>Avanstrate Inc - 1-11-1 Nishi - Gotanda, Shinagawa-Ku, Tokyo, 141-0031, Japan</t>
  </si>
  <si>
    <t>6, Kastur Mahal, Opp Canara Bank,Stn. Road,Sion, Mumbai 400022 Mumbai Maharashtra</t>
  </si>
  <si>
    <t>Office No.04, Sunshine Height Achole Road, Opp Sunshine Garden, Nallasopara (East) 401209 Mumbai Maharashtra</t>
  </si>
  <si>
    <t>Book G2, Radhakunj Building, Ram Maruti Rd, Near Ranka Jewellers, Naupada, Thane West, Thane, Maharashtra 400602 Thane Maharashtra</t>
  </si>
  <si>
    <t>28, Mumbai Samachar Marg, 1St Floor, Rajabahadur Building, Fort, Mumbai – 400001.</t>
  </si>
  <si>
    <t>Ruchira, At Post Trambakeshwar Front Of Kushavarta Kund Besid Luxminaryan Mandir Nashik 422212 Maharashtra</t>
  </si>
  <si>
    <t>Shop No.21, Ground Floor, Mhatre Pen Building, Mumbai Maharashtra</t>
  </si>
  <si>
    <t>1/2, 1St Floor,Parikh Building, Mahatma Gandhi Road,Above Shilpa Diamonds, Opp Sejal Jewellers, Ghatkopar- East, Mumbai 400077.</t>
  </si>
  <si>
    <t>Office No . 702 , 7Th Floor, Kamla Hub, Near Aromas Cafe, Gulmohar Road, Kamala Nagar, Vile Parle West, Mumbai, Maharashtra,400049</t>
  </si>
  <si>
    <t>G-30 Ram Darshan Building Oppram Mandir, Near Mahila Sangh School Subhash Road Vile Parle East</t>
  </si>
  <si>
    <t>308, Highway Commercial Centre, I.B Patel Road, Off Western Express Highway, Goregaon- East, Mumbai-400063</t>
  </si>
  <si>
    <t>Shop No.3, Poonawala Bldg No.2, Opp Piramal Tower, Lower Parel, Mum - 400013.</t>
  </si>
  <si>
    <t>C1 Priyadarshini Chs, 77, Shantipath, Garodia Nagar, Ghatkopar East, Mumbai, Maharashtra- 400077.</t>
  </si>
  <si>
    <t>3Rd Floor, Vasu Villa, Amar Jyoti Compound, Opposite Mtnl Telephone Exchange, S V Road, Kandivali (West), Mumbai - 400101</t>
  </si>
  <si>
    <t>A/1 , Hare Krishna Apt Sarojni Naidu Road</t>
  </si>
  <si>
    <t>N 2001 Marina Enclave, 90 Feet Road, Malad West, Mumbai 400095</t>
  </si>
  <si>
    <t>63, 1St Floor, Raghuleela Mega Mall, Kandivali West, Mumbai 400067</t>
  </si>
  <si>
    <t>Shop No -1,2 Mehta Nivas ,Main Carter Road Opp To Kasturba Police Station And Next To Laxmi Sweets</t>
  </si>
  <si>
    <t>331, Gundecha Industrial Complex, Next To Growels 101, Aakurli Road, Kandivali (East), Mumbai - 400 101, Maharashtra, India.</t>
  </si>
  <si>
    <t>Studio No 4, Shri Vinayak Chs, Plot No 226, Dr B A Road, Sector No 5, Charkop Market, Near Shiv Super Market, Kandivali West. Mumbai 400067</t>
  </si>
  <si>
    <t>90-92, Gharat Compound, Umar Compound, Sopara Phata, Nh 48, Vasai (E)</t>
  </si>
  <si>
    <t>48/49, Om Sai Sadan Compound, Opp Metro Pillar No 467, Ashok Nagar, Near Hub Mall, Goregaon East, Mumbai - 400063</t>
  </si>
  <si>
    <t>Shop 13, B-51, Sector 3, Shanti Nagar, Mira Road East, Thane</t>
  </si>
  <si>
    <t>Ng Estate 14 15 Near Old Petrol Pump Mira Bhayander Road Mira Rd East Thane 401007</t>
  </si>
  <si>
    <t>1108, It Techno Park, Eksar, Borivali West</t>
  </si>
  <si>
    <t>8, Ganesh Darshan Society Behind Pruthvi Chemist Lt Road Borivali West, Mumbai</t>
  </si>
  <si>
    <t>331, Gundecha Industrial Complex, Akurli Rd, Nx To Star Bazaar- Growels Mall, Kandivali E.</t>
  </si>
  <si>
    <t>Vaishali Ind Dahiar West Mumbai</t>
  </si>
  <si>
    <t>C/81-82 Devanagar, Bhatia School Lane, Kandivali West, Mumbai 400067</t>
  </si>
  <si>
    <t>209/10, B Wing, Yogi Paradise, Yogi Nagar, Borivali West, Mumbai.</t>
  </si>
  <si>
    <t>12, Guru Kripa Chs Ltd., Evershine Nagar, Malad W.</t>
  </si>
  <si>
    <t>A-104, Durian Estate, Goregaon _East, Mumbai-400063</t>
  </si>
  <si>
    <t>Shop No. 7 , Ground Floor, Jangid Tower, Jangid Circle, Shanti Park, Mtnl Road, Miraroad (East ) Thane 401 107.</t>
  </si>
  <si>
    <t>603, Stardeep Apt, Opp.Prabhodhan Thackeray Hall, Sodawala Lane, Borivali West, Mumbai 92</t>
  </si>
  <si>
    <t>Shop No 23 / 24 Nirmal Nagar Chs Ltd Sai Baba Nagar Miraroad East 401101.</t>
  </si>
  <si>
    <t>Greenwoods A Chsl, Shop No. 5, Link Road, Near Shimpoli Metro Station, Chikuwadi, Borivali (W), Mumbai - 92</t>
  </si>
  <si>
    <t>Shop No 6, Blue Rose Industrial Estate, Beside Metro Mall, Western Express Highway Borivali East, Mumbai 400092.</t>
  </si>
  <si>
    <t>B-404, Gopi Krishna Chs Ltd Opp. Vishvakarma High School Sn Dubay Road Dahisar East Mumbai 400068</t>
  </si>
  <si>
    <t>Neelkanth Tower, Commercial Side, 2Nd Floor - Bloomdesk Co-Working, Sv Road, Near Tirumala Showroom, Borivali - (West), Mumbai - 400092</t>
  </si>
  <si>
    <t>4/22 Vivekanand Nagar, Sv Road, Near Kora Kendra, Borivali West, Mumbai - 400092</t>
  </si>
  <si>
    <t>Flat No. 29, 3Rd Floor, Saraswati Niwas, Pai Nagar, Borivali (W), Mumbai 92</t>
  </si>
  <si>
    <t>107,Gopal House, I.B Patel Road Goregaon East. Mumbai-400063.</t>
  </si>
  <si>
    <t>Namo Decor 201, Saraswati Apartment, Opposite New Fire Brigade, Shree Maheshwari Bhawan Marg, Bhayander West</t>
  </si>
  <si>
    <t>201, 2Nd Floor, Saraswati Building, Opposite Fire Brigade Station, Above Dawai House, 150 Feet Road, Bhayander West.</t>
  </si>
  <si>
    <t>G7 B Shivalaya Society Opp Mcf Club Borivali West.</t>
  </si>
  <si>
    <t>2. Bhalchandra Appartment, Near Kashi Nagar, Vimal Dairy Lane, Bhayandar East.</t>
  </si>
  <si>
    <t>Evershine Millennium Paradise, Emp1, 101 Thakur Village Kandivali East Mumbai 400101.</t>
  </si>
  <si>
    <t>Silverstar A/4, Vaishali Diamond Ind., Mahatrewadi, B.T.Road, Opp. Dahisar Station West, Mumbai 400068.</t>
  </si>
  <si>
    <t>109,Shekh Memon Street, 2Nd Floor Offise No - 38/B, Shahi Gali, Zaveri Bazar, Mumbai-400068.</t>
  </si>
  <si>
    <t>342, V Mall Asha Nagar, Thakur Complex, Kandivali East Pin: 400101.</t>
  </si>
  <si>
    <t>Plot No.1, Opp New Gagangiri Bldg, Van Udhyan Eksar Rd, Borivali (W) , Mumbai.</t>
  </si>
  <si>
    <t>Off No. 1 2Nd Floor Manick Chambers D. B. Marg, Mumbai, Maharashtra, 400004</t>
  </si>
  <si>
    <t>Ground Floor, Shop No 07, Siddhesh Apartment,Near Vinay Health Home, Charni Road ,Mumbai ,Maharashtra</t>
  </si>
  <si>
    <t>Jain Clinic ,20,Pritvivandan Co Op Hsg ,, Delisile Road , Mumbai, Maharashtra , 400011</t>
  </si>
  <si>
    <t>Neptune Computers Office 2 A 12 Surtee Chambrs 2Nd Floor Nd Dhobi Talao Lane Nr Metro Inox, Mumbai, Maharashtra, 400002</t>
  </si>
  <si>
    <t>Tirthankar Investments, Kanji Mansion, 311 Svp Road, 2Nd Floor, Opp 6Th Khetwadi Lane, , Mumbai, Maharashtra, 400004.</t>
  </si>
  <si>
    <t>Suraj Building,27 Th Floor Opp American Consulate Breach Candy , Mumbai, Mh, 400026</t>
  </si>
  <si>
    <t>Klassic Mounts, Galla No. 219/B, A-1, Shah And Nahar Industrial Estate Station Road Lower Parel West Mumbai 33</t>
  </si>
  <si>
    <t>154, Bora Bazar Street, Singh Chambers, 1St Floor, Office No 25, Fort, Mumbai, Maharashtra, 400001</t>
  </si>
  <si>
    <t>Prithvi Vandhan Chs Shop 15, N M Joshi Marg, Delisle Road, Lower Parel East, Mumbai, Maharashtra, 400013.</t>
  </si>
  <si>
    <t>Office No. 4, Ground Floor, Diwakar Chambers, Karel Wadi, Jss Road, Thakurdwar, Mumbai - 400002</t>
  </si>
  <si>
    <t>27, Shankar Niwas ,Tardeo Road, Malviya Nagar, Tardeo, Mumbai, Maharashtra 400034, India)</t>
  </si>
  <si>
    <t>Unit No. 340 3Rd Floor F Wing, Solaris-1, Saki Vihar Road, Andheri East, , Mumbai, Maharashtra , 40072.</t>
  </si>
  <si>
    <t>Marinett Bldg, 4Th Floor ,403,33 St Paul Rd, Bandra West</t>
  </si>
  <si>
    <t>10, Krishna Kunj, 2Nd Floor, Maharashtra Lan Off Chandavarkar Road, Borivali West, Mumbai, Maharashtra, 400092</t>
  </si>
  <si>
    <t>5A/502, Shraddha Bldg, Asha Nagar, 90 Feet Road, Thakur Complex , Kandivali East, Mumbai 400101</t>
  </si>
  <si>
    <t>E-2306, Anmol Fortune, Unnat Nagar, Off Mg Rd, Mumbai, Maharashtra, India, 400104.</t>
  </si>
  <si>
    <t>4, Gr Floor, Diwakar Chambers, Karel Wadi, Jss Road, Thakurdwar, Mumbai – 400004.</t>
  </si>
  <si>
    <t>Mugbath Cross Lane, Thakurdwar, Mumbai ,Maharashtra ,India, 400004.</t>
  </si>
  <si>
    <t>15/16, Navi Galli, M.J Market, Opposite Tbz, Zaveri Bazar, Mumbai, Maharashtra, 400002</t>
  </si>
  <si>
    <t>605, 6Th Floor, Sukh Sagar Building, Charni Road, Mumbai – 400008</t>
  </si>
  <si>
    <t>Sumer Tower -B Byculla, Love Lane , Mumbai, Maharashtra, 400010 In</t>
  </si>
  <si>
    <t>E 16, Nisarg Apartment Near Idbi Bank ,Mahavir Nagar,Kandivali West, Mumbai, Maharashtra, 400067 In</t>
  </si>
  <si>
    <t>Fort Mumbai</t>
  </si>
  <si>
    <t>Al Sa’Adah Tower Shop Number F-37 First Floor, Bhendi Bazaar, Mumbai, Maharashtra 400003.</t>
  </si>
  <si>
    <t>Room No 1230, 12Nd Floor, Bldg-3, Navjeevan Society, Dr Dadasaheb Bhadkamkar Marg,, Mumbai, Mh, 400008 .</t>
  </si>
  <si>
    <t>Rna Mira Road, Mumbai, Maharashtra, 401107 In</t>
  </si>
  <si>
    <t>Flat 384, 14 - Bharadwaj Chs, D Block, Bkc, New Mig Colony, Bandra East, Mumbai 400051</t>
  </si>
  <si>
    <t>Shop No.2 Vasant Aishwariya Chs, Mathuradas Extension Road, Mumbai Maharashtra</t>
  </si>
  <si>
    <t>205-Rk Prime, Near Nana Mava Circle - Rajkot- 360005, Gujarat - India</t>
  </si>
  <si>
    <t>1010, 10Th Floor Corporate Annexe Sonawala Road Goregaon East Mumbai - 400063</t>
  </si>
  <si>
    <t>Shop No. 104, 1St Floor, Solitaire Business Centre, Opp. Aavishkar Tower, Borivali West.</t>
  </si>
  <si>
    <t>C-503, Tulip Chs, Royal Complex, Eksar Road, Borivali West, Mumbai-400091</t>
  </si>
  <si>
    <t>Bajaj Capital , Wework India Management - Gf, 264-265, Dr Annie Besant Rd, Municipal Colony, Worli Shivaji Nagar, Worli, Mumbai</t>
  </si>
  <si>
    <t>White House, Gf, Ff, Nbcc Tower, Global Foyer, Sector 5, Pushp Vihar, New Delhi, Delhi 110017</t>
  </si>
  <si>
    <t>Bajaj Capital Limited.502, Shivalik Shilp - Ii, Opp Itc Narmada, Near Mansi Crossroads, Satellite, Ahmedabad - 380015, Gujarat</t>
  </si>
  <si>
    <t>Bajaj Capital Limited - Global Private Wealth, Novus Tower, 1St Floor, Plot No. 18, Sector-18, Gurugram, Haryana-122015</t>
  </si>
  <si>
    <t>Bajaj House, 5Th Floor, Nehru Place, Delhi</t>
  </si>
  <si>
    <t>Summit Space, 11Th Floor, Tcg 3/3, Rohtas Summit Tower, Vibhutikhand,Luckow, Up - 226010</t>
  </si>
  <si>
    <t>23 Tariq Estate Opp.Universal Business Park,Kamani Oil Mill Lane,Chandivali Andheri East Mumbai 400 072.</t>
  </si>
  <si>
    <t>Office No 212A, Shyam Kamal Building, B2 Wing, Near Dinanath Mangeshkar Hall, Navpada, Vile Parle East, Vile Parle, Mumbai, Maharashtra 400057, India</t>
  </si>
  <si>
    <t>C-17, Sweet Sahara Chs, Opposite Gg College, Vasai</t>
  </si>
  <si>
    <t>304,Suman Tower,3Rd Cross Lane,Lokhandwala Complex,Andheri-(W),Mumbai-400053</t>
  </si>
  <si>
    <t>Sparc, Road No 10, Dagli Villa , Jvpd Scheme, Juhu, Mumbai 400049</t>
  </si>
  <si>
    <t>115/3957, Geet Govind Chs, Tilak Nagar, Chembur, Mumbai - 400089</t>
  </si>
  <si>
    <t>228/229 2Nd Floor, Majestic Shopping Center, Near Girgaon Church, Charni Road East Mumbai 400004</t>
  </si>
  <si>
    <t>Shop No 02 Next To Airport Metro Station A K Road Andheri East Mumbai 400059</t>
  </si>
  <si>
    <t>704, 7Th Floor, Suntek Crest, Cts 189/B Village, Kondivita, Mukund Nagar, Andheri-East, Mumbai-400059.</t>
  </si>
  <si>
    <t>Unit No. 202 - A Wing, 2Nd Floor, Natraj By Rustomjee, Sir M. V. Road, Western Express Highway, Andheri (East), Mumbai - 400 069, Maharashtra, India.</t>
  </si>
  <si>
    <t>B-304, Sankalp Siddhi Chs, Bhd. Dindoshi Bus Depot, Malad E</t>
  </si>
  <si>
    <t>The Dental Suite, Ground Floor, Rishiket Chs, Tanaji Malusare Marg (Irla Lane), Irla, Vile Parle West, Mumbai 400056</t>
  </si>
  <si>
    <t>606, A-Wing, La Chapelle, Evershine Nagar, Malad West, Mumbai – 400064</t>
  </si>
  <si>
    <t>De Elmas, Office No. 507/508, Sonawala Road, Next To Atlanta Building, Goregaon East, Mumbai – 400063.</t>
  </si>
  <si>
    <t>Location: 507,508 | De Elmas, Beside Ginger Hotel Sonawala Lane | Near Udyog Bhavan Goregaon (East), Mumbai 400063 | India</t>
  </si>
  <si>
    <t>Shop No. 2/3, Anand Bal Keni Chawl Bus Stop Jeevandeep Tower, Opp. Amrut Hotel, Next To Renuka Nagar, New Link Road, Kaandivali (W), Mumbai-400067.</t>
  </si>
  <si>
    <t>120, New Heera Panna Ind. Estate, Near Virwani Ind. Estate Goregaon-East, Mumbai-400063.</t>
  </si>
  <si>
    <t>310-311, Bombay Market Building, Near Tardeo Ac Market Building, Tardeo Road, Tardeo, Mumbai-Central, Mumbai- 400034, Maharashtra</t>
  </si>
  <si>
    <t xml:space="preserve"> PRIMARY CONTACT</t>
  </si>
  <si>
    <t>EMAIL ON  CARD</t>
  </si>
  <si>
    <t xml:space="preserve">TEMPLATE </t>
  </si>
  <si>
    <t>ACTION ON P-CONTACT</t>
  </si>
  <si>
    <t>ACTION ON W-CONTACT</t>
  </si>
  <si>
    <t>PROFILE STATUS</t>
  </si>
  <si>
    <t>ACTIVE</t>
  </si>
  <si>
    <t>UNDEFIND</t>
  </si>
  <si>
    <t>Preskha-jain</t>
  </si>
  <si>
    <t>Social-Outreach_Preksha-Jain</t>
  </si>
  <si>
    <t>INACTIVE</t>
  </si>
  <si>
    <t>PRERAK-VED</t>
  </si>
  <si>
    <t>ADITYA-VIKRAM-BHAT</t>
  </si>
  <si>
    <t>UNDIFIND</t>
  </si>
  <si>
    <t>Ahad-Shaikh</t>
  </si>
  <si>
    <t>Aneree-Satra</t>
  </si>
  <si>
    <t>Ayushi-Shah</t>
  </si>
  <si>
    <t>Dhvanil-Shah</t>
  </si>
  <si>
    <t>Dinesh-Soni</t>
  </si>
  <si>
    <t>Jalpa-Shah</t>
  </si>
  <si>
    <t>Kapil-Vaid</t>
  </si>
  <si>
    <t>Khushnam-Karanjia</t>
  </si>
  <si>
    <t>Krupali-Mahorey</t>
  </si>
  <si>
    <t>Megha-Agrawwal</t>
  </si>
  <si>
    <t>Naveen-Upadhyay</t>
  </si>
  <si>
    <t>Nitin-Ghadge</t>
  </si>
  <si>
    <t>Priyank-Sancheti</t>
  </si>
  <si>
    <t>Ramsevak-Verma</t>
  </si>
  <si>
    <t>Rinkal-Shah</t>
  </si>
  <si>
    <t>Rishabh-Chaudhary</t>
  </si>
  <si>
    <t>Sagar-Poojary</t>
  </si>
  <si>
    <t>Dr.Sanket-Brahmbhatt</t>
  </si>
  <si>
    <t>Simone-Dhanwani</t>
  </si>
  <si>
    <t>Sulakshana-Herekar</t>
  </si>
  <si>
    <t>Sunil-Akhade</t>
  </si>
  <si>
    <t>Arun-Gupta</t>
  </si>
  <si>
    <t>Kunal-Jain</t>
  </si>
  <si>
    <t>Sumanta-Banerjee</t>
  </si>
  <si>
    <t>Moin-Mistry</t>
  </si>
  <si>
    <t>UNACTIVE</t>
  </si>
  <si>
    <t>UNDIFINED</t>
  </si>
  <si>
    <t>Dilip-Murkute</t>
  </si>
  <si>
    <t>Mahesh-Bhanushali</t>
  </si>
  <si>
    <t>Dainik-Gothi</t>
  </si>
  <si>
    <t>Ramesh-Jain</t>
  </si>
  <si>
    <t>Deepa-Padda</t>
  </si>
  <si>
    <t>Column1</t>
  </si>
  <si>
    <t>Sunny-Mehta</t>
  </si>
  <si>
    <t>Pankaj-Kumar-Chaudhary</t>
  </si>
  <si>
    <t>Ajay-Agarwal</t>
  </si>
  <si>
    <t>Abhishek-Agarwal</t>
  </si>
  <si>
    <t>Ambrish-Agarwal</t>
  </si>
  <si>
    <t>Aatish-Patel</t>
  </si>
  <si>
    <t>Rakesh-Lakhotia</t>
  </si>
  <si>
    <t>Pooja-Jhunjhunwala</t>
  </si>
  <si>
    <t>Saket-Dongre</t>
  </si>
  <si>
    <t>Karan-Dabrai</t>
  </si>
  <si>
    <t>Lovely-Jagtiani</t>
  </si>
  <si>
    <t>Kejal-Punamia</t>
  </si>
  <si>
    <t>Prakash-Konar</t>
  </si>
  <si>
    <t>Pooja-Gupta</t>
  </si>
  <si>
    <t>Harsh-Kothari</t>
  </si>
  <si>
    <t>Devesh-Singh</t>
  </si>
  <si>
    <t>Rubyray</t>
  </si>
  <si>
    <t>Devendra-Kothari</t>
  </si>
  <si>
    <t>Darshan-Sanghavi</t>
  </si>
  <si>
    <t>Rajendra-Bhanushali</t>
  </si>
  <si>
    <t>Sameer-Khetani</t>
  </si>
  <si>
    <t>Pratik-Damani</t>
  </si>
  <si>
    <t>Dinesh-Toraskar</t>
  </si>
  <si>
    <t>Ramashankar-Patel</t>
  </si>
  <si>
    <t>Niyati-Mehta</t>
  </si>
  <si>
    <t>Pankti-Choksi</t>
  </si>
  <si>
    <t>Shweta-Girme</t>
  </si>
  <si>
    <t>Dhiirraj-Chhadwa</t>
  </si>
  <si>
    <t>Pankaj-Sonawane</t>
  </si>
  <si>
    <t>SAkshay-Thakur</t>
  </si>
  <si>
    <t>Kishor-Thakur</t>
  </si>
  <si>
    <t>Narendra-Verat</t>
  </si>
  <si>
    <t>Bhagwan-Jain</t>
  </si>
  <si>
    <t>Rajvi-Shah</t>
  </si>
  <si>
    <t>Arjun-Chaturvedi</t>
  </si>
  <si>
    <t>Nikunj-Gala</t>
  </si>
  <si>
    <t>Dharmesh-Patel</t>
  </si>
  <si>
    <t>Drmayankdoshi</t>
  </si>
  <si>
    <t>Bushra-Vora</t>
  </si>
  <si>
    <t>Jyoti-Mishra</t>
  </si>
  <si>
    <t>Mitali-Raut</t>
  </si>
  <si>
    <t>Ranjana-Upadhyay</t>
  </si>
  <si>
    <t>Mohit-Mehta</t>
  </si>
  <si>
    <t>Chirag-Jain</t>
  </si>
  <si>
    <t>Mitheel-Jagada</t>
  </si>
  <si>
    <t>Vicky-Bafna</t>
  </si>
  <si>
    <t>Mustafa-Shabbir</t>
  </si>
  <si>
    <t>Vishal-Panchal</t>
  </si>
  <si>
    <t>Hardik-Gadhia</t>
  </si>
  <si>
    <t>Lavesh-Kothari</t>
  </si>
  <si>
    <t>Krupa-Shah</t>
  </si>
  <si>
    <t>Vikaash-Verma</t>
  </si>
  <si>
    <t>Jayesh-Meghnani</t>
  </si>
  <si>
    <t>Dr.Ajinkya-Raut</t>
  </si>
  <si>
    <t>Sirisha-Ravuri</t>
  </si>
  <si>
    <t>Chetan-Joshi</t>
  </si>
  <si>
    <t>Ruma-Desai</t>
  </si>
  <si>
    <t>Bina-Pandit</t>
  </si>
  <si>
    <t>Alpesh-Shah</t>
  </si>
  <si>
    <t>Pushpendra-Jain</t>
  </si>
  <si>
    <t>Mohit-Shah</t>
  </si>
  <si>
    <t>Tejas-Sanghvi</t>
  </si>
  <si>
    <t>Erina-Jain</t>
  </si>
  <si>
    <t>Deepak-Kumar</t>
  </si>
  <si>
    <t>Rushabh-Somani</t>
  </si>
  <si>
    <t>Dr.Riddhi-Shah</t>
  </si>
  <si>
    <t>Krishna-Thalesar</t>
  </si>
  <si>
    <t>Shubham-Patil</t>
  </si>
  <si>
    <t>Hardik-Purohit</t>
  </si>
  <si>
    <t>Suchi-Shah</t>
  </si>
  <si>
    <t>Milan-Pandya</t>
  </si>
  <si>
    <t>Purvi-Baj</t>
  </si>
  <si>
    <t>Sagar-Pothan</t>
  </si>
  <si>
    <t>Darshana-Bhatt</t>
  </si>
  <si>
    <t>Nilay-Bhatter</t>
  </si>
  <si>
    <t>Minal-Nathvani</t>
  </si>
  <si>
    <t>Naitri-Mehta</t>
  </si>
  <si>
    <t>Sandeep-Duggal</t>
  </si>
  <si>
    <t>Nirmal-Tak</t>
  </si>
  <si>
    <t>Poonam-Gupta</t>
  </si>
  <si>
    <t>Afshan-Nafis</t>
  </si>
  <si>
    <t>Prashanth-Solanki</t>
  </si>
  <si>
    <t>Mahesh-Patel</t>
  </si>
  <si>
    <t>Winston-Fernandes</t>
  </si>
  <si>
    <t>Viralbhai-Patel</t>
  </si>
  <si>
    <t>Arif-Sayed</t>
  </si>
  <si>
    <t>Seema-Makwana</t>
  </si>
  <si>
    <t>Prasanna-Khare</t>
  </si>
  <si>
    <t>Devanshi-Shah</t>
  </si>
  <si>
    <t>Krupa-Mehta</t>
  </si>
  <si>
    <t>Ashay-Save</t>
  </si>
  <si>
    <t>Praveen-Vishwakarma</t>
  </si>
  <si>
    <t>Smit-Shah</t>
  </si>
  <si>
    <t>UNDIFIBED</t>
  </si>
  <si>
    <t>UNDIFNED</t>
  </si>
  <si>
    <t>Ajay-Parmar</t>
  </si>
  <si>
    <t>Avro-Mukerji</t>
  </si>
  <si>
    <t>Vipin-Anand</t>
  </si>
  <si>
    <t>Vijayendra-Chopra</t>
  </si>
  <si>
    <t>Vijay-Kumar-Devakath</t>
  </si>
  <si>
    <t>Taufeeq-Mirza-Beg</t>
  </si>
  <si>
    <t>Sunil-S</t>
  </si>
  <si>
    <t>Siddharth-Chauhan</t>
  </si>
  <si>
    <t>Shubham-Saxena</t>
  </si>
  <si>
    <t>Shikha-Goyal</t>
  </si>
  <si>
    <t>Sharad-Mittal</t>
  </si>
  <si>
    <t>Suyash-Bajoria</t>
  </si>
  <si>
    <t>Suresh-Bajoria</t>
  </si>
  <si>
    <t>Mehul-Desai</t>
  </si>
  <si>
    <t>Bulbul-Agrawal</t>
  </si>
  <si>
    <t>Dhaval-Vasavada</t>
  </si>
  <si>
    <t>Gaurav-Singh</t>
  </si>
  <si>
    <t>Hanumantha-Rao</t>
  </si>
  <si>
    <t>Himanshu-Saxena</t>
  </si>
  <si>
    <t>Jayant-Ganguly</t>
  </si>
  <si>
    <t>Jinesh-Nair</t>
  </si>
  <si>
    <t>Kalpesh-Dave</t>
  </si>
  <si>
    <t>Karan-Chetry</t>
  </si>
  <si>
    <t>Karan-Rajgarhia</t>
  </si>
  <si>
    <t>Megha-Upadhyay</t>
  </si>
  <si>
    <t>Moushumi-Roy</t>
  </si>
  <si>
    <t>Moushumi-Tiwary</t>
  </si>
  <si>
    <t>Nagesh-Tiwari</t>
  </si>
  <si>
    <t>Neha-Talwar</t>
  </si>
  <si>
    <t>Niraj-Kumar</t>
  </si>
  <si>
    <t>Nitin-Kale</t>
  </si>
  <si>
    <t>Nizamuddin-Qutubuddin</t>
  </si>
  <si>
    <t>Prerak-Desai</t>
  </si>
  <si>
    <t>Sandeep-Anant-Ambekar</t>
  </si>
  <si>
    <t>Sangram-Mohanty</t>
  </si>
  <si>
    <t>Sanjay-Mishra</t>
  </si>
  <si>
    <t>Sanjeev-Maheshwari</t>
  </si>
  <si>
    <t>Satis-Monga</t>
  </si>
  <si>
    <t>Saurabh-Bhargava</t>
  </si>
  <si>
    <t>Piyush-Dhawan</t>
  </si>
  <si>
    <t>Aryan-Dandhania</t>
  </si>
  <si>
    <t>Vinay-Mohan</t>
  </si>
  <si>
    <t>Karthik-Bhandari</t>
  </si>
  <si>
    <t>Balwant-Singh</t>
  </si>
  <si>
    <t>Ved-Prakash</t>
  </si>
  <si>
    <t>Deepika-Jaiswal</t>
  </si>
  <si>
    <t>Ravi-Dewani</t>
  </si>
  <si>
    <t>Manmeet-Ahluwalia</t>
  </si>
  <si>
    <t>Abhishek-Juneja</t>
  </si>
  <si>
    <t>Aseem-Juneja</t>
  </si>
  <si>
    <t>Mithru-Parthipan</t>
  </si>
  <si>
    <t>Chirayu-Bendre</t>
  </si>
  <si>
    <t>Sameer-Shah</t>
  </si>
  <si>
    <t>Artz_Sufiyan</t>
  </si>
  <si>
    <t>Ankush-Gourshettiwar</t>
  </si>
  <si>
    <t>Prashant-Thakor</t>
  </si>
  <si>
    <t>Car_Ashu</t>
  </si>
  <si>
    <t>Anup-Chauhan</t>
  </si>
  <si>
    <t>Ritweek-Ray</t>
  </si>
  <si>
    <t>Artz_Salman</t>
  </si>
  <si>
    <t>Aditya-Jaiswal</t>
  </si>
  <si>
    <t>Manish-Gupta</t>
  </si>
  <si>
    <t>Khailendra-Singh</t>
  </si>
  <si>
    <t>Mohit-Jain</t>
  </si>
  <si>
    <t>Newdelhi_Vijay</t>
  </si>
  <si>
    <t>Vaibhav-Solanki</t>
  </si>
  <si>
    <t>Harsh-Gandhi</t>
  </si>
  <si>
    <t>Vinit-Chauhan</t>
  </si>
  <si>
    <t>Yamank-Pattidar</t>
  </si>
  <si>
    <t>Nikhil-Desai</t>
  </si>
  <si>
    <t>Thewritemind</t>
  </si>
  <si>
    <t>Binita-Zaveri</t>
  </si>
  <si>
    <t>AMOL-PARSE</t>
  </si>
  <si>
    <t>DEVANG-RAMI</t>
  </si>
  <si>
    <t>KC-MOHAN</t>
  </si>
  <si>
    <t>PRITESH-PRAJAPATI</t>
  </si>
  <si>
    <t>BHARAT-PANDYA</t>
  </si>
  <si>
    <t>SIDDHARTH-ZAVERI</t>
  </si>
  <si>
    <t>SHOBBHIT-ZAVERI</t>
  </si>
  <si>
    <t>ASHOK-SINGH</t>
  </si>
  <si>
    <t>SIDDHESH-KHEDEKAR</t>
  </si>
  <si>
    <t>SANDEEP-ARORA</t>
  </si>
  <si>
    <t>ASHUTOSH-CHAPTEKAR</t>
  </si>
  <si>
    <t>DEEPAKKUMAR-DAS</t>
  </si>
  <si>
    <t>RAM-GUJJAR</t>
  </si>
  <si>
    <t>K.V.S.-PRASAD</t>
  </si>
  <si>
    <t>M-SURIYA</t>
  </si>
  <si>
    <t>SHIVRAJ-SINGH</t>
  </si>
  <si>
    <t>Rohan-Kadu</t>
  </si>
  <si>
    <t>Chandorkar&amp;Associates</t>
  </si>
  <si>
    <t>Dharna</t>
  </si>
  <si>
    <t>Samveg-Mehta</t>
  </si>
  <si>
    <t>Deepak-Variya</t>
  </si>
  <si>
    <t>DEEPK-A-VARIYA-&amp;-CO. DEEPAK-VARIYA</t>
  </si>
  <si>
    <t>Jai-Pangaonkar</t>
  </si>
  <si>
    <t>Himani-Jain</t>
  </si>
  <si>
    <t>Sourabh-Chandorkar</t>
  </si>
  <si>
    <t>Devanshi</t>
  </si>
  <si>
    <t>Vidhi</t>
  </si>
  <si>
    <t>Karan-Gaikwad</t>
  </si>
  <si>
    <t>Mustafa-Darukhanawala</t>
  </si>
  <si>
    <t>Raahuul-Advani</t>
  </si>
  <si>
    <t>Habiba-Kudrati</t>
  </si>
  <si>
    <t>Hetaal-Sethia</t>
  </si>
  <si>
    <t>Anurag-Chaturvedi</t>
  </si>
  <si>
    <t>Shraddha-Shah</t>
  </si>
  <si>
    <t>Anosh-Koppikar</t>
  </si>
  <si>
    <t>Aaina-Chavan</t>
  </si>
  <si>
    <t>Dipti-Thorat</t>
  </si>
  <si>
    <t>Amita-Matkar</t>
  </si>
  <si>
    <t>Rahaman-Jamilur</t>
  </si>
  <si>
    <t>Chaitali-Jhaveri</t>
  </si>
  <si>
    <t>Nikitaa-Shah</t>
  </si>
  <si>
    <t>Tejal-Solanki</t>
  </si>
  <si>
    <t>Sabha-Khan</t>
  </si>
  <si>
    <t>Sourav-Mukherjee</t>
  </si>
  <si>
    <t>Bhavika-Trivedi</t>
  </si>
  <si>
    <t>Nayan-Sadhwani</t>
  </si>
  <si>
    <t>Abbas-Sayyed</t>
  </si>
  <si>
    <t>Shruti-Panhale</t>
  </si>
  <si>
    <t>Aftab-Khan</t>
  </si>
  <si>
    <t>Natasha-Devadiga</t>
  </si>
  <si>
    <t>Aruna-Karia</t>
  </si>
  <si>
    <t>Rishabh-Dinesh-Chaudhary</t>
  </si>
  <si>
    <t>Mr.Abdulla-Fatiya</t>
  </si>
  <si>
    <t>Om-Dave</t>
  </si>
  <si>
    <t>Jayesh-Khatri</t>
  </si>
  <si>
    <t>Ashish-Shah</t>
  </si>
  <si>
    <t>Chirag-Shukla</t>
  </si>
  <si>
    <t>Vivek-Kedia</t>
  </si>
  <si>
    <t>Jaiprakash-Todi</t>
  </si>
  <si>
    <t>Pooja-Karnik</t>
  </si>
  <si>
    <t>Raujesh-Agarrwal</t>
  </si>
  <si>
    <t>Nilesh-Chavan</t>
  </si>
  <si>
    <t>Sutanu-Nayak</t>
  </si>
  <si>
    <t>Ronitt-Agarrwal</t>
  </si>
  <si>
    <t>Drsaurabh-Agarwal</t>
  </si>
  <si>
    <t>Drkirankumar-Madpathi</t>
  </si>
  <si>
    <t>Kunal-Ramchandani</t>
  </si>
  <si>
    <t>Abhishek-Sonthalia</t>
  </si>
  <si>
    <t>Chander-Chhabriya</t>
  </si>
  <si>
    <t>Jay-Devecha</t>
  </si>
  <si>
    <t>Masoom-Shah</t>
  </si>
  <si>
    <t>Subhojeet-Chaterjee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</si>
</sst>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8">
    <font>
      <sz val="10"/>
      <color rgb="FF000000"/>
      <name val="Arial"/>
      <scheme val="minor"/>
    </font>
    <font>
      <sz val="11"/>
      <color theme="1"/>
      <name val="Arial"/>
      <family val="2"/>
      <scheme val="minor"/>
    </font>
    <font>
      <sz val="10"/>
      <color theme="1"/>
      <name val="Arial"/>
      <scheme val="minor"/>
    </font>
    <font>
      <b/>
      <sz val="10"/>
      <color theme="1"/>
      <name val="Arial"/>
    </font>
    <font>
      <sz val="11"/>
      <color rgb="FF000000"/>
      <name val="&quot;Aptos Narrow&quot;"/>
    </font>
    <font>
      <sz val="10"/>
      <color theme="1"/>
      <name val="Arial"/>
    </font>
    <font>
      <u/>
      <sz val="10"/>
      <color rgb="FF1155CC"/>
      <name val="Arial"/>
    </font>
    <font>
      <sz val="11"/>
      <color rgb="FF000000"/>
      <name val="Arial"/>
    </font>
    <font>
      <sz val="11"/>
      <color theme="1"/>
      <name val="Arial"/>
    </font>
    <font>
      <sz val="11"/>
      <color theme="1"/>
      <name val="Open Sans"/>
    </font>
    <font>
      <u/>
      <sz val="10"/>
      <color rgb="FF0000FF"/>
      <name val="Arial"/>
    </font>
    <font>
      <sz val="10"/>
      <color rgb="FF181C32"/>
      <name val="Inter"/>
    </font>
    <font>
      <u/>
      <sz val="10"/>
      <color rgb="FF1155CC"/>
      <name val="Arial"/>
    </font>
    <font>
      <sz val="11"/>
      <color theme="1"/>
      <name val="Montserrat"/>
    </font>
    <font>
      <u/>
      <sz val="10"/>
      <color rgb="FF0000FF"/>
      <name val="Arial"/>
    </font>
    <font>
      <u/>
      <sz val="10"/>
      <color rgb="FF0000FF"/>
      <name val="Arial"/>
    </font>
    <font>
      <u/>
      <sz val="10"/>
      <color rgb="FF1155CC"/>
      <name val="Arial"/>
    </font>
    <font>
      <u/>
      <sz val="10"/>
      <color rgb="FF0000FF"/>
      <name val="Arial"/>
    </font>
    <font>
      <u/>
      <sz val="10"/>
      <color rgb="FF0000FF"/>
      <name val="Arial"/>
    </font>
    <font>
      <sz val="10"/>
      <color theme="1"/>
      <name val="Inter"/>
    </font>
    <font>
      <sz val="11"/>
      <color theme="1"/>
      <name val="Helvetica"/>
    </font>
    <font>
      <u/>
      <sz val="10"/>
      <color rgb="FF0000FF"/>
      <name val="Arial"/>
    </font>
    <font>
      <sz val="9"/>
      <color rgb="FF181C32"/>
      <name val="Inter"/>
    </font>
    <font>
      <u/>
      <sz val="10"/>
      <color rgb="FF1155CC"/>
      <name val="Arial"/>
    </font>
    <font>
      <u/>
      <sz val="10"/>
      <color rgb="FF0000FF"/>
      <name val="Arial"/>
    </font>
    <font>
      <sz val="11"/>
      <color theme="1"/>
      <name val="Times New Roman"/>
    </font>
    <font>
      <sz val="10"/>
      <color theme="1"/>
      <name val="Montserrat"/>
    </font>
    <font>
      <u/>
      <sz val="10"/>
      <color rgb="FF0000FF"/>
      <name val="Helvetica"/>
    </font>
    <font>
      <sz val="10"/>
      <color theme="1"/>
      <name val="Helvetica"/>
    </font>
    <font>
      <u/>
      <sz val="10"/>
      <color rgb="FF0000FF"/>
      <name val="Arial"/>
    </font>
    <font>
      <u/>
      <sz val="10"/>
      <color rgb="FF0000FF"/>
      <name val="Montserrat"/>
    </font>
    <font>
      <sz val="11"/>
      <color theme="1"/>
      <name val="Ysabeau Infant"/>
    </font>
    <font>
      <u/>
      <sz val="10"/>
      <color rgb="FF0000FF"/>
      <name val="Ysabeau Infant"/>
    </font>
    <font>
      <sz val="10"/>
      <color theme="1"/>
      <name val="Ysabeau Infant"/>
    </font>
    <font>
      <sz val="10"/>
      <color theme="1"/>
      <name val="Times New Roman"/>
    </font>
    <font>
      <u/>
      <sz val="10"/>
      <color rgb="FF0000FF"/>
      <name val="Lato"/>
    </font>
    <font>
      <sz val="11"/>
      <color theme="1"/>
      <name val="Lato"/>
    </font>
    <font>
      <u/>
      <sz val="10"/>
      <color rgb="FF1155CC"/>
      <name val="Arial"/>
    </font>
    <font>
      <u/>
      <sz val="10"/>
      <color rgb="FF1155CC"/>
      <name val="Arial"/>
    </font>
    <font>
      <u/>
      <sz val="10"/>
      <color rgb="FF0000FF"/>
      <name val="Lexend Peta"/>
    </font>
    <font>
      <sz val="11"/>
      <color theme="1"/>
      <name val="Lexend Peta"/>
    </font>
    <font>
      <u/>
      <sz val="10"/>
      <color rgb="FF0000FF"/>
      <name val="Satisfy"/>
    </font>
    <font>
      <sz val="11"/>
      <color theme="1"/>
      <name val="Satisfy"/>
    </font>
    <font>
      <u/>
      <sz val="10"/>
      <color rgb="FF0000FF"/>
      <name val="Montserrat"/>
    </font>
    <font>
      <u/>
      <sz val="10"/>
      <color rgb="FF0000FF"/>
      <name val="Lexend Peta"/>
    </font>
    <font>
      <sz val="11"/>
      <color theme="1"/>
      <name val="EB Garamond"/>
    </font>
    <font>
      <u/>
      <sz val="10"/>
      <color rgb="FF0000FF"/>
      <name val="Montserrat"/>
    </font>
    <font>
      <u/>
      <sz val="10"/>
      <color rgb="FF0000FF"/>
      <name val="Open Sans"/>
    </font>
    <font>
      <u/>
      <sz val="10"/>
      <color rgb="FF0000FF"/>
      <name val="Open Sans"/>
    </font>
    <font>
      <u/>
      <sz val="10"/>
      <color rgb="FF0000FF"/>
      <name val="Montserrat"/>
    </font>
    <font>
      <u/>
      <sz val="10"/>
      <color rgb="FF0000FF"/>
      <name val="Arial"/>
    </font>
    <font>
      <sz val="10"/>
      <color theme="1"/>
      <name val="Open Sans"/>
    </font>
    <font>
      <sz val="10"/>
      <color rgb="FF000000"/>
      <name val="Arial"/>
      <scheme val="minor"/>
    </font>
    <font>
      <u/>
      <sz val="10"/>
      <color rgb="FF000000"/>
      <name val="Arial"/>
    </font>
    <font>
      <u/>
      <sz val="10"/>
      <color rgb="FF1155CC"/>
      <name val="Arial"/>
    </font>
    <font>
      <u/>
      <sz val="10"/>
      <color rgb="FF000000"/>
      <name val="Arial"/>
    </font>
    <font>
      <u/>
      <sz val="10"/>
      <color rgb="FF0000FF"/>
      <name val="Arial"/>
    </font>
    <font>
      <u/>
      <sz val="10"/>
      <color rgb="FF0000FF"/>
      <name val="Arial"/>
    </font>
    <font>
      <u/>
      <sz val="10"/>
      <color rgb="FF1155CC"/>
      <name val="Arial"/>
    </font>
    <font>
      <u/>
      <sz val="10"/>
      <color rgb="FF0000FF"/>
      <name val="Montserrat"/>
    </font>
    <font>
      <u/>
      <sz val="10"/>
      <color rgb="FF0000FF"/>
      <name val="Arial"/>
    </font>
    <font>
      <u/>
      <sz val="10"/>
      <color rgb="FF000000"/>
      <name val="Arial"/>
    </font>
    <font>
      <u/>
      <sz val="10"/>
      <color rgb="FF1155CC"/>
      <name val="Arial"/>
    </font>
    <font>
      <u/>
      <sz val="10"/>
      <color rgb="FF0000FF"/>
      <name val="Sans-serif"/>
    </font>
    <font>
      <sz val="11"/>
      <color theme="1"/>
      <name val="Sans-serif"/>
    </font>
    <font>
      <u/>
      <sz val="10"/>
      <color rgb="FF0000FF"/>
      <name val="Sans-serif"/>
    </font>
    <font>
      <sz val="11"/>
      <color theme="1"/>
      <name val="Roboto"/>
    </font>
    <font>
      <sz val="10"/>
      <color theme="1"/>
      <name val="Roboto"/>
    </font>
    <font>
      <u/>
      <sz val="10"/>
      <color rgb="FF0000FF"/>
      <name val="Roboto"/>
    </font>
    <font>
      <sz val="10"/>
      <color rgb="FF000000"/>
      <name val="Arial"/>
    </font>
    <font>
      <sz val="11"/>
      <color theme="1"/>
      <name val="Belanosima"/>
    </font>
    <font>
      <sz val="12"/>
      <color rgb="FFFFFFFF"/>
      <name val="Inter"/>
    </font>
    <font>
      <sz val="10"/>
      <color theme="1"/>
      <name val="Sans-serif"/>
    </font>
    <font>
      <u/>
      <sz val="10"/>
      <color rgb="FF0000FF"/>
      <name val="Sans-serif"/>
    </font>
    <font>
      <u/>
      <sz val="10"/>
      <color rgb="FF0000FF"/>
      <name val="Arial"/>
    </font>
    <font>
      <u/>
      <sz val="10"/>
      <color rgb="FF0000FF"/>
      <name val="Times New Roman"/>
    </font>
    <font>
      <u/>
      <sz val="10"/>
      <color rgb="FF0000FF"/>
      <name val="Belanosima"/>
    </font>
    <font>
      <sz val="10"/>
      <color theme="1"/>
      <name val="Belanosima"/>
    </font>
    <font>
      <u/>
      <sz val="10"/>
      <color rgb="FF0000FF"/>
      <name val="Times New Roman"/>
    </font>
    <font>
      <u/>
      <sz val="10"/>
      <color rgb="FF0000FF"/>
      <name val="Times New Roman"/>
    </font>
    <font>
      <u/>
      <sz val="10"/>
      <color rgb="FF0000FF"/>
      <name val="Sans-serif"/>
    </font>
    <font>
      <u/>
      <sz val="10"/>
      <color rgb="FF0000FF"/>
      <name val="Sans-serif"/>
    </font>
    <font>
      <u/>
      <sz val="10"/>
      <color rgb="FF0000FF"/>
      <name val="Roboto"/>
    </font>
    <font>
      <u/>
      <sz val="10"/>
      <color rgb="FF0000FF"/>
      <name val="Sans-serif"/>
    </font>
    <font>
      <u/>
      <sz val="10"/>
      <color rgb="FF0000FF"/>
      <name val="Open Sans"/>
    </font>
    <font>
      <u/>
      <sz val="10"/>
      <color rgb="FF0000FF"/>
      <name val="Times New Roman"/>
    </font>
    <font>
      <u/>
      <sz val="10"/>
      <color rgb="FF0000FF"/>
      <name val="Belanosima"/>
    </font>
    <font>
      <u/>
      <sz val="10"/>
      <color rgb="FF0000FF"/>
      <name val="Belanosima"/>
    </font>
    <font>
      <u/>
      <sz val="10"/>
      <color rgb="FF0000FF"/>
      <name val="Lato"/>
    </font>
    <font>
      <sz val="10"/>
      <color theme="1"/>
      <name val="Lato"/>
    </font>
    <font>
      <u/>
      <sz val="9"/>
      <color rgb="FF0000FF"/>
      <name val="Sans-serif"/>
    </font>
    <font>
      <u/>
      <sz val="9"/>
      <color rgb="FF0000FF"/>
      <name val="Sans-serif"/>
    </font>
    <font>
      <u/>
      <sz val="9"/>
      <color rgb="FF0000FF"/>
      <name val="Open Sans"/>
    </font>
    <font>
      <u/>
      <sz val="11"/>
      <color rgb="FF000000"/>
      <name val="&quot;Aptos Narrow&quot;"/>
    </font>
    <font>
      <u/>
      <sz val="11"/>
      <color rgb="FF000000"/>
      <name val="Arial"/>
    </font>
    <font>
      <i/>
      <sz val="11"/>
      <color rgb="FF000000"/>
      <name val="&quot;Aptos Narrow&quot;"/>
    </font>
    <font>
      <u/>
      <sz val="10"/>
      <color rgb="FF0000FF"/>
      <name val="Arial"/>
    </font>
    <font>
      <u/>
      <sz val="10"/>
      <color rgb="FF0000FF"/>
      <name val="Arial"/>
    </font>
    <font>
      <sz val="11"/>
      <color theme="1"/>
      <name val="Aptos Narrow"/>
    </font>
    <font>
      <u/>
      <sz val="10"/>
      <color rgb="FF0000FF"/>
      <name val="Arial"/>
    </font>
    <font>
      <u/>
      <sz val="10"/>
      <color rgb="FF1155CC"/>
      <name val="Arial"/>
    </font>
    <font>
      <u/>
      <sz val="10"/>
      <color rgb="FF0000FF"/>
      <name val="Arial"/>
    </font>
    <font>
      <u/>
      <sz val="10"/>
      <color rgb="FF0000FF"/>
      <name val="Arial"/>
    </font>
    <font>
      <u/>
      <sz val="10"/>
      <color rgb="FF0000FF"/>
      <name val="Montserrat"/>
    </font>
    <font>
      <u/>
      <sz val="10"/>
      <color theme="1"/>
      <name val="Arial"/>
    </font>
    <font>
      <u/>
      <sz val="10"/>
      <color theme="1"/>
      <name val="Montserrat"/>
    </font>
    <font>
      <u/>
      <sz val="10"/>
      <color rgb="FF1155CC"/>
      <name val="Arial"/>
    </font>
    <font>
      <u/>
      <sz val="10"/>
      <color rgb="FF0000FF"/>
      <name val="Roboto"/>
    </font>
    <font>
      <u/>
      <sz val="11"/>
      <color rgb="FF000000"/>
      <name val="&quot;Aptos Narrow&quot;"/>
    </font>
    <font>
      <u/>
      <sz val="10"/>
      <color rgb="FF1155CC"/>
      <name val="Arial"/>
    </font>
    <font>
      <sz val="10"/>
      <color theme="1"/>
      <name val="Arial"/>
      <scheme val="minor"/>
    </font>
    <font>
      <u/>
      <sz val="10"/>
      <color rgb="FF0000FF"/>
      <name val="Open Sans"/>
    </font>
    <font>
      <u/>
      <sz val="10"/>
      <color theme="1"/>
      <name val="Open Sans"/>
    </font>
    <font>
      <sz val="10"/>
      <color theme="1"/>
      <name val="Arial"/>
    </font>
    <font>
      <sz val="10"/>
      <color theme="1"/>
      <name val="Open Sans"/>
    </font>
    <font>
      <sz val="10"/>
      <color rgb="FF000000"/>
      <name val="&quot;Aptos Narrow&quot;"/>
    </font>
    <font>
      <u/>
      <sz val="10"/>
      <color rgb="FF434343"/>
      <name val="Roboto"/>
    </font>
    <font>
      <u/>
      <sz val="10"/>
      <color rgb="FF1155CC"/>
      <name val="Arial"/>
    </font>
    <font>
      <u/>
      <sz val="10"/>
      <color rgb="FF0000FF"/>
      <name val="Arial"/>
    </font>
    <font>
      <u/>
      <sz val="10"/>
      <color theme="1"/>
      <name val="Open Sans"/>
    </font>
    <font>
      <u/>
      <sz val="10"/>
      <color rgb="FF0000FF"/>
      <name val="Arial"/>
    </font>
    <font>
      <u/>
      <sz val="10"/>
      <color rgb="FF0000FF"/>
      <name val="Roboto"/>
    </font>
    <font>
      <u/>
      <sz val="10"/>
      <color rgb="FF0000FF"/>
      <name val="Arial"/>
    </font>
    <font>
      <u/>
      <sz val="10"/>
      <color rgb="FF0000FF"/>
      <name val="Open Sans"/>
    </font>
    <font>
      <u/>
      <sz val="10"/>
      <color rgb="FF0000FF"/>
      <name val="Arial"/>
    </font>
    <font>
      <sz val="10"/>
      <color rgb="FF000000"/>
      <name val="Arial"/>
    </font>
    <font>
      <sz val="10"/>
      <color rgb="FF000000"/>
      <name val="Montserrat"/>
    </font>
    <font>
      <u/>
      <sz val="10"/>
      <color rgb="FF434343"/>
      <name val="Roboto"/>
    </font>
    <font>
      <u/>
      <sz val="10"/>
      <color rgb="FF0000FF"/>
      <name val="Sans-serif"/>
    </font>
    <font>
      <sz val="10"/>
      <color theme="1"/>
      <name val="Sans-serif"/>
    </font>
    <font>
      <u/>
      <sz val="10"/>
      <color rgb="FF0000FF"/>
      <name val="Arial"/>
    </font>
    <font>
      <sz val="10"/>
      <color rgb="FF000000"/>
      <name val="Karla"/>
    </font>
    <font>
      <sz val="10"/>
      <color rgb="FFAAB9CA"/>
      <name val="Karla"/>
    </font>
    <font>
      <sz val="10"/>
      <color rgb="FF0D0505"/>
      <name val="Open Sans"/>
    </font>
    <font>
      <u/>
      <sz val="10"/>
      <color rgb="FF1155CC"/>
      <name val="Arial"/>
    </font>
    <font>
      <u/>
      <sz val="10"/>
      <color rgb="FF0000FF"/>
      <name val="Arial"/>
    </font>
    <font>
      <sz val="10"/>
      <color rgb="FF434343"/>
      <name val="Roboto"/>
    </font>
    <font>
      <u/>
      <sz val="9"/>
      <color rgb="FF0000FF"/>
      <name val="Open Sans"/>
    </font>
    <font>
      <sz val="11"/>
      <color rgb="FF434343"/>
      <name val="Roboto"/>
    </font>
    <font>
      <u/>
      <sz val="10"/>
      <color rgb="FF434343"/>
      <name val="Roboto"/>
    </font>
    <font>
      <u/>
      <sz val="10"/>
      <color rgb="FF1155CC"/>
      <name val="Arial"/>
    </font>
    <font>
      <u/>
      <sz val="9"/>
      <color rgb="FF0000FF"/>
      <name val="Sans-serif"/>
    </font>
    <font>
      <u/>
      <sz val="9"/>
      <color rgb="FF0000FF"/>
      <name val="Montserrat"/>
    </font>
    <font>
      <u/>
      <sz val="10"/>
      <color rgb="FF434343"/>
      <name val="Roboto"/>
    </font>
    <font>
      <u/>
      <sz val="10"/>
      <color rgb="FF434343"/>
      <name val="Roboto"/>
    </font>
    <font>
      <u/>
      <sz val="10"/>
      <color rgb="FF0000FF"/>
      <name val="Arial"/>
    </font>
    <font>
      <u/>
      <sz val="11"/>
      <color rgb="FF0000FF"/>
      <name val="Arial"/>
    </font>
    <font>
      <u/>
      <sz val="10"/>
      <color rgb="FF434343"/>
      <name val="Roboto"/>
    </font>
    <font>
      <u/>
      <sz val="10"/>
      <color rgb="FF434343"/>
      <name val="Roboto"/>
    </font>
    <font>
      <u/>
      <sz val="11"/>
      <color rgb="FF000000"/>
      <name val="Arial"/>
    </font>
    <font>
      <u/>
      <sz val="10"/>
      <color rgb="FF434343"/>
      <name val="Roboto"/>
    </font>
    <font>
      <u/>
      <sz val="11"/>
      <color rgb="FF0000FF"/>
      <name val="Calibri"/>
    </font>
    <font>
      <sz val="11"/>
      <color theme="1"/>
      <name val="Calibri"/>
    </font>
    <font>
      <sz val="11"/>
      <color rgb="FF000000"/>
      <name val="Calibri"/>
    </font>
    <font>
      <u/>
      <sz val="11"/>
      <color rgb="FF0000FF"/>
      <name val="Calibri"/>
    </font>
    <font>
      <sz val="9"/>
      <color theme="1"/>
      <name val="Segoe UI Historic"/>
    </font>
    <font>
      <sz val="11"/>
      <color rgb="FFCDC8C8"/>
      <name val="Montserrat"/>
    </font>
    <font>
      <u/>
      <sz val="10"/>
      <color rgb="FF1155CC"/>
      <name val="Arial"/>
    </font>
    <font>
      <sz val="9"/>
      <color theme="1"/>
      <name val="Calibri"/>
    </font>
    <font>
      <u/>
      <sz val="9"/>
      <color rgb="FF0000FF"/>
      <name val="Calibri"/>
    </font>
    <font>
      <u/>
      <sz val="9"/>
      <color theme="1"/>
      <name val="Calibri"/>
    </font>
    <font>
      <sz val="11"/>
      <color rgb="FF434343"/>
      <name val="Calibri"/>
    </font>
    <font>
      <u/>
      <sz val="9"/>
      <color rgb="FF434343"/>
      <name val="Calibri"/>
    </font>
    <font>
      <sz val="9"/>
      <color rgb="FF434343"/>
      <name val="Calibri"/>
    </font>
    <font>
      <u/>
      <sz val="9"/>
      <color rgb="FF1155CC"/>
      <name val="Calibri"/>
    </font>
    <font>
      <u/>
      <sz val="9"/>
      <color rgb="FF434343"/>
      <name val="Calibri"/>
    </font>
    <font>
      <b/>
      <u/>
      <sz val="9"/>
      <color rgb="FF1155CC"/>
      <name val="Calibri"/>
    </font>
    <font>
      <u/>
      <sz val="9"/>
      <color rgb="FF1155CC"/>
      <name val="Calibri"/>
    </font>
    <font>
      <u/>
      <sz val="9"/>
      <color rgb="FF434343"/>
      <name val="Calibri"/>
    </font>
    <font>
      <b/>
      <u/>
      <sz val="9"/>
      <color rgb="FF1155CC"/>
      <name val="Calibri"/>
    </font>
    <font>
      <u/>
      <sz val="9"/>
      <color rgb="FF1155CC"/>
      <name val="Calibri"/>
    </font>
    <font>
      <u/>
      <sz val="9"/>
      <color rgb="FF467886"/>
      <name val="Calibri"/>
    </font>
    <font>
      <u/>
      <sz val="9"/>
      <color rgb="FF434343"/>
      <name val="Calibri"/>
    </font>
    <font>
      <u/>
      <sz val="9"/>
      <color rgb="FF467886"/>
      <name val="Calibri"/>
    </font>
    <font>
      <u/>
      <sz val="10"/>
      <color rgb="FF1155CC"/>
      <name val="Arial"/>
    </font>
    <font>
      <u/>
      <sz val="10"/>
      <color rgb="FF1155CC"/>
      <name val="Arial"/>
    </font>
    <font>
      <u/>
      <sz val="10"/>
      <color rgb="FF434343"/>
      <name val="Roboto"/>
    </font>
    <font>
      <u/>
      <sz val="10"/>
      <color rgb="FF1155CC"/>
      <name val="Arial"/>
      <scheme val="minor"/>
    </font>
    <font>
      <sz val="10"/>
      <name val="Arial"/>
    </font>
    <font>
      <sz val="11"/>
      <color theme="1"/>
      <name val="Arial"/>
      <scheme val="minor"/>
    </font>
    <font>
      <u/>
      <sz val="10"/>
      <name val="Helvetica, sans-serif"/>
    </font>
    <font>
      <sz val="11"/>
      <color theme="1"/>
      <name val="Helvetica, sans-serif"/>
    </font>
    <font>
      <u/>
      <sz val="10"/>
      <name val="Arial"/>
      <scheme val="minor"/>
    </font>
    <font>
      <sz val="11"/>
      <color theme="1"/>
      <name val="&quot;Times New Roman&quot;, serif"/>
    </font>
    <font>
      <u/>
      <sz val="10"/>
      <name val="&quot;Ysabeau Infant&quot;, sans-serif"/>
    </font>
    <font>
      <u/>
      <sz val="10"/>
      <name val="&quot;Lexend Peta&quot;, sans-serif"/>
    </font>
    <font>
      <u/>
      <sz val="10"/>
      <name val="Satisfy, sans-serif"/>
    </font>
    <font>
      <sz val="10"/>
      <name val="Satisfy, sans-serif"/>
    </font>
    <font>
      <sz val="10"/>
      <name val="Satisfy"/>
    </font>
    <font>
      <sz val="10"/>
      <name val="Arial"/>
      <scheme val="minor"/>
    </font>
    <font>
      <sz val="10"/>
      <name val="Montserrat"/>
    </font>
    <font>
      <u/>
      <sz val="10"/>
      <name val="Arial, sans-serif"/>
    </font>
    <font>
      <u/>
      <sz val="10"/>
      <name val="Open Sans"/>
    </font>
    <font>
      <u/>
      <sz val="10"/>
      <name val="sans-serif"/>
    </font>
    <font>
      <sz val="10"/>
      <name val="Arial, sans-serif"/>
    </font>
    <font>
      <u/>
      <sz val="10"/>
      <name val="&quot;Times New Roman&quot;, serif"/>
    </font>
    <font>
      <u/>
      <sz val="10"/>
      <name val="Belanosima, sans-serif"/>
    </font>
    <font>
      <sz val="10"/>
      <name val="&quot;Times New Roman&quot;, serif"/>
    </font>
    <font>
      <sz val="10"/>
      <name val="Times New Roman"/>
    </font>
    <font>
      <sz val="10"/>
      <name val="sans-serif"/>
    </font>
    <font>
      <u/>
      <sz val="8"/>
      <name val="Arial"/>
    </font>
    <font>
      <u/>
      <sz val="8"/>
      <name val="sans-serif"/>
    </font>
    <font>
      <u/>
      <sz val="8"/>
      <name val="Arial"/>
      <scheme val="minor"/>
    </font>
    <font>
      <u/>
      <sz val="10"/>
      <color rgb="FF1155CC"/>
      <name val="Helvetica, sans-serif"/>
    </font>
    <font>
      <u/>
      <sz val="10"/>
      <name val="Arial"/>
    </font>
    <font>
      <u/>
      <sz val="8"/>
      <color rgb="FF1155CC"/>
      <name val="Arial"/>
    </font>
    <font>
      <sz val="11"/>
      <color rgb="FF000000"/>
      <name val="Arial"/>
      <scheme val="minor"/>
    </font>
    <font>
      <sz val="11"/>
      <color rgb="FF000000"/>
      <name val="sans-serif"/>
    </font>
    <font>
      <u/>
      <sz val="10"/>
      <color theme="10"/>
      <name val="Arial"/>
      <scheme val="minor"/>
    </font>
    <font>
      <b/>
      <sz val="11"/>
      <color rgb="FF000000"/>
      <name val="&quot;Aptos Narrow&quot;"/>
    </font>
    <font>
      <b/>
      <sz val="11"/>
      <color rgb="FF000000"/>
      <name val="Arial"/>
      <family val="2"/>
      <scheme val="minor"/>
    </font>
    <font>
      <sz val="10"/>
      <color theme="1"/>
      <name val="Arial"/>
      <family val="2"/>
      <scheme val="minor"/>
    </font>
    <font>
      <u/>
      <sz val="11"/>
      <color rgb="FF000000"/>
      <name val="Arial"/>
      <family val="2"/>
    </font>
    <font>
      <b/>
      <sz val="10"/>
      <color theme="1"/>
      <name val="Arial"/>
      <family val="2"/>
    </font>
    <font>
      <sz val="8"/>
      <name val="Arial"/>
      <scheme val="minor"/>
    </font>
    <font>
      <sz val="10"/>
      <color theme="1"/>
      <name val="Arial"/>
      <family val="2"/>
    </font>
    <font>
      <sz val="10"/>
      <name val="Arial"/>
      <family val="2"/>
    </font>
    <font>
      <sz val="10"/>
      <color rgb="FF000000"/>
      <name val="Arial"/>
      <family val="2"/>
      <scheme val="minor"/>
    </font>
  </fonts>
  <fills count="18">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FF00"/>
        <bgColor rgb="FF00FF00"/>
      </patternFill>
    </fill>
    <fill>
      <patternFill patternType="solid">
        <fgColor rgb="FFFF00FF"/>
        <bgColor rgb="FFFF00FF"/>
      </patternFill>
    </fill>
    <fill>
      <patternFill patternType="solid">
        <fgColor rgb="FFFF0000"/>
        <bgColor rgb="FFFF0000"/>
      </patternFill>
    </fill>
    <fill>
      <patternFill patternType="solid">
        <fgColor rgb="FFF5F8FA"/>
        <bgColor rgb="FFF5F8FA"/>
      </patternFill>
    </fill>
    <fill>
      <patternFill patternType="solid">
        <fgColor rgb="FFFFFF00"/>
        <bgColor rgb="FFFFFF00"/>
      </patternFill>
    </fill>
    <fill>
      <patternFill patternType="solid">
        <fgColor rgb="FFF7F7F7"/>
        <bgColor rgb="FFF7F7F7"/>
      </patternFill>
    </fill>
    <fill>
      <patternFill patternType="solid">
        <fgColor rgb="FFF8F9FA"/>
        <bgColor rgb="FFF8F9FA"/>
      </patternFill>
    </fill>
    <fill>
      <patternFill patternType="solid">
        <fgColor rgb="FFD63838"/>
        <bgColor rgb="FFD63838"/>
      </patternFill>
    </fill>
    <fill>
      <patternFill patternType="solid">
        <fgColor rgb="FF00FFFF"/>
        <bgColor rgb="FF00FFFF"/>
      </patternFill>
    </fill>
    <fill>
      <patternFill patternType="solid">
        <fgColor theme="7" tint="0.39997558519241921"/>
        <bgColor indexed="64"/>
      </patternFill>
    </fill>
    <fill>
      <patternFill patternType="solid">
        <fgColor theme="7" tint="0.39997558519241921"/>
        <bgColor theme="0"/>
      </patternFill>
    </fill>
    <fill>
      <patternFill patternType="solid">
        <fgColor rgb="FF66FF99"/>
        <bgColor rgb="FFFFFFFF"/>
      </patternFill>
    </fill>
    <fill>
      <patternFill patternType="solid">
        <fgColor theme="2" tint="-0.249977111117893"/>
        <bgColor theme="0"/>
      </patternFill>
    </fill>
    <fill>
      <patternFill patternType="solid">
        <fgColor theme="0"/>
        <bgColor indexed="64"/>
      </patternFill>
    </fill>
  </fills>
  <borders count="10">
    <border>
      <left/>
      <right/>
      <top/>
      <bottom/>
      <diagonal/>
    </border>
    <border>
      <left style="thin">
        <color rgb="FF00FF00"/>
      </left>
      <right style="thin">
        <color rgb="FF00FF00"/>
      </right>
      <top style="thin">
        <color rgb="FF00FF00"/>
      </top>
      <bottom style="thin">
        <color rgb="FF00FF00"/>
      </bottom>
      <diagonal/>
    </border>
    <border>
      <left style="thin">
        <color rgb="FFFFFFFF"/>
      </left>
      <right style="thin">
        <color rgb="FFFFFFFF"/>
      </right>
      <top style="thin">
        <color rgb="FFFFFFFF"/>
      </top>
      <bottom style="thin">
        <color rgb="FFFFFFFF"/>
      </bottom>
      <diagonal/>
    </border>
    <border>
      <left style="thin">
        <color rgb="FFFFFF00"/>
      </left>
      <right style="thin">
        <color rgb="FFFFFF00"/>
      </right>
      <top style="thin">
        <color rgb="FFFFFF00"/>
      </top>
      <bottom style="thin">
        <color rgb="FFFFFF00"/>
      </bottom>
      <diagonal/>
    </border>
    <border>
      <left style="thin">
        <color rgb="FFF8F9FA"/>
      </left>
      <right style="thin">
        <color rgb="FFF8F9FA"/>
      </right>
      <top style="thin">
        <color rgb="FFF8F9FA"/>
      </top>
      <bottom style="thin">
        <color rgb="FFF8F9FA"/>
      </bottom>
      <diagonal/>
    </border>
    <border>
      <left style="thin">
        <color rgb="FF000000"/>
      </left>
      <right style="thin">
        <color rgb="FF000000"/>
      </right>
      <top style="thin">
        <color rgb="FF000000"/>
      </top>
      <bottom style="thin">
        <color rgb="FF000000"/>
      </bottom>
      <diagonal/>
    </border>
    <border>
      <left style="thin">
        <color rgb="FFFFFF00"/>
      </left>
      <right style="thin">
        <color rgb="FFFFFF00"/>
      </right>
      <top style="thin">
        <color rgb="FFFFFF00"/>
      </top>
      <bottom style="thin">
        <color rgb="FF442F65"/>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208" fillId="0" borderId="0" applyNumberFormat="0" applyFill="0" applyBorder="0" applyAlignment="0" applyProtection="0"/>
  </cellStyleXfs>
  <cellXfs count="424">
    <xf numFmtId="0" fontId="0" fillId="0" borderId="0" xfId="0"/>
    <xf numFmtId="0" fontId="2" fillId="2" borderId="0" xfId="0" applyFont="1" applyFill="1"/>
    <xf numFmtId="0" fontId="2" fillId="0" borderId="0" xfId="0" applyFont="1"/>
    <xf numFmtId="0" fontId="3" fillId="0" borderId="0" xfId="0" applyFont="1"/>
    <xf numFmtId="0" fontId="4" fillId="3" borderId="0" xfId="0" applyFont="1" applyFill="1"/>
    <xf numFmtId="0" fontId="5" fillId="0" borderId="0" xfId="0" applyFont="1"/>
    <xf numFmtId="0" fontId="2" fillId="4" borderId="0" xfId="0" applyFont="1" applyFill="1"/>
    <xf numFmtId="0" fontId="6" fillId="2" borderId="0" xfId="0" applyFont="1" applyFill="1"/>
    <xf numFmtId="0" fontId="7" fillId="2" borderId="0" xfId="0" applyFont="1" applyFill="1"/>
    <xf numFmtId="0" fontId="5" fillId="2" borderId="0" xfId="0" applyFont="1" applyFill="1"/>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4" fillId="2" borderId="0" xfId="0" applyFont="1" applyFill="1"/>
    <xf numFmtId="0" fontId="12" fillId="4" borderId="0" xfId="0" applyFont="1" applyFill="1"/>
    <xf numFmtId="0" fontId="7" fillId="4" borderId="0" xfId="0" applyFont="1" applyFill="1"/>
    <xf numFmtId="0" fontId="4" fillId="4" borderId="0" xfId="0" applyFont="1" applyFill="1"/>
    <xf numFmtId="0" fontId="5" fillId="4" borderId="0" xfId="0" applyFont="1" applyFill="1"/>
    <xf numFmtId="0" fontId="8" fillId="4" borderId="0" xfId="0" applyFont="1" applyFill="1"/>
    <xf numFmtId="0" fontId="13" fillId="4" borderId="0" xfId="0" applyFont="1" applyFill="1"/>
    <xf numFmtId="0" fontId="8" fillId="4" borderId="0" xfId="0" applyFont="1" applyFill="1" applyAlignment="1">
      <alignment horizontal="center"/>
    </xf>
    <xf numFmtId="0" fontId="14" fillId="4" borderId="0" xfId="0" applyFont="1" applyFill="1"/>
    <xf numFmtId="0" fontId="15" fillId="4" borderId="0" xfId="0" applyFont="1" applyFill="1" applyAlignment="1">
      <alignment horizontal="center"/>
    </xf>
    <xf numFmtId="0" fontId="11" fillId="4" borderId="0" xfId="0" applyFont="1" applyFill="1"/>
    <xf numFmtId="0" fontId="2" fillId="5" borderId="0" xfId="0" applyFont="1" applyFill="1"/>
    <xf numFmtId="0" fontId="16" fillId="5" borderId="0" xfId="0" applyFont="1" applyFill="1"/>
    <xf numFmtId="0" fontId="7" fillId="5" borderId="0" xfId="0" applyFont="1" applyFill="1"/>
    <xf numFmtId="0" fontId="4" fillId="5" borderId="0" xfId="0" applyFont="1" applyFill="1"/>
    <xf numFmtId="0" fontId="5" fillId="5" borderId="0" xfId="0" applyFont="1" applyFill="1"/>
    <xf numFmtId="0" fontId="8" fillId="5" borderId="0" xfId="0" applyFont="1" applyFill="1"/>
    <xf numFmtId="0" fontId="13" fillId="5" borderId="0" xfId="0" applyFont="1" applyFill="1"/>
    <xf numFmtId="0" fontId="11" fillId="5" borderId="0" xfId="0" applyFont="1" applyFill="1"/>
    <xf numFmtId="0" fontId="17" fillId="5" borderId="0" xfId="0" applyFont="1" applyFill="1"/>
    <xf numFmtId="0" fontId="2" fillId="6" borderId="0" xfId="0" applyFont="1" applyFill="1"/>
    <xf numFmtId="0" fontId="18" fillId="6" borderId="0" xfId="0" applyFont="1" applyFill="1"/>
    <xf numFmtId="0" fontId="7" fillId="6" borderId="0" xfId="0" applyFont="1" applyFill="1"/>
    <xf numFmtId="0" fontId="4" fillId="6" borderId="0" xfId="0" applyFont="1" applyFill="1"/>
    <xf numFmtId="0" fontId="19" fillId="6" borderId="0" xfId="0" applyFont="1" applyFill="1"/>
    <xf numFmtId="0" fontId="8" fillId="6" borderId="0" xfId="0" applyFont="1" applyFill="1"/>
    <xf numFmtId="0" fontId="5" fillId="6" borderId="0" xfId="0" applyFont="1" applyFill="1"/>
    <xf numFmtId="0" fontId="11" fillId="6" borderId="0" xfId="0" applyFont="1" applyFill="1"/>
    <xf numFmtId="0" fontId="9" fillId="6" borderId="0" xfId="0" applyFont="1" applyFill="1"/>
    <xf numFmtId="0" fontId="20" fillId="4" borderId="0" xfId="0" applyFont="1" applyFill="1"/>
    <xf numFmtId="0" fontId="21" fillId="4" borderId="0" xfId="0" applyFont="1" applyFill="1"/>
    <xf numFmtId="0" fontId="22" fillId="4" borderId="0" xfId="0" applyFont="1" applyFill="1"/>
    <xf numFmtId="0" fontId="23" fillId="6" borderId="0" xfId="0" applyFont="1" applyFill="1"/>
    <xf numFmtId="0" fontId="24" fillId="6" borderId="0" xfId="0" applyFont="1" applyFill="1"/>
    <xf numFmtId="0" fontId="22" fillId="6" borderId="0" xfId="0" applyFont="1" applyFill="1"/>
    <xf numFmtId="0" fontId="25" fillId="5" borderId="0" xfId="0" applyFont="1" applyFill="1"/>
    <xf numFmtId="0" fontId="8" fillId="5" borderId="0" xfId="0" applyFont="1" applyFill="1" applyAlignment="1">
      <alignment horizontal="center"/>
    </xf>
    <xf numFmtId="0" fontId="22" fillId="5" borderId="0" xfId="0" applyFont="1" applyFill="1"/>
    <xf numFmtId="0" fontId="20" fillId="6" borderId="0" xfId="0" applyFont="1" applyFill="1"/>
    <xf numFmtId="0" fontId="8" fillId="6" borderId="0" xfId="0" applyFont="1" applyFill="1" applyAlignment="1">
      <alignment horizontal="center"/>
    </xf>
    <xf numFmtId="0" fontId="26" fillId="5" borderId="0" xfId="0" applyFont="1" applyFill="1"/>
    <xf numFmtId="0" fontId="27" fillId="5" borderId="0" xfId="0" applyFont="1" applyFill="1"/>
    <xf numFmtId="0" fontId="20" fillId="5" borderId="0" xfId="0" applyFont="1" applyFill="1"/>
    <xf numFmtId="0" fontId="28" fillId="5" borderId="0" xfId="0" applyFont="1" applyFill="1"/>
    <xf numFmtId="0" fontId="29" fillId="5" borderId="0" xfId="0" applyFont="1" applyFill="1"/>
    <xf numFmtId="0" fontId="13" fillId="5" borderId="0" xfId="0" applyFont="1" applyFill="1" applyAlignment="1">
      <alignment horizontal="center"/>
    </xf>
    <xf numFmtId="0" fontId="30" fillId="5" borderId="0" xfId="0" applyFont="1" applyFill="1"/>
    <xf numFmtId="0" fontId="26" fillId="4" borderId="0" xfId="0" applyFont="1" applyFill="1"/>
    <xf numFmtId="0" fontId="26" fillId="5" borderId="0" xfId="0" applyFont="1" applyFill="1" applyAlignment="1">
      <alignment horizontal="center"/>
    </xf>
    <xf numFmtId="0" fontId="31" fillId="5" borderId="0" xfId="0" applyFont="1" applyFill="1"/>
    <xf numFmtId="0" fontId="32" fillId="5" borderId="0" xfId="0" applyFont="1" applyFill="1"/>
    <xf numFmtId="0" fontId="33" fillId="5" borderId="0" xfId="0" applyFont="1" applyFill="1"/>
    <xf numFmtId="0" fontId="33" fillId="5" borderId="0" xfId="0" applyFont="1" applyFill="1" applyAlignment="1">
      <alignment horizontal="center"/>
    </xf>
    <xf numFmtId="0" fontId="34" fillId="5" borderId="0" xfId="0" applyFont="1" applyFill="1"/>
    <xf numFmtId="0" fontId="35" fillId="4" borderId="0" xfId="0" applyFont="1" applyFill="1"/>
    <xf numFmtId="0" fontId="36" fillId="4" borderId="0" xfId="0" applyFont="1" applyFill="1"/>
    <xf numFmtId="0" fontId="37" fillId="5" borderId="0" xfId="0" applyFont="1" applyFill="1"/>
    <xf numFmtId="0" fontId="38" fillId="2" borderId="0" xfId="0" applyFont="1" applyFill="1"/>
    <xf numFmtId="0" fontId="39" fillId="4" borderId="0" xfId="0" applyFont="1" applyFill="1"/>
    <xf numFmtId="0" fontId="40" fillId="4" borderId="0" xfId="0" applyFont="1" applyFill="1"/>
    <xf numFmtId="0" fontId="41" fillId="5" borderId="0" xfId="0" applyFont="1" applyFill="1"/>
    <xf numFmtId="0" fontId="42" fillId="5" borderId="0" xfId="0" applyFont="1" applyFill="1"/>
    <xf numFmtId="0" fontId="43" fillId="5" borderId="0" xfId="0" applyFont="1" applyFill="1" applyAlignment="1">
      <alignment horizontal="center"/>
    </xf>
    <xf numFmtId="0" fontId="44" fillId="5" borderId="0" xfId="0" applyFont="1" applyFill="1"/>
    <xf numFmtId="0" fontId="45" fillId="5" borderId="0" xfId="0" applyFont="1" applyFill="1"/>
    <xf numFmtId="0" fontId="40" fillId="5" borderId="0" xfId="0" applyFont="1" applyFill="1"/>
    <xf numFmtId="0" fontId="46" fillId="4" borderId="0" xfId="0" applyFont="1" applyFill="1"/>
    <xf numFmtId="0" fontId="47" fillId="5" borderId="0" xfId="0" applyFont="1" applyFill="1"/>
    <xf numFmtId="0" fontId="9" fillId="5" borderId="0" xfId="0" applyFont="1" applyFill="1"/>
    <xf numFmtId="0" fontId="9" fillId="5" borderId="0" xfId="0" applyFont="1" applyFill="1" applyAlignment="1">
      <alignment horizontal="center"/>
    </xf>
    <xf numFmtId="0" fontId="48" fillId="5" borderId="0" xfId="0" applyFont="1" applyFill="1" applyAlignment="1">
      <alignment horizontal="center"/>
    </xf>
    <xf numFmtId="0" fontId="26" fillId="4" borderId="0" xfId="0" applyFont="1" applyFill="1" applyAlignment="1">
      <alignment horizontal="center"/>
    </xf>
    <xf numFmtId="0" fontId="13" fillId="4" borderId="0" xfId="0" applyFont="1" applyFill="1" applyAlignment="1">
      <alignment horizontal="center"/>
    </xf>
    <xf numFmtId="0" fontId="49" fillId="4" borderId="0" xfId="0" applyFont="1" applyFill="1" applyAlignment="1">
      <alignment horizontal="center"/>
    </xf>
    <xf numFmtId="0" fontId="50" fillId="5" borderId="0" xfId="0" applyFont="1" applyFill="1"/>
    <xf numFmtId="0" fontId="51" fillId="5" borderId="0" xfId="0" applyFont="1" applyFill="1"/>
    <xf numFmtId="0" fontId="52" fillId="0" borderId="0" xfId="0" applyFont="1"/>
    <xf numFmtId="0" fontId="53" fillId="5" borderId="0" xfId="0" applyFont="1" applyFill="1"/>
    <xf numFmtId="0" fontId="54" fillId="5" borderId="0" xfId="0" applyFont="1" applyFill="1"/>
    <xf numFmtId="0" fontId="55" fillId="2" borderId="0" xfId="0" applyFont="1" applyFill="1"/>
    <xf numFmtId="0" fontId="56" fillId="2" borderId="0" xfId="0" applyFont="1" applyFill="1"/>
    <xf numFmtId="0" fontId="13" fillId="2" borderId="0" xfId="0" applyFont="1" applyFill="1"/>
    <xf numFmtId="0" fontId="13" fillId="2" borderId="0" xfId="0" applyFont="1" applyFill="1" applyAlignment="1">
      <alignment horizontal="center"/>
    </xf>
    <xf numFmtId="0" fontId="26" fillId="2" borderId="0" xfId="0" applyFont="1" applyFill="1"/>
    <xf numFmtId="0" fontId="57" fillId="2" borderId="0" xfId="0" applyFont="1" applyFill="1"/>
    <xf numFmtId="0" fontId="58" fillId="2" borderId="0" xfId="0" applyFont="1" applyFill="1"/>
    <xf numFmtId="0" fontId="59" fillId="2" borderId="0" xfId="0" applyFont="1" applyFill="1"/>
    <xf numFmtId="0" fontId="11" fillId="7" borderId="0" xfId="0" applyFont="1" applyFill="1"/>
    <xf numFmtId="0" fontId="60" fillId="4" borderId="0" xfId="0" applyFont="1" applyFill="1"/>
    <xf numFmtId="0" fontId="4" fillId="0" borderId="0" xfId="0" applyFont="1"/>
    <xf numFmtId="0" fontId="61" fillId="4" borderId="0" xfId="0" applyFont="1" applyFill="1"/>
    <xf numFmtId="0" fontId="22" fillId="7" borderId="0" xfId="0" applyFont="1" applyFill="1"/>
    <xf numFmtId="0" fontId="62" fillId="4" borderId="0" xfId="0" applyFont="1" applyFill="1"/>
    <xf numFmtId="0" fontId="63" fillId="4" borderId="0" xfId="0" applyFont="1" applyFill="1"/>
    <xf numFmtId="0" fontId="64" fillId="4" borderId="0" xfId="0" applyFont="1" applyFill="1"/>
    <xf numFmtId="0" fontId="65" fillId="2" borderId="0" xfId="0" applyFont="1" applyFill="1"/>
    <xf numFmtId="0" fontId="64" fillId="2" borderId="0" xfId="0" applyFont="1" applyFill="1"/>
    <xf numFmtId="0" fontId="25" fillId="4" borderId="0" xfId="0" applyFont="1" applyFill="1"/>
    <xf numFmtId="0" fontId="25" fillId="4" borderId="0" xfId="0" applyFont="1" applyFill="1" applyAlignment="1">
      <alignment horizontal="center"/>
    </xf>
    <xf numFmtId="0" fontId="64" fillId="5" borderId="0" xfId="0" applyFont="1" applyFill="1"/>
    <xf numFmtId="0" fontId="5" fillId="5" borderId="0" xfId="0" applyFont="1" applyFill="1" applyAlignment="1">
      <alignment horizontal="center"/>
    </xf>
    <xf numFmtId="0" fontId="20" fillId="5" borderId="0" xfId="0" applyFont="1" applyFill="1" applyAlignment="1">
      <alignment horizontal="center"/>
    </xf>
    <xf numFmtId="0" fontId="66" fillId="4" borderId="0" xfId="0" applyFont="1" applyFill="1"/>
    <xf numFmtId="0" fontId="66" fillId="4" borderId="0" xfId="0" applyFont="1" applyFill="1" applyAlignment="1">
      <alignment horizontal="center"/>
    </xf>
    <xf numFmtId="0" fontId="67" fillId="4" borderId="0" xfId="0" applyFont="1" applyFill="1"/>
    <xf numFmtId="0" fontId="68" fillId="4" borderId="0" xfId="0" applyFont="1" applyFill="1" applyAlignment="1">
      <alignment horizontal="center"/>
    </xf>
    <xf numFmtId="0" fontId="69" fillId="4" borderId="0" xfId="0" applyFont="1" applyFill="1"/>
    <xf numFmtId="0" fontId="70" fillId="4" borderId="0" xfId="0" applyFont="1" applyFill="1"/>
    <xf numFmtId="0" fontId="71" fillId="5" borderId="0" xfId="0" applyFont="1" applyFill="1"/>
    <xf numFmtId="0" fontId="72" fillId="5" borderId="0" xfId="0" applyFont="1" applyFill="1"/>
    <xf numFmtId="0" fontId="66" fillId="5" borderId="0" xfId="0" applyFont="1" applyFill="1"/>
    <xf numFmtId="0" fontId="67" fillId="5" borderId="0" xfId="0" applyFont="1" applyFill="1" applyAlignment="1">
      <alignment horizontal="center"/>
    </xf>
    <xf numFmtId="0" fontId="73" fillId="5" borderId="0" xfId="0" applyFont="1" applyFill="1" applyAlignment="1">
      <alignment horizontal="center"/>
    </xf>
    <xf numFmtId="0" fontId="66" fillId="5" borderId="0" xfId="0" applyFont="1" applyFill="1" applyAlignment="1">
      <alignment horizontal="center"/>
    </xf>
    <xf numFmtId="0" fontId="67" fillId="5" borderId="0" xfId="0" applyFont="1" applyFill="1"/>
    <xf numFmtId="0" fontId="72" fillId="5" borderId="0" xfId="0" applyFont="1" applyFill="1" applyAlignment="1">
      <alignment horizontal="center"/>
    </xf>
    <xf numFmtId="0" fontId="25" fillId="5" borderId="0" xfId="0" applyFont="1" applyFill="1" applyAlignment="1">
      <alignment horizontal="center"/>
    </xf>
    <xf numFmtId="0" fontId="74" fillId="4" borderId="0" xfId="0" applyFont="1" applyFill="1" applyAlignment="1">
      <alignment horizontal="center"/>
    </xf>
    <xf numFmtId="0" fontId="75" fillId="5" borderId="0" xfId="0" applyFont="1" applyFill="1"/>
    <xf numFmtId="0" fontId="76" fillId="4" borderId="0" xfId="0" applyFont="1" applyFill="1"/>
    <xf numFmtId="0" fontId="77" fillId="4" borderId="0" xfId="0" applyFont="1" applyFill="1"/>
    <xf numFmtId="0" fontId="78" fillId="4" borderId="0" xfId="0" applyFont="1" applyFill="1"/>
    <xf numFmtId="0" fontId="34" fillId="4" borderId="0" xfId="0" applyFont="1" applyFill="1"/>
    <xf numFmtId="0" fontId="79" fillId="4" borderId="0" xfId="0" applyFont="1" applyFill="1" applyAlignment="1">
      <alignment horizontal="center"/>
    </xf>
    <xf numFmtId="0" fontId="80" fillId="5" borderId="0" xfId="0" applyFont="1" applyFill="1"/>
    <xf numFmtId="0" fontId="64" fillId="5" borderId="0" xfId="0" applyFont="1" applyFill="1" applyAlignment="1">
      <alignment horizontal="center"/>
    </xf>
    <xf numFmtId="0" fontId="64" fillId="6" borderId="0" xfId="0" applyFont="1" applyFill="1"/>
    <xf numFmtId="0" fontId="81" fillId="5" borderId="0" xfId="0" applyFont="1" applyFill="1" applyAlignment="1">
      <alignment horizontal="center"/>
    </xf>
    <xf numFmtId="0" fontId="51" fillId="5" borderId="0" xfId="0" applyFont="1" applyFill="1" applyAlignment="1">
      <alignment horizontal="center"/>
    </xf>
    <xf numFmtId="0" fontId="82" fillId="5" borderId="0" xfId="0" applyFont="1" applyFill="1"/>
    <xf numFmtId="0" fontId="72" fillId="4" borderId="0" xfId="0" applyFont="1" applyFill="1"/>
    <xf numFmtId="0" fontId="83" fillId="4" borderId="0" xfId="0" applyFont="1" applyFill="1" applyAlignment="1">
      <alignment horizontal="center"/>
    </xf>
    <xf numFmtId="0" fontId="84" fillId="4" borderId="0" xfId="0" applyFont="1" applyFill="1"/>
    <xf numFmtId="0" fontId="9" fillId="4" borderId="0" xfId="0" applyFont="1" applyFill="1"/>
    <xf numFmtId="0" fontId="9" fillId="4" borderId="0" xfId="0" applyFont="1" applyFill="1" applyAlignment="1">
      <alignment horizontal="center"/>
    </xf>
    <xf numFmtId="0" fontId="4" fillId="0" borderId="0" xfId="0" applyFont="1" applyAlignment="1">
      <alignment horizontal="right"/>
    </xf>
    <xf numFmtId="0" fontId="85" fillId="2" borderId="0" xfId="0" applyFont="1" applyFill="1"/>
    <xf numFmtId="0" fontId="25" fillId="2" borderId="0" xfId="0" applyFont="1" applyFill="1"/>
    <xf numFmtId="0" fontId="64" fillId="4" borderId="0" xfId="0" applyFont="1" applyFill="1" applyAlignment="1">
      <alignment horizontal="center"/>
    </xf>
    <xf numFmtId="0" fontId="34" fillId="4" borderId="0" xfId="0" applyFont="1" applyFill="1" applyAlignment="1">
      <alignment horizontal="center"/>
    </xf>
    <xf numFmtId="0" fontId="70" fillId="5" borderId="0" xfId="0" applyFont="1" applyFill="1"/>
    <xf numFmtId="0" fontId="70" fillId="5" borderId="0" xfId="0" applyFont="1" applyFill="1" applyAlignment="1">
      <alignment horizontal="center"/>
    </xf>
    <xf numFmtId="0" fontId="86" fillId="5" borderId="0" xfId="0" applyFont="1" applyFill="1"/>
    <xf numFmtId="0" fontId="77" fillId="5" borderId="0" xfId="0" applyFont="1" applyFill="1"/>
    <xf numFmtId="0" fontId="87" fillId="5" borderId="0" xfId="0" applyFont="1" applyFill="1" applyAlignment="1">
      <alignment horizontal="center"/>
    </xf>
    <xf numFmtId="0" fontId="88" fillId="5" borderId="0" xfId="0" applyFont="1" applyFill="1"/>
    <xf numFmtId="0" fontId="36" fillId="5" borderId="0" xfId="0" applyFont="1" applyFill="1"/>
    <xf numFmtId="0" fontId="36" fillId="5" borderId="0" xfId="0" applyFont="1" applyFill="1" applyAlignment="1">
      <alignment horizontal="center"/>
    </xf>
    <xf numFmtId="0" fontId="89" fillId="5" borderId="0" xfId="0" applyFont="1" applyFill="1"/>
    <xf numFmtId="0" fontId="90" fillId="5" borderId="0" xfId="0" applyFont="1" applyFill="1"/>
    <xf numFmtId="0" fontId="91" fillId="4" borderId="0" xfId="0" applyFont="1" applyFill="1"/>
    <xf numFmtId="0" fontId="92" fillId="5" borderId="0" xfId="0" applyFont="1" applyFill="1"/>
    <xf numFmtId="0" fontId="4" fillId="3" borderId="0" xfId="0" applyFont="1" applyFill="1" applyAlignment="1">
      <alignment horizontal="right"/>
    </xf>
    <xf numFmtId="0" fontId="7" fillId="3" borderId="0" xfId="0" applyFont="1" applyFill="1" applyAlignment="1">
      <alignment horizontal="right"/>
    </xf>
    <xf numFmtId="0" fontId="93" fillId="3" borderId="0" xfId="0" applyFont="1" applyFill="1"/>
    <xf numFmtId="0" fontId="2" fillId="0" borderId="0" xfId="0" applyFont="1" applyAlignment="1">
      <alignment horizontal="center"/>
    </xf>
    <xf numFmtId="0" fontId="94" fillId="3" borderId="0" xfId="0" applyFont="1" applyFill="1"/>
    <xf numFmtId="0" fontId="95" fillId="3" borderId="0" xfId="0" applyFont="1" applyFill="1"/>
    <xf numFmtId="0" fontId="2" fillId="3" borderId="0" xfId="0" applyFont="1" applyFill="1"/>
    <xf numFmtId="11" fontId="4" fillId="3" borderId="0" xfId="0" applyNumberFormat="1" applyFont="1" applyFill="1"/>
    <xf numFmtId="0" fontId="7" fillId="3" borderId="0" xfId="0" applyFont="1" applyFill="1"/>
    <xf numFmtId="0" fontId="96" fillId="0" borderId="0" xfId="0" applyFont="1"/>
    <xf numFmtId="0" fontId="2" fillId="8" borderId="0" xfId="0" applyFont="1" applyFill="1"/>
    <xf numFmtId="0" fontId="4" fillId="8" borderId="0" xfId="0" applyFont="1" applyFill="1"/>
    <xf numFmtId="0" fontId="5" fillId="8" borderId="0" xfId="0" applyFont="1" applyFill="1"/>
    <xf numFmtId="0" fontId="8" fillId="8" borderId="0" xfId="0" applyFont="1" applyFill="1"/>
    <xf numFmtId="0" fontId="13" fillId="8" borderId="0" xfId="0" applyFont="1" applyFill="1"/>
    <xf numFmtId="0" fontId="8" fillId="8" borderId="0" xfId="0" applyFont="1" applyFill="1" applyAlignment="1">
      <alignment horizontal="center"/>
    </xf>
    <xf numFmtId="0" fontId="11" fillId="8" borderId="0" xfId="0" applyFont="1" applyFill="1"/>
    <xf numFmtId="0" fontId="97" fillId="8" borderId="0" xfId="0" applyFont="1" applyFill="1"/>
    <xf numFmtId="0" fontId="5" fillId="0" borderId="0" xfId="0" applyFont="1" applyAlignment="1">
      <alignment horizontal="right"/>
    </xf>
    <xf numFmtId="0" fontId="98" fillId="2" borderId="0" xfId="0" applyFont="1" applyFill="1"/>
    <xf numFmtId="0" fontId="98" fillId="2" borderId="0" xfId="0" applyFont="1" applyFill="1" applyAlignment="1">
      <alignment horizontal="right"/>
    </xf>
    <xf numFmtId="0" fontId="20" fillId="2" borderId="0" xfId="0" applyFont="1" applyFill="1"/>
    <xf numFmtId="0" fontId="8" fillId="2" borderId="0" xfId="0" applyFont="1" applyFill="1" applyAlignment="1">
      <alignment horizontal="right"/>
    </xf>
    <xf numFmtId="0" fontId="99" fillId="0" borderId="0" xfId="0" applyFont="1"/>
    <xf numFmtId="0" fontId="5" fillId="8" borderId="0" xfId="0" applyFont="1" applyFill="1" applyAlignment="1">
      <alignment horizontal="right"/>
    </xf>
    <xf numFmtId="0" fontId="98" fillId="8" borderId="0" xfId="0" applyFont="1" applyFill="1"/>
    <xf numFmtId="0" fontId="98" fillId="8" borderId="0" xfId="0" applyFont="1" applyFill="1" applyAlignment="1">
      <alignment horizontal="right"/>
    </xf>
    <xf numFmtId="0" fontId="100" fillId="8" borderId="0" xfId="0" applyFont="1" applyFill="1"/>
    <xf numFmtId="0" fontId="8" fillId="8" borderId="0" xfId="0" applyFont="1" applyFill="1" applyAlignment="1">
      <alignment horizontal="right"/>
    </xf>
    <xf numFmtId="0" fontId="20" fillId="8" borderId="0" xfId="0" applyFont="1" applyFill="1"/>
    <xf numFmtId="0" fontId="101" fillId="8" borderId="0" xfId="0" applyFont="1" applyFill="1"/>
    <xf numFmtId="0" fontId="13" fillId="8" borderId="0" xfId="0" applyFont="1" applyFill="1" applyAlignment="1">
      <alignment horizontal="center"/>
    </xf>
    <xf numFmtId="0" fontId="22" fillId="8" borderId="0" xfId="0" applyFont="1" applyFill="1"/>
    <xf numFmtId="0" fontId="102" fillId="8" borderId="0" xfId="0" applyFont="1" applyFill="1"/>
    <xf numFmtId="0" fontId="103" fillId="8" borderId="0" xfId="0" applyFont="1" applyFill="1" applyAlignment="1">
      <alignment horizontal="center"/>
    </xf>
    <xf numFmtId="0" fontId="5" fillId="3" borderId="0" xfId="0" applyFont="1" applyFill="1"/>
    <xf numFmtId="0" fontId="13" fillId="3" borderId="0" xfId="0" applyFont="1" applyFill="1"/>
    <xf numFmtId="0" fontId="13" fillId="3" borderId="0" xfId="0" applyFont="1" applyFill="1" applyAlignment="1">
      <alignment horizontal="center"/>
    </xf>
    <xf numFmtId="0" fontId="8" fillId="3" borderId="0" xfId="0" applyFont="1" applyFill="1"/>
    <xf numFmtId="0" fontId="22" fillId="3" borderId="0" xfId="0" applyFont="1" applyFill="1"/>
    <xf numFmtId="0" fontId="104" fillId="3" borderId="0" xfId="0" applyFont="1" applyFill="1"/>
    <xf numFmtId="0" fontId="105" fillId="3" borderId="0" xfId="0" applyFont="1" applyFill="1" applyAlignment="1">
      <alignment horizontal="center"/>
    </xf>
    <xf numFmtId="0" fontId="106" fillId="3" borderId="0" xfId="0" applyFont="1" applyFill="1"/>
    <xf numFmtId="0" fontId="66" fillId="8" borderId="0" xfId="0" applyFont="1" applyFill="1"/>
    <xf numFmtId="0" fontId="66" fillId="8" borderId="0" xfId="0" applyFont="1" applyFill="1" applyAlignment="1">
      <alignment horizontal="center"/>
    </xf>
    <xf numFmtId="0" fontId="67" fillId="8" borderId="0" xfId="0" applyFont="1" applyFill="1"/>
    <xf numFmtId="0" fontId="107" fillId="8" borderId="0" xfId="0" applyFont="1" applyFill="1" applyAlignment="1">
      <alignment horizontal="center"/>
    </xf>
    <xf numFmtId="0" fontId="69" fillId="8" borderId="0" xfId="0" applyFont="1" applyFill="1"/>
    <xf numFmtId="0" fontId="70" fillId="8" borderId="0" xfId="0" applyFont="1" applyFill="1"/>
    <xf numFmtId="0" fontId="64" fillId="8" borderId="0" xfId="0" applyFont="1" applyFill="1"/>
    <xf numFmtId="0" fontId="66" fillId="2" borderId="0" xfId="0" applyFont="1" applyFill="1"/>
    <xf numFmtId="0" fontId="66" fillId="2" borderId="0" xfId="0" applyFont="1" applyFill="1" applyAlignment="1">
      <alignment horizontal="center"/>
    </xf>
    <xf numFmtId="0" fontId="67" fillId="2" borderId="0" xfId="0" applyFont="1" applyFill="1"/>
    <xf numFmtId="0" fontId="70" fillId="2" borderId="0" xfId="0" applyFont="1" applyFill="1"/>
    <xf numFmtId="0" fontId="108" fillId="0" borderId="0" xfId="0" applyFont="1"/>
    <xf numFmtId="0" fontId="4" fillId="8" borderId="0" xfId="0" applyFont="1" applyFill="1" applyAlignment="1">
      <alignment horizontal="right"/>
    </xf>
    <xf numFmtId="0" fontId="4" fillId="2" borderId="0" xfId="0" applyFont="1" applyFill="1" applyAlignment="1">
      <alignment horizontal="right"/>
    </xf>
    <xf numFmtId="0" fontId="4" fillId="4" borderId="0" xfId="0" applyFont="1" applyFill="1" applyAlignment="1">
      <alignment horizontal="right"/>
    </xf>
    <xf numFmtId="0" fontId="109" fillId="8" borderId="0" xfId="0" applyFont="1" applyFill="1"/>
    <xf numFmtId="0" fontId="110" fillId="8" borderId="0" xfId="0" applyFont="1" applyFill="1"/>
    <xf numFmtId="0" fontId="111" fillId="8" borderId="0" xfId="0" applyFont="1" applyFill="1"/>
    <xf numFmtId="0" fontId="112" fillId="8" borderId="0" xfId="0" applyFont="1" applyFill="1"/>
    <xf numFmtId="0" fontId="113" fillId="8" borderId="0" xfId="0" applyFont="1" applyFill="1"/>
    <xf numFmtId="0" fontId="114" fillId="8" borderId="0" xfId="0" applyFont="1" applyFill="1"/>
    <xf numFmtId="0" fontId="114" fillId="8" borderId="0" xfId="0" applyFont="1" applyFill="1" applyAlignment="1">
      <alignment horizontal="center"/>
    </xf>
    <xf numFmtId="0" fontId="115" fillId="8" borderId="0" xfId="0" applyFont="1" applyFill="1"/>
    <xf numFmtId="0" fontId="116" fillId="8" borderId="1" xfId="0" applyFont="1" applyFill="1" applyBorder="1"/>
    <xf numFmtId="0" fontId="117" fillId="0" borderId="0" xfId="0" applyFont="1"/>
    <xf numFmtId="0" fontId="110" fillId="0" borderId="0" xfId="0" applyFont="1"/>
    <xf numFmtId="0" fontId="118" fillId="2" borderId="0" xfId="0" applyFont="1" applyFill="1"/>
    <xf numFmtId="0" fontId="119" fillId="2" borderId="0" xfId="0" applyFont="1" applyFill="1"/>
    <xf numFmtId="0" fontId="113" fillId="0" borderId="0" xfId="0" applyFont="1"/>
    <xf numFmtId="0" fontId="114" fillId="9" borderId="0" xfId="0" applyFont="1" applyFill="1"/>
    <xf numFmtId="0" fontId="113" fillId="2" borderId="0" xfId="0" applyFont="1" applyFill="1"/>
    <xf numFmtId="0" fontId="113" fillId="10" borderId="0" xfId="0" applyFont="1" applyFill="1"/>
    <xf numFmtId="0" fontId="120" fillId="2" borderId="0" xfId="0" applyFont="1" applyFill="1"/>
    <xf numFmtId="0" fontId="115" fillId="3" borderId="0" xfId="0" applyFont="1" applyFill="1"/>
    <xf numFmtId="0" fontId="121" fillId="8" borderId="0" xfId="0" applyFont="1" applyFill="1"/>
    <xf numFmtId="0" fontId="122" fillId="2" borderId="0" xfId="0" applyFont="1" applyFill="1"/>
    <xf numFmtId="0" fontId="123" fillId="2" borderId="0" xfId="0" applyFont="1" applyFill="1"/>
    <xf numFmtId="0" fontId="124" fillId="4" borderId="0" xfId="0" applyFont="1" applyFill="1"/>
    <xf numFmtId="0" fontId="125" fillId="2" borderId="0" xfId="0" applyFont="1" applyFill="1"/>
    <xf numFmtId="0" fontId="126" fillId="2" borderId="0" xfId="0" applyFont="1" applyFill="1" applyAlignment="1">
      <alignment horizontal="center"/>
    </xf>
    <xf numFmtId="0" fontId="110" fillId="4" borderId="0" xfId="0" applyFont="1" applyFill="1"/>
    <xf numFmtId="0" fontId="127" fillId="4" borderId="1" xfId="0" applyFont="1" applyFill="1" applyBorder="1"/>
    <xf numFmtId="0" fontId="128" fillId="2" borderId="0" xfId="0" applyFont="1" applyFill="1"/>
    <xf numFmtId="0" fontId="129" fillId="9" borderId="0" xfId="0" applyFont="1" applyFill="1"/>
    <xf numFmtId="0" fontId="129" fillId="2" borderId="0" xfId="0" applyFont="1" applyFill="1"/>
    <xf numFmtId="0" fontId="114" fillId="2" borderId="0" xfId="0" applyFont="1" applyFill="1"/>
    <xf numFmtId="0" fontId="130" fillId="0" borderId="0" xfId="0" applyFont="1"/>
    <xf numFmtId="0" fontId="114" fillId="11" borderId="0" xfId="0" applyFont="1" applyFill="1"/>
    <xf numFmtId="0" fontId="114" fillId="10" borderId="0" xfId="0" applyFont="1" applyFill="1"/>
    <xf numFmtId="0" fontId="131" fillId="2" borderId="0" xfId="0" applyFont="1" applyFill="1"/>
    <xf numFmtId="0" fontId="132" fillId="2" borderId="0" xfId="0" applyFont="1" applyFill="1"/>
    <xf numFmtId="0" fontId="133" fillId="9" borderId="0" xfId="0" applyFont="1" applyFill="1"/>
    <xf numFmtId="0" fontId="133" fillId="2" borderId="0" xfId="0" applyFont="1" applyFill="1"/>
    <xf numFmtId="0" fontId="134" fillId="0" borderId="0" xfId="0" applyFont="1"/>
    <xf numFmtId="0" fontId="19" fillId="2" borderId="0" xfId="0" applyFont="1" applyFill="1"/>
    <xf numFmtId="0" fontId="135" fillId="2" borderId="0" xfId="0" applyFont="1" applyFill="1"/>
    <xf numFmtId="0" fontId="9" fillId="9" borderId="0" xfId="0" applyFont="1" applyFill="1"/>
    <xf numFmtId="0" fontId="136" fillId="2" borderId="2" xfId="0" applyFont="1" applyFill="1" applyBorder="1"/>
    <xf numFmtId="0" fontId="8" fillId="10" borderId="0" xfId="0" applyFont="1" applyFill="1"/>
    <xf numFmtId="0" fontId="5" fillId="2" borderId="2" xfId="0" applyFont="1" applyFill="1" applyBorder="1"/>
    <xf numFmtId="0" fontId="5" fillId="10" borderId="0" xfId="0" applyFont="1" applyFill="1"/>
    <xf numFmtId="0" fontId="137" fillId="2" borderId="0" xfId="0" applyFont="1" applyFill="1"/>
    <xf numFmtId="0" fontId="138" fillId="10" borderId="0" xfId="0" applyFont="1" applyFill="1"/>
    <xf numFmtId="0" fontId="136" fillId="8" borderId="3" xfId="0" applyFont="1" applyFill="1" applyBorder="1"/>
    <xf numFmtId="0" fontId="139" fillId="8" borderId="3" xfId="0" applyFont="1" applyFill="1" applyBorder="1"/>
    <xf numFmtId="0" fontId="140" fillId="10" borderId="0" xfId="0" applyFont="1" applyFill="1"/>
    <xf numFmtId="0" fontId="5" fillId="8" borderId="3" xfId="0" applyFont="1" applyFill="1" applyBorder="1"/>
    <xf numFmtId="0" fontId="141" fillId="2" borderId="0" xfId="0" applyFont="1" applyFill="1"/>
    <xf numFmtId="0" fontId="64" fillId="9" borderId="0" xfId="0" applyFont="1" applyFill="1"/>
    <xf numFmtId="0" fontId="64" fillId="10" borderId="0" xfId="0" applyFont="1" applyFill="1"/>
    <xf numFmtId="0" fontId="9" fillId="10" borderId="0" xfId="0" applyFont="1" applyFill="1"/>
    <xf numFmtId="0" fontId="8" fillId="0" borderId="0" xfId="0" applyFont="1"/>
    <xf numFmtId="0" fontId="142" fillId="2" borderId="0" xfId="0" applyFont="1" applyFill="1"/>
    <xf numFmtId="0" fontId="13" fillId="9" borderId="0" xfId="0" applyFont="1" applyFill="1"/>
    <xf numFmtId="0" fontId="5" fillId="10" borderId="4" xfId="0" applyFont="1" applyFill="1" applyBorder="1"/>
    <xf numFmtId="0" fontId="143" fillId="2" borderId="2" xfId="0" applyFont="1" applyFill="1" applyBorder="1"/>
    <xf numFmtId="0" fontId="144" fillId="10" borderId="4" xfId="0" applyFont="1" applyFill="1" applyBorder="1"/>
    <xf numFmtId="0" fontId="145" fillId="0" borderId="0" xfId="0" applyFont="1"/>
    <xf numFmtId="0" fontId="2" fillId="12" borderId="0" xfId="0" applyFont="1" applyFill="1"/>
    <xf numFmtId="0" fontId="146" fillId="12" borderId="0" xfId="0" applyFont="1" applyFill="1"/>
    <xf numFmtId="0" fontId="147" fillId="8" borderId="3" xfId="0" applyFont="1" applyFill="1" applyBorder="1"/>
    <xf numFmtId="0" fontId="136" fillId="10" borderId="4" xfId="0" applyFont="1" applyFill="1" applyBorder="1"/>
    <xf numFmtId="0" fontId="148" fillId="2" borderId="2" xfId="0" applyFont="1" applyFill="1" applyBorder="1"/>
    <xf numFmtId="0" fontId="149" fillId="3" borderId="0" xfId="0" applyFont="1" applyFill="1"/>
    <xf numFmtId="0" fontId="150" fillId="10" borderId="4" xfId="0" applyFont="1" applyFill="1" applyBorder="1"/>
    <xf numFmtId="0" fontId="151" fillId="0" borderId="0" xfId="0" applyFont="1"/>
    <xf numFmtId="0" fontId="152" fillId="2" borderId="0" xfId="0" applyFont="1" applyFill="1"/>
    <xf numFmtId="0" fontId="152" fillId="0" borderId="0" xfId="0" applyFont="1"/>
    <xf numFmtId="0" fontId="153" fillId="0" borderId="0" xfId="0" applyFont="1"/>
    <xf numFmtId="0" fontId="13" fillId="0" borderId="0" xfId="0" applyFont="1"/>
    <xf numFmtId="0" fontId="154" fillId="2" borderId="0" xfId="0" applyFont="1" applyFill="1"/>
    <xf numFmtId="0" fontId="155" fillId="2" borderId="0" xfId="0" applyFont="1" applyFill="1"/>
    <xf numFmtId="0" fontId="156" fillId="0" borderId="0" xfId="0" applyFont="1"/>
    <xf numFmtId="0" fontId="157" fillId="0" borderId="0" xfId="0" applyFont="1"/>
    <xf numFmtId="0" fontId="158" fillId="2" borderId="0" xfId="0" applyFont="1" applyFill="1" applyAlignment="1">
      <alignment horizontal="center"/>
    </xf>
    <xf numFmtId="0" fontId="159" fillId="2" borderId="0" xfId="0" applyFont="1" applyFill="1"/>
    <xf numFmtId="0" fontId="160" fillId="2" borderId="0" xfId="0" applyFont="1" applyFill="1"/>
    <xf numFmtId="0" fontId="152" fillId="10" borderId="0" xfId="0" applyFont="1" applyFill="1"/>
    <xf numFmtId="0" fontId="161" fillId="10" borderId="0" xfId="0" applyFont="1" applyFill="1" applyAlignment="1">
      <alignment horizontal="center"/>
    </xf>
    <xf numFmtId="0" fontId="152" fillId="0" borderId="0" xfId="0" applyFont="1" applyAlignment="1">
      <alignment wrapText="1"/>
    </xf>
    <xf numFmtId="0" fontId="152" fillId="10" borderId="0" xfId="0" applyFont="1" applyFill="1" applyAlignment="1">
      <alignment wrapText="1"/>
    </xf>
    <xf numFmtId="0" fontId="162" fillId="10" borderId="0" xfId="0" applyFont="1" applyFill="1" applyAlignment="1">
      <alignment horizontal="center"/>
    </xf>
    <xf numFmtId="0" fontId="163" fillId="10" borderId="0" xfId="0" applyFont="1" applyFill="1" applyAlignment="1">
      <alignment horizontal="center"/>
    </xf>
    <xf numFmtId="0" fontId="164" fillId="2" borderId="5" xfId="0" applyFont="1" applyFill="1" applyBorder="1" applyAlignment="1">
      <alignment horizontal="center"/>
    </xf>
    <xf numFmtId="0" fontId="158" fillId="2" borderId="0" xfId="0" applyFont="1" applyFill="1"/>
    <xf numFmtId="0" fontId="161" fillId="2" borderId="0" xfId="0" applyFont="1" applyFill="1" applyAlignment="1">
      <alignment horizontal="center"/>
    </xf>
    <xf numFmtId="0" fontId="152" fillId="2" borderId="0" xfId="0" applyFont="1" applyFill="1" applyAlignment="1">
      <alignment wrapText="1"/>
    </xf>
    <xf numFmtId="0" fontId="165" fillId="2" borderId="0" xfId="0" applyFont="1" applyFill="1" applyAlignment="1">
      <alignment horizontal="center"/>
    </xf>
    <xf numFmtId="0" fontId="163" fillId="2" borderId="0" xfId="0" applyFont="1" applyFill="1" applyAlignment="1">
      <alignment horizontal="center"/>
    </xf>
    <xf numFmtId="0" fontId="166" fillId="10" borderId="5" xfId="0" applyFont="1" applyFill="1" applyBorder="1" applyAlignment="1">
      <alignment horizontal="center"/>
    </xf>
    <xf numFmtId="0" fontId="161" fillId="10" borderId="0" xfId="0" applyFont="1" applyFill="1"/>
    <xf numFmtId="0" fontId="152" fillId="10" borderId="0" xfId="0" applyFont="1" applyFill="1" applyAlignment="1">
      <alignment horizontal="center"/>
    </xf>
    <xf numFmtId="0" fontId="161" fillId="10" borderId="0" xfId="0" applyFont="1" applyFill="1" applyAlignment="1">
      <alignment wrapText="1"/>
    </xf>
    <xf numFmtId="0" fontId="158" fillId="2" borderId="5" xfId="0" applyFont="1" applyFill="1" applyBorder="1" applyAlignment="1">
      <alignment horizontal="center"/>
    </xf>
    <xf numFmtId="0" fontId="161" fillId="2" borderId="0" xfId="0" applyFont="1" applyFill="1"/>
    <xf numFmtId="0" fontId="161" fillId="2" borderId="0" xfId="0" applyFont="1" applyFill="1" applyAlignment="1">
      <alignment wrapText="1"/>
    </xf>
    <xf numFmtId="0" fontId="167" fillId="10" borderId="5" xfId="0" applyFont="1" applyFill="1" applyBorder="1" applyAlignment="1">
      <alignment horizontal="center"/>
    </xf>
    <xf numFmtId="0" fontId="158" fillId="10" borderId="0" xfId="0" applyFont="1" applyFill="1" applyAlignment="1">
      <alignment horizontal="center"/>
    </xf>
    <xf numFmtId="0" fontId="168" fillId="10" borderId="5" xfId="0" applyFont="1" applyFill="1" applyBorder="1" applyAlignment="1">
      <alignment horizontal="center"/>
    </xf>
    <xf numFmtId="0" fontId="169" fillId="2" borderId="5" xfId="0" applyFont="1" applyFill="1" applyBorder="1" applyAlignment="1">
      <alignment horizontal="center"/>
    </xf>
    <xf numFmtId="0" fontId="161" fillId="2" borderId="0" xfId="0" quotePrefix="1" applyFont="1" applyFill="1" applyAlignment="1">
      <alignment wrapText="1"/>
    </xf>
    <xf numFmtId="0" fontId="152" fillId="2" borderId="0" xfId="0" applyFont="1" applyFill="1" applyAlignment="1">
      <alignment horizontal="center"/>
    </xf>
    <xf numFmtId="0" fontId="170" fillId="2" borderId="0" xfId="0" applyFont="1" applyFill="1" applyAlignment="1">
      <alignment horizontal="center"/>
    </xf>
    <xf numFmtId="0" fontId="158" fillId="10" borderId="5" xfId="0" applyFont="1" applyFill="1" applyBorder="1" applyAlignment="1">
      <alignment horizontal="center"/>
    </xf>
    <xf numFmtId="0" fontId="171" fillId="2" borderId="5" xfId="0" applyFont="1" applyFill="1" applyBorder="1" applyAlignment="1">
      <alignment horizontal="center"/>
    </xf>
    <xf numFmtId="0" fontId="163" fillId="10" borderId="5" xfId="0" applyFont="1" applyFill="1" applyBorder="1" applyAlignment="1">
      <alignment horizontal="center"/>
    </xf>
    <xf numFmtId="0" fontId="172" fillId="2" borderId="5" xfId="0" applyFont="1" applyFill="1" applyBorder="1" applyAlignment="1">
      <alignment horizontal="center"/>
    </xf>
    <xf numFmtId="0" fontId="173" fillId="10" borderId="5" xfId="0" applyFont="1" applyFill="1" applyBorder="1" applyAlignment="1">
      <alignment horizontal="center"/>
    </xf>
    <xf numFmtId="0" fontId="163" fillId="2" borderId="5" xfId="0" applyFont="1" applyFill="1" applyBorder="1" applyAlignment="1">
      <alignment horizontal="center"/>
    </xf>
    <xf numFmtId="0" fontId="174" fillId="2" borderId="0" xfId="0" applyFont="1" applyFill="1"/>
    <xf numFmtId="0" fontId="5" fillId="2" borderId="0" xfId="0" applyFont="1" applyFill="1" applyAlignment="1">
      <alignment wrapText="1"/>
    </xf>
    <xf numFmtId="0" fontId="175" fillId="10" borderId="0" xfId="0" applyFont="1" applyFill="1"/>
    <xf numFmtId="0" fontId="5" fillId="10" borderId="0" xfId="0" applyFont="1" applyFill="1" applyAlignment="1">
      <alignment wrapText="1"/>
    </xf>
    <xf numFmtId="0" fontId="136" fillId="8" borderId="0" xfId="0" applyFont="1" applyFill="1"/>
    <xf numFmtId="0" fontId="8" fillId="2" borderId="0" xfId="0" quotePrefix="1" applyFont="1" applyFill="1"/>
    <xf numFmtId="0" fontId="67" fillId="8" borderId="3" xfId="0" applyFont="1" applyFill="1" applyBorder="1"/>
    <xf numFmtId="0" fontId="8" fillId="9" borderId="0" xfId="0" applyFont="1" applyFill="1"/>
    <xf numFmtId="0" fontId="176" fillId="8" borderId="6" xfId="0" applyFont="1" applyFill="1" applyBorder="1"/>
    <xf numFmtId="0" fontId="13" fillId="2" borderId="0" xfId="0" applyFont="1" applyFill="1" applyAlignment="1">
      <alignment horizontal="left"/>
    </xf>
    <xf numFmtId="0" fontId="208" fillId="2" borderId="0" xfId="1" applyFill="1"/>
    <xf numFmtId="0" fontId="10" fillId="4" borderId="0" xfId="0" applyFont="1" applyFill="1"/>
    <xf numFmtId="0" fontId="208" fillId="6" borderId="0" xfId="1" applyFill="1"/>
    <xf numFmtId="0" fontId="0" fillId="0" borderId="7" xfId="0" applyBorder="1"/>
    <xf numFmtId="0" fontId="4" fillId="3" borderId="7" xfId="0" applyFont="1" applyFill="1" applyBorder="1"/>
    <xf numFmtId="0" fontId="210" fillId="13" borderId="7" xfId="0" applyFont="1" applyFill="1" applyBorder="1" applyAlignment="1">
      <alignment horizontal="left"/>
    </xf>
    <xf numFmtId="0" fontId="210" fillId="13" borderId="0" xfId="0" applyFont="1" applyFill="1" applyAlignment="1">
      <alignment horizontal="left"/>
    </xf>
    <xf numFmtId="0" fontId="209" fillId="14" borderId="0" xfId="0" applyFont="1" applyFill="1" applyAlignment="1">
      <alignment horizontal="left"/>
    </xf>
    <xf numFmtId="0" fontId="2" fillId="4" borderId="0" xfId="0" applyFont="1" applyFill="1" applyAlignment="1">
      <alignment horizontal="left"/>
    </xf>
    <xf numFmtId="0" fontId="21" fillId="4" borderId="0" xfId="0" applyFont="1" applyFill="1" applyAlignment="1">
      <alignment horizontal="left"/>
    </xf>
    <xf numFmtId="0" fontId="13" fillId="4" borderId="0" xfId="0" applyFont="1" applyFill="1" applyAlignment="1">
      <alignment horizontal="left"/>
    </xf>
    <xf numFmtId="0" fontId="14" fillId="4" borderId="0" xfId="0" applyFont="1" applyFill="1" applyAlignment="1">
      <alignment horizontal="left"/>
    </xf>
    <xf numFmtId="0" fontId="26" fillId="4" borderId="0" xfId="0" applyFont="1" applyFill="1" applyAlignment="1">
      <alignment horizontal="left"/>
    </xf>
    <xf numFmtId="0" fontId="5" fillId="4" borderId="0" xfId="0" applyFont="1" applyFill="1" applyAlignment="1">
      <alignment horizontal="left"/>
    </xf>
    <xf numFmtId="0" fontId="11" fillId="4" borderId="0" xfId="0" applyFont="1" applyFill="1" applyAlignment="1">
      <alignment horizontal="left"/>
    </xf>
    <xf numFmtId="0" fontId="58" fillId="2" borderId="0" xfId="0" applyFont="1" applyFill="1" applyAlignment="1">
      <alignment horizontal="left"/>
    </xf>
    <xf numFmtId="0" fontId="10" fillId="2" borderId="0" xfId="0" applyFont="1" applyFill="1" applyAlignment="1">
      <alignment horizontal="left"/>
    </xf>
    <xf numFmtId="0" fontId="59" fillId="2" borderId="0" xfId="0" applyFont="1" applyFill="1" applyAlignment="1">
      <alignment horizontal="left"/>
    </xf>
    <xf numFmtId="0" fontId="11" fillId="7" borderId="0" xfId="0" applyFont="1" applyFill="1" applyAlignment="1">
      <alignment horizontal="left"/>
    </xf>
    <xf numFmtId="0" fontId="211" fillId="0" borderId="0" xfId="0" applyFont="1"/>
    <xf numFmtId="0" fontId="2" fillId="4" borderId="8" xfId="0" applyFont="1" applyFill="1" applyBorder="1" applyAlignment="1">
      <alignment horizontal="left"/>
    </xf>
    <xf numFmtId="0" fontId="55" fillId="2" borderId="8" xfId="0" applyFont="1" applyFill="1" applyBorder="1"/>
    <xf numFmtId="0" fontId="58" fillId="2" borderId="8" xfId="0" applyFont="1" applyFill="1" applyBorder="1" applyAlignment="1">
      <alignment horizontal="left"/>
    </xf>
    <xf numFmtId="0" fontId="13" fillId="2" borderId="8" xfId="0" applyFont="1" applyFill="1" applyBorder="1" applyAlignment="1">
      <alignment horizontal="left"/>
    </xf>
    <xf numFmtId="0" fontId="10" fillId="2" borderId="8" xfId="0" applyFont="1" applyFill="1" applyBorder="1" applyAlignment="1">
      <alignment horizontal="left"/>
    </xf>
    <xf numFmtId="0" fontId="59" fillId="2" borderId="8" xfId="0" applyFont="1" applyFill="1" applyBorder="1" applyAlignment="1">
      <alignment horizontal="left"/>
    </xf>
    <xf numFmtId="0" fontId="11" fillId="7" borderId="8" xfId="0" applyFont="1" applyFill="1" applyBorder="1" applyAlignment="1">
      <alignment horizontal="left"/>
    </xf>
    <xf numFmtId="0" fontId="0" fillId="0" borderId="8" xfId="0" applyBorder="1"/>
    <xf numFmtId="0" fontId="10" fillId="2" borderId="8" xfId="0" applyFont="1" applyFill="1" applyBorder="1"/>
    <xf numFmtId="0" fontId="13" fillId="2" borderId="8" xfId="0" applyFont="1" applyFill="1" applyBorder="1"/>
    <xf numFmtId="0" fontId="13" fillId="15" borderId="0" xfId="0" applyFont="1" applyFill="1"/>
    <xf numFmtId="0" fontId="59" fillId="2" borderId="8" xfId="0" applyFont="1" applyFill="1" applyBorder="1"/>
    <xf numFmtId="0" fontId="5" fillId="0" borderId="8" xfId="0" applyFont="1" applyBorder="1"/>
    <xf numFmtId="0" fontId="11" fillId="7" borderId="8" xfId="0" applyFont="1" applyFill="1" applyBorder="1"/>
    <xf numFmtId="0" fontId="1" fillId="8" borderId="0" xfId="0" applyFont="1" applyFill="1"/>
    <xf numFmtId="0" fontId="4" fillId="3" borderId="0" xfId="0" applyFont="1" applyFill="1" applyAlignment="1">
      <alignment horizontal="left"/>
    </xf>
    <xf numFmtId="0" fontId="213" fillId="0" borderId="0" xfId="0" applyFont="1"/>
    <xf numFmtId="0" fontId="5" fillId="6" borderId="0" xfId="0" applyFont="1" applyFill="1" applyAlignment="1">
      <alignment horizontal="left"/>
    </xf>
    <xf numFmtId="0" fontId="5" fillId="5" borderId="0" xfId="0" applyFont="1" applyFill="1" applyAlignment="1">
      <alignment horizontal="left"/>
    </xf>
    <xf numFmtId="0" fontId="0" fillId="0" borderId="0" xfId="0" applyAlignment="1">
      <alignment horizontal="left"/>
    </xf>
    <xf numFmtId="0" fontId="212" fillId="16" borderId="7" xfId="0" applyFont="1" applyFill="1" applyBorder="1" applyAlignment="1">
      <alignment horizontal="left"/>
    </xf>
    <xf numFmtId="0" fontId="4" fillId="16" borderId="7" xfId="0" applyFont="1" applyFill="1" applyBorder="1" applyAlignment="1">
      <alignment horizontal="left"/>
    </xf>
    <xf numFmtId="0" fontId="4" fillId="16" borderId="9" xfId="0" applyFont="1" applyFill="1" applyBorder="1" applyAlignment="1">
      <alignment horizontal="left"/>
    </xf>
    <xf numFmtId="0" fontId="6" fillId="2" borderId="0" xfId="0" applyFont="1" applyFill="1" applyAlignment="1">
      <alignment horizontal="left"/>
    </xf>
    <xf numFmtId="0" fontId="5" fillId="2" borderId="0" xfId="0" applyFont="1" applyFill="1" applyAlignment="1">
      <alignment horizontal="left"/>
    </xf>
    <xf numFmtId="0" fontId="93" fillId="3" borderId="0" xfId="0" applyFont="1" applyFill="1" applyAlignment="1">
      <alignment horizontal="left"/>
    </xf>
    <xf numFmtId="0" fontId="11" fillId="2" borderId="0" xfId="0" applyFont="1" applyFill="1" applyAlignment="1">
      <alignment horizontal="left"/>
    </xf>
    <xf numFmtId="0" fontId="12" fillId="4" borderId="0" xfId="0" applyFont="1" applyFill="1" applyAlignment="1">
      <alignment horizontal="left"/>
    </xf>
    <xf numFmtId="0" fontId="6" fillId="4" borderId="0" xfId="0" applyFont="1" applyFill="1" applyAlignment="1">
      <alignment horizontal="left"/>
    </xf>
    <xf numFmtId="0" fontId="16" fillId="5" borderId="0" xfId="0" applyFont="1" applyFill="1" applyAlignment="1">
      <alignment horizontal="left"/>
    </xf>
    <xf numFmtId="0" fontId="11" fillId="5" borderId="0" xfId="0" applyFont="1" applyFill="1" applyAlignment="1">
      <alignment horizontal="left"/>
    </xf>
    <xf numFmtId="0" fontId="8" fillId="5" borderId="0" xfId="0" applyFont="1" applyFill="1" applyAlignment="1">
      <alignment horizontal="left"/>
    </xf>
    <xf numFmtId="0" fontId="18" fillId="6" borderId="0" xfId="0" applyFont="1" applyFill="1" applyAlignment="1">
      <alignment horizontal="left"/>
    </xf>
    <xf numFmtId="0" fontId="8" fillId="6" borderId="0" xfId="0" applyFont="1" applyFill="1" applyAlignment="1">
      <alignment horizontal="left"/>
    </xf>
    <xf numFmtId="0" fontId="11" fillId="6" borderId="0" xfId="0" applyFont="1" applyFill="1" applyAlignment="1">
      <alignment horizontal="left"/>
    </xf>
    <xf numFmtId="0" fontId="8" fillId="4" borderId="0" xfId="0" applyFont="1" applyFill="1" applyAlignment="1">
      <alignment horizontal="left"/>
    </xf>
    <xf numFmtId="0" fontId="22" fillId="4" borderId="0" xfId="0" applyFont="1" applyFill="1" applyAlignment="1">
      <alignment horizontal="left"/>
    </xf>
    <xf numFmtId="0" fontId="23" fillId="6" borderId="0" xfId="0" applyFont="1" applyFill="1" applyAlignment="1">
      <alignment horizontal="left"/>
    </xf>
    <xf numFmtId="0" fontId="22" fillId="6" borderId="0" xfId="0" applyFont="1" applyFill="1" applyAlignment="1">
      <alignment horizontal="left"/>
    </xf>
    <xf numFmtId="0" fontId="22" fillId="5" borderId="0" xfId="0" applyFont="1" applyFill="1" applyAlignment="1">
      <alignment horizontal="left"/>
    </xf>
    <xf numFmtId="0" fontId="208" fillId="6" borderId="0" xfId="1" applyFill="1" applyAlignment="1">
      <alignment horizontal="left"/>
    </xf>
    <xf numFmtId="11" fontId="4" fillId="3" borderId="0" xfId="0" applyNumberFormat="1" applyFont="1" applyFill="1" applyAlignment="1">
      <alignment horizontal="left"/>
    </xf>
    <xf numFmtId="0" fontId="28" fillId="5" borderId="0" xfId="0" applyFont="1" applyFill="1" applyAlignment="1">
      <alignment horizontal="left"/>
    </xf>
    <xf numFmtId="0" fontId="7" fillId="3" borderId="0" xfId="0" applyFont="1" applyFill="1" applyAlignment="1">
      <alignment horizontal="left"/>
    </xf>
    <xf numFmtId="0" fontId="2" fillId="3" borderId="0" xfId="0" applyFont="1" applyFill="1" applyAlignment="1">
      <alignment horizontal="left"/>
    </xf>
    <xf numFmtId="0" fontId="208" fillId="4" borderId="0" xfId="1" applyFill="1" applyAlignment="1">
      <alignment horizontal="left"/>
    </xf>
    <xf numFmtId="0" fontId="208" fillId="0" borderId="0" xfId="1"/>
    <xf numFmtId="0" fontId="208" fillId="3" borderId="0" xfId="1" applyNumberFormat="1" applyFill="1" applyAlignment="1">
      <alignment horizontal="left"/>
    </xf>
    <xf numFmtId="0" fontId="208" fillId="3" borderId="0" xfId="1" applyFill="1" applyAlignment="1">
      <alignment horizontal="left"/>
    </xf>
    <xf numFmtId="0" fontId="10" fillId="0" borderId="0" xfId="0" applyFont="1"/>
    <xf numFmtId="0" fontId="208" fillId="5" borderId="0" xfId="1" applyFill="1"/>
    <xf numFmtId="0" fontId="216" fillId="0" borderId="0" xfId="0" applyFont="1"/>
    <xf numFmtId="0" fontId="217" fillId="0" borderId="0" xfId="0" applyFont="1" applyAlignment="1">
      <alignment horizontal="left"/>
    </xf>
    <xf numFmtId="0" fontId="215" fillId="4" borderId="0" xfId="0" applyFont="1" applyFill="1"/>
    <xf numFmtId="0" fontId="215" fillId="0" borderId="0" xfId="0" applyFont="1"/>
    <xf numFmtId="0" fontId="0" fillId="17" borderId="0" xfId="0" applyFill="1" applyAlignment="1">
      <alignment horizontal="left"/>
    </xf>
  </cellXfs>
  <cellStyles count="2">
    <cellStyle name="Hyperlink" xfId="1" builtinId="8"/>
    <cellStyle name="Normal" xfId="0" builtinId="0"/>
  </cellStyles>
  <dxfs count="150">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0" formatCode="General"/>
      <fill>
        <patternFill patternType="solid">
          <fgColor theme="0"/>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theme="0"/>
          <bgColor theme="0"/>
        </patternFill>
      </fill>
      <alignment horizontal="lef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1"/>
        <color rgb="FF000000"/>
        <name val="&quot;Aptos Narrow&quot;"/>
        <scheme val="none"/>
      </font>
      <fill>
        <patternFill patternType="solid">
          <fgColor theme="0"/>
          <bgColor theme="2" tint="-0.249977111117893"/>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1"/>
        <color rgb="FF000000"/>
        <name val="&quot;Aptos Narrow&quot;"/>
        <scheme val="none"/>
      </font>
      <fill>
        <patternFill patternType="solid">
          <fgColor rgb="FF00FF00"/>
          <bgColor rgb="FF00FF00"/>
        </patternFill>
      </fill>
    </dxf>
    <dxf>
      <font>
        <b val="0"/>
        <i val="0"/>
        <strike val="0"/>
        <condense val="0"/>
        <extend val="0"/>
        <outline val="0"/>
        <shadow val="0"/>
        <u val="none"/>
        <vertAlign val="baseline"/>
        <sz val="11"/>
        <color rgb="FF000000"/>
        <name val="&quot;Aptos Narrow&quot;"/>
        <scheme val="none"/>
      </font>
      <fill>
        <patternFill patternType="solid">
          <fgColor rgb="FF00FF00"/>
          <bgColor rgb="FF00FF00"/>
        </patternFill>
      </fill>
    </dxf>
    <dxf>
      <font>
        <b val="0"/>
        <i val="0"/>
        <strike val="0"/>
        <condense val="0"/>
        <extend val="0"/>
        <outline val="0"/>
        <shadow val="0"/>
        <u val="none"/>
        <vertAlign val="baseline"/>
        <sz val="10"/>
        <color rgb="FF181C32"/>
        <name val="Inter"/>
        <scheme val="none"/>
      </font>
      <fill>
        <patternFill patternType="solid">
          <fgColor rgb="FF00FF00"/>
          <bgColor rgb="FF00FF00"/>
        </patternFill>
      </fill>
    </dxf>
    <dxf>
      <font>
        <b val="0"/>
        <i val="0"/>
        <strike val="0"/>
        <condense val="0"/>
        <extend val="0"/>
        <outline val="0"/>
        <shadow val="0"/>
        <u val="none"/>
        <vertAlign val="baseline"/>
        <sz val="10"/>
        <color rgb="FF181C32"/>
        <name val="Inter"/>
        <scheme val="none"/>
      </font>
      <fill>
        <patternFill patternType="solid">
          <fgColor rgb="FF00FF00"/>
          <bgColor rgb="FF00FF00"/>
        </patternFill>
      </fill>
    </dxf>
    <dxf>
      <font>
        <b val="0"/>
        <i val="0"/>
        <strike val="0"/>
        <condense val="0"/>
        <extend val="0"/>
        <outline val="0"/>
        <shadow val="0"/>
        <u val="none"/>
        <vertAlign val="baseline"/>
        <sz val="10"/>
        <color rgb="FF181C32"/>
        <name val="Inter"/>
        <scheme val="none"/>
      </font>
      <fill>
        <patternFill patternType="solid">
          <fgColor rgb="FF00FF00"/>
          <bgColor rgb="FF00FF00"/>
        </patternFill>
      </fill>
    </dxf>
    <dxf>
      <font>
        <b val="0"/>
        <i val="0"/>
        <strike val="0"/>
        <condense val="0"/>
        <extend val="0"/>
        <outline val="0"/>
        <shadow val="0"/>
        <u val="none"/>
        <vertAlign val="baseline"/>
        <sz val="10"/>
        <color rgb="FF181C32"/>
        <name val="Inter"/>
        <scheme val="none"/>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1"/>
        <color theme="1"/>
        <name val="Arial"/>
        <scheme val="none"/>
      </font>
      <fill>
        <patternFill patternType="solid">
          <fgColor rgb="FF00FF00"/>
          <bgColor rgb="FF00FF00"/>
        </patternFill>
      </fill>
    </dxf>
    <dxf>
      <font>
        <b val="0"/>
        <i val="0"/>
        <strike val="0"/>
        <condense val="0"/>
        <extend val="0"/>
        <outline val="0"/>
        <shadow val="0"/>
        <u val="none"/>
        <vertAlign val="baseline"/>
        <sz val="11"/>
        <color theme="1"/>
        <name val="Arial"/>
        <scheme val="none"/>
      </font>
      <fill>
        <patternFill patternType="solid">
          <fgColor rgb="FF00FF00"/>
          <bgColor rgb="FF00FF00"/>
        </patternFill>
      </fill>
    </dxf>
    <dxf>
      <font>
        <b val="0"/>
        <i val="0"/>
        <strike val="0"/>
        <condense val="0"/>
        <extend val="0"/>
        <outline val="0"/>
        <shadow val="0"/>
        <u val="none"/>
        <vertAlign val="baseline"/>
        <sz val="11"/>
        <color theme="1"/>
        <name val="Arial"/>
        <scheme val="none"/>
      </font>
      <fill>
        <patternFill patternType="solid">
          <fgColor rgb="FF00FF00"/>
          <bgColor rgb="FF00FF00"/>
        </patternFill>
      </fill>
    </dxf>
    <dxf>
      <font>
        <b val="0"/>
        <i val="0"/>
        <strike val="0"/>
        <condense val="0"/>
        <extend val="0"/>
        <outline val="0"/>
        <shadow val="0"/>
        <u val="none"/>
        <vertAlign val="baseline"/>
        <sz val="10"/>
        <color theme="1"/>
        <name val="Arial"/>
        <scheme val="none"/>
      </font>
      <fill>
        <patternFill patternType="solid">
          <fgColor rgb="FF00FF00"/>
          <bgColor rgb="FF00FF00"/>
        </patternFill>
      </fill>
    </dxf>
    <dxf>
      <font>
        <b val="0"/>
        <i val="0"/>
        <strike val="0"/>
        <condense val="0"/>
        <extend val="0"/>
        <outline val="0"/>
        <shadow val="0"/>
        <u val="none"/>
        <vertAlign val="baseline"/>
        <sz val="11"/>
        <color theme="1"/>
        <name val="Arial"/>
        <scheme val="none"/>
      </font>
      <fill>
        <patternFill patternType="solid">
          <fgColor rgb="FF00FF00"/>
          <bgColor rgb="FF00FF00"/>
        </patternFill>
      </fill>
    </dxf>
    <dxf>
      <font>
        <b val="0"/>
        <i val="0"/>
        <strike val="0"/>
        <condense val="0"/>
        <extend val="0"/>
        <outline val="0"/>
        <shadow val="0"/>
        <u val="none"/>
        <vertAlign val="baseline"/>
        <sz val="11"/>
        <color theme="1"/>
        <name val="Arial"/>
        <scheme val="none"/>
      </font>
      <fill>
        <patternFill patternType="solid">
          <fgColor rgb="FF00FF00"/>
          <bgColor rgb="FF00FF0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solid">
          <fgColor rgb="FF00FF00"/>
          <bgColor rgb="FF00FF00"/>
        </patternFill>
      </fill>
    </dxf>
    <dxf>
      <font>
        <b val="0"/>
        <i val="0"/>
        <strike val="0"/>
        <condense val="0"/>
        <extend val="0"/>
        <outline val="0"/>
        <shadow val="0"/>
        <u val="none"/>
        <vertAlign val="baseline"/>
        <sz val="11"/>
        <color theme="1"/>
        <name val="Montserrat"/>
        <scheme val="none"/>
      </font>
      <fill>
        <patternFill patternType="solid">
          <fgColor rgb="FF00FF00"/>
          <bgColor rgb="FF00FF00"/>
        </patternFill>
      </fill>
    </dxf>
    <dxf>
      <font>
        <b val="0"/>
        <i val="0"/>
        <strike val="0"/>
        <condense val="0"/>
        <extend val="0"/>
        <outline val="0"/>
        <shadow val="0"/>
        <u val="none"/>
        <vertAlign val="baseline"/>
        <sz val="11"/>
        <color theme="1"/>
        <name val="Montserrat"/>
        <scheme val="none"/>
      </font>
      <fill>
        <patternFill patternType="solid">
          <fgColor rgb="FF00FF00"/>
          <bgColor rgb="FF00FF00"/>
        </patternFill>
      </fill>
    </dxf>
    <dxf>
      <font>
        <b val="0"/>
        <i val="0"/>
        <strike val="0"/>
        <condense val="0"/>
        <extend val="0"/>
        <outline val="0"/>
        <shadow val="0"/>
        <u val="none"/>
        <vertAlign val="baseline"/>
        <sz val="10"/>
        <color theme="1"/>
        <name val="Arial"/>
        <scheme val="none"/>
      </font>
      <fill>
        <patternFill patternType="solid">
          <fgColor rgb="FF00FF00"/>
          <bgColor rgb="FF00FF00"/>
        </patternFill>
      </fill>
    </dxf>
    <dxf>
      <font>
        <b val="0"/>
        <i val="0"/>
        <strike val="0"/>
        <condense val="0"/>
        <extend val="0"/>
        <outline val="0"/>
        <shadow val="0"/>
        <u val="none"/>
        <vertAlign val="baseline"/>
        <sz val="11"/>
        <color theme="1"/>
        <name val="Arial"/>
        <scheme val="none"/>
      </font>
      <fill>
        <patternFill patternType="solid">
          <fgColor rgb="FF00FF00"/>
          <bgColor rgb="FF00FF00"/>
        </patternFill>
      </fill>
    </dxf>
    <dxf>
      <font>
        <b val="0"/>
        <i val="0"/>
        <strike val="0"/>
        <condense val="0"/>
        <extend val="0"/>
        <outline val="0"/>
        <shadow val="0"/>
        <u/>
        <vertAlign val="baseline"/>
        <sz val="10"/>
        <color rgb="FF0000FF"/>
        <name val="Arial"/>
        <scheme val="none"/>
      </font>
      <fill>
        <patternFill patternType="solid">
          <fgColor rgb="FF00FF00"/>
          <bgColor rgb="FF00FF00"/>
        </patternFill>
      </fill>
    </dxf>
    <dxf>
      <font>
        <b val="0"/>
        <i val="0"/>
        <strike val="0"/>
        <condense val="0"/>
        <extend val="0"/>
        <outline val="0"/>
        <shadow val="0"/>
        <u val="none"/>
        <vertAlign val="baseline"/>
        <sz val="11"/>
        <color rgb="FF000000"/>
        <name val="&quot;Aptos Narrow&quot;"/>
        <scheme val="none"/>
      </font>
      <fill>
        <patternFill patternType="solid">
          <fgColor rgb="FF00FF00"/>
          <bgColor rgb="FF00FF00"/>
        </patternFill>
      </fill>
    </dxf>
    <dxf>
      <font>
        <b val="0"/>
        <i val="0"/>
        <strike val="0"/>
        <condense val="0"/>
        <extend val="0"/>
        <outline val="0"/>
        <shadow val="0"/>
        <u val="none"/>
        <vertAlign val="baseline"/>
        <sz val="11"/>
        <color rgb="FF000000"/>
        <name val="Arial"/>
        <scheme val="none"/>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ertAlign val="baseline"/>
        <sz val="10"/>
        <color rgb="FF1155CC"/>
        <name val="Arial"/>
        <scheme val="none"/>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minor"/>
      </font>
      <fill>
        <patternFill patternType="solid">
          <fgColor rgb="FF00FF00"/>
          <bgColor rgb="FF00FF00"/>
        </patternFill>
      </fill>
    </dxf>
    <dxf>
      <font>
        <b val="0"/>
        <i val="0"/>
        <strike val="0"/>
        <condense val="0"/>
        <extend val="0"/>
        <outline val="0"/>
        <shadow val="0"/>
        <u val="none"/>
        <vertAlign val="baseline"/>
        <sz val="10"/>
        <color theme="1"/>
        <name val="Arial"/>
        <scheme val="none"/>
      </font>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5">
    <tableStyle name="bni triummph-style" pivot="0" count="2" xr9:uid="{00000000-0011-0000-FFFF-FFFF00000000}">
      <tableStyleElement type="firstRowStripe" dxfId="149"/>
      <tableStyleElement type="secondRowStripe" dxfId="148"/>
    </tableStyle>
    <tableStyle name="bni triummph-style 2" pivot="0" count="2" xr9:uid="{00000000-0011-0000-FFFF-FFFF01000000}">
      <tableStyleElement type="firstRowStripe" dxfId="147"/>
      <tableStyleElement type="secondRowStripe" dxfId="146"/>
    </tableStyle>
    <tableStyle name="bni triummph-style 3" pivot="0" count="2" xr9:uid="{00000000-0011-0000-FFFF-FFFF02000000}">
      <tableStyleElement type="firstRowStripe" dxfId="145"/>
      <tableStyleElement type="secondRowStripe" dxfId="144"/>
    </tableStyle>
    <tableStyle name="bni triummph-style 4" pivot="0" count="2" xr9:uid="{00000000-0011-0000-FFFF-FFFF03000000}">
      <tableStyleElement type="firstRowStripe" dxfId="143"/>
      <tableStyleElement type="secondRowStripe" dxfId="142"/>
    </tableStyle>
    <tableStyle name="bni triummph-style 5" pivot="0" count="2" xr9:uid="{00000000-0011-0000-FFFF-FFFF04000000}">
      <tableStyleElement type="firstRowStripe" dxfId="141"/>
      <tableStyleElement type="secondRowStripe" dxfId="140"/>
    </tableStyle>
    <tableStyle name="bni triummph-style 6" pivot="0" count="2" xr9:uid="{00000000-0011-0000-FFFF-FFFF05000000}">
      <tableStyleElement type="firstRowStripe" dxfId="139"/>
      <tableStyleElement type="secondRowStripe" dxfId="138"/>
    </tableStyle>
    <tableStyle name="bni lighthouse-style" pivot="0" count="2" xr9:uid="{00000000-0011-0000-FFFF-FFFF06000000}">
      <tableStyleElement type="firstRowStripe" dxfId="137"/>
      <tableStyleElement type="secondRowStripe" dxfId="136"/>
    </tableStyle>
    <tableStyle name="bni lighthouse-style 2" pivot="0" count="2" xr9:uid="{00000000-0011-0000-FFFF-FFFF07000000}">
      <tableStyleElement type="firstRowStripe" dxfId="135"/>
      <tableStyleElement type="secondRowStripe" dxfId="134"/>
    </tableStyle>
    <tableStyle name="bni lighthouse-style 3" pivot="0" count="2" xr9:uid="{00000000-0011-0000-FFFF-FFFF08000000}">
      <tableStyleElement type="firstRowStripe" dxfId="133"/>
      <tableStyleElement type="secondRowStripe" dxfId="132"/>
    </tableStyle>
    <tableStyle name="bni lighthouse-style 4" pivot="0" count="2" xr9:uid="{00000000-0011-0000-FFFF-FFFF09000000}">
      <tableStyleElement type="firstRowStripe" dxfId="131"/>
      <tableStyleElement type="secondRowStripe" dxfId="130"/>
    </tableStyle>
    <tableStyle name="bni lighthouse-style 5" pivot="0" count="2" xr9:uid="{00000000-0011-0000-FFFF-FFFF0A000000}">
      <tableStyleElement type="firstRowStripe" dxfId="129"/>
      <tableStyleElement type="secondRowStripe" dxfId="128"/>
    </tableStyle>
    <tableStyle name="bni lighthouse-style 6" pivot="0" count="2" xr9:uid="{00000000-0011-0000-FFFF-FFFF0B000000}">
      <tableStyleElement type="firstRowStripe" dxfId="127"/>
      <tableStyleElement type="secondRowStripe" dxfId="126"/>
    </tableStyle>
    <tableStyle name="bni lighthouse-style 7" pivot="0" count="2" xr9:uid="{00000000-0011-0000-FFFF-FFFF0C000000}">
      <tableStyleElement type="firstRowStripe" dxfId="125"/>
      <tableStyleElement type="secondRowStripe" dxfId="124"/>
    </tableStyle>
    <tableStyle name="bni lighthouse-style 8" pivot="0" count="2" xr9:uid="{00000000-0011-0000-FFFF-FFFF0D000000}">
      <tableStyleElement type="firstRowStripe" dxfId="123"/>
      <tableStyleElement type="secondRowStripe" dxfId="122"/>
    </tableStyle>
    <tableStyle name="bajaj capital-style" pivot="0" count="2" xr9:uid="{00000000-0011-0000-FFFF-FFFF0E000000}">
      <tableStyleElement type="firstRowStripe" dxfId="121"/>
      <tableStyleElement type="secondRowStripe" dxfId="120"/>
    </tableStyle>
    <tableStyle name="bajaj capital-style 2" pivot="0" count="2" xr9:uid="{00000000-0011-0000-FFFF-FFFF0F000000}">
      <tableStyleElement type="firstRowStripe" dxfId="119"/>
      <tableStyleElement type="secondRowStripe" dxfId="118"/>
    </tableStyle>
    <tableStyle name="bajaj capital-style 3" pivot="0" count="2" xr9:uid="{00000000-0011-0000-FFFF-FFFF10000000}">
      <tableStyleElement type="firstRowStripe" dxfId="117"/>
      <tableStyleElement type="secondRowStripe" dxfId="116"/>
    </tableStyle>
    <tableStyle name="bajaj capital-style 4" pivot="0" count="2" xr9:uid="{00000000-0011-0000-FFFF-FFFF11000000}">
      <tableStyleElement type="firstRowStripe" dxfId="115"/>
      <tableStyleElement type="secondRowStripe" dxfId="114"/>
    </tableStyle>
    <tableStyle name="bajaj capital-style 5" pivot="0" count="2" xr9:uid="{00000000-0011-0000-FFFF-FFFF12000000}">
      <tableStyleElement type="firstRowStripe" dxfId="113"/>
      <tableStyleElement type="secondRowStripe" dxfId="112"/>
    </tableStyle>
    <tableStyle name="bajaj capital-style 6" pivot="0" count="2" xr9:uid="{00000000-0011-0000-FFFF-FFFF13000000}">
      <tableStyleElement type="firstRowStripe" dxfId="111"/>
      <tableStyleElement type="secondRowStripe" dxfId="110"/>
    </tableStyle>
    <tableStyle name="bajaj capital-style 7" pivot="0" count="2" xr9:uid="{00000000-0011-0000-FFFF-FFFF14000000}">
      <tableStyleElement type="firstRowStripe" dxfId="109"/>
      <tableStyleElement type="secondRowStripe" dxfId="108"/>
    </tableStyle>
    <tableStyle name="bni infinite-style" pivot="0" count="2" xr9:uid="{00000000-0011-0000-FFFF-FFFF15000000}">
      <tableStyleElement type="firstRowStripe" dxfId="107"/>
      <tableStyleElement type="secondRowStripe" dxfId="106"/>
    </tableStyle>
    <tableStyle name="bni infinite-style 2" pivot="0" count="2" xr9:uid="{00000000-0011-0000-FFFF-FFFF16000000}">
      <tableStyleElement type="firstRowStripe" dxfId="105"/>
      <tableStyleElement type="secondRowStripe" dxfId="104"/>
    </tableStyle>
    <tableStyle name="bni infinite-style 3" pivot="0" count="2" xr9:uid="{00000000-0011-0000-FFFF-FFFF17000000}">
      <tableStyleElement type="firstRowStripe" dxfId="103"/>
      <tableStyleElement type="secondRowStripe" dxfId="102"/>
    </tableStyle>
    <tableStyle name="bni infinite-style 4" pivot="0" count="2" xr9:uid="{00000000-0011-0000-FFFF-FFFF18000000}">
      <tableStyleElement type="firstRowStripe" dxfId="101"/>
      <tableStyleElement type="secondRowStripe" dxfId="100"/>
    </tableStyle>
    <tableStyle name="bni infinite-style 5" pivot="0" count="2" xr9:uid="{00000000-0011-0000-FFFF-FFFF19000000}">
      <tableStyleElement type="firstRowStripe" dxfId="99"/>
      <tableStyleElement type="secondRowStripe" dxfId="98"/>
    </tableStyle>
    <tableStyle name="bni infinite-style 6" pivot="0" count="2" xr9:uid="{00000000-0011-0000-FFFF-FFFF1A000000}">
      <tableStyleElement type="firstRowStripe" dxfId="97"/>
      <tableStyleElement type="secondRowStripe" dxfId="96"/>
    </tableStyle>
    <tableStyle name="bni infinite-style 7" pivot="0" count="2" xr9:uid="{00000000-0011-0000-FFFF-FFFF1B000000}">
      <tableStyleElement type="firstRowStripe" dxfId="95"/>
      <tableStyleElement type="secondRowStripe" dxfId="94"/>
    </tableStyle>
    <tableStyle name="bni infinite-style 8" pivot="0" count="2" xr9:uid="{00000000-0011-0000-FFFF-FFFF1C000000}">
      <tableStyleElement type="firstRowStripe" dxfId="93"/>
      <tableStyleElement type="secondRowStripe" dxfId="92"/>
    </tableStyle>
    <tableStyle name="bni infinite-style 9" pivot="0" count="2" xr9:uid="{00000000-0011-0000-FFFF-FFFF1D000000}">
      <tableStyleElement type="firstRowStripe" dxfId="91"/>
      <tableStyleElement type="secondRowStripe" dxfId="90"/>
    </tableStyle>
    <tableStyle name="bni infinite-style 10" pivot="0" count="2" xr9:uid="{00000000-0011-0000-FFFF-FFFF1E000000}">
      <tableStyleElement type="firstRowStripe" dxfId="89"/>
      <tableStyleElement type="secondRowStripe" dxfId="88"/>
    </tableStyle>
    <tableStyle name="bni infinite-style 11" pivot="0" count="2" xr9:uid="{00000000-0011-0000-FFFF-FFFF1F000000}">
      <tableStyleElement type="firstRowStripe" dxfId="87"/>
      <tableStyleElement type="secondRowStripe" dxfId="86"/>
    </tableStyle>
    <tableStyle name="bni infinite-style 12" pivot="0" count="2" xr9:uid="{00000000-0011-0000-FFFF-FFFF20000000}">
      <tableStyleElement type="firstRowStripe" dxfId="85"/>
      <tableStyleElement type="secondRowStripe" dxfId="84"/>
    </tableStyle>
    <tableStyle name="bni infinite-style 13" pivot="0" count="2" xr9:uid="{00000000-0011-0000-FFFF-FFFF21000000}">
      <tableStyleElement type="firstRowStripe" dxfId="83"/>
      <tableStyleElement type="secondRowStripe" dxfId="82"/>
    </tableStyle>
    <tableStyle name="bni infinite-style 14" pivot="0" count="2" xr9:uid="{00000000-0011-0000-FFFF-FFFF22000000}">
      <tableStyleElement type="firstRowStripe" dxfId="81"/>
      <tableStyleElement type="secondRowStripe" dxfId="8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OOJA%20JADHAV\AppData\Local\Microsoft\Windows\INetCache\IE\ZJHBJIEJ\bulk%20upload%20sheet%20Tapsavvy%20internship%5b1%5d.xlsx" TargetMode="External"/><Relationship Id="rId1" Type="http://schemas.openxmlformats.org/officeDocument/2006/relationships/externalLinkPath" Target="file:///C:\Users\POOJA%20JADHAV\AppData\Local\Microsoft\Windows\INetCache\IE\ZJHBJIEJ\bulk%20upload%20sheet%20Tapsavvy%20internship%5b1%5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lsx].xlsx].xlsx]1-27"/>
      <sheetName val=".xlsx].xlsx].xlsx]28-55"/>
      <sheetName val=".xlsx].xlsx].xlsx]FINAL SHEET"/>
      <sheetName val=".xlsx].xlsx].xlsx]Ashish_Life_2"/>
      <sheetName val=".xlsx].xlsx].xlsx]grasi"/>
      <sheetName val=".xlsx].xlsx].xlsx]56-92"/>
      <sheetName val=".xlsx].xlsx].xlsx]144-199"/>
      <sheetName val=".xlsx].xlsx].xlsx]93-143"/>
      <sheetName val=".xlsx].xlsx].xlsx]200-260"/>
      <sheetName val=".xlsx].xlsx].xlsx]261-307"/>
      <sheetName val=".xlsx].xlsx].xlsx]Team Login"/>
      <sheetName val=".xlsx].xlsx].xlsx]user details"/>
      <sheetName val=".xlsx].xlsx].xlsx]All_in_all__2"/>
      <sheetName val=".xlsx].xlsx].xlsx]ProductServ_2"/>
      <sheetName val=".xlsx].xlsx].xlsx]game drive"/>
      <sheetName val=".xlsx].xlsx].xlsx]Kashish_Fur_2"/>
      <sheetName val=".xlsx].xlsx].xlsx]vasupati"/>
      <sheetName val=".xlsx].xlsx].xlsx]Turtle Down"/>
      <sheetName val=".xlsx].xlsx].xlsx]Ask_Konsult_2"/>
      <sheetName val=".xlsx].xlsx].xlsx]bni triummph"/>
      <sheetName val=".xlsx].xlsx].xlsx]bni_lightho_2"/>
      <sheetName val=".xlsx].xlsx].xlsx]bni infinite"/>
      <sheetName val=".xlsx].xlsx].xlsx]bajaj capital"/>
      <sheetName val=".xlsx].xlsx].xlsx]bulk_upload_2"/>
      <sheetName val=".xlsx].xlsx].xlsx]bulk_upload_3"/>
      <sheetName val=".xlsx].xlsx].xlsx]bulk_upload_4"/>
      <sheetName val=".xlsx].xlsx].xlsx]bulk_upload_5"/>
      <sheetName val=".xlsx].xlsx].xlsx]bulk_upload_6"/>
      <sheetName val=".xlsx].xlsx].xlsx]bulk_upload_7"/>
      <sheetName val=".xlsx].xlsx].xlsx]bulk_upload_8"/>
      <sheetName val=".xlsx].xlsx].xlsx]bulk_upload_9"/>
      <sheetName val=".xlsx].xlsx].xlsx]bulk_uploa_10"/>
      <sheetName val=".xlsx].xlsx].xlsx]bulk_uploa_11"/>
      <sheetName val=".xlsx].xlsx].xlsx]bulk_uploa_12"/>
      <sheetName val=".xlsx].xlsx].xlsx]bulk_uploa_13"/>
      <sheetName val=".xlsx].xlsx].xlsx]bulk_uploa_14"/>
      <sheetName val=".xlsx].xlsx].xlsx]bulk_uploa_15"/>
      <sheetName val=".xlsx].xlsx].xlsx]bulk_uploa_16"/>
      <sheetName val=".xlsx].xlsx].xlsx]bulk_uploa_17"/>
      <sheetName val=".xlsx].xlsx].xlsx]bulk_uploa_18"/>
      <sheetName val=".xlsx].xlsx].xlsx]bulk_uploa_19"/>
      <sheetName val=".xlsx].xlsx].xlsx]bulk_uploa_20"/>
      <sheetName val=".xlsx].xlsx].xlsx]bulk_uploa_21"/>
      <sheetName val=".xlsx].xlsx].xlsx]bulk_uploa_22"/>
      <sheetName val=".xlsx].xlsx].xlsx]bulk_uploa_23"/>
      <sheetName val=".xlsx].xlsx].xlsx]bulk_uploa_24"/>
      <sheetName val=".xlsx].xlsx].xlsx]bulk_uploa_25"/>
      <sheetName val=".xlsx].xlsx].xlsx]bulk_uploa_26"/>
      <sheetName val=".xlsx].xlsx].xlsx]bulk_uploa_27"/>
      <sheetName val=".xlsx].xlsx].xlsx]bulk_uploa_28"/>
      <sheetName val=".xlsx].xlsx].xlsx]bulk_uploa_29"/>
      <sheetName val=".xlsx].xlsx].xlsx]bulk_uploa_30"/>
      <sheetName val=".xlsx].xlsx].xlsx]bulk_uploa_31"/>
      <sheetName val=".xlsx].xlsx].xlsx]bulk_uploa_32"/>
      <sheetName val=".xlsx].xlsx].xlsx]bulk_uploa_33"/>
      <sheetName val=".xlsx].xlsx].xlsx]bulk_uploa_34"/>
      <sheetName val=".xlsx].xlsx].xlsx]bulk_uploa_35"/>
      <sheetName val=".xlsx].xlsx].xlsx]bulk_uploa_36"/>
      <sheetName val=".xlsx].xlsx].xlsx]bulk_uploa_37"/>
      <sheetName val=".xlsx].xlsx].xlsx]bulk_uploa_38"/>
      <sheetName val=".xlsx].xlsx].xlsx]bulk_uploa_39"/>
      <sheetName val=".xlsx].xlsx].xlsx]bulk_uploa_40"/>
      <sheetName val=".xlsx].xlsx].xlsx]bulk_uploa_41"/>
      <sheetName val=".xlsx].xlsx].xlsx]bulk_uploa_42"/>
      <sheetName val=".xlsx].xlsx].xlsx]bulk_uploa_43"/>
      <sheetName val=".xlsx].xlsx].xlsx]bulk_uploa_44"/>
      <sheetName val=".xlsx].xlsx].xlsx]bulk_uploa_45"/>
      <sheetName val=".xlsx].xlsx].xlsx]bulk_uploa_46"/>
      <sheetName val=".xlsx].xlsx].xlsx]bulk_uploa_47"/>
      <sheetName val=".xlsx].xlsx].xlsx]bulk_uploa_48"/>
      <sheetName val=".xlsx].xlsx].xlsx]bulk_uploa_49"/>
      <sheetName val=".xlsx].xlsx].xlsx]bulk_uploa_50"/>
      <sheetName val=".xlsx].xlsx].xlsx]bulk_uploa_51"/>
      <sheetName val=".xlsx].xlsx].xlsx]bulk_uploa_52"/>
      <sheetName val=".xlsx].xlsx].xlsx]bulk_uploa_53"/>
      <sheetName val=".xlsx].xlsx].xlsx]bulk_uploa_54"/>
      <sheetName val=".xlsx].xlsx].xlsx]bulk_uploa_55"/>
      <sheetName val=".xlsx].xlsx].xlsx]bulk_uploa_56"/>
      <sheetName val=".xlsx].xlsx].xlsx]bulk_uploa_57"/>
      <sheetName val=".xlsx].xlsx].xlsx]bulk_uploa_58"/>
      <sheetName val=".xlsx].xlsx].xlsx]bulk_uploa_59"/>
      <sheetName val=".xlsx].xlsx].xlsx]bulk_uploa_60"/>
      <sheetName val=".xlsx].xlsx].xlsx]bulk_uploa_61"/>
      <sheetName val=".xlsx].xlsx].xlsx]bulk_uploa_62"/>
      <sheetName val=".xlsx].xlsx].xlsx]bulk_uploa_63"/>
      <sheetName val=".xlsx].xlsx].xlsx]bulk_uploa_64"/>
      <sheetName val=".xlsx].xlsx].xlsx]bulk_uploa_65"/>
      <sheetName val=".xlsx].xlsx].xlsx]bulk_uploa_66"/>
      <sheetName val=".xlsx].xlsx].xlsx]bulk_uploa_67"/>
      <sheetName val=".xlsx].xlsx].xlsx]bulk_uploa_68"/>
      <sheetName val=".xlsx].xlsx].xlsx]bulk_uploa_69"/>
      <sheetName val=".xlsx].xlsx].xlsx]bulk_uploa_70"/>
      <sheetName val=".xlsx].xlsx].xlsx]bulk_uploa_71"/>
      <sheetName val=".xlsx].xlsx].xlsx]bulk_uploa_72"/>
      <sheetName val=".xlsx].xlsx].xlsx]bulk_uploa_73"/>
      <sheetName val=".xlsx].xlsx].xlsx]bulk_uploa_74"/>
      <sheetName val=".xlsx].xlsx].xlsx]bulk_uploa_75"/>
      <sheetName val=".xlsx].xlsx].xlsx]bulk_uploa_76"/>
      <sheetName val=".xlsx].xlsx].xlsx]bulk_uploa_77"/>
      <sheetName val=".xlsx].xlsx].xlsx]bulk_uploa_78"/>
      <sheetName val=".xlsx].xlsx].xlsx]bulk_uploa_79"/>
      <sheetName val=".xlsx].xlsx].xlsx]bulk_uploa_80"/>
      <sheetName val=".xlsx].xlsx].xlsx]bulk_uploa_81"/>
      <sheetName val=".xlsx].xlsx].xlsx]bulk_uploa_82"/>
      <sheetName val=".xlsx].xlsx].xlsx]bulk_uploa_83"/>
      <sheetName val=".xlsx].xlsx].xlsx]bulk_uploa_84"/>
      <sheetName val=".xlsx].xlsx].xlsx]bulk_uploa_85"/>
      <sheetName val=".xlsx].xlsx].xlsx]bulk_uploa_86"/>
      <sheetName val=".xlsx].xlsx].xlsx]bulk_uploa_87"/>
      <sheetName val=".xlsx].xlsx].xlsx]bulk_uploa_88"/>
      <sheetName val=".xlsx].xlsx].xlsx]bulk_uploa_89"/>
      <sheetName val=".xlsx].xlsx].xlsx]bulk_uploa_90"/>
      <sheetName val=".xlsx].xlsx].xlsx]bulk_uploa_91"/>
      <sheetName val=".xlsx].xlsx].xlsx]bulk_uploa_92"/>
      <sheetName val=".xlsx].xlsx].xlsx]bulk_uploa_93"/>
      <sheetName val=".xlsx].xlsx].xlsx]bulk_uploa_94"/>
      <sheetName val=".xlsx].xlsx].xlsx]bulk_uploa_95"/>
      <sheetName val=".xlsx].xlsx].xlsx]bulk_uploa_96"/>
      <sheetName val=".xlsx].xlsx]bulk_upload_sheet_2"/>
      <sheetName val=".xlsx].xlsx]bulk_upload_sheet_3"/>
      <sheetName val=".xlsx].xlsx]bulk_upload_sheet_4"/>
      <sheetName val=".xlsx].xlsx]bulk_upload_sheet_5"/>
      <sheetName val=".xlsx].xlsx]bulk_upload_sheet_6"/>
      <sheetName val=".xlsx].xlsx]bulk_upload_sheet_7"/>
      <sheetName val=".xlsx].xlsx]bulk_upload_sheet_8"/>
      <sheetName val=".xlsx].xlsx]bulk_upload_sheet_9"/>
      <sheetName val=".xlsx].xlsx]bulk_upload_shee_10"/>
      <sheetName val=".xlsx].xlsx]bulk_upload_shee_11"/>
      <sheetName val=".xlsx].xlsx]bulk_upload_shee_12"/>
      <sheetName val=".xlsx].xlsx]bulk_upload_shee_13"/>
      <sheetName val=".xlsx].xlsx]bulk_upload_shee_14"/>
      <sheetName val=".xlsx].xlsx]bulk_upload_shee_15"/>
      <sheetName val=".xlsx].xlsx]bulk_upload_shee_16"/>
      <sheetName val=".xlsx].xlsx]bulk_upload_shee_17"/>
      <sheetName val=".xlsx].xlsx]bulk_upload_shee_18"/>
      <sheetName val=".xlsx].xlsx]bulk_upload_shee_19"/>
      <sheetName val=".xlsx].xlsx]bulk_upload_shee_20"/>
      <sheetName val=".xlsx].xlsx]bulk_upload_shee_21"/>
      <sheetName val=".xlsx].xlsx]bulk_upload_shee_22"/>
      <sheetName val=".xlsx].xlsx]bulk_upload_shee_23"/>
      <sheetName val=".xlsx].xlsx]bulk_upload_shee_24"/>
      <sheetName val=".xlsx].xlsx]bulk_upload_shee_25"/>
      <sheetName val=".xlsx].xlsx]bulk_upload_shee_26"/>
      <sheetName val=".xlsx].xlsx]bulk_upload_shee_27"/>
      <sheetName val=".xlsx].xlsx]bulk_upload_shee_28"/>
      <sheetName val=".xlsx].xlsx]bulk_upload_shee_29"/>
      <sheetName val=".xlsx].xlsx]bulk_upload_shee_30"/>
      <sheetName val=".xlsx].xlsx]bulk_upload_shee_31"/>
      <sheetName val=".xlsx].xlsx]bulk_upload_shee_32"/>
      <sheetName val=".xlsx].xlsx]bulk_upload_shee_33"/>
      <sheetName val=".xlsx].xlsx]bulk_upload_shee_34"/>
      <sheetName val=".xlsx].xlsx]bulk_upload_shee_35"/>
      <sheetName val=".xlsx].xlsx]bulk_upload_shee_36"/>
      <sheetName val=".xlsx].xlsx]bulk_upload_shee_37"/>
      <sheetName val=".xlsx].xlsx]bulk_upload_shee_38"/>
      <sheetName val=".xlsx].xlsx]bulk_upload_shee_39"/>
      <sheetName val=".xlsx].xlsx]bulk_upload_shee_40"/>
      <sheetName val=".xlsx].xlsx]bulk_upload_shee_41"/>
      <sheetName val=".xlsx].xlsx]bulk_upload_shee_42"/>
      <sheetName val=".xlsx].xlsx]bulk_upload_shee_43"/>
      <sheetName val=".xlsx].xlsx]bulk_upload_shee_44"/>
      <sheetName val=".xlsx].xlsx]bulk_upload_shee_45"/>
      <sheetName val=".xlsx].xlsx]bulk_upload_shee_46"/>
      <sheetName val=".xlsx].xlsx]bulk_upload_shee_47"/>
      <sheetName val=".xlsx].xlsx]bulk_upload_shee_48"/>
      <sheetName val=".xlsx].xlsx]bulk_upload_shee_49"/>
      <sheetName val=".xlsx].xlsx]bulk_upload_shee_50"/>
      <sheetName val=".xlsx].xlsx]bulk_upload_shee_51"/>
      <sheetName val=".xlsx].xlsx]bulk_upload_shee_52"/>
      <sheetName val=".xlsx].xlsx]bulk_upload_shee_53"/>
      <sheetName val=".xlsx].xlsx]bulk_upload_shee_54"/>
      <sheetName val=".xlsx].xlsx]bulk_upload_shee_55"/>
      <sheetName val=".xlsx].xlsx]bulk_upload_shee_56"/>
      <sheetName val=".xlsx].xlsx]bulk_upload_shee_57"/>
      <sheetName val=".xlsx].xlsx]bulk_upload_shee_58"/>
      <sheetName val=".xlsx].xlsx]bulk_upload_shee_59"/>
      <sheetName val=".xlsx].xlsx]bulk_upload_shee_60"/>
      <sheetName val=".xlsx].xlsx]bulk_upload_shee_61"/>
      <sheetName val=".xlsx].xlsx]bulk_upload_shee_62"/>
      <sheetName val=".xlsx].xlsx]bulk_upload_shee_63"/>
      <sheetName val=".xlsx].xlsx]bulk_upload_shee_64"/>
      <sheetName val=".xlsx].xlsx]bulk_upload_shee_65"/>
      <sheetName val=".xlsx].xlsx]bulk_upload_shee_66"/>
      <sheetName val=".xlsx].xlsx]bulk_upload_shee_67"/>
      <sheetName val=".xlsx].xlsx]bulk_upload_shee_68"/>
      <sheetName val=".xlsx].xlsx]bulk_upload_shee_69"/>
      <sheetName val=".xlsx].xlsx]bulk_upload_shee_70"/>
      <sheetName val=".xlsx].xlsx]bulk_upload_shee_71"/>
      <sheetName val=".xlsx].xlsx]bulk_upload_shee_72"/>
      <sheetName val=".xlsx].xlsx]bulk_upload_shee_73"/>
      <sheetName val=".xlsx].xlsx]bulk_upload_shee_74"/>
      <sheetName val=".xlsx].xlsx]bulk_upload_shee_75"/>
      <sheetName val=".xlsx].xlsx]bulk_upload_shee_76"/>
      <sheetName val=".xlsx].xlsx]bulk_upload_shee_77"/>
      <sheetName val=".xlsx].xlsx]bulk_upload_shee_78"/>
      <sheetName val=".xlsx].xlsx]bulk_upload_shee_79"/>
      <sheetName val=".xlsx].xlsx]bulk_upload_shee_80"/>
      <sheetName val=".xlsx].xlsx]bulk_upload_shee_81"/>
      <sheetName val=".xlsx].xlsx]bulk_upload_shee_82"/>
      <sheetName val=".xlsx].xlsx]bulk_upload_shee_83"/>
      <sheetName val=".xlsx].xlsx]bulk_upload_shee_84"/>
      <sheetName val=".xlsx].xlsx]bulk_upload_shee_85"/>
      <sheetName val=".xlsx].xlsx]bulk_upload_shee_86"/>
      <sheetName val=".xlsx].xlsx]bulk_upload_shee_87"/>
      <sheetName val=".xlsx].xlsx]bulk_upload_shee_88"/>
      <sheetName val=".xlsx].xlsx]bulk_upload_shee_89"/>
      <sheetName val=".xlsx].xlsx]bulk_upload_shee_90"/>
      <sheetName val=".xlsx].xlsx]bulk_upload_shee_91"/>
      <sheetName val=".xlsx].xlsx]bulk_upload_shee_92"/>
      <sheetName val=".xlsx].xlsx]bulk_upload_shee_93"/>
      <sheetName val=".xlsx].xlsx]bulk_upload_shee_94"/>
      <sheetName val=".xlsx].xlsx]bulk_upload_shee_95"/>
      <sheetName val=".xlsx].xlsx]bulk_upload_shee_96"/>
      <sheetName val=".xlsx]bulk_upload_sheet_Tapsa_2"/>
      <sheetName val=".xlsx]bulk_upload_sheet_Tapsa_3"/>
      <sheetName val=".xlsx]bulk_upload_sheet_Tapsa_4"/>
      <sheetName val=".xlsx]bulk_upload_sheet_Tapsa_5"/>
      <sheetName val=".xlsx]bulk_upload_sheet_Tapsa_6"/>
      <sheetName val=".xlsx]bulk_upload_sheet_Tapsa_7"/>
      <sheetName val=".xlsx]bulk_upload_sheet_Tapsa_8"/>
      <sheetName val=".xlsx]bulk_upload_sheet_Tapsa_9"/>
      <sheetName val=".xlsx]bulk_upload_sheet_Taps_10"/>
      <sheetName val=".xlsx]bulk_upload_sheet_Taps_11"/>
      <sheetName val=".xlsx]bulk_upload_sheet_Taps_12"/>
      <sheetName val=".xlsx]bulk_upload_sheet_Taps_13"/>
      <sheetName val=".xlsx]bulk_upload_sheet_Taps_14"/>
      <sheetName val=".xlsx]bulk_upload_sheet_Taps_15"/>
      <sheetName val=".xlsx]bulk_upload_sheet_Taps_16"/>
      <sheetName val=".xlsx]bulk_upload_sheet_Taps_17"/>
      <sheetName val=".xlsx]bulk_upload_sheet_Taps_18"/>
      <sheetName val=".xlsx]bulk_upload_sheet_Taps_19"/>
      <sheetName val=".xlsx]bulk_upload_sheet_Taps_20"/>
      <sheetName val=".xlsx]bulk_upload_sheet_Taps_21"/>
      <sheetName val=".xlsx]bulk_upload_sheet_Taps_22"/>
      <sheetName val=".xlsx]bulk_upload_sheet_Taps_23"/>
      <sheetName val=".xlsx]bulk_upload_sheet_Taps_24"/>
      <sheetName val=".xlsx]bulk_upload_sheet_Taps_25"/>
      <sheetName val=".xlsx]bulk_upload_sheet_Taps_26"/>
      <sheetName val=".xlsx]bulk_upload_sheet_Taps_27"/>
      <sheetName val=".xlsx]bulk_upload_sheet_Taps_28"/>
      <sheetName val=".xlsx]bulk_upload_sheet_Taps_29"/>
      <sheetName val=".xlsx]bulk_upload_sheet_Taps_30"/>
      <sheetName val=".xlsx]bulk_upload_sheet_Taps_31"/>
      <sheetName val=".xlsx]bulk_upload_sheet_Taps_32"/>
      <sheetName val=".xlsx]bulk_upload_sheet_Taps_33"/>
      <sheetName val=".xlsx]bulk_upload_sheet_Taps_34"/>
      <sheetName val=".xlsx]bulk_upload_sheet_Taps_35"/>
      <sheetName val=".xlsx]bulk_upload_sheet_Taps_36"/>
      <sheetName val=".xlsx]bulk_upload_sheet_Taps_37"/>
      <sheetName val=".xlsx]bulk_upload_sheet_Taps_38"/>
      <sheetName val=".xlsx]bulk_upload_sheet_Taps_39"/>
      <sheetName val=".xlsx]bulk_upload_sheet_Taps_40"/>
      <sheetName val=".xlsx]bulk_upload_sheet_Taps_41"/>
      <sheetName val=".xlsx]bulk_upload_sheet_Taps_42"/>
      <sheetName val=".xlsx]bulk_upload_sheet_Taps_43"/>
      <sheetName val=".xlsx]bulk_upload_sheet_Taps_44"/>
      <sheetName val=".xlsx]bulk_upload_sheet_Taps_45"/>
      <sheetName val=".xlsx]bulk_upload_sheet_Taps_46"/>
      <sheetName val=".xlsx]bulk_upload_sheet_Taps_47"/>
      <sheetName val=".xlsx]bulk_upload_sheet_Taps_48"/>
      <sheetName val=".xlsx]bulk_upload_sheet_Taps_49"/>
      <sheetName val=".xlsx]bulk_upload_sheet_Taps_50"/>
      <sheetName val=".xlsx]bulk_upload_sheet_Taps_51"/>
      <sheetName val=".xlsx]bulk_upload_sheet_Taps_52"/>
      <sheetName val=".xlsx]bulk_upload_sheet_Taps_53"/>
      <sheetName val=".xlsx]bulk_upload_sheet_Taps_54"/>
      <sheetName val=".xlsx]bulk_upload_sheet_Taps_55"/>
      <sheetName val=".xlsx]bulk_upload_sheet_Taps_56"/>
      <sheetName val=".xlsx]bulk_upload_sheet_Taps_57"/>
      <sheetName val=".xlsx]bulk_upload_sheet_Taps_58"/>
      <sheetName val=".xlsx]bulk_upload_sheet_Taps_59"/>
      <sheetName val=".xlsx]bulk_upload_sheet_Taps_60"/>
      <sheetName val=".xlsx]bulk_upload_sheet_Taps_61"/>
      <sheetName val=".xlsx]bulk_upload_sheet_Taps_62"/>
      <sheetName val=".xlsx]bulk_upload_sheet_Taps_63"/>
      <sheetName val=".xlsx]bulk_upload_sheet_Taps_64"/>
      <sheetName val=".xlsx]bulk_upload_sheet_Taps_65"/>
      <sheetName val=".xlsx]bulk_upload_sheet_Taps_66"/>
      <sheetName val=".xlsx]bulk_upload_sheet_Taps_67"/>
      <sheetName val=".xlsx]bulk_upload_sheet_Taps_68"/>
      <sheetName val=".xlsx]bulk_upload_sheet_Taps_69"/>
      <sheetName val=".xlsx]bulk_upload_sheet_Taps_70"/>
      <sheetName val=".xlsx]bulk_upload_sheet_Taps_71"/>
      <sheetName val=".xlsx]bulk_upload_sheet_Taps_72"/>
      <sheetName val=".xlsx]bulk_upload_sheet_Taps_73"/>
      <sheetName val=".xlsx]bulk_upload_sheet_Taps_74"/>
      <sheetName val=".xlsx]bulk_upload_sheet_Taps_75"/>
      <sheetName val=".xlsx]bulk_upload_sheet_Taps_76"/>
      <sheetName val=".xlsx]bulk_upload_sheet_Taps_77"/>
      <sheetName val=".xlsx]bulk_upload_sheet_Taps_78"/>
      <sheetName val=".xlsx]bulk_upload_sheet_Taps_79"/>
      <sheetName val=".xlsx]bulk_upload_sheet_Taps_80"/>
      <sheetName val=".xlsx]bulk_upload_sheet_Taps_81"/>
      <sheetName val=".xlsx]bulk_upload_sheet_Taps_82"/>
      <sheetName val=".xlsx]bulk_upload_sheet_Taps_83"/>
      <sheetName val=".xlsx]bulk_upload_sheet_Taps_84"/>
      <sheetName val=".xlsx]bulk_upload_sheet_Taps_85"/>
      <sheetName val=".xlsx]bulk_upload_sheet_Taps_86"/>
      <sheetName val=".xlsx]bulk_upload_sheet_Taps_87"/>
      <sheetName val=".xlsx]bulk_upload_sheet_Taps_88"/>
      <sheetName val=".xlsx]bulk_upload_sheet_Taps_89"/>
      <sheetName val=".xlsx]bulk_upload_sheet_Taps_90"/>
      <sheetName val=".xlsx]bulk_upload_sheet_Taps_91"/>
      <sheetName val=".xlsx]bulk_upload_sheet_Taps_92"/>
      <sheetName val=".xlsx]bulk_upload_sheet_Taps_93"/>
      <sheetName val=".xlsx]bulk_upload_sheet_Taps_94"/>
      <sheetName val=".xlsx]bulk_upload_sheet_Taps_95"/>
      <sheetName val=".xlsx]bulk_upload_sheet_Taps_9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F8BFA93-2D9D-4231-AB93-8EAA1EB9CD47}" name="Table38" displayName="Table38" ref="A1:AC29" totalsRowShown="0" headerRowDxfId="79" dataDxfId="78">
  <autoFilter ref="A1:AC29" xr:uid="{9F8BFA93-2D9D-4231-AB93-8EAA1EB9CD47}"/>
  <sortState xmlns:xlrd2="http://schemas.microsoft.com/office/spreadsheetml/2017/richdata2" ref="A2:AC29">
    <sortCondition ref="E1:E29"/>
  </sortState>
  <tableColumns count="29">
    <tableColumn id="1" xr3:uid="{01F4091D-7432-4454-8052-095A83BE45FC}" name="All done" dataDxfId="77"/>
    <tableColumn id="2" xr3:uid="{DBD62E28-B981-47C5-BD78-8E5FF77259A2}" name="URL" dataDxfId="76"/>
    <tableColumn id="3" xr3:uid="{88EFCE21-0608-42E6-A19E-AA7DF640D95B}" name="SR NO." dataDxfId="75"/>
    <tableColumn id="4" xr3:uid="{EBD07A47-DD51-43AC-950F-FA21A29782FA}" name="URL NAME" dataDxfId="74"/>
    <tableColumn id="6" xr3:uid="{B64A946A-604E-471C-8C37-C0A26C718F6B}" name="URL CODE" dataDxfId="73"/>
    <tableColumn id="7" xr3:uid="{5528E129-B267-4BCE-9D37-C10AA15858DE}" name="EMAIL ON  CARD" dataDxfId="72"/>
    <tableColumn id="8" xr3:uid="{0D5CDA92-2047-4BC8-9968-05B157095273}" name="USER ID" dataDxfId="71"/>
    <tableColumn id="10" xr3:uid="{5A97BEFB-1DED-4FED-9730-938B33E2EFFE}" name="PASSWORD" dataDxfId="70"/>
    <tableColumn id="11" xr3:uid="{E2636563-C1F2-4B30-9FB5-B491CEFD9E6E}" name="COMPANY NAME" dataDxfId="69"/>
    <tableColumn id="12" xr3:uid="{E89E493C-3B48-4AF3-B017-727E2CF94FCF}" name="FULL NAME" dataDxfId="68"/>
    <tableColumn id="13" xr3:uid="{8D3EFF76-DBBD-4AA7-92DE-AB4334F42CD3}" name="DESIGNATION" dataDxfId="67"/>
    <tableColumn id="14" xr3:uid="{E910E922-A960-4810-8EA3-B6445588F50F}" name="ABOUT COMPANY" dataDxfId="66"/>
    <tableColumn id="15" xr3:uid="{F81CA0E7-A4BA-4D0D-B800-D0311968EB66}" name=" PRIMARY CONTACT" dataDxfId="65"/>
    <tableColumn id="16" xr3:uid="{BA2DC9FE-7DA9-4DC5-99DF-CC460C8F3E77}" name="ALTERNATE CONTACT" dataDxfId="64"/>
    <tableColumn id="17" xr3:uid="{39E5D296-9D70-4988-9BA5-8BB003FC7938}" name="WHATSAPP CONTACT" dataDxfId="63"/>
    <tableColumn id="18" xr3:uid="{D0EB0DAD-A5EA-4ED7-8190-79B787E78DBE}" name="WEBSITE" dataDxfId="62"/>
    <tableColumn id="19" xr3:uid="{2CEDDC23-D39B-44BE-BEB4-DAB61965E35E}" name="PRIMARY ADDRESS" dataDxfId="61"/>
    <tableColumn id="20" xr3:uid="{5ACEB016-4D3D-4A2D-AF91-88CBDFB89D3C}" name="TAMPLATE" dataDxfId="60"/>
    <tableColumn id="21" xr3:uid="{E9C7EB89-DB50-4D3C-886E-7F4AFD8ED3E7}" name="BG" dataDxfId="59"/>
    <tableColumn id="22" xr3:uid="{FD3175D4-6228-4F0C-B2F8-B7BD4239C3CF}" name="FONT" dataDxfId="58"/>
    <tableColumn id="23" xr3:uid="{E14255A6-3605-49E7-A97E-E762F1F6565B}" name="BG BUTTON" dataDxfId="57"/>
    <tableColumn id="24" xr3:uid="{BE67E6C5-CD92-4954-BE96-B432FD2EC61D}" name="BUTTON FONT" dataDxfId="56"/>
    <tableColumn id="25" xr3:uid="{8A077E1C-981B-4C81-B7D4-76C9FCF6A8A7}" name="PROFILE PICTURE" dataDxfId="55"/>
    <tableColumn id="26" xr3:uid="{576B9FCC-D29D-4FEA-9563-3ACF8230D9AF}" name="COVER PICTURE" dataDxfId="54"/>
    <tableColumn id="27" xr3:uid="{399D2425-77E2-4659-8B55-83CF8C58F699}" name="FACEBOOK" dataDxfId="53"/>
    <tableColumn id="28" xr3:uid="{E2348DDC-FC11-44D4-A483-A6C8C6310092}" name="INSTAGRAM" dataDxfId="52"/>
    <tableColumn id="29" xr3:uid="{50C2F66D-5AEC-48C9-A2F3-40B9A22636D2}" name="LINKEDIN" dataDxfId="51"/>
    <tableColumn id="30" xr3:uid="{31926262-B5FF-4FFF-A379-BC68241F0B1A}" name="YOUTUBE" dataDxfId="50"/>
    <tableColumn id="31" xr3:uid="{661E6E70-6EEC-4D52-8A4F-F78004EEA7AC}" name="product 1 " dataDxfId="4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D4:D8" headerRowCount="0">
  <tableColumns count="1">
    <tableColumn id="1" xr3:uid="{00000000-0010-0000-1500-000001000000}" name="Column1"/>
  </tableColumns>
  <tableStyleInfo name="bni infinit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E4:G58" headerRowCount="0">
  <tableColumns count="3">
    <tableColumn id="1" xr3:uid="{00000000-0010-0000-1600-000001000000}" name="Column1"/>
    <tableColumn id="2" xr3:uid="{00000000-0010-0000-1600-000002000000}" name="Column2"/>
    <tableColumn id="3" xr3:uid="{00000000-0010-0000-1600-000003000000}" name="Column3"/>
  </tableColumns>
  <tableStyleInfo name="bni infinite-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H4:K58" headerRowCount="0">
  <tableColumns count="4">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s>
  <tableStyleInfo name="bni infinite-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L4:L58" headerRowCount="0">
  <tableColumns count="1">
    <tableColumn id="1" xr3:uid="{00000000-0010-0000-1800-000001000000}" name="Column1"/>
  </tableColumns>
  <tableStyleInfo name="bni infinite-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M4:M58" headerRowCount="0">
  <tableColumns count="1">
    <tableColumn id="1" xr3:uid="{00000000-0010-0000-1900-000001000000}" name="Column1"/>
  </tableColumns>
  <tableStyleInfo name="bni infinite-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N4:Y58" headerRowCount="0">
  <tableColumns count="1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s>
  <tableStyleInfo name="bni infinite-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Z4:AA25" headerRowCount="0">
  <tableColumns count="2">
    <tableColumn id="1" xr3:uid="{00000000-0010-0000-1B00-000001000000}" name="Column1"/>
    <tableColumn id="2" xr3:uid="{00000000-0010-0000-1B00-000002000000}" name="Column2"/>
  </tableColumns>
  <tableStyleInfo name="bni infinite-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AB4:AC25" headerRowCount="0">
  <tableColumns count="2">
    <tableColumn id="1" xr3:uid="{00000000-0010-0000-1C00-000001000000}" name="Column1"/>
    <tableColumn id="2" xr3:uid="{00000000-0010-0000-1C00-000002000000}" name="Column2"/>
  </tableColumns>
  <tableStyleInfo name="bni infinite-style 8"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AD4:AE25" headerRowCount="0">
  <tableColumns count="2">
    <tableColumn id="1" xr3:uid="{00000000-0010-0000-1D00-000001000000}" name="Column1"/>
    <tableColumn id="2" xr3:uid="{00000000-0010-0000-1D00-000002000000}" name="Column2"/>
  </tableColumns>
  <tableStyleInfo name="bni infinite-style 9"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AF4:AG25" headerRowCount="0">
  <tableColumns count="2">
    <tableColumn id="1" xr3:uid="{00000000-0010-0000-1E00-000001000000}" name="Column1"/>
    <tableColumn id="2" xr3:uid="{00000000-0010-0000-1E00-000002000000}" name="Column2"/>
  </tableColumns>
  <tableStyleInfo name="bni infinite-style 10"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AH4:AI25" headerRowCount="0">
  <tableColumns count="2">
    <tableColumn id="1" xr3:uid="{00000000-0010-0000-1F00-000001000000}" name="Column1"/>
    <tableColumn id="2" xr3:uid="{00000000-0010-0000-1F00-000002000000}" name="Column2"/>
  </tableColumns>
  <tableStyleInfo name="bni infinite-style 11"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AJ4:AM25" headerRowCount="0">
  <tableColumns count="4">
    <tableColumn id="1" xr3:uid="{00000000-0010-0000-2000-000001000000}" name="Column1"/>
    <tableColumn id="2" xr3:uid="{00000000-0010-0000-2000-000002000000}" name="Column2"/>
    <tableColumn id="3" xr3:uid="{00000000-0010-0000-2000-000003000000}" name="Column3"/>
    <tableColumn id="4" xr3:uid="{00000000-0010-0000-2000-000004000000}" name="Column4"/>
  </tableColumns>
  <tableStyleInfo name="bni infinite-style 12"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AA39:AA40" headerRowCount="0">
  <tableColumns count="1">
    <tableColumn id="1" xr3:uid="{00000000-0010-0000-2100-000001000000}" name="Column1"/>
  </tableColumns>
  <tableStyleInfo name="bni infinite-style 13"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AB51:AC58" headerRowCount="0">
  <tableColumns count="2">
    <tableColumn id="1" xr3:uid="{00000000-0010-0000-2200-000001000000}" name="Column1"/>
    <tableColumn id="2" xr3:uid="{00000000-0010-0000-2200-000002000000}" name="Column2"/>
  </tableColumns>
  <tableStyleInfo name="bni infinite-style 14"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A96DE06-C77B-4E53-B426-EF6DDDE8A9B9}" name="Table3937" displayName="Table3937" ref="B1:AB755" totalsRowShown="0" headerRowDxfId="48" dataDxfId="46" headerRowBorderDxfId="47">
  <sortState xmlns:xlrd2="http://schemas.microsoft.com/office/spreadsheetml/2017/richdata2" ref="B2:W755">
    <sortCondition ref="F1:F755"/>
  </sortState>
  <tableColumns count="27">
    <tableColumn id="20" xr3:uid="{E72954D4-D540-4E12-A075-80A80BD5A2BA}" name="URL" dataDxfId="45"/>
    <tableColumn id="42" xr3:uid="{70564106-029A-4CB0-9E71-691A583AA93B}" name="PROFILE STATUS" dataDxfId="44"/>
    <tableColumn id="41" xr3:uid="{3490E898-F83F-491B-928A-C01AE8E98E34}" name="USER ID" dataDxfId="43">
      <calculatedColumnFormula>MID(B2, FIND(".com/",B2)+5, FIND("/",B2,FIND(".com/",B2)+5) - (FIND(".com/",B2)+5))</calculatedColumnFormula>
    </tableColumn>
    <tableColumn id="19" xr3:uid="{AEFB3F2A-1B9B-4046-AE61-12B631DF73AE}" name="URL NAME" dataDxfId="42"/>
    <tableColumn id="3" xr3:uid="{BBE4A5C5-21FB-4BBD-9694-3E1AC8D89D21}" name="URL CODE" dataDxfId="41"/>
    <tableColumn id="5" xr3:uid="{0196EAC5-1B40-48D8-ABD3-007A709D61B3}" name="PROFILE PICTURE" dataDxfId="40"/>
    <tableColumn id="6" xr3:uid="{AC7BD4A6-F3C4-42E5-8A8B-E49BFF797222}" name="COVER PICTURE" dataDxfId="39"/>
    <tableColumn id="21" xr3:uid="{847FBCBC-91C9-4132-A053-5825D99C7A5C}" name="COMPANY NAME" dataDxfId="38"/>
    <tableColumn id="22" xr3:uid="{6E79E277-048C-4164-8DAE-90BD69AE5EA6}" name="FULL NAME" dataDxfId="37"/>
    <tableColumn id="23" xr3:uid="{E0F14F97-8CAE-4EA3-AD22-86A795F02AC5}" name="DESIGNATION" dataDxfId="36"/>
    <tableColumn id="24" xr3:uid="{D5C20960-9923-4436-B1A4-9B6466149E65}" name="ABOUT COMPANY" dataDxfId="35"/>
    <tableColumn id="25" xr3:uid="{0327AC5A-70BD-4995-8212-12FD8B7ECA49}" name="PRIMARY CONTACT" dataDxfId="34"/>
    <tableColumn id="36" xr3:uid="{03911D6E-A306-4E8C-8E9E-8D8AAD8F9181}" name="ALTERNATE CONTACT" dataDxfId="33"/>
    <tableColumn id="26" xr3:uid="{B62FAC8B-708D-420C-97C4-8D7178886B93}" name="ACTION ON P-CONTACT" dataDxfId="32">
      <calculatedColumnFormula>IF(LEN(SUBSTITUTE(Table3937[[#This Row],[PRIMARY CONTACT]]," ",""))=10,SUBSTITUTE(Table3937[[#This Row],[PRIMARY CONTACT]]," ","") &amp; " - Proper","- Follow Up")</calculatedColumnFormula>
    </tableColumn>
    <tableColumn id="27" xr3:uid="{5C483A41-4C02-4ECB-9802-FC039CE55AD6}" name="EMAIL ON CARD" dataDxfId="31"/>
    <tableColumn id="13" xr3:uid="{D7EAF52F-DB6E-4993-A0CC-C1440BB11416}" name="whatsapp_number" dataDxfId="30"/>
    <tableColumn id="30" xr3:uid="{B49F6939-74EB-4540-ABCE-A54D85E0BC18}" name="WHATSAPP CONTACT" dataDxfId="29">
      <calculatedColumnFormula>SUBSTITUTE(Table3937[[#This Row],[whatsapp_number]]," ","")</calculatedColumnFormula>
    </tableColumn>
    <tableColumn id="29" xr3:uid="{8D119139-6C6B-4568-B4D3-DB190474A629}" name="SAME CONATACT OR NOT" dataDxfId="28">
      <calculatedColumnFormula>IF(Table3937[[#This Row],[PRIMARY CONTACT]]=Table3937[[#This Row],[WHATSAPP CONTACT]],"Same Contact","Different Contact")</calculatedColumnFormula>
    </tableColumn>
    <tableColumn id="28" xr3:uid="{F0341C91-F576-46BE-8AB0-418D2811A1B5}" name="ACTION ON W-CONTACT" dataDxfId="27">
      <calculatedColumnFormula>IF(LEN(SUBSTITUTE(Table3937[[#This Row],[PRIMARY CONTACT]]," ",""))=10,SUBSTITUTE(Table3937[[#This Row],[PRIMARY CONTACT]]," ","") &amp; " - Proper","- Follow Up")</calculatedColumnFormula>
    </tableColumn>
    <tableColumn id="31" xr3:uid="{C6EF2120-7768-4611-A123-869C0D9078D6}" name="PRIMARY ADDRESS" dataDxfId="26"/>
    <tableColumn id="33" xr3:uid="{46C8CF23-535B-4878-8607-DE19FA19C343}" name="WEBSITE" dataDxfId="25"/>
    <tableColumn id="34" xr3:uid="{06B2F0EA-D00F-4300-81F8-282C23576287}" name="TEMPLATE " dataDxfId="24"/>
    <tableColumn id="37" xr3:uid="{836993E6-6BCD-43E1-B769-D0D4C7E0DA1E}" name="BG" dataDxfId="23"/>
    <tableColumn id="38" xr3:uid="{96D2FE27-338F-44CB-8C63-80403A5ED78E}" name="FONT" dataDxfId="22"/>
    <tableColumn id="39" xr3:uid="{338D46FE-F4FD-4C5E-A500-90B738B4919F}" name="BG BUTTON" dataDxfId="21"/>
    <tableColumn id="40" xr3:uid="{CFEAE821-1851-4713-91DA-9B3D444433C5}" name="BUTTON FONT" dataDxfId="20"/>
    <tableColumn id="1" xr3:uid="{67EA5BCE-8E27-4E1A-9A8B-CF50078F1290}" name="Column1" dataDxfId="19"/>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4:F31" headerRowCount="0">
  <tableColumns count="2">
    <tableColumn id="1" xr3:uid="{00000000-0010-0000-0000-000001000000}" name="Column1"/>
    <tableColumn id="2" xr3:uid="{00000000-0010-0000-0000-000002000000}" name="Column2"/>
  </tableColumns>
  <tableStyleInfo name="bni triummph-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G4:J31" headerRowCount="0">
  <tableColumns count="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s>
  <tableStyleInfo name="bni triummph-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K4:K31" headerRowCount="0">
  <tableColumns count="1">
    <tableColumn id="1" xr3:uid="{00000000-0010-0000-0200-000001000000}" name="Column1"/>
  </tableColumns>
  <tableStyleInfo name="bni triummph-style 3"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M4:Q31" headerRowCount="0">
  <tableColumns count="5">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s>
  <tableStyleInfo name="bni triummph-style 4"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X4:AA5"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bni triummph-style 5"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X13:Z13" headerRowCount="0">
  <tableColumns count="3">
    <tableColumn id="1" xr3:uid="{00000000-0010-0000-0500-000001000000}" name="Column1"/>
    <tableColumn id="2" xr3:uid="{00000000-0010-0000-0500-000002000000}" name="Column2"/>
    <tableColumn id="3" xr3:uid="{00000000-0010-0000-0500-000003000000}" name="Column3"/>
  </tableColumns>
  <tableStyleInfo name="bni triummph-style 6"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C5:C25" headerRowCount="0">
  <tableColumns count="1">
    <tableColumn id="1" xr3:uid="{00000000-0010-0000-0600-000001000000}" name="Column1"/>
  </tableColumns>
  <tableStyleInfo name="bni lighthouse-style"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D5:D41" headerRowCount="0">
  <tableColumns count="1">
    <tableColumn id="1" xr3:uid="{00000000-0010-0000-0700-000001000000}" name="Column1"/>
  </tableColumns>
  <tableStyleInfo name="bni lighthouse-style 2"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G5:I45" headerRowCount="0">
  <tableColumns count="3">
    <tableColumn id="1" xr3:uid="{00000000-0010-0000-0800-000001000000}" name="Column1"/>
    <tableColumn id="2" xr3:uid="{00000000-0010-0000-0800-000002000000}" name="Column2"/>
    <tableColumn id="3" xr3:uid="{00000000-0010-0000-0800-000003000000}" name="Column3"/>
  </tableColumns>
  <tableStyleInfo name="bni lighthouse-style 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J5:J45" headerRowCount="0">
  <tableColumns count="1">
    <tableColumn id="1" xr3:uid="{00000000-0010-0000-0900-000001000000}" name="Column1"/>
  </tableColumns>
  <tableStyleInfo name="bni lighthouse-style 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K5:K36" headerRowCount="0">
  <tableColumns count="1">
    <tableColumn id="1" xr3:uid="{00000000-0010-0000-0A00-000001000000}" name="Column1"/>
  </tableColumns>
  <tableStyleInfo name="bni lighthouse-style 5"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L5:P45" headerRowCount="0">
  <tableColumns count="5">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s>
  <tableStyleInfo name="bni lighthouse-style 6"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W5:Y24" headerRowCount="0">
  <tableColumns count="3">
    <tableColumn id="1" xr3:uid="{00000000-0010-0000-0C00-000001000000}" name="Column1"/>
    <tableColumn id="2" xr3:uid="{00000000-0010-0000-0C00-000002000000}" name="Column2"/>
    <tableColumn id="3" xr3:uid="{00000000-0010-0000-0C00-000003000000}" name="Column3"/>
  </tableColumns>
  <tableStyleInfo name="bni lighthouse-style 7"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Y42:AA48" headerRowCount="0">
  <tableColumns count="3">
    <tableColumn id="1" xr3:uid="{00000000-0010-0000-0D00-000001000000}" name="Column1"/>
    <tableColumn id="2" xr3:uid="{00000000-0010-0000-0D00-000002000000}" name="Column2"/>
    <tableColumn id="3" xr3:uid="{00000000-0010-0000-0D00-000003000000}" name="Column3"/>
  </tableColumns>
  <tableStyleInfo name="bni lighthouse-style 8"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5EF0CA9-A91D-48B1-90AE-883FB2F737B9}" name="Table39" displayName="Table39" ref="A1:Q754" totalsRowShown="0" headerRowDxfId="18" dataDxfId="17">
  <autoFilter ref="A1:Q754" xr:uid="{05EF0CA9-A91D-48B1-90AE-883FB2F737B9}"/>
  <sortState xmlns:xlrd2="http://schemas.microsoft.com/office/spreadsheetml/2017/richdata2" ref="A2:Q754">
    <sortCondition ref="C1:C754"/>
  </sortState>
  <tableColumns count="17">
    <tableColumn id="1" xr3:uid="{3D01B411-5A84-440F-BEAA-E7D93617A7B9}" name="sr.no" dataDxfId="16"/>
    <tableColumn id="2" xr3:uid="{5062A2A9-45EB-405D-8FBD-84D2705CA332}" name="url_name" dataDxfId="15"/>
    <tableColumn id="3" xr3:uid="{0AC537B4-BAEE-4B31-951E-3CFC2E8BAFB2}" name="url_code" dataDxfId="14"/>
    <tableColumn id="4" xr3:uid="{A877E264-9B21-4AFE-9F99-EBE0C16580EA}" name="qr_image" dataDxfId="13"/>
    <tableColumn id="5" xr3:uid="{84B4F126-9236-491C-ACA5-6F6579971CFC}" name="profile_picture" dataDxfId="12"/>
    <tableColumn id="6" xr3:uid="{61A08A73-A2BC-435A-B072-B5E505827181}" name="cover_picture" dataDxfId="11"/>
    <tableColumn id="7" xr3:uid="{C689213E-5670-4D7B-A01E-2087D8A5FA30}" name="company_name" dataDxfId="10"/>
    <tableColumn id="8" xr3:uid="{FB4148F0-AAF3-4CC6-B157-B0A56BD15A9C}" name="full_name" dataDxfId="9"/>
    <tableColumn id="9" xr3:uid="{5F99A82A-4835-43CA-B80B-3DB5D313421B}" name="designation" dataDxfId="8"/>
    <tableColumn id="10" xr3:uid="{41648298-552B-460E-A82E-36F7E45AF1A8}" name="about_company" dataDxfId="7"/>
    <tableColumn id="11" xr3:uid="{3B8F8FFA-34B9-485A-AA95-9EC3DB6E08FD}" name="primary_contact" dataDxfId="6"/>
    <tableColumn id="12" xr3:uid="{D30F48A3-0E67-4B40-BE45-6CAFA76AE71F}" name="email on card" dataDxfId="5"/>
    <tableColumn id="13" xr3:uid="{48EF11AF-7122-4A17-88EB-9E6F3D2314BD}" name="whatsapp_number" dataDxfId="4"/>
    <tableColumn id="14" xr3:uid="{23A503F3-F77F-4494-A0BF-F911FEECF8BE}" name="primary_address" dataDxfId="3"/>
    <tableColumn id="15" xr3:uid="{DBEEC5E4-8C87-447C-8B94-A388A2BADACC}" name="location_link" dataDxfId="2"/>
    <tableColumn id="16" xr3:uid="{0D487A5D-32A9-45A8-980A-5163CD172575}" name="website" dataDxfId="1"/>
    <tableColumn id="17" xr3:uid="{2616305F-1C75-4DB3-B60C-CCCECB1E8DE1}" name="template_id" dataDxfId="0"/>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D4:D9" headerRowCount="0">
  <tableColumns count="1">
    <tableColumn id="1" xr3:uid="{00000000-0010-0000-0E00-000001000000}" name="Column1"/>
  </tableColumns>
  <tableStyleInfo name="bajaj capital-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E4:G39" headerRowCount="0">
  <tableColumns count="3">
    <tableColumn id="1" xr3:uid="{00000000-0010-0000-0F00-000001000000}" name="Column1"/>
    <tableColumn id="2" xr3:uid="{00000000-0010-0000-0F00-000002000000}" name="Column2"/>
    <tableColumn id="3" xr3:uid="{00000000-0010-0000-0F00-000003000000}" name="Column3"/>
  </tableColumns>
  <tableStyleInfo name="bajaj capital-style 2"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H4:J39" headerRowCount="0">
  <tableColumns count="3">
    <tableColumn id="1" xr3:uid="{00000000-0010-0000-1000-000001000000}" name="Column1"/>
    <tableColumn id="2" xr3:uid="{00000000-0010-0000-1000-000002000000}" name="Column2"/>
    <tableColumn id="3" xr3:uid="{00000000-0010-0000-1000-000003000000}" name="Column3"/>
  </tableColumns>
  <tableStyleInfo name="bajaj capital-style 3"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K4:K39" headerRowCount="0">
  <tableColumns count="1">
    <tableColumn id="1" xr3:uid="{00000000-0010-0000-1100-000001000000}" name="Column1"/>
  </tableColumns>
  <tableStyleInfo name="bajaj capital-style 4"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M4:Q39" headerRowCount="0">
  <tableColumns count="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s>
  <tableStyleInfo name="bajaj capital-style 5"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Z4:Z39" headerRowCount="0">
  <tableColumns count="1">
    <tableColumn id="1" xr3:uid="{00000000-0010-0000-1300-000001000000}" name="Column1"/>
  </tableColumns>
  <tableStyleInfo name="bajaj capital-style 6"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L5:L28" headerRowCount="0">
  <tableColumns count="1">
    <tableColumn id="1" xr3:uid="{00000000-0010-0000-1400-000001000000}" name="Column1"/>
  </tableColumns>
  <tableStyleInfo name="bajaj capital-style 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ard.tap-savvy.com/Swastik_TejmalPokharna/270" TargetMode="External"/><Relationship Id="rId18" Type="http://schemas.openxmlformats.org/officeDocument/2006/relationships/hyperlink" Target="https://setuzsales.com/" TargetMode="External"/><Relationship Id="rId26" Type="http://schemas.openxmlformats.org/officeDocument/2006/relationships/hyperlink" Target="https://www.vlitefurnitech.com/" TargetMode="External"/><Relationship Id="rId39" Type="http://schemas.openxmlformats.org/officeDocument/2006/relationships/hyperlink" Target="https://www.vasupati.com/" TargetMode="External"/><Relationship Id="rId3" Type="http://schemas.openxmlformats.org/officeDocument/2006/relationships/hyperlink" Target="https://card.tap-savvy.com/AZB&amp;PARTNERS_ADITYA-VIKRAM-BHAT/150" TargetMode="External"/><Relationship Id="rId21" Type="http://schemas.openxmlformats.org/officeDocument/2006/relationships/hyperlink" Target="https://card.tap-savvy.com/SHAKTI-ACRYPLAST-LLP_Sahil-Jain/300" TargetMode="External"/><Relationship Id="rId34" Type="http://schemas.openxmlformats.org/officeDocument/2006/relationships/hyperlink" Target="https://card.tap-savvy.com/VASUPATI-JEWELLERS_MUKESH-KOTHARI/404" TargetMode="External"/><Relationship Id="rId42" Type="http://schemas.openxmlformats.org/officeDocument/2006/relationships/hyperlink" Target="https://www.vasupati.com/" TargetMode="External"/><Relationship Id="rId47" Type="http://schemas.openxmlformats.org/officeDocument/2006/relationships/hyperlink" Target="https://card.tap-savvy.com/KASHISH-FURNISHING/450" TargetMode="External"/><Relationship Id="rId50" Type="http://schemas.openxmlformats.org/officeDocument/2006/relationships/hyperlink" Target="mailto:ravi@kashishfurnishing.com" TargetMode="External"/><Relationship Id="rId7" Type="http://schemas.openxmlformats.org/officeDocument/2006/relationships/hyperlink" Target="https://card.tap-savvy.com/ATOZ-SERVICES_SANDEEP-AGARWAL/158" TargetMode="External"/><Relationship Id="rId12" Type="http://schemas.openxmlformats.org/officeDocument/2006/relationships/hyperlink" Target="https://card.tap-savvy.com/ASIAN-OPTICIAN/238" TargetMode="External"/><Relationship Id="rId17" Type="http://schemas.openxmlformats.org/officeDocument/2006/relationships/hyperlink" Target="https://card.tap-savvy.com/SETUZ/278" TargetMode="External"/><Relationship Id="rId25" Type="http://schemas.openxmlformats.org/officeDocument/2006/relationships/hyperlink" Target="https://card.tap-savvy.com/VLITE-FURNITECH/302" TargetMode="External"/><Relationship Id="rId33" Type="http://schemas.openxmlformats.org/officeDocument/2006/relationships/hyperlink" Target="https://www.vasupati.com/" TargetMode="External"/><Relationship Id="rId38" Type="http://schemas.openxmlformats.org/officeDocument/2006/relationships/hyperlink" Target="mailto:vasupatijewellers@gmail.com" TargetMode="External"/><Relationship Id="rId46" Type="http://schemas.openxmlformats.org/officeDocument/2006/relationships/hyperlink" Target="mailto:manishhingarh49@gmail.com" TargetMode="External"/><Relationship Id="rId2" Type="http://schemas.openxmlformats.org/officeDocument/2006/relationships/hyperlink" Target="https://www.azbpartners.com/" TargetMode="External"/><Relationship Id="rId16" Type="http://schemas.openxmlformats.org/officeDocument/2006/relationships/hyperlink" Target="https://www.vasupati.com/" TargetMode="External"/><Relationship Id="rId20" Type="http://schemas.openxmlformats.org/officeDocument/2006/relationships/hyperlink" Target="https://cbva.in/" TargetMode="External"/><Relationship Id="rId29" Type="http://schemas.openxmlformats.org/officeDocument/2006/relationships/hyperlink" Target="https://card.tap-savvy.com/VAISHALINX_NAYAN-DOSHI/387" TargetMode="External"/><Relationship Id="rId41" Type="http://schemas.openxmlformats.org/officeDocument/2006/relationships/hyperlink" Target="mailto:vasupatijewellers@gmail.com" TargetMode="External"/><Relationship Id="rId1" Type="http://schemas.openxmlformats.org/officeDocument/2006/relationships/hyperlink" Target="https://card.tap-savvy.com/AZB&amp;PARTNERS_PRERAK-VED/149" TargetMode="External"/><Relationship Id="rId6" Type="http://schemas.openxmlformats.org/officeDocument/2006/relationships/hyperlink" Target="https://card.tap-savvy.com/BRIJESH-RATHOD/157" TargetMode="External"/><Relationship Id="rId11" Type="http://schemas.openxmlformats.org/officeDocument/2006/relationships/hyperlink" Target="https://card.tap-savvy.com/JAS-SHAH/233" TargetMode="External"/><Relationship Id="rId24" Type="http://schemas.openxmlformats.org/officeDocument/2006/relationships/hyperlink" Target="https://www.scsindustrialsolutions.com/" TargetMode="External"/><Relationship Id="rId32" Type="http://schemas.openxmlformats.org/officeDocument/2006/relationships/hyperlink" Target="mailto:vasupatijewellers@gmail.com" TargetMode="External"/><Relationship Id="rId37" Type="http://schemas.openxmlformats.org/officeDocument/2006/relationships/hyperlink" Target="https://card.tap-savvy.com/VASUPATI-JEWELLERS_MANSUKH-KOTHARI/405" TargetMode="External"/><Relationship Id="rId40" Type="http://schemas.openxmlformats.org/officeDocument/2006/relationships/hyperlink" Target="https://card.tap-savvy.com/VASUPATI-JEWELLERS_NISHI-KOTHARI/406" TargetMode="External"/><Relationship Id="rId45" Type="http://schemas.openxmlformats.org/officeDocument/2006/relationships/hyperlink" Target="https://card.tap-savvy.com/KASHISH-FURNISHINGS_MANISH-JAIN/449" TargetMode="External"/><Relationship Id="rId5" Type="http://schemas.openxmlformats.org/officeDocument/2006/relationships/hyperlink" Target="https://goo.gl/maps/qZkFchAMzbGoAsD59" TargetMode="External"/><Relationship Id="rId15" Type="http://schemas.openxmlformats.org/officeDocument/2006/relationships/hyperlink" Target="mailto:srishti.kothari14@gmail.com" TargetMode="External"/><Relationship Id="rId23" Type="http://schemas.openxmlformats.org/officeDocument/2006/relationships/hyperlink" Target="https://card.tap-savvy.com/SCS-BEARINGS/301" TargetMode="External"/><Relationship Id="rId28" Type="http://schemas.openxmlformats.org/officeDocument/2006/relationships/hyperlink" Target="https://chopsticktshirt.com/" TargetMode="External"/><Relationship Id="rId36" Type="http://schemas.openxmlformats.org/officeDocument/2006/relationships/hyperlink" Target="https://www.vasupati.com/" TargetMode="External"/><Relationship Id="rId49" Type="http://schemas.openxmlformats.org/officeDocument/2006/relationships/hyperlink" Target="https://card.tap-savvy.com/KASHISH-ENTERPRISE_RAVI-JAIN/451" TargetMode="External"/><Relationship Id="rId10" Type="http://schemas.openxmlformats.org/officeDocument/2006/relationships/hyperlink" Target="https://card.tap-savvy.com/AZB&amp;PARTNERS_AJAY-UPADHYAY/211" TargetMode="External"/><Relationship Id="rId19" Type="http://schemas.openxmlformats.org/officeDocument/2006/relationships/hyperlink" Target="https://card.tap-savvy.com/CBV&amp;ASSOCIATE_VINAY-PATHAK/279" TargetMode="External"/><Relationship Id="rId31" Type="http://schemas.openxmlformats.org/officeDocument/2006/relationships/hyperlink" Target="https://card.tap-savvy.com/VASUPATI-JEWELLERS_AVNIP-KOTHARI/403" TargetMode="External"/><Relationship Id="rId44" Type="http://schemas.openxmlformats.org/officeDocument/2006/relationships/hyperlink" Target="https://card.tap-savvy.com/KASHISH-FURNISHING_VISHAL-JAIN/448" TargetMode="External"/><Relationship Id="rId4" Type="http://schemas.openxmlformats.org/officeDocument/2006/relationships/hyperlink" Target="https://www.azbpartners.com/" TargetMode="External"/><Relationship Id="rId9" Type="http://schemas.openxmlformats.org/officeDocument/2006/relationships/hyperlink" Target="https://card.tap-savvy.com/DD-HOLISTIC-HEALTH-CARE_URWIZ-DARA-CHAVDA" TargetMode="External"/><Relationship Id="rId14" Type="http://schemas.openxmlformats.org/officeDocument/2006/relationships/hyperlink" Target="https://card.tap-savvy.com/VASUPATI-JEWELLERS_SRISHTI-KOTHARI/326" TargetMode="External"/><Relationship Id="rId22" Type="http://schemas.openxmlformats.org/officeDocument/2006/relationships/hyperlink" Target="https://www.shaktiacryplast.com/" TargetMode="External"/><Relationship Id="rId27" Type="http://schemas.openxmlformats.org/officeDocument/2006/relationships/hyperlink" Target="https://card.tap-savvy.com/CHOPSTICK_TUSHAR-MAROLIA/306" TargetMode="External"/><Relationship Id="rId30" Type="http://schemas.openxmlformats.org/officeDocument/2006/relationships/hyperlink" Target="https://card.tap-savvy.com/VAISHALINX_NAMDEV-DESHMUKH/402" TargetMode="External"/><Relationship Id="rId35" Type="http://schemas.openxmlformats.org/officeDocument/2006/relationships/hyperlink" Target="mailto:vasupatijewellers@gmail.com" TargetMode="External"/><Relationship Id="rId43" Type="http://schemas.openxmlformats.org/officeDocument/2006/relationships/hyperlink" Target="https://card.tap-savvy.com/MEGH-JEWELLERS_BHAVESH-SOLANKI/424" TargetMode="External"/><Relationship Id="rId48" Type="http://schemas.openxmlformats.org/officeDocument/2006/relationships/hyperlink" Target="mailto:info@kashishfurnishing.com" TargetMode="External"/><Relationship Id="rId8" Type="http://schemas.openxmlformats.org/officeDocument/2006/relationships/hyperlink" Target="https://atozservices.info/" TargetMode="External"/><Relationship Id="rId5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card.tap-savvy.com/VISHWAKARMA-INTERNATIONAL_SANJAY-GOYAL/488" TargetMode="External"/><Relationship Id="rId13" Type="http://schemas.openxmlformats.org/officeDocument/2006/relationships/hyperlink" Target="https://card.tap-savvy.com/NNP-LAWS-ASSOCIATES_NEHAL-PAREKH/731" TargetMode="External"/><Relationship Id="rId18" Type="http://schemas.openxmlformats.org/officeDocument/2006/relationships/hyperlink" Target="https://www.primeindiainternational.com/" TargetMode="External"/><Relationship Id="rId26" Type="http://schemas.openxmlformats.org/officeDocument/2006/relationships/hyperlink" Target="https://card.tap-savvy.com/3-CHEERS-ADS_SULAKSHANA-HEREKAR/769" TargetMode="External"/><Relationship Id="rId39" Type="http://schemas.openxmlformats.org/officeDocument/2006/relationships/hyperlink" Target="https://card.tap-savvy.com/Noor-Bhimani/811" TargetMode="External"/><Relationship Id="rId3" Type="http://schemas.openxmlformats.org/officeDocument/2006/relationships/hyperlink" Target="https://card.tap-savvy.com/KEY2HAPPYLIFEPVTLTD_MALLICKPAREKH/458" TargetMode="External"/><Relationship Id="rId21" Type="http://schemas.openxmlformats.org/officeDocument/2006/relationships/hyperlink" Target="https://card.tap-savvy.com/SHUBH-EXIM_PRAVIN-JAIN/761" TargetMode="External"/><Relationship Id="rId34" Type="http://schemas.openxmlformats.org/officeDocument/2006/relationships/hyperlink" Target="https://card.tap-savvy.com/CHOCOLATE-COSMOS_SIMRA-SONULE/805" TargetMode="External"/><Relationship Id="rId42" Type="http://schemas.openxmlformats.org/officeDocument/2006/relationships/hyperlink" Target="https://card.tap-savvy.com/PEST-RELIEF-SERVICES_SUNIL-AKHADE/819" TargetMode="External"/><Relationship Id="rId7" Type="http://schemas.openxmlformats.org/officeDocument/2006/relationships/hyperlink" Target="mailto:naveen_sky81@yahoo.com" TargetMode="External"/><Relationship Id="rId12" Type="http://schemas.openxmlformats.org/officeDocument/2006/relationships/hyperlink" Target="mailto:tejasbg@cosmosaircon.com" TargetMode="External"/><Relationship Id="rId17" Type="http://schemas.openxmlformats.org/officeDocument/2006/relationships/hyperlink" Target="https://card.tap-savvy.com/RajeshVakil_PrimeIndiaInternational/753" TargetMode="External"/><Relationship Id="rId25" Type="http://schemas.openxmlformats.org/officeDocument/2006/relationships/hyperlink" Target="https://card.tap-savvy.com/SAMRUT-HOLDAYS_NIRAJ-LALWANI/765" TargetMode="External"/><Relationship Id="rId33" Type="http://schemas.openxmlformats.org/officeDocument/2006/relationships/hyperlink" Target="https://www.gatewayabroad.com/" TargetMode="External"/><Relationship Id="rId38" Type="http://schemas.openxmlformats.org/officeDocument/2006/relationships/hyperlink" Target="https://card.tap-savvy.com/NAMASTE_NEHA-MISHRA/810" TargetMode="External"/><Relationship Id="rId2" Type="http://schemas.openxmlformats.org/officeDocument/2006/relationships/hyperlink" Target="mailto:contact@winatrelationshipsbykuunjalpaal.com" TargetMode="External"/><Relationship Id="rId16" Type="http://schemas.openxmlformats.org/officeDocument/2006/relationships/hyperlink" Target="mailto:nikhil@bni-india.in" TargetMode="External"/><Relationship Id="rId20" Type="http://schemas.openxmlformats.org/officeDocument/2006/relationships/hyperlink" Target="https://card.tap-savvy.com/SHUBH-EXIM_HIMMAT-JAIN/760" TargetMode="External"/><Relationship Id="rId29" Type="http://schemas.openxmlformats.org/officeDocument/2006/relationships/hyperlink" Target="https://card.tap-savvy.com/PDS-MFG_MANOJ-DIMRI/803" TargetMode="External"/><Relationship Id="rId41" Type="http://schemas.openxmlformats.org/officeDocument/2006/relationships/hyperlink" Target="https://www.saviesahome.com/" TargetMode="External"/><Relationship Id="rId1" Type="http://schemas.openxmlformats.org/officeDocument/2006/relationships/hyperlink" Target="https://card.tap-savvy.com/WIN-AT-RELATIONSHIP_KUUNJAL-PAAL/452" TargetMode="External"/><Relationship Id="rId6" Type="http://schemas.openxmlformats.org/officeDocument/2006/relationships/hyperlink" Target="https://card.tap-savvy.com/KEY2HAPPYLIFEPVTLTD_NAVEENKHANNA/460" TargetMode="External"/><Relationship Id="rId11" Type="http://schemas.openxmlformats.org/officeDocument/2006/relationships/hyperlink" Target="https://card.tap-savvy.com/CHOCOLATE-COSMOS_SIMRA-SONULE/805" TargetMode="External"/><Relationship Id="rId24" Type="http://schemas.openxmlformats.org/officeDocument/2006/relationships/hyperlink" Target="mailto:mukesh.nagar@velcord.in" TargetMode="External"/><Relationship Id="rId32" Type="http://schemas.openxmlformats.org/officeDocument/2006/relationships/hyperlink" Target="https://card.tap-savvy.com/GATE-WAY-ABROAD_PRATIK-MALDE/804" TargetMode="External"/><Relationship Id="rId37" Type="http://schemas.openxmlformats.org/officeDocument/2006/relationships/hyperlink" Target="https://card.tap-savvy.com/AMAN-MEMON/808" TargetMode="External"/><Relationship Id="rId40" Type="http://schemas.openxmlformats.org/officeDocument/2006/relationships/hyperlink" Target="https://card.tap-savvy.com/MRJ-HOME-IMPROVEMENTS-PVT-LTD_RAJESH-AHUJA/817" TargetMode="External"/><Relationship Id="rId5" Type="http://schemas.openxmlformats.org/officeDocument/2006/relationships/hyperlink" Target="mailto:amitroy@skyenterprises.in" TargetMode="External"/><Relationship Id="rId15" Type="http://schemas.openxmlformats.org/officeDocument/2006/relationships/hyperlink" Target="https://card.tap-savvy.com/BNI-INDIA_NIKHIL-DESAI/744" TargetMode="External"/><Relationship Id="rId23" Type="http://schemas.openxmlformats.org/officeDocument/2006/relationships/hyperlink" Target="https://card.tap-savvy.com/MukeshNagarVelcordTextiles/763" TargetMode="External"/><Relationship Id="rId28" Type="http://schemas.openxmlformats.org/officeDocument/2006/relationships/hyperlink" Target="https://card.tap-savvy.com/SR-STORE_ROSHAN-JAIN/798" TargetMode="External"/><Relationship Id="rId36" Type="http://schemas.openxmlformats.org/officeDocument/2006/relationships/hyperlink" Target="https://card.tap-savvy.com/NEENA-JAMDADE/807" TargetMode="External"/><Relationship Id="rId10" Type="http://schemas.openxmlformats.org/officeDocument/2006/relationships/hyperlink" Target="https://card.tap-savvy.com/HARRY-BYCYCLE-RENTAL/704" TargetMode="External"/><Relationship Id="rId19" Type="http://schemas.openxmlformats.org/officeDocument/2006/relationships/hyperlink" Target="https://card.tap-savvy.com/SHUBH-EXIM_AMIT-JAIN/759" TargetMode="External"/><Relationship Id="rId31" Type="http://schemas.openxmlformats.org/officeDocument/2006/relationships/hyperlink" Target="https://pdsltd.com/" TargetMode="External"/><Relationship Id="rId44" Type="http://schemas.openxmlformats.org/officeDocument/2006/relationships/hyperlink" Target="mailto:tejasbg@cosmosaircon.com" TargetMode="External"/><Relationship Id="rId4" Type="http://schemas.openxmlformats.org/officeDocument/2006/relationships/hyperlink" Target="https://card.tap-savvy.com/HAPPYLIFE_AMIT-ROY/459" TargetMode="External"/><Relationship Id="rId9" Type="http://schemas.openxmlformats.org/officeDocument/2006/relationships/hyperlink" Target="mailto:sanjaygoyal70@gmail.com" TargetMode="External"/><Relationship Id="rId14" Type="http://schemas.openxmlformats.org/officeDocument/2006/relationships/hyperlink" Target="mailto:nnplawassociates@gmail.com" TargetMode="External"/><Relationship Id="rId22" Type="http://schemas.openxmlformats.org/officeDocument/2006/relationships/hyperlink" Target="https://card.tap-savvy.com/SiddharthJainVelcordTextiles/762" TargetMode="External"/><Relationship Id="rId27" Type="http://schemas.openxmlformats.org/officeDocument/2006/relationships/hyperlink" Target="https://card.tap-savvy.com/Qvitta-TheWriteMind/774" TargetMode="External"/><Relationship Id="rId30" Type="http://schemas.openxmlformats.org/officeDocument/2006/relationships/hyperlink" Target="mailto:manoj.dimri@pds-mfg.com" TargetMode="External"/><Relationship Id="rId35" Type="http://schemas.openxmlformats.org/officeDocument/2006/relationships/hyperlink" Target="mailto:simranvsonule99.ss@gmail.com" TargetMode="External"/><Relationship Id="rId43" Type="http://schemas.openxmlformats.org/officeDocument/2006/relationships/hyperlink" Target="https://card.tap-savvy.com/CHOCOLATE-COSMOS_SIMRA-SONULE/80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lakshyacs.com/" TargetMode="External"/><Relationship Id="rId117" Type="http://schemas.openxmlformats.org/officeDocument/2006/relationships/hyperlink" Target="https://card.tap-savvy.com/NILAY-BHATTER_BNI-INFINITE/1313" TargetMode="External"/><Relationship Id="rId21" Type="http://schemas.openxmlformats.org/officeDocument/2006/relationships/hyperlink" Target="http://www.youtube.com/@instabizfilings" TargetMode="External"/><Relationship Id="rId42" Type="http://schemas.openxmlformats.org/officeDocument/2006/relationships/hyperlink" Target="https://card.tap-savvy.com/VICKY-BAFNA_BNI-INFINITE/1283" TargetMode="External"/><Relationship Id="rId47" Type="http://schemas.openxmlformats.org/officeDocument/2006/relationships/hyperlink" Target="https://www.instagram.com/kanchbazaar/profilecard/?igsh=MTQ0M3RvdmgzcmQ0Ng==" TargetMode="External"/><Relationship Id="rId63" Type="http://schemas.openxmlformats.org/officeDocument/2006/relationships/hyperlink" Target="https://card.tap-savvy.com/JAYESH-MEGHNANI_BNI-INFINITE/1290" TargetMode="External"/><Relationship Id="rId68" Type="http://schemas.openxmlformats.org/officeDocument/2006/relationships/hyperlink" Target="https://www.citrines.online/" TargetMode="External"/><Relationship Id="rId84" Type="http://schemas.openxmlformats.org/officeDocument/2006/relationships/hyperlink" Target="https://card.tap-savvy.com/MOHIT-SHAH_BNI-INFINITE/1299" TargetMode="External"/><Relationship Id="rId89" Type="http://schemas.openxmlformats.org/officeDocument/2006/relationships/hyperlink" Target="mailto:erinaashwin@gmail.com" TargetMode="External"/><Relationship Id="rId112" Type="http://schemas.openxmlformats.org/officeDocument/2006/relationships/hyperlink" Target="https://www.instagram.com/abhastudios/" TargetMode="External"/><Relationship Id="rId133" Type="http://schemas.openxmlformats.org/officeDocument/2006/relationships/hyperlink" Target="https://card.tap-savvy.com/MAHESH-PATEL_BNI-INFINITE/1321" TargetMode="External"/><Relationship Id="rId138" Type="http://schemas.openxmlformats.org/officeDocument/2006/relationships/hyperlink" Target="https://card.tap-savvy.com/VIRALBHAI-PATEL_BNI-INFINITE/1323" TargetMode="External"/><Relationship Id="rId154" Type="http://schemas.openxmlformats.org/officeDocument/2006/relationships/hyperlink" Target="https://in.linkedin.com/company/criton-technology-and-automation" TargetMode="External"/><Relationship Id="rId159" Type="http://schemas.openxmlformats.org/officeDocument/2006/relationships/table" Target="../tables/table6.xml"/><Relationship Id="rId16" Type="http://schemas.openxmlformats.org/officeDocument/2006/relationships/hyperlink" Target="https://card.tap-savvy.com/DEVANSHI-SHAH_BNI-INFINITE/1275" TargetMode="External"/><Relationship Id="rId107" Type="http://schemas.openxmlformats.org/officeDocument/2006/relationships/hyperlink" Target="https://www.instagram.com/milanpandya87/" TargetMode="External"/><Relationship Id="rId11" Type="http://schemas.openxmlformats.org/officeDocument/2006/relationships/hyperlink" Target="https://www.yellowdot.in/" TargetMode="External"/><Relationship Id="rId32" Type="http://schemas.openxmlformats.org/officeDocument/2006/relationships/hyperlink" Target="http://www.giftingaffair.com/" TargetMode="External"/><Relationship Id="rId37" Type="http://schemas.openxmlformats.org/officeDocument/2006/relationships/hyperlink" Target="https://www.facebook.com/OlineoVardhmanMobile?mibextid=LQQJ4d" TargetMode="External"/><Relationship Id="rId53" Type="http://schemas.openxmlformats.org/officeDocument/2006/relationships/hyperlink" Target="https://wa.me/c/917977239342" TargetMode="External"/><Relationship Id="rId58" Type="http://schemas.openxmlformats.org/officeDocument/2006/relationships/hyperlink" Target="https://www.facebook.com/Dharmalaminate?mibextid=LQQJ4d" TargetMode="External"/><Relationship Id="rId74" Type="http://schemas.openxmlformats.org/officeDocument/2006/relationships/hyperlink" Target="https://www.mondialmmx.com/" TargetMode="External"/><Relationship Id="rId79" Type="http://schemas.openxmlformats.org/officeDocument/2006/relationships/hyperlink" Target="mailto:binapandit@gmail.com" TargetMode="External"/><Relationship Id="rId102" Type="http://schemas.openxmlformats.org/officeDocument/2006/relationships/hyperlink" Target="mailto:hardik@hp-consulting.in" TargetMode="External"/><Relationship Id="rId123" Type="http://schemas.openxmlformats.org/officeDocument/2006/relationships/hyperlink" Target="https://card.tap-savvy.com/SANDEEP-DUGGAL_BNI-INFINITE/1316" TargetMode="External"/><Relationship Id="rId128" Type="http://schemas.openxmlformats.org/officeDocument/2006/relationships/hyperlink" Target="mailto:poonammakeupstry@gmail.com" TargetMode="External"/><Relationship Id="rId144" Type="http://schemas.openxmlformats.org/officeDocument/2006/relationships/hyperlink" Target="https://www.pinetreepictures.in/" TargetMode="External"/><Relationship Id="rId149" Type="http://schemas.openxmlformats.org/officeDocument/2006/relationships/hyperlink" Target="https://card.tap-savvy.com/DHARMESH-PATEL_BNI-INFINITE/1387" TargetMode="External"/><Relationship Id="rId5" Type="http://schemas.openxmlformats.org/officeDocument/2006/relationships/hyperlink" Target="https://card.tap-savvy.com/SEEMA-MAKWANA_BNI-INFINITE/1272" TargetMode="External"/><Relationship Id="rId90" Type="http://schemas.openxmlformats.org/officeDocument/2006/relationships/hyperlink" Target="https://card.tap-savvy.com/DEEPAK-KUMAR_BNI-INFINITE/1302" TargetMode="External"/><Relationship Id="rId95" Type="http://schemas.openxmlformats.org/officeDocument/2006/relationships/hyperlink" Target="mailto:drriddhishah@outlook.com" TargetMode="External"/><Relationship Id="rId160" Type="http://schemas.openxmlformats.org/officeDocument/2006/relationships/table" Target="../tables/table7.xml"/><Relationship Id="rId165" Type="http://schemas.openxmlformats.org/officeDocument/2006/relationships/table" Target="../tables/table12.xml"/><Relationship Id="rId22" Type="http://schemas.openxmlformats.org/officeDocument/2006/relationships/hyperlink" Target="https://card.tap-savvy.com/KRUPA-MEHTA_BNI-INFINITE/1276" TargetMode="External"/><Relationship Id="rId27" Type="http://schemas.openxmlformats.org/officeDocument/2006/relationships/hyperlink" Target="https://card.tap-savvy.com/PRAVEEN-VISHWAKARMA_BNI-INFINITE/1278" TargetMode="External"/><Relationship Id="rId43" Type="http://schemas.openxmlformats.org/officeDocument/2006/relationships/hyperlink" Target="http://www.navkarfurnishing.in/" TargetMode="External"/><Relationship Id="rId48" Type="http://schemas.openxmlformats.org/officeDocument/2006/relationships/hyperlink" Target="https://www.facebook.com/Regal-Glass-House-162928277096583/" TargetMode="External"/><Relationship Id="rId64" Type="http://schemas.openxmlformats.org/officeDocument/2006/relationships/hyperlink" Target="https://card.tap-savvy.com/DR.AJINKYA-RAUT_BNI-INFINITE/1291" TargetMode="External"/><Relationship Id="rId69" Type="http://schemas.openxmlformats.org/officeDocument/2006/relationships/hyperlink" Target="https://www.instagram.com/citrinesin" TargetMode="External"/><Relationship Id="rId113" Type="http://schemas.openxmlformats.org/officeDocument/2006/relationships/hyperlink" Target="https://card.tap-savvy.com/SAGAR-POTHAN_BNI-INFINITE/1311" TargetMode="External"/><Relationship Id="rId118" Type="http://schemas.openxmlformats.org/officeDocument/2006/relationships/hyperlink" Target="mailto:primeprinters07@gmail.com" TargetMode="External"/><Relationship Id="rId134" Type="http://schemas.openxmlformats.org/officeDocument/2006/relationships/hyperlink" Target="mailto:maheshgujarati04@gmail.com" TargetMode="External"/><Relationship Id="rId139" Type="http://schemas.openxmlformats.org/officeDocument/2006/relationships/hyperlink" Target="mailto:viral2857@gmail.com" TargetMode="External"/><Relationship Id="rId80" Type="http://schemas.openxmlformats.org/officeDocument/2006/relationships/hyperlink" Target="https://card.tap-savvy.com/ALPESH-SHAH_BNI-INFINITE/1296" TargetMode="External"/><Relationship Id="rId85" Type="http://schemas.openxmlformats.org/officeDocument/2006/relationships/hyperlink" Target="mailto:hi@mohitshah.space" TargetMode="External"/><Relationship Id="rId150" Type="http://schemas.openxmlformats.org/officeDocument/2006/relationships/hyperlink" Target="mailto:dharmesh.patel@critontech.com" TargetMode="External"/><Relationship Id="rId155" Type="http://schemas.openxmlformats.org/officeDocument/2006/relationships/table" Target="../tables/table2.xml"/><Relationship Id="rId12" Type="http://schemas.openxmlformats.org/officeDocument/2006/relationships/hyperlink" Target="https://www.instagram.com/yellow_dot_entertainment/?hl=en" TargetMode="External"/><Relationship Id="rId17" Type="http://schemas.openxmlformats.org/officeDocument/2006/relationships/hyperlink" Target="https://instabizfilings.com/" TargetMode="External"/><Relationship Id="rId33" Type="http://schemas.openxmlformats.org/officeDocument/2006/relationships/hyperlink" Target="http://www.instagram.com/giftingaffair7" TargetMode="External"/><Relationship Id="rId38" Type="http://schemas.openxmlformats.org/officeDocument/2006/relationships/hyperlink" Target="https://card.tap-savvy.com/MITHEEL-JAGADA_BNI-INFINITE/1282" TargetMode="External"/><Relationship Id="rId59" Type="http://schemas.openxmlformats.org/officeDocument/2006/relationships/hyperlink" Target="https://card.tap-savvy.com/KRUPA-SHAH_BNI-INFINITE/1288" TargetMode="External"/><Relationship Id="rId103" Type="http://schemas.openxmlformats.org/officeDocument/2006/relationships/hyperlink" Target="https://card.tap-savvy.com/SUCHI-SHAH_BNI-INFINITE/1308" TargetMode="External"/><Relationship Id="rId108" Type="http://schemas.openxmlformats.org/officeDocument/2006/relationships/hyperlink" Target="https://www.facebook.com/milan.j.pandya.3/" TargetMode="External"/><Relationship Id="rId124" Type="http://schemas.openxmlformats.org/officeDocument/2006/relationships/hyperlink" Target="mailto:ssfincorp@ymail.com" TargetMode="External"/><Relationship Id="rId129" Type="http://schemas.openxmlformats.org/officeDocument/2006/relationships/hyperlink" Target="https://card.tap-savvy.com/AFSHAN-NAFIS_BNI-INFINITE/1319" TargetMode="External"/><Relationship Id="rId54" Type="http://schemas.openxmlformats.org/officeDocument/2006/relationships/hyperlink" Target="https://www.instagram.com/hardik_gadhia_fabrics?igsh=N2wzbml3aXM4MXh5" TargetMode="External"/><Relationship Id="rId70" Type="http://schemas.openxmlformats.org/officeDocument/2006/relationships/hyperlink" Target="https://www.facebook.com/sirisha.ravuri.5" TargetMode="External"/><Relationship Id="rId75" Type="http://schemas.openxmlformats.org/officeDocument/2006/relationships/hyperlink" Target="https://www.instagram.com/mondialmmx.official?igsh=MTIwYnJwZGY3ZGt4eA==" TargetMode="External"/><Relationship Id="rId91" Type="http://schemas.openxmlformats.org/officeDocument/2006/relationships/hyperlink" Target="mailto:gupta.deepak502@gmail.com" TargetMode="External"/><Relationship Id="rId96" Type="http://schemas.openxmlformats.org/officeDocument/2006/relationships/hyperlink" Target="https://card.tap-savvy.com/KRISHNA-THALESAR_BNI-INFINITE/1305" TargetMode="External"/><Relationship Id="rId140" Type="http://schemas.openxmlformats.org/officeDocument/2006/relationships/hyperlink" Target="https://card.tap-savvy.com/ARIF-SAYED_BNI-INFINITE/1324" TargetMode="External"/><Relationship Id="rId145" Type="http://schemas.openxmlformats.org/officeDocument/2006/relationships/hyperlink" Target="https://card.tap-savvy.com/NIKUNJ-GALA_BNI-INFINITE/1386" TargetMode="External"/><Relationship Id="rId161" Type="http://schemas.openxmlformats.org/officeDocument/2006/relationships/table" Target="../tables/table8.xml"/><Relationship Id="rId166" Type="http://schemas.openxmlformats.org/officeDocument/2006/relationships/table" Target="../tables/table13.xml"/><Relationship Id="rId1" Type="http://schemas.openxmlformats.org/officeDocument/2006/relationships/hyperlink" Target="https://card.tap-savvy.com/DR.KAPIL-JAIN_BNI-INFINITE/1263" TargetMode="External"/><Relationship Id="rId6" Type="http://schemas.openxmlformats.org/officeDocument/2006/relationships/hyperlink" Target="http://www.saffronhr.com/" TargetMode="External"/><Relationship Id="rId15" Type="http://schemas.openxmlformats.org/officeDocument/2006/relationships/hyperlink" Target="https://www.youtube.com/@yellowdotmediaandentertainment" TargetMode="External"/><Relationship Id="rId23" Type="http://schemas.openxmlformats.org/officeDocument/2006/relationships/hyperlink" Target="http://www.kmspakwan.com/" TargetMode="External"/><Relationship Id="rId28" Type="http://schemas.openxmlformats.org/officeDocument/2006/relationships/hyperlink" Target="http://www.angelswork.in/" TargetMode="External"/><Relationship Id="rId36" Type="http://schemas.openxmlformats.org/officeDocument/2006/relationships/hyperlink" Target="https://www.instagram.com/vardhman_olineo?igsh=YjJpbmwwOWV3em8y" TargetMode="External"/><Relationship Id="rId49" Type="http://schemas.openxmlformats.org/officeDocument/2006/relationships/hyperlink" Target="https://www.linkedin.com/in/mustafa-regal-glass-house-5b810518b?utm_source=share&amp;utm_campaign=share_via&amp;utm_content=profile&amp;utm_medium=ios_app" TargetMode="External"/><Relationship Id="rId57" Type="http://schemas.openxmlformats.org/officeDocument/2006/relationships/hyperlink" Target="https://www.instagram.com/reel/CVKmdCBoaJY/?utm_medium=share_sheet" TargetMode="External"/><Relationship Id="rId106" Type="http://schemas.openxmlformats.org/officeDocument/2006/relationships/hyperlink" Target="mailto:info@jmsolutions.co.in" TargetMode="External"/><Relationship Id="rId114" Type="http://schemas.openxmlformats.org/officeDocument/2006/relationships/hyperlink" Target="mailto:pothansagar@gmail.com" TargetMode="External"/><Relationship Id="rId119" Type="http://schemas.openxmlformats.org/officeDocument/2006/relationships/hyperlink" Target="https://card.tap-savvy.com/MINAL-NATHVANI_BNI-INFINITE/1314" TargetMode="External"/><Relationship Id="rId127" Type="http://schemas.openxmlformats.org/officeDocument/2006/relationships/hyperlink" Target="https://card.tap-savvy.com/POONAM-GUPTA_BNI-INFINITE/1318" TargetMode="External"/><Relationship Id="rId10" Type="http://schemas.openxmlformats.org/officeDocument/2006/relationships/hyperlink" Target="https://card.tap-savvy.com/PRASANNA-KHARE_BNI-INFINITE/1274" TargetMode="External"/><Relationship Id="rId31" Type="http://schemas.openxmlformats.org/officeDocument/2006/relationships/hyperlink" Target="https://card.tap-savvy.com/MOHIT-MEHTA_BNI-INFINITE/1280" TargetMode="External"/><Relationship Id="rId44" Type="http://schemas.openxmlformats.org/officeDocument/2006/relationships/hyperlink" Target="https://www.instagram.com/navkardecor?igsh=dXB0YzQ4OHRpYTR1" TargetMode="External"/><Relationship Id="rId52" Type="http://schemas.openxmlformats.org/officeDocument/2006/relationships/hyperlink" Target="https://card.tap-savvy.com/HARDIK-GADHIA_BNI-INFINITE/1286" TargetMode="External"/><Relationship Id="rId60" Type="http://schemas.openxmlformats.org/officeDocument/2006/relationships/hyperlink" Target="http://www.pearltravels.in/" TargetMode="External"/><Relationship Id="rId65" Type="http://schemas.openxmlformats.org/officeDocument/2006/relationships/hyperlink" Target="https://www.instagram.com/ifor.accountability" TargetMode="External"/><Relationship Id="rId73" Type="http://schemas.openxmlformats.org/officeDocument/2006/relationships/hyperlink" Target="https://card.tap-savvy.com/CHETAN-JOSHI_BNI-INFINITE/1293" TargetMode="External"/><Relationship Id="rId78" Type="http://schemas.openxmlformats.org/officeDocument/2006/relationships/hyperlink" Target="https://card.tap-savvy.com/BINA-PANDIT_BNI-INFINITE/1295" TargetMode="External"/><Relationship Id="rId81" Type="http://schemas.openxmlformats.org/officeDocument/2006/relationships/hyperlink" Target="mailto:alpesh_eclipse@yahoo.co.in" TargetMode="External"/><Relationship Id="rId86" Type="http://schemas.openxmlformats.org/officeDocument/2006/relationships/hyperlink" Target="https://card.tap-savvy.com/TEJAS-SANGHVI_BNI-INFINITE/1300" TargetMode="External"/><Relationship Id="rId94" Type="http://schemas.openxmlformats.org/officeDocument/2006/relationships/hyperlink" Target="https://card.tap-savvy.com/DR.RIDDHI-SHAH_BNI-INFINITE/1304" TargetMode="External"/><Relationship Id="rId99" Type="http://schemas.openxmlformats.org/officeDocument/2006/relationships/hyperlink" Target="https://card.tap-savvy.com/SHUBHAM-PATIL_BNI-INFINITE/1306" TargetMode="External"/><Relationship Id="rId101" Type="http://schemas.openxmlformats.org/officeDocument/2006/relationships/hyperlink" Target="https://card.tap-savvy.com/HARDIK-PUROHIT_BNI-iNFINITE/1307" TargetMode="External"/><Relationship Id="rId122" Type="http://schemas.openxmlformats.org/officeDocument/2006/relationships/hyperlink" Target="mailto:naitri@namodecor.com" TargetMode="External"/><Relationship Id="rId130" Type="http://schemas.openxmlformats.org/officeDocument/2006/relationships/hyperlink" Target="mailto:nafisafshan@gmail.com" TargetMode="External"/><Relationship Id="rId135" Type="http://schemas.openxmlformats.org/officeDocument/2006/relationships/hyperlink" Target="https://card.tap-savvy.com/WINSTON-FERNANDES_BNI-INFINITE/1322" TargetMode="External"/><Relationship Id="rId143" Type="http://schemas.openxmlformats.org/officeDocument/2006/relationships/hyperlink" Target="mailto:arjun@pinetreepictures.in" TargetMode="External"/><Relationship Id="rId148" Type="http://schemas.openxmlformats.org/officeDocument/2006/relationships/hyperlink" Target="https://www.facebook.com/share/pYt5h1gfmHRdcfj8/" TargetMode="External"/><Relationship Id="rId151" Type="http://schemas.openxmlformats.org/officeDocument/2006/relationships/hyperlink" Target="https://www.critontech.com/" TargetMode="External"/><Relationship Id="rId156" Type="http://schemas.openxmlformats.org/officeDocument/2006/relationships/table" Target="../tables/table3.xml"/><Relationship Id="rId164" Type="http://schemas.openxmlformats.org/officeDocument/2006/relationships/table" Target="../tables/table11.xml"/><Relationship Id="rId4" Type="http://schemas.openxmlformats.org/officeDocument/2006/relationships/hyperlink" Target="https://www.linkedin.com/in/kapil-jain-32847965?utm_source=share&amp;utm_campaign=share_via&amp;utm_content=profile&amp;utm_medium=ios_app" TargetMode="External"/><Relationship Id="rId9" Type="http://schemas.openxmlformats.org/officeDocument/2006/relationships/hyperlink" Target="https://www.linkedin.com/in/seema-makwana-945819115?utm_source=share&amp;utm_campaign=share_via&amp;utm_content=profile&amp;utm_medium=ios_app" TargetMode="External"/><Relationship Id="rId13" Type="http://schemas.openxmlformats.org/officeDocument/2006/relationships/hyperlink" Target="https://www.facebook.com/YellowDot.in" TargetMode="External"/><Relationship Id="rId18" Type="http://schemas.openxmlformats.org/officeDocument/2006/relationships/hyperlink" Target="https://www.instagram.com/instabizfilings/" TargetMode="External"/><Relationship Id="rId39" Type="http://schemas.openxmlformats.org/officeDocument/2006/relationships/hyperlink" Target="https://www.mondialmmx.com/" TargetMode="External"/><Relationship Id="rId109" Type="http://schemas.openxmlformats.org/officeDocument/2006/relationships/hyperlink" Target="https://www.linkedin.com/in/milan-pandya/" TargetMode="External"/><Relationship Id="rId34" Type="http://schemas.openxmlformats.org/officeDocument/2006/relationships/hyperlink" Target="https://www.linkedin.com/company/80550592/admin/dashboard/" TargetMode="External"/><Relationship Id="rId50" Type="http://schemas.openxmlformats.org/officeDocument/2006/relationships/hyperlink" Target="https://card.tap-savvy.com/VISHAL-PANCHAL_BNI-INFINITE/1285" TargetMode="External"/><Relationship Id="rId55" Type="http://schemas.openxmlformats.org/officeDocument/2006/relationships/hyperlink" Target="https://youtube.com/@hardik-gadhia?si=BWS8A7cwu5QXw8aV" TargetMode="External"/><Relationship Id="rId76" Type="http://schemas.openxmlformats.org/officeDocument/2006/relationships/hyperlink" Target="https://card.tap-savvy.com/RUMA-DESAI_BNI-INFINITE/1294" TargetMode="External"/><Relationship Id="rId97" Type="http://schemas.openxmlformats.org/officeDocument/2006/relationships/hyperlink" Target="mailto:ktcoenquires@gmail.com" TargetMode="External"/><Relationship Id="rId104" Type="http://schemas.openxmlformats.org/officeDocument/2006/relationships/hyperlink" Target="mailto:choreographybysuchi@gmail.com" TargetMode="External"/><Relationship Id="rId120" Type="http://schemas.openxmlformats.org/officeDocument/2006/relationships/hyperlink" Target="mailto:salesccrrunchyblossom@gmail.com" TargetMode="External"/><Relationship Id="rId125" Type="http://schemas.openxmlformats.org/officeDocument/2006/relationships/hyperlink" Target="https://card.tap-savvy.com/NIRMAL-TAK_BNI-INFINITE/1317" TargetMode="External"/><Relationship Id="rId141" Type="http://schemas.openxmlformats.org/officeDocument/2006/relationships/hyperlink" Target="mailto:sayedarifali09@gmail.com" TargetMode="External"/><Relationship Id="rId146" Type="http://schemas.openxmlformats.org/officeDocument/2006/relationships/hyperlink" Target="mailto:premjis2020@gmail.com" TargetMode="External"/><Relationship Id="rId167" Type="http://schemas.openxmlformats.org/officeDocument/2006/relationships/table" Target="../tables/table14.xml"/><Relationship Id="rId7" Type="http://schemas.openxmlformats.org/officeDocument/2006/relationships/hyperlink" Target="https://www.instagram.com/sbs_jobs?igsh=MWhuejlqaGZzcWtiNQ==" TargetMode="External"/><Relationship Id="rId71" Type="http://schemas.openxmlformats.org/officeDocument/2006/relationships/hyperlink" Target="https://www.linkedin.com/in/sirisharavuri/" TargetMode="External"/><Relationship Id="rId92" Type="http://schemas.openxmlformats.org/officeDocument/2006/relationships/hyperlink" Target="https://card.tap-savvy.com/RUSHABH-SOMANI_BNI-INFINITE/1303" TargetMode="External"/><Relationship Id="rId162" Type="http://schemas.openxmlformats.org/officeDocument/2006/relationships/table" Target="../tables/table9.xml"/><Relationship Id="rId2" Type="http://schemas.openxmlformats.org/officeDocument/2006/relationships/hyperlink" Target="http://smileworlddental.in/" TargetMode="External"/><Relationship Id="rId29" Type="http://schemas.openxmlformats.org/officeDocument/2006/relationships/hyperlink" Target="https://www.instagram.com/praveenvaastu?igsh=MWxxaDhxNWhsbDB2ag%3D%3D&amp;utm_source=qr" TargetMode="External"/><Relationship Id="rId24" Type="http://schemas.openxmlformats.org/officeDocument/2006/relationships/hyperlink" Target="https://www.instagram.com/krupamehtaspakwan/profilecard/?igsh=dzBqZHplY2t4b3U1" TargetMode="External"/><Relationship Id="rId40" Type="http://schemas.openxmlformats.org/officeDocument/2006/relationships/hyperlink" Target="https://www.instagram.com/mondialmmx.official?igsh=MTIwYnJwZGY3ZGt4eA==" TargetMode="External"/><Relationship Id="rId45" Type="http://schemas.openxmlformats.org/officeDocument/2006/relationships/hyperlink" Target="https://card.tap-savvy.com/MUSTAFA-SHABBIR_BNI-INFINITE/1284" TargetMode="External"/><Relationship Id="rId66" Type="http://schemas.openxmlformats.org/officeDocument/2006/relationships/hyperlink" Target="http://www.linkedin.com/in/dr-ajinkya-raut-27003415" TargetMode="External"/><Relationship Id="rId87" Type="http://schemas.openxmlformats.org/officeDocument/2006/relationships/hyperlink" Target="mailto:sanghvi.tejas@yahoo.co.in" TargetMode="External"/><Relationship Id="rId110" Type="http://schemas.openxmlformats.org/officeDocument/2006/relationships/hyperlink" Target="https://card.tap-savvy.com/PURVI-BAJ_BNI-INFINITE/1310" TargetMode="External"/><Relationship Id="rId115" Type="http://schemas.openxmlformats.org/officeDocument/2006/relationships/hyperlink" Target="https://card.tap-savvy.com/DARSHANA-BHATT_BNI-INFINITE/1312" TargetMode="External"/><Relationship Id="rId131" Type="http://schemas.openxmlformats.org/officeDocument/2006/relationships/hyperlink" Target="https://card.tap-savvy.com/PRASHANTH-SOLANKI_BNI-INFINITE/1320" TargetMode="External"/><Relationship Id="rId136" Type="http://schemas.openxmlformats.org/officeDocument/2006/relationships/hyperlink" Target="mailto:visa@axploreholidays.com" TargetMode="External"/><Relationship Id="rId157" Type="http://schemas.openxmlformats.org/officeDocument/2006/relationships/table" Target="../tables/table4.xml"/><Relationship Id="rId61" Type="http://schemas.openxmlformats.org/officeDocument/2006/relationships/hyperlink" Target="https://www.instagram.com/pearltravels.in/" TargetMode="External"/><Relationship Id="rId82" Type="http://schemas.openxmlformats.org/officeDocument/2006/relationships/hyperlink" Target="https://card.tap-savvy.com/PUSHPENDRA-JAIN_BNI-INFINITE/1297" TargetMode="External"/><Relationship Id="rId152" Type="http://schemas.openxmlformats.org/officeDocument/2006/relationships/hyperlink" Target="https://www.instagram.com/criton_technology/" TargetMode="External"/><Relationship Id="rId19" Type="http://schemas.openxmlformats.org/officeDocument/2006/relationships/hyperlink" Target="https://www.facebook.com/instabizfilings" TargetMode="External"/><Relationship Id="rId14" Type="http://schemas.openxmlformats.org/officeDocument/2006/relationships/hyperlink" Target="http://www.linkedin.com/in/prasanna-khare-7a22574" TargetMode="External"/><Relationship Id="rId30" Type="http://schemas.openxmlformats.org/officeDocument/2006/relationships/hyperlink" Target="https://card.tap-savvy.com/SMIT-SHAH_BNI-INFINITE/1279" TargetMode="External"/><Relationship Id="rId35" Type="http://schemas.openxmlformats.org/officeDocument/2006/relationships/hyperlink" Target="https://card.tap-savvy.com/CHIRAG-JAIN_BNI-INFINITE/1281" TargetMode="External"/><Relationship Id="rId56" Type="http://schemas.openxmlformats.org/officeDocument/2006/relationships/hyperlink" Target="https://card.tap-savvy.com/LAVESH-KOTHARI_BNI-INFINITE/1287" TargetMode="External"/><Relationship Id="rId77" Type="http://schemas.openxmlformats.org/officeDocument/2006/relationships/hyperlink" Target="mailto:desairuma@gmail.com" TargetMode="External"/><Relationship Id="rId100" Type="http://schemas.openxmlformats.org/officeDocument/2006/relationships/hyperlink" Target="mailto:autocareexperts.india@gmail.com" TargetMode="External"/><Relationship Id="rId105" Type="http://schemas.openxmlformats.org/officeDocument/2006/relationships/hyperlink" Target="https://card.tap-savvy.com/MILAN-PANDYA_BNI-INFINITE/1309" TargetMode="External"/><Relationship Id="rId126" Type="http://schemas.openxmlformats.org/officeDocument/2006/relationships/hyperlink" Target="mailto:saiaircon@hotmail.com" TargetMode="External"/><Relationship Id="rId147" Type="http://schemas.openxmlformats.org/officeDocument/2006/relationships/hyperlink" Target="http://www.instagram.com/premjis.borivali" TargetMode="External"/><Relationship Id="rId168" Type="http://schemas.openxmlformats.org/officeDocument/2006/relationships/table" Target="../tables/table15.xml"/><Relationship Id="rId8" Type="http://schemas.openxmlformats.org/officeDocument/2006/relationships/hyperlink" Target="https://www.facebook.com/profile.php?id=100012803678665&amp;mibextid=LQQJ4d" TargetMode="External"/><Relationship Id="rId51" Type="http://schemas.openxmlformats.org/officeDocument/2006/relationships/hyperlink" Target="http://www.swastikindustries.org/" TargetMode="External"/><Relationship Id="rId72" Type="http://schemas.openxmlformats.org/officeDocument/2006/relationships/hyperlink" Target="https://youtu.be/mzWGt8ArhiA" TargetMode="External"/><Relationship Id="rId93" Type="http://schemas.openxmlformats.org/officeDocument/2006/relationships/hyperlink" Target="mailto:trgemsjewels@gmail.com" TargetMode="External"/><Relationship Id="rId98" Type="http://schemas.openxmlformats.org/officeDocument/2006/relationships/hyperlink" Target="https://www.instagram.com/dr_riddhishah?igsh=MTRlZjZhanNxZmFsbw==" TargetMode="External"/><Relationship Id="rId121" Type="http://schemas.openxmlformats.org/officeDocument/2006/relationships/hyperlink" Target="https://card.tap-savvy.com/NAITRI-MEHTA_BNI-INFINITE/1315" TargetMode="External"/><Relationship Id="rId142" Type="http://schemas.openxmlformats.org/officeDocument/2006/relationships/hyperlink" Target="https://card.tap-savvy.com/ARJUN-CHATURVEDI_BNI-INFINITE/1385" TargetMode="External"/><Relationship Id="rId163" Type="http://schemas.openxmlformats.org/officeDocument/2006/relationships/table" Target="../tables/table10.xml"/><Relationship Id="rId3" Type="http://schemas.openxmlformats.org/officeDocument/2006/relationships/hyperlink" Target="https://www.instagram.com/smileworlddentistry?igsh=MTN2N3JpMHN5MHdjNQ==" TargetMode="External"/><Relationship Id="rId25" Type="http://schemas.openxmlformats.org/officeDocument/2006/relationships/hyperlink" Target="https://card.tap-savvy.com/ASHAY-SAVE_BNI-INFINITE/1277" TargetMode="External"/><Relationship Id="rId46" Type="http://schemas.openxmlformats.org/officeDocument/2006/relationships/hyperlink" Target="http://www.kanchbazaar.com/" TargetMode="External"/><Relationship Id="rId67" Type="http://schemas.openxmlformats.org/officeDocument/2006/relationships/hyperlink" Target="https://card.tap-savvy.com/SIRISHA-RAVURI_BNI-INFINITE/1292" TargetMode="External"/><Relationship Id="rId116" Type="http://schemas.openxmlformats.org/officeDocument/2006/relationships/hyperlink" Target="mailto:darshanabhatt.db@gmail.com" TargetMode="External"/><Relationship Id="rId137" Type="http://schemas.openxmlformats.org/officeDocument/2006/relationships/hyperlink" Target="https://www.instagram.com/axplore_holidays/" TargetMode="External"/><Relationship Id="rId158" Type="http://schemas.openxmlformats.org/officeDocument/2006/relationships/table" Target="../tables/table5.xml"/><Relationship Id="rId20" Type="http://schemas.openxmlformats.org/officeDocument/2006/relationships/hyperlink" Target="https://www.linkedin.com/company/instabizfilings/" TargetMode="External"/><Relationship Id="rId41" Type="http://schemas.openxmlformats.org/officeDocument/2006/relationships/hyperlink" Target="https://www.linkedin.com/in/mitheel-jagada-a16b6bbb?utm_source=share&amp;utm_campaign=share_via&amp;utm_content=profile&amp;utm_medium=android_app" TargetMode="External"/><Relationship Id="rId62" Type="http://schemas.openxmlformats.org/officeDocument/2006/relationships/hyperlink" Target="https://card.tap-savvy.com/VIKAASH-VERMA-BNI-INFINITE/1289" TargetMode="External"/><Relationship Id="rId83" Type="http://schemas.openxmlformats.org/officeDocument/2006/relationships/hyperlink" Target="mailto:info.abhishek.enterprise@gmail.com" TargetMode="External"/><Relationship Id="rId88" Type="http://schemas.openxmlformats.org/officeDocument/2006/relationships/hyperlink" Target="https://card.tap-savvy.com/ERINA-JAIN_BNI-INFINITE/1301" TargetMode="External"/><Relationship Id="rId111" Type="http://schemas.openxmlformats.org/officeDocument/2006/relationships/hyperlink" Target="mailto:connect@abhastudios.com" TargetMode="External"/><Relationship Id="rId132" Type="http://schemas.openxmlformats.org/officeDocument/2006/relationships/hyperlink" Target="mailto:info@silverstaronline.in" TargetMode="External"/><Relationship Id="rId153" Type="http://schemas.openxmlformats.org/officeDocument/2006/relationships/hyperlink" Target="https://m.facebook.com/p/Criton-Technology-100089642377998/?wtsid=rdr_0xBC31U4UOyqdLbhz"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ard.tap-savvy.com/TheGameDrive_Anosh-Koppikar/933" TargetMode="External"/><Relationship Id="rId117" Type="http://schemas.openxmlformats.org/officeDocument/2006/relationships/hyperlink" Target="https://www.ashishlifescience.com/" TargetMode="External"/><Relationship Id="rId21" Type="http://schemas.openxmlformats.org/officeDocument/2006/relationships/hyperlink" Target="https://card.tap-savvy.com/Wrapsandtags_Shraddha-Shah/932" TargetMode="External"/><Relationship Id="rId42" Type="http://schemas.openxmlformats.org/officeDocument/2006/relationships/hyperlink" Target="mailto:rahaman.easyinvesto007@gmail.com" TargetMode="External"/><Relationship Id="rId47" Type="http://schemas.openxmlformats.org/officeDocument/2006/relationships/hyperlink" Target="https://card.tap-savvy.com/Cosmic-Healings_Chaitali-Jhaveri/947" TargetMode="External"/><Relationship Id="rId63" Type="http://schemas.openxmlformats.org/officeDocument/2006/relationships/hyperlink" Target="https://card.tap-savvy.com/Seventeen-Events_Bhavika-Trivedi/955" TargetMode="External"/><Relationship Id="rId68" Type="http://schemas.openxmlformats.org/officeDocument/2006/relationships/hyperlink" Target="https://www.seventeenevents.com/" TargetMode="External"/><Relationship Id="rId84" Type="http://schemas.openxmlformats.org/officeDocument/2006/relationships/hyperlink" Target="https://card.tap-savvy.com/VANSHIKA-PARMAR/986" TargetMode="External"/><Relationship Id="rId89" Type="http://schemas.openxmlformats.org/officeDocument/2006/relationships/hyperlink" Target="mailto:giftamstore@gmail.com" TargetMode="External"/><Relationship Id="rId112" Type="http://schemas.openxmlformats.org/officeDocument/2006/relationships/hyperlink" Target="https://card.tap-savvy.com/AshishLifeScience_DrSaurabh-Agarwal/1029" TargetMode="External"/><Relationship Id="rId133" Type="http://schemas.openxmlformats.org/officeDocument/2006/relationships/hyperlink" Target="http://card.tap-savvy.com/AshishLifeScience_Ronitt-Agarrwal/1038" TargetMode="External"/><Relationship Id="rId138" Type="http://schemas.openxmlformats.org/officeDocument/2006/relationships/hyperlink" Target="https://www.ashishlifescience.com/" TargetMode="External"/><Relationship Id="rId16" Type="http://schemas.openxmlformats.org/officeDocument/2006/relationships/hyperlink" Target="https://card.tap-savvy.com/Papercurrency_Ayushi-Shah/926" TargetMode="External"/><Relationship Id="rId107" Type="http://schemas.openxmlformats.org/officeDocument/2006/relationships/hyperlink" Target="mailto:vivek.kedia@ashishlifescience.com" TargetMode="External"/><Relationship Id="rId11" Type="http://schemas.openxmlformats.org/officeDocument/2006/relationships/hyperlink" Target="mailto:khushnam.zubin@gmail.com" TargetMode="External"/><Relationship Id="rId32" Type="http://schemas.openxmlformats.org/officeDocument/2006/relationships/hyperlink" Target="https://www.instagram.com/thegamedrive/" TargetMode="External"/><Relationship Id="rId37" Type="http://schemas.openxmlformats.org/officeDocument/2006/relationships/hyperlink" Target="https://card.tap-savvy.com/The-Game-Drive-Amita-Matkar/938" TargetMode="External"/><Relationship Id="rId53" Type="http://schemas.openxmlformats.org/officeDocument/2006/relationships/hyperlink" Target="https://card.tap-savvy.com/PaperToProject_Jalpa-Shah/951" TargetMode="External"/><Relationship Id="rId58" Type="http://schemas.openxmlformats.org/officeDocument/2006/relationships/hyperlink" Target="mailto:sabha.khan@datamatics.com" TargetMode="External"/><Relationship Id="rId74" Type="http://schemas.openxmlformats.org/officeDocument/2006/relationships/hyperlink" Target="https://www.seventeenevents.com/" TargetMode="External"/><Relationship Id="rId79" Type="http://schemas.openxmlformats.org/officeDocument/2006/relationships/hyperlink" Target="mailto:natasha@seventeenevents.com" TargetMode="External"/><Relationship Id="rId102" Type="http://schemas.openxmlformats.org/officeDocument/2006/relationships/hyperlink" Target="https://www.ashishlifescience.com/" TargetMode="External"/><Relationship Id="rId123" Type="http://schemas.openxmlformats.org/officeDocument/2006/relationships/hyperlink" Target="https://www.ashishlifescience.com/" TargetMode="External"/><Relationship Id="rId128" Type="http://schemas.openxmlformats.org/officeDocument/2006/relationships/hyperlink" Target="mailto:nilesh.chavan@ashishlifescience.com" TargetMode="External"/><Relationship Id="rId144" Type="http://schemas.openxmlformats.org/officeDocument/2006/relationships/hyperlink" Target="https://www.ashishlifescience.com/" TargetMode="External"/><Relationship Id="rId5" Type="http://schemas.openxmlformats.org/officeDocument/2006/relationships/hyperlink" Target="mailto:alicantosstudio@gmail.com" TargetMode="External"/><Relationship Id="rId90" Type="http://schemas.openxmlformats.org/officeDocument/2006/relationships/hyperlink" Target="https://www.giftam.com/" TargetMode="External"/><Relationship Id="rId95" Type="http://schemas.openxmlformats.org/officeDocument/2006/relationships/hyperlink" Target="mailto:amardeep.athawaley@ashishlifescience.com" TargetMode="External"/><Relationship Id="rId22" Type="http://schemas.openxmlformats.org/officeDocument/2006/relationships/hyperlink" Target="mailto:wrapsandtags@gmail.com" TargetMode="External"/><Relationship Id="rId27" Type="http://schemas.openxmlformats.org/officeDocument/2006/relationships/hyperlink" Target="https://www.thegamedrive.com/" TargetMode="External"/><Relationship Id="rId43" Type="http://schemas.openxmlformats.org/officeDocument/2006/relationships/hyperlink" Target="https://bento.me/jamilur-rahaman-" TargetMode="External"/><Relationship Id="rId48" Type="http://schemas.openxmlformats.org/officeDocument/2006/relationships/hyperlink" Target="mailto:ask@cosmichealings.in" TargetMode="External"/><Relationship Id="rId64" Type="http://schemas.openxmlformats.org/officeDocument/2006/relationships/hyperlink" Target="mailto:bhavika@seventeenevents.com" TargetMode="External"/><Relationship Id="rId69" Type="http://schemas.openxmlformats.org/officeDocument/2006/relationships/hyperlink" Target="https://card.tap-savvy.com/Seventeen-Events_Abbas-Sayyed/958" TargetMode="External"/><Relationship Id="rId113" Type="http://schemas.openxmlformats.org/officeDocument/2006/relationships/hyperlink" Target="mailto:saurabh.agarwal@ashishlifescience.com" TargetMode="External"/><Relationship Id="rId118" Type="http://schemas.openxmlformats.org/officeDocument/2006/relationships/hyperlink" Target="https://card.tap-savvy.com/AshishLifeScience_Pooja-Karnik/1031" TargetMode="External"/><Relationship Id="rId134" Type="http://schemas.openxmlformats.org/officeDocument/2006/relationships/hyperlink" Target="about:blank" TargetMode="External"/><Relationship Id="rId139" Type="http://schemas.openxmlformats.org/officeDocument/2006/relationships/hyperlink" Target="https://card.tap-savvy.com/AshishLifeScience_Mr.Abdulla-Fatiya/1096" TargetMode="External"/><Relationship Id="rId8" Type="http://schemas.openxmlformats.org/officeDocument/2006/relationships/hyperlink" Target="https://card.tap-savvy.com/Avaran-Jewellery/921" TargetMode="External"/><Relationship Id="rId51" Type="http://schemas.openxmlformats.org/officeDocument/2006/relationships/hyperlink" Target="mailto:nikitaas.earthborn@gmail.com" TargetMode="External"/><Relationship Id="rId72" Type="http://schemas.openxmlformats.org/officeDocument/2006/relationships/hyperlink" Target="https://card.tap-savvy.com/Seventeen-Events_Shruti-Panhale/959" TargetMode="External"/><Relationship Id="rId80" Type="http://schemas.openxmlformats.org/officeDocument/2006/relationships/hyperlink" Target="https://www.seventeenevents.com/" TargetMode="External"/><Relationship Id="rId85" Type="http://schemas.openxmlformats.org/officeDocument/2006/relationships/hyperlink" Target="mailto:itsvanshikaparmar@gmail.com" TargetMode="External"/><Relationship Id="rId93" Type="http://schemas.openxmlformats.org/officeDocument/2006/relationships/hyperlink" Target="https://www.ashishlifescience.com/" TargetMode="External"/><Relationship Id="rId98" Type="http://schemas.openxmlformats.org/officeDocument/2006/relationships/hyperlink" Target="mailto:jayesh.khatri@ashishlifescience.com" TargetMode="External"/><Relationship Id="rId121" Type="http://schemas.openxmlformats.org/officeDocument/2006/relationships/hyperlink" Target="https://card.tap-savvy.com/AshishLifeScience_DrKirankumar-Madpathi/1032" TargetMode="External"/><Relationship Id="rId142" Type="http://schemas.openxmlformats.org/officeDocument/2006/relationships/hyperlink" Target="https://card.tap-savvy.com/AshishLifeScience_DrKonstantin-Popov/1039" TargetMode="External"/><Relationship Id="rId3" Type="http://schemas.openxmlformats.org/officeDocument/2006/relationships/hyperlink" Target="https://www.piparasancheti.com/" TargetMode="External"/><Relationship Id="rId12" Type="http://schemas.openxmlformats.org/officeDocument/2006/relationships/hyperlink" Target="https://card.tap-savvy.com/CAVAIBHAVPTHAKKAR_28022020/924" TargetMode="External"/><Relationship Id="rId17" Type="http://schemas.openxmlformats.org/officeDocument/2006/relationships/hyperlink" Target="mailto:Aayushi@papercurrency.in" TargetMode="External"/><Relationship Id="rId25" Type="http://schemas.openxmlformats.org/officeDocument/2006/relationships/hyperlink" Target="https://simonesalon.in/" TargetMode="External"/><Relationship Id="rId33" Type="http://schemas.openxmlformats.org/officeDocument/2006/relationships/hyperlink" Target="https://card.tap-savvy.com/The-Game-Drive_Aaina-Chavan/935" TargetMode="External"/><Relationship Id="rId38" Type="http://schemas.openxmlformats.org/officeDocument/2006/relationships/hyperlink" Target="mailto:Operations@thegamedrive.in" TargetMode="External"/><Relationship Id="rId46" Type="http://schemas.openxmlformats.org/officeDocument/2006/relationships/hyperlink" Target="https://www.chaitalicreation.com/" TargetMode="External"/><Relationship Id="rId59" Type="http://schemas.openxmlformats.org/officeDocument/2006/relationships/hyperlink" Target="https://www.datamatics.com/" TargetMode="External"/><Relationship Id="rId67" Type="http://schemas.openxmlformats.org/officeDocument/2006/relationships/hyperlink" Target="mailto:nayan@seventeenevents.com" TargetMode="External"/><Relationship Id="rId103" Type="http://schemas.openxmlformats.org/officeDocument/2006/relationships/hyperlink" Target="https://card.tap-savvy.com/AshishLifeScience_Chirag-Shukla/1025" TargetMode="External"/><Relationship Id="rId108" Type="http://schemas.openxmlformats.org/officeDocument/2006/relationships/hyperlink" Target="https://www.ashishlifescience.com/" TargetMode="External"/><Relationship Id="rId116" Type="http://schemas.openxmlformats.org/officeDocument/2006/relationships/hyperlink" Target="mailto:nirdesh.kumar@ashishlifescience.com" TargetMode="External"/><Relationship Id="rId124" Type="http://schemas.openxmlformats.org/officeDocument/2006/relationships/hyperlink" Target="https://card.tap-savvy.com/AshishLifeScience_Raujesh-Agarrwal/1033" TargetMode="External"/><Relationship Id="rId129" Type="http://schemas.openxmlformats.org/officeDocument/2006/relationships/hyperlink" Target="https://www.ashishlifescience.com/" TargetMode="External"/><Relationship Id="rId137" Type="http://schemas.openxmlformats.org/officeDocument/2006/relationships/hyperlink" Target="mailto:amardeep.athawaley@ashishlifescience.com" TargetMode="External"/><Relationship Id="rId20" Type="http://schemas.openxmlformats.org/officeDocument/2006/relationships/hyperlink" Target="https://http/www.corduroy.in/" TargetMode="External"/><Relationship Id="rId41" Type="http://schemas.openxmlformats.org/officeDocument/2006/relationships/hyperlink" Target="https://card.tap-savvy.com/Easy-Investo_Rahaman-Jamilur/939" TargetMode="External"/><Relationship Id="rId54" Type="http://schemas.openxmlformats.org/officeDocument/2006/relationships/hyperlink" Target="mailto:papertoproject@gmail.com" TargetMode="External"/><Relationship Id="rId62" Type="http://schemas.openxmlformats.org/officeDocument/2006/relationships/hyperlink" Target="https://www.seventeenevents.com/" TargetMode="External"/><Relationship Id="rId70" Type="http://schemas.openxmlformats.org/officeDocument/2006/relationships/hyperlink" Target="mailto:abbas@seventeenevents.com" TargetMode="External"/><Relationship Id="rId75" Type="http://schemas.openxmlformats.org/officeDocument/2006/relationships/hyperlink" Target="https://card.tap-savvy.com/Seventeen-Events_Aftab-Khan/960" TargetMode="External"/><Relationship Id="rId83" Type="http://schemas.openxmlformats.org/officeDocument/2006/relationships/hyperlink" Target="https://getsetplayevents.com/" TargetMode="External"/><Relationship Id="rId88" Type="http://schemas.openxmlformats.org/officeDocument/2006/relationships/hyperlink" Target="https://card.tap-savvy.com/GiftamStore_Om-Dave/1010" TargetMode="External"/><Relationship Id="rId91" Type="http://schemas.openxmlformats.org/officeDocument/2006/relationships/hyperlink" Target="https://card.tap-savvy.com/AshishLifeScience_DrSaurabh-Agarwal/1029" TargetMode="External"/><Relationship Id="rId96" Type="http://schemas.openxmlformats.org/officeDocument/2006/relationships/hyperlink" Target="https://www.ashishlifescience.com/" TargetMode="External"/><Relationship Id="rId111" Type="http://schemas.openxmlformats.org/officeDocument/2006/relationships/hyperlink" Target="https://www.ashishlifescience.com/" TargetMode="External"/><Relationship Id="rId132" Type="http://schemas.openxmlformats.org/officeDocument/2006/relationships/hyperlink" Target="https://www.ashishlifescience.com/" TargetMode="External"/><Relationship Id="rId140" Type="http://schemas.openxmlformats.org/officeDocument/2006/relationships/hyperlink" Target="mailto:abdulla.fatiya@ashishlifescience.com" TargetMode="External"/><Relationship Id="rId1" Type="http://schemas.openxmlformats.org/officeDocument/2006/relationships/hyperlink" Target="https://card.tap-savvy.com/PiparaSancheti&amp;Associates_Priyank-Sancheti/901" TargetMode="External"/><Relationship Id="rId6" Type="http://schemas.openxmlformats.org/officeDocument/2006/relationships/hyperlink" Target="https://card.tap-savvy.com/SBC-Accounts&amp;FinancialServices_Sourabh-Chandorkar/909" TargetMode="External"/><Relationship Id="rId15" Type="http://schemas.openxmlformats.org/officeDocument/2006/relationships/hyperlink" Target="mailto:rishabhchaudhary@gmail.com" TargetMode="External"/><Relationship Id="rId23" Type="http://schemas.openxmlformats.org/officeDocument/2006/relationships/hyperlink" Target="https://card.tap-savvy.com/Simmone-SalonandSpa_Simmone-Dhanwani/934" TargetMode="External"/><Relationship Id="rId28" Type="http://schemas.openxmlformats.org/officeDocument/2006/relationships/hyperlink" Target="https://www.instagram.com/thegamedrive/" TargetMode="External"/><Relationship Id="rId36" Type="http://schemas.openxmlformats.org/officeDocument/2006/relationships/hyperlink" Target="https://www.instagram.com/thegamedrive/" TargetMode="External"/><Relationship Id="rId49" Type="http://schemas.openxmlformats.org/officeDocument/2006/relationships/hyperlink" Target="https://www.cosmichealings.in/" TargetMode="External"/><Relationship Id="rId57" Type="http://schemas.openxmlformats.org/officeDocument/2006/relationships/hyperlink" Target="https://card.tap-savvy.com/DATAMATICS_Sabha-Khan/953" TargetMode="External"/><Relationship Id="rId106" Type="http://schemas.openxmlformats.org/officeDocument/2006/relationships/hyperlink" Target="https://card.tap-savvy.com/AshishLifeScience_Vivek-Kedia/1026" TargetMode="External"/><Relationship Id="rId114" Type="http://schemas.openxmlformats.org/officeDocument/2006/relationships/hyperlink" Target="https://www.ashishlifescience.com/" TargetMode="External"/><Relationship Id="rId119" Type="http://schemas.openxmlformats.org/officeDocument/2006/relationships/hyperlink" Target="mailto:pooja.karnik@ashishlifescience.com" TargetMode="External"/><Relationship Id="rId127" Type="http://schemas.openxmlformats.org/officeDocument/2006/relationships/hyperlink" Target="https://card.tap-savvy.com/AshishLifeScience_Nilesh-Chavan/1034" TargetMode="External"/><Relationship Id="rId10" Type="http://schemas.openxmlformats.org/officeDocument/2006/relationships/hyperlink" Target="https://card.tap-savvy.com/Spiritual-Healing-by-Khushnam/923" TargetMode="External"/><Relationship Id="rId31" Type="http://schemas.openxmlformats.org/officeDocument/2006/relationships/hyperlink" Target="https://www.thegamedrive.com/" TargetMode="External"/><Relationship Id="rId44" Type="http://schemas.openxmlformats.org/officeDocument/2006/relationships/hyperlink" Target="https://card.tap-savvy.com/Chaitali-Creations_Chaitali-Jhaveri/946" TargetMode="External"/><Relationship Id="rId52" Type="http://schemas.openxmlformats.org/officeDocument/2006/relationships/hyperlink" Target="https://www.nikitaasearthborn.com/" TargetMode="External"/><Relationship Id="rId60" Type="http://schemas.openxmlformats.org/officeDocument/2006/relationships/hyperlink" Target="https://card.tap-savvy.com/Seventeen-Events_Sourav-Mukherjee/954" TargetMode="External"/><Relationship Id="rId65" Type="http://schemas.openxmlformats.org/officeDocument/2006/relationships/hyperlink" Target="https://www.seventeenevents.com/" TargetMode="External"/><Relationship Id="rId73" Type="http://schemas.openxmlformats.org/officeDocument/2006/relationships/hyperlink" Target="mailto:shruti@seventeenevents.com" TargetMode="External"/><Relationship Id="rId78" Type="http://schemas.openxmlformats.org/officeDocument/2006/relationships/hyperlink" Target="https://card.tap-savvy.com/Seventeen-Events_Natasha-Devadiga/961" TargetMode="External"/><Relationship Id="rId81" Type="http://schemas.openxmlformats.org/officeDocument/2006/relationships/hyperlink" Target="https://card.tap-savvy.com/Get-Set-Play-Events_Aruna-Karia/962" TargetMode="External"/><Relationship Id="rId86" Type="http://schemas.openxmlformats.org/officeDocument/2006/relationships/hyperlink" Target="https://card.tap-savvy.com/VEDANT-SHELAR/987" TargetMode="External"/><Relationship Id="rId94" Type="http://schemas.openxmlformats.org/officeDocument/2006/relationships/hyperlink" Target="https://card.tap-savvy.com/AshishLifeScience_Amardeep-Athawaley/1022" TargetMode="External"/><Relationship Id="rId99" Type="http://schemas.openxmlformats.org/officeDocument/2006/relationships/hyperlink" Target="https://www.ashishlifescience.com/" TargetMode="External"/><Relationship Id="rId101" Type="http://schemas.openxmlformats.org/officeDocument/2006/relationships/hyperlink" Target="mailto:ashish.shah@ashishlifescience.com" TargetMode="External"/><Relationship Id="rId122" Type="http://schemas.openxmlformats.org/officeDocument/2006/relationships/hyperlink" Target="mailto:kirankumar.madpathi@ashishlifescience.com" TargetMode="External"/><Relationship Id="rId130" Type="http://schemas.openxmlformats.org/officeDocument/2006/relationships/hyperlink" Target="https://card.tap-savvy.com/AshishLifeScience_Sutanu-Nayak/1035" TargetMode="External"/><Relationship Id="rId135" Type="http://schemas.openxmlformats.org/officeDocument/2006/relationships/hyperlink" Target="https://www.ashishlifescience.com/" TargetMode="External"/><Relationship Id="rId143" Type="http://schemas.openxmlformats.org/officeDocument/2006/relationships/hyperlink" Target="mailto:konstantin.popov@ashishlifescience.com" TargetMode="External"/><Relationship Id="rId4" Type="http://schemas.openxmlformats.org/officeDocument/2006/relationships/hyperlink" Target="https://card.tap-savvy.com/ALICANTOS-STUDIO_HIMANI-JAIN/902" TargetMode="External"/><Relationship Id="rId9" Type="http://schemas.openxmlformats.org/officeDocument/2006/relationships/hyperlink" Target="mailto:avaranjewellry@gmail.com" TargetMode="External"/><Relationship Id="rId13" Type="http://schemas.openxmlformats.org/officeDocument/2006/relationships/hyperlink" Target="mailto:cavaibhavpthakkar@gmail.com" TargetMode="External"/><Relationship Id="rId18" Type="http://schemas.openxmlformats.org/officeDocument/2006/relationships/hyperlink" Target="https://card.tap-savvy.com/Velcord-Textile-Pvt-Ltd_Anurag-Chaturvedi/929" TargetMode="External"/><Relationship Id="rId39" Type="http://schemas.openxmlformats.org/officeDocument/2006/relationships/hyperlink" Target="https://www.thegamedrive.com/" TargetMode="External"/><Relationship Id="rId109" Type="http://schemas.openxmlformats.org/officeDocument/2006/relationships/hyperlink" Target="https://card.tap-savvy.com/AshishLifeScience_Jaiprakash-Todi/1028" TargetMode="External"/><Relationship Id="rId34" Type="http://schemas.openxmlformats.org/officeDocument/2006/relationships/hyperlink" Target="mailto:marketing@thegamedrive.in" TargetMode="External"/><Relationship Id="rId50" Type="http://schemas.openxmlformats.org/officeDocument/2006/relationships/hyperlink" Target="https://card.tap-savvy.com/Earthborn_Nikitaa-Shah/948" TargetMode="External"/><Relationship Id="rId55" Type="http://schemas.openxmlformats.org/officeDocument/2006/relationships/hyperlink" Target="https://card.tap-savvy.com/Shodashi-Candles_Tejal-Solanki/952" TargetMode="External"/><Relationship Id="rId76" Type="http://schemas.openxmlformats.org/officeDocument/2006/relationships/hyperlink" Target="mailto:aftab@seventeenevents.com" TargetMode="External"/><Relationship Id="rId97" Type="http://schemas.openxmlformats.org/officeDocument/2006/relationships/hyperlink" Target="https://card.tap-savvy.com/AshishLifeScience_Jayesh-Khatri/1023" TargetMode="External"/><Relationship Id="rId104" Type="http://schemas.openxmlformats.org/officeDocument/2006/relationships/hyperlink" Target="mailto:chirag.shukla@ashishlifescience.com" TargetMode="External"/><Relationship Id="rId120" Type="http://schemas.openxmlformats.org/officeDocument/2006/relationships/hyperlink" Target="https://www.ashishlifescience.com/" TargetMode="External"/><Relationship Id="rId125" Type="http://schemas.openxmlformats.org/officeDocument/2006/relationships/hyperlink" Target="mailto:raujesh@ashishlifescience.com" TargetMode="External"/><Relationship Id="rId141" Type="http://schemas.openxmlformats.org/officeDocument/2006/relationships/hyperlink" Target="https://www.ashishlifescience.com/" TargetMode="External"/><Relationship Id="rId7" Type="http://schemas.openxmlformats.org/officeDocument/2006/relationships/hyperlink" Target="mailto:info.sbcafs@gmail.com" TargetMode="External"/><Relationship Id="rId71" Type="http://schemas.openxmlformats.org/officeDocument/2006/relationships/hyperlink" Target="https://www.seventeenevents.com/" TargetMode="External"/><Relationship Id="rId92" Type="http://schemas.openxmlformats.org/officeDocument/2006/relationships/hyperlink" Target="mailto:saurabh.agarwal@ashishlifescience.com" TargetMode="External"/><Relationship Id="rId2" Type="http://schemas.openxmlformats.org/officeDocument/2006/relationships/hyperlink" Target="mailto:priyanksancheti@gmail.com" TargetMode="External"/><Relationship Id="rId29" Type="http://schemas.openxmlformats.org/officeDocument/2006/relationships/hyperlink" Target="https://card.tap-savvy.com/The-Game-Drive_Dipti-Thorat/936" TargetMode="External"/><Relationship Id="rId24" Type="http://schemas.openxmlformats.org/officeDocument/2006/relationships/hyperlink" Target="mailto:simonessalonandspa@gmail.com" TargetMode="External"/><Relationship Id="rId40" Type="http://schemas.openxmlformats.org/officeDocument/2006/relationships/hyperlink" Target="https://www.instagram.com/thegamedrive/" TargetMode="External"/><Relationship Id="rId45" Type="http://schemas.openxmlformats.org/officeDocument/2006/relationships/hyperlink" Target="mailto:ask@chaitalicreation.com" TargetMode="External"/><Relationship Id="rId66" Type="http://schemas.openxmlformats.org/officeDocument/2006/relationships/hyperlink" Target="https://card.tap-savvy.com/Seventeen-Events_Nayan-Sadhwani/956" TargetMode="External"/><Relationship Id="rId87" Type="http://schemas.openxmlformats.org/officeDocument/2006/relationships/hyperlink" Target="mailto:vedant.shelar42@gmail.com" TargetMode="External"/><Relationship Id="rId110" Type="http://schemas.openxmlformats.org/officeDocument/2006/relationships/hyperlink" Target="mailto:jaiprakash.todi@ashishlifecience.com" TargetMode="External"/><Relationship Id="rId115" Type="http://schemas.openxmlformats.org/officeDocument/2006/relationships/hyperlink" Target="http://card.tap-savvy.com/AshishLifeScience_Nirdesh-Kumar/1030" TargetMode="External"/><Relationship Id="rId131" Type="http://schemas.openxmlformats.org/officeDocument/2006/relationships/hyperlink" Target="mailto:sutanu.nayak@ashishlifescience.com" TargetMode="External"/><Relationship Id="rId136" Type="http://schemas.openxmlformats.org/officeDocument/2006/relationships/hyperlink" Target="https://card.tap-savvy.com/AshishLifeScience_Amardeep-Athawaley/1022" TargetMode="External"/><Relationship Id="rId61" Type="http://schemas.openxmlformats.org/officeDocument/2006/relationships/hyperlink" Target="mailto:sourav@seventeenevents.com" TargetMode="External"/><Relationship Id="rId82" Type="http://schemas.openxmlformats.org/officeDocument/2006/relationships/hyperlink" Target="mailto:getsetplay2018@gmail.com" TargetMode="External"/><Relationship Id="rId19" Type="http://schemas.openxmlformats.org/officeDocument/2006/relationships/hyperlink" Target="mailto:anurag@velcord.in" TargetMode="External"/><Relationship Id="rId14" Type="http://schemas.openxmlformats.org/officeDocument/2006/relationships/hyperlink" Target="https://card.tap-savvy.com/Dinesh-Chaudhary&amp;co_Rishabh-Dinesh-Chaudhary/925" TargetMode="External"/><Relationship Id="rId30" Type="http://schemas.openxmlformats.org/officeDocument/2006/relationships/hyperlink" Target="mailto:dipti@thegamedrive.in" TargetMode="External"/><Relationship Id="rId35" Type="http://schemas.openxmlformats.org/officeDocument/2006/relationships/hyperlink" Target="https://www.thegamedrive.com/" TargetMode="External"/><Relationship Id="rId56" Type="http://schemas.openxmlformats.org/officeDocument/2006/relationships/hyperlink" Target="mailto:shodashicandles@gmail.com" TargetMode="External"/><Relationship Id="rId77" Type="http://schemas.openxmlformats.org/officeDocument/2006/relationships/hyperlink" Target="https://www.seventeenevents.com/" TargetMode="External"/><Relationship Id="rId100" Type="http://schemas.openxmlformats.org/officeDocument/2006/relationships/hyperlink" Target="https://card.tap-savvy.com/AshishLifeScience_Ashish-Shah/1024" TargetMode="External"/><Relationship Id="rId105" Type="http://schemas.openxmlformats.org/officeDocument/2006/relationships/hyperlink" Target="https://www.ashishlifescience.com/" TargetMode="External"/><Relationship Id="rId126" Type="http://schemas.openxmlformats.org/officeDocument/2006/relationships/hyperlink" Target="https://www.ashishlifescienc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instagram.com/turtle.down.under/" TargetMode="External"/><Relationship Id="rId13" Type="http://schemas.openxmlformats.org/officeDocument/2006/relationships/hyperlink" Target="https://turtledownunder.com.au/" TargetMode="External"/><Relationship Id="rId18" Type="http://schemas.openxmlformats.org/officeDocument/2006/relationships/hyperlink" Target="https://www.youtube.com/@turtledownunder" TargetMode="External"/><Relationship Id="rId26" Type="http://schemas.openxmlformats.org/officeDocument/2006/relationships/hyperlink" Target="https://card.tap-savvy.com/Turtledownunder_Kunal-Ramchandani/1018" TargetMode="External"/><Relationship Id="rId3" Type="http://schemas.openxmlformats.org/officeDocument/2006/relationships/hyperlink" Target="https://www.iflynow.in/" TargetMode="External"/><Relationship Id="rId21" Type="http://schemas.openxmlformats.org/officeDocument/2006/relationships/hyperlink" Target="https://turtledownunder.com.au/" TargetMode="External"/><Relationship Id="rId34" Type="http://schemas.openxmlformats.org/officeDocument/2006/relationships/hyperlink" Target="mailto:abhisheks@turtledownunder.com.au" TargetMode="External"/><Relationship Id="rId7" Type="http://schemas.openxmlformats.org/officeDocument/2006/relationships/hyperlink" Target="https://www.facebook.com/TurtleAustralia" TargetMode="External"/><Relationship Id="rId12" Type="http://schemas.openxmlformats.org/officeDocument/2006/relationships/hyperlink" Target="mailto:siddhesh@turtledownunder.com.au" TargetMode="External"/><Relationship Id="rId17" Type="http://schemas.openxmlformats.org/officeDocument/2006/relationships/hyperlink" Target="https://www.linkedin.com/company/turtle-down-under-gtx/" TargetMode="External"/><Relationship Id="rId25" Type="http://schemas.openxmlformats.org/officeDocument/2006/relationships/hyperlink" Target="https://www.youtube.com/@turtledownunder" TargetMode="External"/><Relationship Id="rId33" Type="http://schemas.openxmlformats.org/officeDocument/2006/relationships/hyperlink" Target="mailto:Kunalr@iflynow.in" TargetMode="External"/><Relationship Id="rId2" Type="http://schemas.openxmlformats.org/officeDocument/2006/relationships/hyperlink" Target="mailto:Kunalr@iflynow.in" TargetMode="External"/><Relationship Id="rId16" Type="http://schemas.openxmlformats.org/officeDocument/2006/relationships/hyperlink" Target="https://www.instagram.com/turtle.down.under/" TargetMode="External"/><Relationship Id="rId20" Type="http://schemas.openxmlformats.org/officeDocument/2006/relationships/hyperlink" Target="mailto:sales@turtledownunder.com.au" TargetMode="External"/><Relationship Id="rId29" Type="http://schemas.openxmlformats.org/officeDocument/2006/relationships/hyperlink" Target="https://www.facebook.com/TurtleAustralia" TargetMode="External"/><Relationship Id="rId1" Type="http://schemas.openxmlformats.org/officeDocument/2006/relationships/hyperlink" Target="https://card.tap-savvy.com/I-Fly-Now_Kunal-Ramchandani/1013" TargetMode="External"/><Relationship Id="rId6" Type="http://schemas.openxmlformats.org/officeDocument/2006/relationships/hyperlink" Target="https://www.turtledownunder.com.au/" TargetMode="External"/><Relationship Id="rId11" Type="http://schemas.openxmlformats.org/officeDocument/2006/relationships/hyperlink" Target="https://card.tap-savvy.com/Turtledownunder_Chander-Chhabriya/1016" TargetMode="External"/><Relationship Id="rId24" Type="http://schemas.openxmlformats.org/officeDocument/2006/relationships/hyperlink" Target="https://www.linkedin.com/company/turtle-down-under-gtx/" TargetMode="External"/><Relationship Id="rId32" Type="http://schemas.openxmlformats.org/officeDocument/2006/relationships/hyperlink" Target="https://www.youtube.com/@turtledownunder" TargetMode="External"/><Relationship Id="rId37" Type="http://schemas.openxmlformats.org/officeDocument/2006/relationships/hyperlink" Target="mailto:kunalr@turtledownunder.com.au" TargetMode="External"/><Relationship Id="rId5" Type="http://schemas.openxmlformats.org/officeDocument/2006/relationships/hyperlink" Target="mailto:abhisheks@turtledownunder.com.au" TargetMode="External"/><Relationship Id="rId15" Type="http://schemas.openxmlformats.org/officeDocument/2006/relationships/hyperlink" Target="https://www.facebook.com/TurtleAustralia" TargetMode="External"/><Relationship Id="rId23" Type="http://schemas.openxmlformats.org/officeDocument/2006/relationships/hyperlink" Target="https://www.instagram.com/turtle.down.under/" TargetMode="External"/><Relationship Id="rId28" Type="http://schemas.openxmlformats.org/officeDocument/2006/relationships/hyperlink" Target="https://turtledownunder.com.au/" TargetMode="External"/><Relationship Id="rId36" Type="http://schemas.openxmlformats.org/officeDocument/2006/relationships/hyperlink" Target="mailto:sales@turtledownunder.com.au" TargetMode="External"/><Relationship Id="rId10" Type="http://schemas.openxmlformats.org/officeDocument/2006/relationships/hyperlink" Target="https://www.youtube.com/@turtledownunder" TargetMode="External"/><Relationship Id="rId19" Type="http://schemas.openxmlformats.org/officeDocument/2006/relationships/hyperlink" Target="https://card.tap-savvy.com/TurtleDownUnder/1017" TargetMode="External"/><Relationship Id="rId31" Type="http://schemas.openxmlformats.org/officeDocument/2006/relationships/hyperlink" Target="https://www.linkedin.com/company/turtle-down-under-gtx/" TargetMode="External"/><Relationship Id="rId4" Type="http://schemas.openxmlformats.org/officeDocument/2006/relationships/hyperlink" Target="https://card.tap-savvy.com/Turtledownunder_Abhishek-Sonthalia/1014" TargetMode="External"/><Relationship Id="rId9" Type="http://schemas.openxmlformats.org/officeDocument/2006/relationships/hyperlink" Target="https://www.linkedin.com/company/turtle-down-under-gtx/" TargetMode="External"/><Relationship Id="rId14" Type="http://schemas.openxmlformats.org/officeDocument/2006/relationships/hyperlink" Target="https://maps.app.goo.gl/hk31D6auQZpHMuN69" TargetMode="External"/><Relationship Id="rId22" Type="http://schemas.openxmlformats.org/officeDocument/2006/relationships/hyperlink" Target="https://www.facebook.com/TurtleAustralia" TargetMode="External"/><Relationship Id="rId27" Type="http://schemas.openxmlformats.org/officeDocument/2006/relationships/hyperlink" Target="mailto:kunalr@turtledownunder.com.au" TargetMode="External"/><Relationship Id="rId30" Type="http://schemas.openxmlformats.org/officeDocument/2006/relationships/hyperlink" Target="https://www.instagram.com/turtle.down.under/" TargetMode="External"/><Relationship Id="rId35" Type="http://schemas.openxmlformats.org/officeDocument/2006/relationships/hyperlink" Target="mailto:siddhesh@turtledownunder.com.au"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www.instagram.com/grasi.in/" TargetMode="External"/><Relationship Id="rId299" Type="http://schemas.openxmlformats.org/officeDocument/2006/relationships/hyperlink" Target="mailto:info@autozville.com" TargetMode="External"/><Relationship Id="rId21" Type="http://schemas.openxmlformats.org/officeDocument/2006/relationships/hyperlink" Target="https://www.instagram.com/grasi.in/" TargetMode="External"/><Relationship Id="rId63" Type="http://schemas.openxmlformats.org/officeDocument/2006/relationships/hyperlink" Target="https://www.instagram.com/grasi.in/" TargetMode="External"/><Relationship Id="rId159" Type="http://schemas.openxmlformats.org/officeDocument/2006/relationships/hyperlink" Target="https://www.instagram.com/grasi.in/" TargetMode="External"/><Relationship Id="rId324" Type="http://schemas.openxmlformats.org/officeDocument/2006/relationships/hyperlink" Target="https://www.grasi.in/" TargetMode="External"/><Relationship Id="rId366" Type="http://schemas.openxmlformats.org/officeDocument/2006/relationships/hyperlink" Target="https://www.grasi.in/" TargetMode="External"/><Relationship Id="rId170" Type="http://schemas.openxmlformats.org/officeDocument/2006/relationships/hyperlink" Target="https://www.grasi.in/" TargetMode="External"/><Relationship Id="rId226" Type="http://schemas.openxmlformats.org/officeDocument/2006/relationships/hyperlink" Target="https://www.facebook.com/LLumarFilms" TargetMode="External"/><Relationship Id="rId433" Type="http://schemas.openxmlformats.org/officeDocument/2006/relationships/hyperlink" Target="https://www.instagram.com/grasi.in/" TargetMode="External"/><Relationship Id="rId268" Type="http://schemas.openxmlformats.org/officeDocument/2006/relationships/hyperlink" Target="https://www.grasi.in/" TargetMode="External"/><Relationship Id="rId32" Type="http://schemas.openxmlformats.org/officeDocument/2006/relationships/hyperlink" Target="https://www.grasi.in/" TargetMode="External"/><Relationship Id="rId74" Type="http://schemas.openxmlformats.org/officeDocument/2006/relationships/hyperlink" Target="https://www.grasi.in/" TargetMode="External"/><Relationship Id="rId128" Type="http://schemas.openxmlformats.org/officeDocument/2006/relationships/hyperlink" Target="https://www.grasi.in/" TargetMode="External"/><Relationship Id="rId335" Type="http://schemas.openxmlformats.org/officeDocument/2006/relationships/hyperlink" Target="https://card.tap-savvy.com/LLumar_Poona-Motors_Anup-Chauhan/1006" TargetMode="External"/><Relationship Id="rId377" Type="http://schemas.openxmlformats.org/officeDocument/2006/relationships/hyperlink" Target="https://card.tap-savvy.com/LLumar_Auto-Clinic_Vaibhav-Solanki/1048" TargetMode="External"/><Relationship Id="rId5" Type="http://schemas.openxmlformats.org/officeDocument/2006/relationships/hyperlink" Target="https://www.linkedin.com/company/gras-%E2%80%93i-intelligent-surface-solutions/" TargetMode="External"/><Relationship Id="rId181" Type="http://schemas.openxmlformats.org/officeDocument/2006/relationships/hyperlink" Target="https://card.tap-savvy.com/LLumar-India-McLaren-Track-Day-2024_Samsher-Singh/981" TargetMode="External"/><Relationship Id="rId237" Type="http://schemas.openxmlformats.org/officeDocument/2006/relationships/hyperlink" Target="https://www.instagram.com/grasi.in/" TargetMode="External"/><Relationship Id="rId402" Type="http://schemas.openxmlformats.org/officeDocument/2006/relationships/hyperlink" Target="https://www.grasi.in/" TargetMode="External"/><Relationship Id="rId279" Type="http://schemas.openxmlformats.org/officeDocument/2006/relationships/hyperlink" Target="https://www.youtube.com/@llumarindia" TargetMode="External"/><Relationship Id="rId43" Type="http://schemas.openxmlformats.org/officeDocument/2006/relationships/hyperlink" Target="https://card.tap-savvy.com/GRAS-I_PRITESH-PRAJAPATI/851" TargetMode="External"/><Relationship Id="rId139" Type="http://schemas.openxmlformats.org/officeDocument/2006/relationships/hyperlink" Target="https://card.tap-savvy.com/LLumar-India_McLaren-Track-Day-2024_Vishan-Shah/974" TargetMode="External"/><Relationship Id="rId290" Type="http://schemas.openxmlformats.org/officeDocument/2006/relationships/hyperlink" Target="https://www.linkedin.com/company/gras-%E2%80%93i-intelligent-surface-solutions/" TargetMode="External"/><Relationship Id="rId304" Type="http://schemas.openxmlformats.org/officeDocument/2006/relationships/hyperlink" Target="https://www.youtube.com/@llumarindia" TargetMode="External"/><Relationship Id="rId346" Type="http://schemas.openxmlformats.org/officeDocument/2006/relationships/hyperlink" Target="https://www.youtube.com/@llumarindia" TargetMode="External"/><Relationship Id="rId388" Type="http://schemas.openxmlformats.org/officeDocument/2006/relationships/hyperlink" Target="https://www.youtube.com/@llumarindia" TargetMode="External"/><Relationship Id="rId85" Type="http://schemas.openxmlformats.org/officeDocument/2006/relationships/hyperlink" Target="https://card.tap-savvy.com/GRAS-I-ASHUTOSH-CHAPTEKAR/858" TargetMode="External"/><Relationship Id="rId150" Type="http://schemas.openxmlformats.org/officeDocument/2006/relationships/hyperlink" Target="https://www.youtube.com/@llumarindia" TargetMode="External"/><Relationship Id="rId192" Type="http://schemas.openxmlformats.org/officeDocument/2006/relationships/hyperlink" Target="https://www.youtube.com/@llumarindia" TargetMode="External"/><Relationship Id="rId206" Type="http://schemas.openxmlformats.org/officeDocument/2006/relationships/hyperlink" Target="https://www.grasi.in/" TargetMode="External"/><Relationship Id="rId413" Type="http://schemas.openxmlformats.org/officeDocument/2006/relationships/hyperlink" Target="https://card.tap-savvy.com/LLumar_DetailingDada_Subhojeet-Chaterjee/1167" TargetMode="External"/><Relationship Id="rId248" Type="http://schemas.openxmlformats.org/officeDocument/2006/relationships/hyperlink" Target="https://www.grasi.in/" TargetMode="External"/><Relationship Id="rId12" Type="http://schemas.openxmlformats.org/officeDocument/2006/relationships/hyperlink" Target="https://www.youtube.com/@llumarindia" TargetMode="External"/><Relationship Id="rId33" Type="http://schemas.openxmlformats.org/officeDocument/2006/relationships/hyperlink" Target="https://www.instagram.com/grasi.in/" TargetMode="External"/><Relationship Id="rId108" Type="http://schemas.openxmlformats.org/officeDocument/2006/relationships/hyperlink" Target="https://www.youtube.com/@llumarindia" TargetMode="External"/><Relationship Id="rId129" Type="http://schemas.openxmlformats.org/officeDocument/2006/relationships/hyperlink" Target="https://www.instagram.com/grasi.in/" TargetMode="External"/><Relationship Id="rId280" Type="http://schemas.openxmlformats.org/officeDocument/2006/relationships/hyperlink" Target="https://card.tap-savvy.com/LLumar_Xtremegraphix_Chirayu-Bendre/999" TargetMode="External"/><Relationship Id="rId315" Type="http://schemas.openxmlformats.org/officeDocument/2006/relationships/hyperlink" Target="https://www.linkedin.com/company/gras-%E2%80%93i-intelligent-surface-solutions/" TargetMode="External"/><Relationship Id="rId336" Type="http://schemas.openxmlformats.org/officeDocument/2006/relationships/hyperlink" Target="https://www.grasi.in/" TargetMode="External"/><Relationship Id="rId357" Type="http://schemas.openxmlformats.org/officeDocument/2006/relationships/hyperlink" Target="https://www.linkedin.com/company/gras-%E2%80%93i-intelligent-surface-solutions/" TargetMode="External"/><Relationship Id="rId54" Type="http://schemas.openxmlformats.org/officeDocument/2006/relationships/hyperlink" Target="https://www.youtube.com/@llumarindia" TargetMode="External"/><Relationship Id="rId75" Type="http://schemas.openxmlformats.org/officeDocument/2006/relationships/hyperlink" Target="https://www.instagram.com/grasi.in/" TargetMode="External"/><Relationship Id="rId96" Type="http://schemas.openxmlformats.org/officeDocument/2006/relationships/hyperlink" Target="https://www.youtube.com/@llumarindia" TargetMode="External"/><Relationship Id="rId140" Type="http://schemas.openxmlformats.org/officeDocument/2006/relationships/hyperlink" Target="https://www.grasi.in/" TargetMode="External"/><Relationship Id="rId161" Type="http://schemas.openxmlformats.org/officeDocument/2006/relationships/hyperlink" Target="https://www.linkedin.com/company/gras-%E2%80%93i-intelligent-surface-solutions/" TargetMode="External"/><Relationship Id="rId182" Type="http://schemas.openxmlformats.org/officeDocument/2006/relationships/hyperlink" Target="https://www.grasi.in/" TargetMode="External"/><Relationship Id="rId217" Type="http://schemas.openxmlformats.org/officeDocument/2006/relationships/hyperlink" Target="https://card.tap-savvy.com/Rikam-Enterprises_Piyush-Dhawan/969" TargetMode="External"/><Relationship Id="rId378" Type="http://schemas.openxmlformats.org/officeDocument/2006/relationships/hyperlink" Target="https://www.grasi.in/" TargetMode="External"/><Relationship Id="rId399" Type="http://schemas.openxmlformats.org/officeDocument/2006/relationships/hyperlink" Target="https://www.linkedin.com/company/gras-%E2%80%93i-intelligent-surface-solutions/" TargetMode="External"/><Relationship Id="rId403" Type="http://schemas.openxmlformats.org/officeDocument/2006/relationships/hyperlink" Target="https://www.instagram.com/grasi.in/" TargetMode="External"/><Relationship Id="rId6" Type="http://schemas.openxmlformats.org/officeDocument/2006/relationships/hyperlink" Target="https://www.youtube.com/@llumarindia" TargetMode="External"/><Relationship Id="rId238" Type="http://schemas.openxmlformats.org/officeDocument/2006/relationships/hyperlink" Target="https://www.facebook.com/LLumarFilms" TargetMode="External"/><Relationship Id="rId259" Type="http://schemas.openxmlformats.org/officeDocument/2006/relationships/hyperlink" Target="https://card.tap-savvy.com/LLumar_Studio-J-Vijaywada_Aseem-Juneja/996" TargetMode="External"/><Relationship Id="rId424" Type="http://schemas.openxmlformats.org/officeDocument/2006/relationships/hyperlink" Target="https://www.youtube.com/@llumarindia" TargetMode="External"/><Relationship Id="rId23" Type="http://schemas.openxmlformats.org/officeDocument/2006/relationships/hyperlink" Target="https://www.linkedin.com/company/gras-%E2%80%93i-intelligent-surface-solutions/" TargetMode="External"/><Relationship Id="rId119" Type="http://schemas.openxmlformats.org/officeDocument/2006/relationships/hyperlink" Target="https://www.linkedin.com/company/gras-%E2%80%93i-intelligent-surface-solutions/" TargetMode="External"/><Relationship Id="rId270" Type="http://schemas.openxmlformats.org/officeDocument/2006/relationships/hyperlink" Target="https://www.facebook.com/LLumarFilms" TargetMode="External"/><Relationship Id="rId291" Type="http://schemas.openxmlformats.org/officeDocument/2006/relationships/hyperlink" Target="https://www.youtube.com/@llumarindia" TargetMode="External"/><Relationship Id="rId305" Type="http://schemas.openxmlformats.org/officeDocument/2006/relationships/hyperlink" Target="https://card.tap-savvy.com/LLumar_Wiper-Auto_Ankush-Gourshettiwar/1003" TargetMode="External"/><Relationship Id="rId326" Type="http://schemas.openxmlformats.org/officeDocument/2006/relationships/hyperlink" Target="https://www.facebook.com/LLumarFilms" TargetMode="External"/><Relationship Id="rId347" Type="http://schemas.openxmlformats.org/officeDocument/2006/relationships/hyperlink" Target="https://card.tap-savvy.com/LLumar_Always-Dry-Lucknow_Aditya-Jaiswal/1043" TargetMode="External"/><Relationship Id="rId44" Type="http://schemas.openxmlformats.org/officeDocument/2006/relationships/hyperlink" Target="https://www.grasi.in/" TargetMode="External"/><Relationship Id="rId65" Type="http://schemas.openxmlformats.org/officeDocument/2006/relationships/hyperlink" Target="https://www.linkedin.com/company/gras-%E2%80%93i-intelligent-surface-solutions/" TargetMode="External"/><Relationship Id="rId86" Type="http://schemas.openxmlformats.org/officeDocument/2006/relationships/hyperlink" Target="https://www.grasi.in/" TargetMode="External"/><Relationship Id="rId130" Type="http://schemas.openxmlformats.org/officeDocument/2006/relationships/hyperlink" Target="https://www.facebook.com/LLumarFilms" TargetMode="External"/><Relationship Id="rId151" Type="http://schemas.openxmlformats.org/officeDocument/2006/relationships/hyperlink" Target="https://card.tap-savvy.com/LLumar-India_McLaren-Track-Day-2024_Mohit-Chuganee/976" TargetMode="External"/><Relationship Id="rId368" Type="http://schemas.openxmlformats.org/officeDocument/2006/relationships/hyperlink" Target="https://www.facebook.com/LLumarFilms" TargetMode="External"/><Relationship Id="rId389" Type="http://schemas.openxmlformats.org/officeDocument/2006/relationships/hyperlink" Target="https://card.tap-savvy.com/LLumar_Poona-Motors_Vinit-Chauhan/1056" TargetMode="External"/><Relationship Id="rId172" Type="http://schemas.openxmlformats.org/officeDocument/2006/relationships/hyperlink" Target="https://www.facebook.com/LLumarFilms" TargetMode="External"/><Relationship Id="rId193" Type="http://schemas.openxmlformats.org/officeDocument/2006/relationships/hyperlink" Target="https://card.tap-savvy.com/LLumar-India-McLaren-Track-Day-2024_Faiz-Rezwan/983" TargetMode="External"/><Relationship Id="rId207" Type="http://schemas.openxmlformats.org/officeDocument/2006/relationships/hyperlink" Target="https://www.instagram.com/grasi.in/" TargetMode="External"/><Relationship Id="rId228" Type="http://schemas.openxmlformats.org/officeDocument/2006/relationships/hyperlink" Target="https://www.youtube.com/@llumarindia" TargetMode="External"/><Relationship Id="rId249" Type="http://schemas.openxmlformats.org/officeDocument/2006/relationships/hyperlink" Target="https://www.instagram.com/grasi.in/" TargetMode="External"/><Relationship Id="rId414" Type="http://schemas.openxmlformats.org/officeDocument/2006/relationships/hyperlink" Target="https://www.grasi.in/" TargetMode="External"/><Relationship Id="rId435" Type="http://schemas.openxmlformats.org/officeDocument/2006/relationships/hyperlink" Target="https://www.linkedin.com/company/gras-%E2%80%93i-intelligent-surface-solutions/" TargetMode="External"/><Relationship Id="rId13" Type="http://schemas.openxmlformats.org/officeDocument/2006/relationships/hyperlink" Target="https://card.tap-savvy.com/GRAS-I_AKHILESH-MATHUR/846" TargetMode="External"/><Relationship Id="rId109" Type="http://schemas.openxmlformats.org/officeDocument/2006/relationships/hyperlink" Target="https://card.tap-savvy.com/GRAS-I_K.V.S.-PRASAD/862" TargetMode="External"/><Relationship Id="rId260" Type="http://schemas.openxmlformats.org/officeDocument/2006/relationships/hyperlink" Target="mailto:Aseem.juneja86@gmail.com" TargetMode="External"/><Relationship Id="rId281" Type="http://schemas.openxmlformats.org/officeDocument/2006/relationships/hyperlink" Target="https://www.grasi.in/" TargetMode="External"/><Relationship Id="rId316" Type="http://schemas.openxmlformats.org/officeDocument/2006/relationships/hyperlink" Target="https://www.youtube.com/@llumarindia" TargetMode="External"/><Relationship Id="rId337" Type="http://schemas.openxmlformats.org/officeDocument/2006/relationships/hyperlink" Target="https://www.instagram.com/grasi.in/" TargetMode="External"/><Relationship Id="rId34" Type="http://schemas.openxmlformats.org/officeDocument/2006/relationships/hyperlink" Target="https://www.facebook.com/LLumarFilms" TargetMode="External"/><Relationship Id="rId55" Type="http://schemas.openxmlformats.org/officeDocument/2006/relationships/hyperlink" Target="https://card.tap-savvy.com/GRAS-I_SIDDHARTH-ZAVERI/853" TargetMode="External"/><Relationship Id="rId76" Type="http://schemas.openxmlformats.org/officeDocument/2006/relationships/hyperlink" Target="https://www.facebook.com/LLumarFilms" TargetMode="External"/><Relationship Id="rId97" Type="http://schemas.openxmlformats.org/officeDocument/2006/relationships/hyperlink" Target="https://card.tap-savvy.com/GRAS-I_RAM-GUJJAR/860" TargetMode="External"/><Relationship Id="rId120" Type="http://schemas.openxmlformats.org/officeDocument/2006/relationships/hyperlink" Target="https://www.youtube.com/@llumarindia" TargetMode="External"/><Relationship Id="rId141" Type="http://schemas.openxmlformats.org/officeDocument/2006/relationships/hyperlink" Target="https://www.instagram.com/grasi.in/" TargetMode="External"/><Relationship Id="rId358" Type="http://schemas.openxmlformats.org/officeDocument/2006/relationships/hyperlink" Target="https://www.youtube.com/@llumarindia" TargetMode="External"/><Relationship Id="rId379" Type="http://schemas.openxmlformats.org/officeDocument/2006/relationships/hyperlink" Target="https://www.instagram.com/grasi.in/" TargetMode="External"/><Relationship Id="rId7" Type="http://schemas.openxmlformats.org/officeDocument/2006/relationships/hyperlink" Target="https://card.tap-savvy.com/GRAS-I_BINITA-ZAVERI/827" TargetMode="External"/><Relationship Id="rId162" Type="http://schemas.openxmlformats.org/officeDocument/2006/relationships/hyperlink" Target="https://www.youtube.com/@llumarindia" TargetMode="External"/><Relationship Id="rId183" Type="http://schemas.openxmlformats.org/officeDocument/2006/relationships/hyperlink" Target="https://www.instagram.com/grasi.in/" TargetMode="External"/><Relationship Id="rId218" Type="http://schemas.openxmlformats.org/officeDocument/2006/relationships/hyperlink" Target="https://www.grasi.in/" TargetMode="External"/><Relationship Id="rId239" Type="http://schemas.openxmlformats.org/officeDocument/2006/relationships/hyperlink" Target="https://www.linkedin.com/company/gras-%E2%80%93i-intelligent-surface-solutions/" TargetMode="External"/><Relationship Id="rId390" Type="http://schemas.openxmlformats.org/officeDocument/2006/relationships/hyperlink" Target="https://www.grasi.in/" TargetMode="External"/><Relationship Id="rId404" Type="http://schemas.openxmlformats.org/officeDocument/2006/relationships/hyperlink" Target="https://www.facebook.com/LLumarFilms" TargetMode="External"/><Relationship Id="rId425" Type="http://schemas.openxmlformats.org/officeDocument/2006/relationships/hyperlink" Target="https://card.tap-savvy.com/LLumar_Bajoria-Car-Care_Suyash-Bajoria/1218" TargetMode="External"/><Relationship Id="rId250" Type="http://schemas.openxmlformats.org/officeDocument/2006/relationships/hyperlink" Target="https://www.facebook.com/LLumarFilms" TargetMode="External"/><Relationship Id="rId271" Type="http://schemas.openxmlformats.org/officeDocument/2006/relationships/hyperlink" Target="https://www.linkedin.com/company/gras-%E2%80%93i-intelligent-surface-solutions/" TargetMode="External"/><Relationship Id="rId292" Type="http://schemas.openxmlformats.org/officeDocument/2006/relationships/hyperlink" Target="https://card.tap-savvy.com/LLumar_Motor-Artz_Sufiyan/1001" TargetMode="External"/><Relationship Id="rId306" Type="http://schemas.openxmlformats.org/officeDocument/2006/relationships/hyperlink" Target="https://www.grasi.in/" TargetMode="External"/><Relationship Id="rId24" Type="http://schemas.openxmlformats.org/officeDocument/2006/relationships/hyperlink" Target="https://www.youtube.com/@llumarindia" TargetMode="External"/><Relationship Id="rId45" Type="http://schemas.openxmlformats.org/officeDocument/2006/relationships/hyperlink" Target="https://www.instagram.com/grasi.in/" TargetMode="External"/><Relationship Id="rId66" Type="http://schemas.openxmlformats.org/officeDocument/2006/relationships/hyperlink" Target="https://www.youtube.com/@llumarindia" TargetMode="External"/><Relationship Id="rId87" Type="http://schemas.openxmlformats.org/officeDocument/2006/relationships/hyperlink" Target="https://www.instagram.com/grasi.in/" TargetMode="External"/><Relationship Id="rId110" Type="http://schemas.openxmlformats.org/officeDocument/2006/relationships/hyperlink" Target="https://www.grasi.in/" TargetMode="External"/><Relationship Id="rId131" Type="http://schemas.openxmlformats.org/officeDocument/2006/relationships/hyperlink" Target="https://www.linkedin.com/company/gras-%E2%80%93i-intelligent-surface-solutions/" TargetMode="External"/><Relationship Id="rId327" Type="http://schemas.openxmlformats.org/officeDocument/2006/relationships/hyperlink" Target="https://www.linkedin.com/company/gras-%E2%80%93i-intelligent-surface-solutions/" TargetMode="External"/><Relationship Id="rId348" Type="http://schemas.openxmlformats.org/officeDocument/2006/relationships/hyperlink" Target="https://www.grasi.in/" TargetMode="External"/><Relationship Id="rId369" Type="http://schemas.openxmlformats.org/officeDocument/2006/relationships/hyperlink" Target="https://www.linkedin.com/company/gras-%E2%80%93i-intelligent-surface-solutions/" TargetMode="External"/><Relationship Id="rId152" Type="http://schemas.openxmlformats.org/officeDocument/2006/relationships/hyperlink" Target="https://www.grasi.in/" TargetMode="External"/><Relationship Id="rId173" Type="http://schemas.openxmlformats.org/officeDocument/2006/relationships/hyperlink" Target="https://www.linkedin.com/company/gras-%E2%80%93i-intelligent-surface-solutions/" TargetMode="External"/><Relationship Id="rId194" Type="http://schemas.openxmlformats.org/officeDocument/2006/relationships/hyperlink" Target="https://www.grasi.in/" TargetMode="External"/><Relationship Id="rId208" Type="http://schemas.openxmlformats.org/officeDocument/2006/relationships/hyperlink" Target="https://www.facebook.com/LLumarFilms" TargetMode="External"/><Relationship Id="rId229" Type="http://schemas.openxmlformats.org/officeDocument/2006/relationships/hyperlink" Target="https://card.tap-savvy.com/LLumar-Detailing-Bull_Ved-Prakash/991" TargetMode="External"/><Relationship Id="rId380" Type="http://schemas.openxmlformats.org/officeDocument/2006/relationships/hyperlink" Target="https://www.facebook.com/LLumarFilms" TargetMode="External"/><Relationship Id="rId415" Type="http://schemas.openxmlformats.org/officeDocument/2006/relationships/hyperlink" Target="https://www.instagram.com/grasi.in/" TargetMode="External"/><Relationship Id="rId436" Type="http://schemas.openxmlformats.org/officeDocument/2006/relationships/hyperlink" Target="https://www.youtube.com/@llumarindia" TargetMode="External"/><Relationship Id="rId240" Type="http://schemas.openxmlformats.org/officeDocument/2006/relationships/hyperlink" Target="https://www.youtube.com/@llumarindia" TargetMode="External"/><Relationship Id="rId261" Type="http://schemas.openxmlformats.org/officeDocument/2006/relationships/hyperlink" Target="https://www.grasi.in/" TargetMode="External"/><Relationship Id="rId14" Type="http://schemas.openxmlformats.org/officeDocument/2006/relationships/hyperlink" Target="https://www.grasi.in/" TargetMode="External"/><Relationship Id="rId35" Type="http://schemas.openxmlformats.org/officeDocument/2006/relationships/hyperlink" Target="https://www.linkedin.com/company/gras-%E2%80%93i-intelligent-surface-solutions/" TargetMode="External"/><Relationship Id="rId56" Type="http://schemas.openxmlformats.org/officeDocument/2006/relationships/hyperlink" Target="https://www.grasi.in/" TargetMode="External"/><Relationship Id="rId77" Type="http://schemas.openxmlformats.org/officeDocument/2006/relationships/hyperlink" Target="https://www.linkedin.com/company/gras-%E2%80%93i-intelligent-surface-solutions/" TargetMode="External"/><Relationship Id="rId100" Type="http://schemas.openxmlformats.org/officeDocument/2006/relationships/hyperlink" Target="https://www.facebook.com/LLumarFilms" TargetMode="External"/><Relationship Id="rId282" Type="http://schemas.openxmlformats.org/officeDocument/2006/relationships/hyperlink" Target="https://www.instagram.com/grasi.in/" TargetMode="External"/><Relationship Id="rId317" Type="http://schemas.openxmlformats.org/officeDocument/2006/relationships/hyperlink" Target="https://card.tap-savvy.com/LLumar_Detailing-Expert_Prashant-Thakor/1004" TargetMode="External"/><Relationship Id="rId338" Type="http://schemas.openxmlformats.org/officeDocument/2006/relationships/hyperlink" Target="https://www.facebook.com/LLumarFilms" TargetMode="External"/><Relationship Id="rId359" Type="http://schemas.openxmlformats.org/officeDocument/2006/relationships/hyperlink" Target="https://card.tap-savvy.com/LLumar_Detailing-Bull_Khailendra-Singh/1045" TargetMode="External"/><Relationship Id="rId8" Type="http://schemas.openxmlformats.org/officeDocument/2006/relationships/hyperlink" Target="https://www.grasi.in/" TargetMode="External"/><Relationship Id="rId98" Type="http://schemas.openxmlformats.org/officeDocument/2006/relationships/hyperlink" Target="https://www.grasi.in/" TargetMode="External"/><Relationship Id="rId121" Type="http://schemas.openxmlformats.org/officeDocument/2006/relationships/hyperlink" Target="https://card.tap-savvy.com/GRAS-I_DHIRENDRA-KULKARNI/864" TargetMode="External"/><Relationship Id="rId142" Type="http://schemas.openxmlformats.org/officeDocument/2006/relationships/hyperlink" Target="https://www.facebook.com/LLumarFilms" TargetMode="External"/><Relationship Id="rId163" Type="http://schemas.openxmlformats.org/officeDocument/2006/relationships/hyperlink" Target="https://card.tap-savvy.com/LLumar-India-McLaren-Track-Day-2024_Abhishek-Agarwal/978" TargetMode="External"/><Relationship Id="rId184" Type="http://schemas.openxmlformats.org/officeDocument/2006/relationships/hyperlink" Target="https://www.facebook.com/LLumarFilms" TargetMode="External"/><Relationship Id="rId219" Type="http://schemas.openxmlformats.org/officeDocument/2006/relationships/hyperlink" Target="https://www.instagram.com/grasi.in/" TargetMode="External"/><Relationship Id="rId370" Type="http://schemas.openxmlformats.org/officeDocument/2006/relationships/hyperlink" Target="https://www.youtube.com/@llumarindia" TargetMode="External"/><Relationship Id="rId391" Type="http://schemas.openxmlformats.org/officeDocument/2006/relationships/hyperlink" Target="https://www.instagram.com/grasi.in/" TargetMode="External"/><Relationship Id="rId405" Type="http://schemas.openxmlformats.org/officeDocument/2006/relationships/hyperlink" Target="https://www.linkedin.com/company/gras-%E2%80%93i-intelligent-surface-solutions/" TargetMode="External"/><Relationship Id="rId426" Type="http://schemas.openxmlformats.org/officeDocument/2006/relationships/hyperlink" Target="https://www.grasi.in/" TargetMode="External"/><Relationship Id="rId230" Type="http://schemas.openxmlformats.org/officeDocument/2006/relationships/hyperlink" Target="https://www.grasi.in/" TargetMode="External"/><Relationship Id="rId251" Type="http://schemas.openxmlformats.org/officeDocument/2006/relationships/hyperlink" Target="https://www.linkedin.com/company/gras-%E2%80%93i-intelligent-surface-solutions/" TargetMode="External"/><Relationship Id="rId25" Type="http://schemas.openxmlformats.org/officeDocument/2006/relationships/hyperlink" Target="https://card.tap-savvy.com/GRAS-I_BHAVESH-OZA/848" TargetMode="External"/><Relationship Id="rId46" Type="http://schemas.openxmlformats.org/officeDocument/2006/relationships/hyperlink" Target="https://www.facebook.com/LLumarFilms" TargetMode="External"/><Relationship Id="rId67" Type="http://schemas.openxmlformats.org/officeDocument/2006/relationships/hyperlink" Target="https://card.tap-savvy.com/GRAS-I_ASHOK-SINGH/855" TargetMode="External"/><Relationship Id="rId272" Type="http://schemas.openxmlformats.org/officeDocument/2006/relationships/hyperlink" Target="https://www.youtube.com/@llumarindia" TargetMode="External"/><Relationship Id="rId293" Type="http://schemas.openxmlformats.org/officeDocument/2006/relationships/hyperlink" Target="https://www.grasi.in/" TargetMode="External"/><Relationship Id="rId307" Type="http://schemas.openxmlformats.org/officeDocument/2006/relationships/hyperlink" Target="https://www.instagram.com/grasi.in/" TargetMode="External"/><Relationship Id="rId328" Type="http://schemas.openxmlformats.org/officeDocument/2006/relationships/hyperlink" Target="https://www.youtube.com/@llumarindia" TargetMode="External"/><Relationship Id="rId349" Type="http://schemas.openxmlformats.org/officeDocument/2006/relationships/hyperlink" Target="https://www.instagram.com/grasi.in/" TargetMode="External"/><Relationship Id="rId88" Type="http://schemas.openxmlformats.org/officeDocument/2006/relationships/hyperlink" Target="https://www.facebook.com/LLumarFilms" TargetMode="External"/><Relationship Id="rId111" Type="http://schemas.openxmlformats.org/officeDocument/2006/relationships/hyperlink" Target="https://www.instagram.com/grasi.in/" TargetMode="External"/><Relationship Id="rId132" Type="http://schemas.openxmlformats.org/officeDocument/2006/relationships/hyperlink" Target="https://www.youtube.com/@llumarindia" TargetMode="External"/><Relationship Id="rId153" Type="http://schemas.openxmlformats.org/officeDocument/2006/relationships/hyperlink" Target="https://www.instagram.com/grasi.in/" TargetMode="External"/><Relationship Id="rId174" Type="http://schemas.openxmlformats.org/officeDocument/2006/relationships/hyperlink" Target="https://www.youtube.com/@llumarindia" TargetMode="External"/><Relationship Id="rId195" Type="http://schemas.openxmlformats.org/officeDocument/2006/relationships/hyperlink" Target="https://www.instagram.com/grasi.in/" TargetMode="External"/><Relationship Id="rId209" Type="http://schemas.openxmlformats.org/officeDocument/2006/relationships/hyperlink" Target="https://www.linkedin.com/company/gras-%E2%80%93i-intelligent-surface-solutions/" TargetMode="External"/><Relationship Id="rId360" Type="http://schemas.openxmlformats.org/officeDocument/2006/relationships/hyperlink" Target="https://www.grasi.in/" TargetMode="External"/><Relationship Id="rId381" Type="http://schemas.openxmlformats.org/officeDocument/2006/relationships/hyperlink" Target="https://www.linkedin.com/company/gras-%E2%80%93i-intelligent-surface-solutions/" TargetMode="External"/><Relationship Id="rId416" Type="http://schemas.openxmlformats.org/officeDocument/2006/relationships/hyperlink" Target="https://www.facebook.com/LLumarFilms" TargetMode="External"/><Relationship Id="rId220" Type="http://schemas.openxmlformats.org/officeDocument/2006/relationships/hyperlink" Target="https://www.facebook.com/LLumarFilms" TargetMode="External"/><Relationship Id="rId241" Type="http://schemas.openxmlformats.org/officeDocument/2006/relationships/hyperlink" Target="https://card.tap-savvy.com/LLumar_SD-Jaipur_Ravi-Dewani/993" TargetMode="External"/><Relationship Id="rId437" Type="http://schemas.openxmlformats.org/officeDocument/2006/relationships/hyperlink" Target="https://card.tap-savvy.com/LLumar_Mquik_Mehul-Desai/1220" TargetMode="External"/><Relationship Id="rId15" Type="http://schemas.openxmlformats.org/officeDocument/2006/relationships/hyperlink" Target="https://www.instagram.com/grasi.in/" TargetMode="External"/><Relationship Id="rId36" Type="http://schemas.openxmlformats.org/officeDocument/2006/relationships/hyperlink" Target="https://www.youtube.com/@llumarindia" TargetMode="External"/><Relationship Id="rId57" Type="http://schemas.openxmlformats.org/officeDocument/2006/relationships/hyperlink" Target="https://www.instagram.com/grasi.in/" TargetMode="External"/><Relationship Id="rId262" Type="http://schemas.openxmlformats.org/officeDocument/2006/relationships/hyperlink" Target="https://www.instagram.com/grasi.in/" TargetMode="External"/><Relationship Id="rId283" Type="http://schemas.openxmlformats.org/officeDocument/2006/relationships/hyperlink" Target="https://www.facebook.com/LLumarFilms" TargetMode="External"/><Relationship Id="rId318" Type="http://schemas.openxmlformats.org/officeDocument/2006/relationships/hyperlink" Target="https://www.grasi.in/" TargetMode="External"/><Relationship Id="rId339" Type="http://schemas.openxmlformats.org/officeDocument/2006/relationships/hyperlink" Target="https://www.linkedin.com/company/gras-%E2%80%93i-intelligent-surface-solutions/" TargetMode="External"/><Relationship Id="rId78" Type="http://schemas.openxmlformats.org/officeDocument/2006/relationships/hyperlink" Target="https://www.youtube.com/@llumarindia" TargetMode="External"/><Relationship Id="rId99" Type="http://schemas.openxmlformats.org/officeDocument/2006/relationships/hyperlink" Target="https://www.instagram.com/grasi.in/" TargetMode="External"/><Relationship Id="rId101" Type="http://schemas.openxmlformats.org/officeDocument/2006/relationships/hyperlink" Target="https://www.linkedin.com/company/gras-%E2%80%93i-intelligent-surface-solutions/" TargetMode="External"/><Relationship Id="rId122" Type="http://schemas.openxmlformats.org/officeDocument/2006/relationships/hyperlink" Target="https://www.grasi.in/" TargetMode="External"/><Relationship Id="rId143" Type="http://schemas.openxmlformats.org/officeDocument/2006/relationships/hyperlink" Target="https://www.linkedin.com/company/gras-%E2%80%93i-intelligent-surface-solutions/" TargetMode="External"/><Relationship Id="rId164" Type="http://schemas.openxmlformats.org/officeDocument/2006/relationships/hyperlink" Target="https://www.grasi.in/" TargetMode="External"/><Relationship Id="rId185" Type="http://schemas.openxmlformats.org/officeDocument/2006/relationships/hyperlink" Target="https://www.linkedin.com/company/gras-%E2%80%93i-intelligent-surface-solutions/" TargetMode="External"/><Relationship Id="rId350" Type="http://schemas.openxmlformats.org/officeDocument/2006/relationships/hyperlink" Target="https://www.facebook.com/LLumarFilms" TargetMode="External"/><Relationship Id="rId371" Type="http://schemas.openxmlformats.org/officeDocument/2006/relationships/hyperlink" Target="https://card.tap-savvy.com/LLumar_Always-Dry-NewDelhi_Vijay/1047" TargetMode="External"/><Relationship Id="rId406" Type="http://schemas.openxmlformats.org/officeDocument/2006/relationships/hyperlink" Target="https://www.youtube.com/@llumarindia" TargetMode="External"/><Relationship Id="rId9" Type="http://schemas.openxmlformats.org/officeDocument/2006/relationships/hyperlink" Target="https://www.instagram.com/grasi.in/" TargetMode="External"/><Relationship Id="rId210" Type="http://schemas.openxmlformats.org/officeDocument/2006/relationships/hyperlink" Target="https://www.youtube.com/@llumarindia" TargetMode="External"/><Relationship Id="rId392" Type="http://schemas.openxmlformats.org/officeDocument/2006/relationships/hyperlink" Target="https://www.facebook.com/LLumarFilms" TargetMode="External"/><Relationship Id="rId427" Type="http://schemas.openxmlformats.org/officeDocument/2006/relationships/hyperlink" Target="https://www.instagram.com/grasi.in/" TargetMode="External"/><Relationship Id="rId26" Type="http://schemas.openxmlformats.org/officeDocument/2006/relationships/hyperlink" Target="https://www.grasi.in/" TargetMode="External"/><Relationship Id="rId231" Type="http://schemas.openxmlformats.org/officeDocument/2006/relationships/hyperlink" Target="https://www.instagram.com/grasi.in/" TargetMode="External"/><Relationship Id="rId252" Type="http://schemas.openxmlformats.org/officeDocument/2006/relationships/hyperlink" Target="https://www.youtube.com/@llumarindia" TargetMode="External"/><Relationship Id="rId273" Type="http://schemas.openxmlformats.org/officeDocument/2006/relationships/hyperlink" Target="https://card.tap-savvy.com/LLumar_Autograde_Ankur/998" TargetMode="External"/><Relationship Id="rId294" Type="http://schemas.openxmlformats.org/officeDocument/2006/relationships/hyperlink" Target="https://www.instagram.com/grasi.in/" TargetMode="External"/><Relationship Id="rId308" Type="http://schemas.openxmlformats.org/officeDocument/2006/relationships/hyperlink" Target="https://www.facebook.com/LLumarFilms" TargetMode="External"/><Relationship Id="rId329" Type="http://schemas.openxmlformats.org/officeDocument/2006/relationships/hyperlink" Target="https://card.tap-savvy.com/LLumar-Prime-Car_Ashu/1005" TargetMode="External"/><Relationship Id="rId47" Type="http://schemas.openxmlformats.org/officeDocument/2006/relationships/hyperlink" Target="https://www.linkedin.com/company/gras-%E2%80%93i-intelligent-surface-solutions/" TargetMode="External"/><Relationship Id="rId68" Type="http://schemas.openxmlformats.org/officeDocument/2006/relationships/hyperlink" Target="https://www.grasi.in/" TargetMode="External"/><Relationship Id="rId89" Type="http://schemas.openxmlformats.org/officeDocument/2006/relationships/hyperlink" Target="https://www.linkedin.com/company/gras-%E2%80%93i-intelligent-surface-solutions/" TargetMode="External"/><Relationship Id="rId112" Type="http://schemas.openxmlformats.org/officeDocument/2006/relationships/hyperlink" Target="https://www.facebook.com/LLumarFilms" TargetMode="External"/><Relationship Id="rId133" Type="http://schemas.openxmlformats.org/officeDocument/2006/relationships/hyperlink" Target="https://card.tap-savvy.com/LLumar-India_McLaren-Track-Day-2024/973" TargetMode="External"/><Relationship Id="rId154" Type="http://schemas.openxmlformats.org/officeDocument/2006/relationships/hyperlink" Target="https://www.facebook.com/LLumarFilms" TargetMode="External"/><Relationship Id="rId175" Type="http://schemas.openxmlformats.org/officeDocument/2006/relationships/hyperlink" Target="https://card.tap-savvy.com/LLumar-India-McLaren-Track-Day-2024_Rahul-Yadav/980" TargetMode="External"/><Relationship Id="rId340" Type="http://schemas.openxmlformats.org/officeDocument/2006/relationships/hyperlink" Target="https://www.youtube.com/@llumarindia" TargetMode="External"/><Relationship Id="rId361" Type="http://schemas.openxmlformats.org/officeDocument/2006/relationships/hyperlink" Target="https://www.instagram.com/grasi.in/" TargetMode="External"/><Relationship Id="rId196" Type="http://schemas.openxmlformats.org/officeDocument/2006/relationships/hyperlink" Target="https://www.facebook.com/LLumarFilms" TargetMode="External"/><Relationship Id="rId200" Type="http://schemas.openxmlformats.org/officeDocument/2006/relationships/hyperlink" Target="https://www.grasi.in/" TargetMode="External"/><Relationship Id="rId382" Type="http://schemas.openxmlformats.org/officeDocument/2006/relationships/hyperlink" Target="https://www.youtube.com/@llumarindia" TargetMode="External"/><Relationship Id="rId417" Type="http://schemas.openxmlformats.org/officeDocument/2006/relationships/hyperlink" Target="https://www.linkedin.com/company/gras-%E2%80%93i-intelligent-surface-solutions/" TargetMode="External"/><Relationship Id="rId438" Type="http://schemas.openxmlformats.org/officeDocument/2006/relationships/hyperlink" Target="https://www.grasi.in/" TargetMode="External"/><Relationship Id="rId16" Type="http://schemas.openxmlformats.org/officeDocument/2006/relationships/hyperlink" Target="https://www.facebook.com/LLumarFilms" TargetMode="External"/><Relationship Id="rId221" Type="http://schemas.openxmlformats.org/officeDocument/2006/relationships/hyperlink" Target="https://www.linkedin.com/company/gras-%E2%80%93i-intelligent-surface-solutions/" TargetMode="External"/><Relationship Id="rId242" Type="http://schemas.openxmlformats.org/officeDocument/2006/relationships/hyperlink" Target="https://www.grasi.in/" TargetMode="External"/><Relationship Id="rId263" Type="http://schemas.openxmlformats.org/officeDocument/2006/relationships/hyperlink" Target="https://www.facebook.com/LLumarFilms" TargetMode="External"/><Relationship Id="rId284" Type="http://schemas.openxmlformats.org/officeDocument/2006/relationships/hyperlink" Target="https://www.linkedin.com/company/gras-%E2%80%93i-intelligent-surface-solutions/" TargetMode="External"/><Relationship Id="rId319" Type="http://schemas.openxmlformats.org/officeDocument/2006/relationships/hyperlink" Target="https://www.instagram.com/grasi.in/" TargetMode="External"/><Relationship Id="rId37" Type="http://schemas.openxmlformats.org/officeDocument/2006/relationships/hyperlink" Target="https://card.tap-savvy.com/GRAS-I_KC-MOHAN/850" TargetMode="External"/><Relationship Id="rId58" Type="http://schemas.openxmlformats.org/officeDocument/2006/relationships/hyperlink" Target="https://www.facebook.com/LLumarFilms" TargetMode="External"/><Relationship Id="rId79" Type="http://schemas.openxmlformats.org/officeDocument/2006/relationships/hyperlink" Target="https://card.tap-savvy.com/GRAS-I_SANDEEP-ARORA/857" TargetMode="External"/><Relationship Id="rId102" Type="http://schemas.openxmlformats.org/officeDocument/2006/relationships/hyperlink" Target="https://www.youtube.com/@llumarindia" TargetMode="External"/><Relationship Id="rId123" Type="http://schemas.openxmlformats.org/officeDocument/2006/relationships/hyperlink" Target="https://www.instagram.com/grasi.in/" TargetMode="External"/><Relationship Id="rId144" Type="http://schemas.openxmlformats.org/officeDocument/2006/relationships/hyperlink" Target="https://www.youtube.com/@llumarindia" TargetMode="External"/><Relationship Id="rId330" Type="http://schemas.openxmlformats.org/officeDocument/2006/relationships/hyperlink" Target="https://www.grasi.in/" TargetMode="External"/><Relationship Id="rId90" Type="http://schemas.openxmlformats.org/officeDocument/2006/relationships/hyperlink" Target="https://www.youtube.com/@llumarindia" TargetMode="External"/><Relationship Id="rId165" Type="http://schemas.openxmlformats.org/officeDocument/2006/relationships/hyperlink" Target="https://www.instagram.com/grasi.in/" TargetMode="External"/><Relationship Id="rId186" Type="http://schemas.openxmlformats.org/officeDocument/2006/relationships/hyperlink" Target="https://www.youtube.com/@llumarindia" TargetMode="External"/><Relationship Id="rId351" Type="http://schemas.openxmlformats.org/officeDocument/2006/relationships/hyperlink" Target="https://www.linkedin.com/company/gras-%E2%80%93i-intelligent-surface-solutions/" TargetMode="External"/><Relationship Id="rId372" Type="http://schemas.openxmlformats.org/officeDocument/2006/relationships/hyperlink" Target="https://www.grasi.in/" TargetMode="External"/><Relationship Id="rId393" Type="http://schemas.openxmlformats.org/officeDocument/2006/relationships/hyperlink" Target="https://www.linkedin.com/company/gras-%E2%80%93i-intelligent-surface-solutions/" TargetMode="External"/><Relationship Id="rId407" Type="http://schemas.openxmlformats.org/officeDocument/2006/relationships/hyperlink" Target="https://card.tap-savvy.com/LLumar_Detailing-Xpert_Masoom-Shah/1129" TargetMode="External"/><Relationship Id="rId428" Type="http://schemas.openxmlformats.org/officeDocument/2006/relationships/hyperlink" Target="https://www.facebook.com/LLumarFilms" TargetMode="External"/><Relationship Id="rId211" Type="http://schemas.openxmlformats.org/officeDocument/2006/relationships/hyperlink" Target="https://card.tap-savvy.com/LLumar_Autologix_Karthik-Bhandari/988" TargetMode="External"/><Relationship Id="rId232" Type="http://schemas.openxmlformats.org/officeDocument/2006/relationships/hyperlink" Target="https://www.facebook.com/LLumarFilms" TargetMode="External"/><Relationship Id="rId253" Type="http://schemas.openxmlformats.org/officeDocument/2006/relationships/hyperlink" Target="https://card.tap-savvy.com/LLumar_Studio-J-Guntur_Abhishek-Juneja/995" TargetMode="External"/><Relationship Id="rId274" Type="http://schemas.openxmlformats.org/officeDocument/2006/relationships/hyperlink" Target="mailto:ankur@autograde.biz" TargetMode="External"/><Relationship Id="rId295" Type="http://schemas.openxmlformats.org/officeDocument/2006/relationships/hyperlink" Target="https://www.facebook.com/LLumarFilms" TargetMode="External"/><Relationship Id="rId309" Type="http://schemas.openxmlformats.org/officeDocument/2006/relationships/hyperlink" Target="https://www.linkedin.com/company/gras-%E2%80%93i-intelligent-surface-solutions/" TargetMode="External"/><Relationship Id="rId27" Type="http://schemas.openxmlformats.org/officeDocument/2006/relationships/hyperlink" Target="https://www.instagram.com/grasi.in/" TargetMode="External"/><Relationship Id="rId48" Type="http://schemas.openxmlformats.org/officeDocument/2006/relationships/hyperlink" Target="https://www.youtube.com/@llumarindia" TargetMode="External"/><Relationship Id="rId69" Type="http://schemas.openxmlformats.org/officeDocument/2006/relationships/hyperlink" Target="https://www.instagram.com/grasi.in/" TargetMode="External"/><Relationship Id="rId113" Type="http://schemas.openxmlformats.org/officeDocument/2006/relationships/hyperlink" Target="https://www.linkedin.com/company/gras-%E2%80%93i-intelligent-surface-solutions/" TargetMode="External"/><Relationship Id="rId134" Type="http://schemas.openxmlformats.org/officeDocument/2006/relationships/hyperlink" Target="https://www.grasi.in/" TargetMode="External"/><Relationship Id="rId320" Type="http://schemas.openxmlformats.org/officeDocument/2006/relationships/hyperlink" Target="https://www.facebook.com/LLumarFilms" TargetMode="External"/><Relationship Id="rId80" Type="http://schemas.openxmlformats.org/officeDocument/2006/relationships/hyperlink" Target="https://www.grasi.in/" TargetMode="External"/><Relationship Id="rId155" Type="http://schemas.openxmlformats.org/officeDocument/2006/relationships/hyperlink" Target="https://www.linkedin.com/company/gras-%E2%80%93i-intelligent-surface-solutions/" TargetMode="External"/><Relationship Id="rId176" Type="http://schemas.openxmlformats.org/officeDocument/2006/relationships/hyperlink" Target="https://www.grasi.in/" TargetMode="External"/><Relationship Id="rId197" Type="http://schemas.openxmlformats.org/officeDocument/2006/relationships/hyperlink" Target="https://www.linkedin.com/company/gras-%E2%80%93i-intelligent-surface-solutions/" TargetMode="External"/><Relationship Id="rId341" Type="http://schemas.openxmlformats.org/officeDocument/2006/relationships/hyperlink" Target="https://card.tap-savvy.com/LLumar_Motor-Artz_Salman/1042" TargetMode="External"/><Relationship Id="rId362" Type="http://schemas.openxmlformats.org/officeDocument/2006/relationships/hyperlink" Target="https://www.facebook.com/LLumarFilms" TargetMode="External"/><Relationship Id="rId383" Type="http://schemas.openxmlformats.org/officeDocument/2006/relationships/hyperlink" Target="https://card.tap-savvy.com/LLumar_Pro-Detail_Harsh-Gandhi/1049" TargetMode="External"/><Relationship Id="rId418" Type="http://schemas.openxmlformats.org/officeDocument/2006/relationships/hyperlink" Target="https://www.youtube.com/@llumarindia" TargetMode="External"/><Relationship Id="rId439" Type="http://schemas.openxmlformats.org/officeDocument/2006/relationships/hyperlink" Target="https://www.instagram.com/grasi.in/" TargetMode="External"/><Relationship Id="rId201" Type="http://schemas.openxmlformats.org/officeDocument/2006/relationships/hyperlink" Target="https://www.instagram.com/grasi.in/" TargetMode="External"/><Relationship Id="rId222" Type="http://schemas.openxmlformats.org/officeDocument/2006/relationships/hyperlink" Target="https://www.youtube.com/@llumarindia" TargetMode="External"/><Relationship Id="rId243" Type="http://schemas.openxmlformats.org/officeDocument/2006/relationships/hyperlink" Target="https://www.instagram.com/grasi.in/" TargetMode="External"/><Relationship Id="rId264" Type="http://schemas.openxmlformats.org/officeDocument/2006/relationships/hyperlink" Target="https://www.linkedin.com/company/gras-%E2%80%93i-intelligent-surface-solutions/" TargetMode="External"/><Relationship Id="rId285" Type="http://schemas.openxmlformats.org/officeDocument/2006/relationships/hyperlink" Target="https://www.youtube.com/@llumarindia" TargetMode="External"/><Relationship Id="rId17" Type="http://schemas.openxmlformats.org/officeDocument/2006/relationships/hyperlink" Target="https://www.linkedin.com/company/gras-%E2%80%93i-intelligent-surface-solutions/" TargetMode="External"/><Relationship Id="rId38" Type="http://schemas.openxmlformats.org/officeDocument/2006/relationships/hyperlink" Target="https://www.grasi.in/" TargetMode="External"/><Relationship Id="rId59" Type="http://schemas.openxmlformats.org/officeDocument/2006/relationships/hyperlink" Target="https://www.linkedin.com/company/gras-%E2%80%93i-intelligent-surface-solutions/" TargetMode="External"/><Relationship Id="rId103" Type="http://schemas.openxmlformats.org/officeDocument/2006/relationships/hyperlink" Target="https://card.tap-savvy.com/GRAS-I_KAUSTAV-CHAUDHARY/861" TargetMode="External"/><Relationship Id="rId124" Type="http://schemas.openxmlformats.org/officeDocument/2006/relationships/hyperlink" Target="https://www.facebook.com/LLumarFilms" TargetMode="External"/><Relationship Id="rId310" Type="http://schemas.openxmlformats.org/officeDocument/2006/relationships/hyperlink" Target="https://www.youtube.com/@llumarindia" TargetMode="External"/><Relationship Id="rId70" Type="http://schemas.openxmlformats.org/officeDocument/2006/relationships/hyperlink" Target="https://www.facebook.com/LLumarFilms" TargetMode="External"/><Relationship Id="rId91" Type="http://schemas.openxmlformats.org/officeDocument/2006/relationships/hyperlink" Target="https://card.tap-savvy.com/GRAS-I_DEEPAKKUMAR-DAS/859" TargetMode="External"/><Relationship Id="rId145" Type="http://schemas.openxmlformats.org/officeDocument/2006/relationships/hyperlink" Target="https://card.tap-savvy.com/LLumar-India_McLaren-Track-Day-2024_Sandeep-Gandhi/975" TargetMode="External"/><Relationship Id="rId166" Type="http://schemas.openxmlformats.org/officeDocument/2006/relationships/hyperlink" Target="https://www.facebook.com/LLumarFilms" TargetMode="External"/><Relationship Id="rId187" Type="http://schemas.openxmlformats.org/officeDocument/2006/relationships/hyperlink" Target="https://card.tap-savvy.com/LLumar-India-McLaren-Track-Day-2024-Aryan-Dandhania/982" TargetMode="External"/><Relationship Id="rId331" Type="http://schemas.openxmlformats.org/officeDocument/2006/relationships/hyperlink" Target="https://www.instagram.com/grasi.in/" TargetMode="External"/><Relationship Id="rId352" Type="http://schemas.openxmlformats.org/officeDocument/2006/relationships/hyperlink" Target="https://www.youtube.com/@llumarindia" TargetMode="External"/><Relationship Id="rId373" Type="http://schemas.openxmlformats.org/officeDocument/2006/relationships/hyperlink" Target="https://www.instagram.com/grasi.in/" TargetMode="External"/><Relationship Id="rId394" Type="http://schemas.openxmlformats.org/officeDocument/2006/relationships/hyperlink" Target="https://www.youtube.com/@llumarindia" TargetMode="External"/><Relationship Id="rId408" Type="http://schemas.openxmlformats.org/officeDocument/2006/relationships/hyperlink" Target="https://www.grasi.in/" TargetMode="External"/><Relationship Id="rId429" Type="http://schemas.openxmlformats.org/officeDocument/2006/relationships/hyperlink" Target="https://www.linkedin.com/company/gras-%E2%80%93i-intelligent-surface-solutions/" TargetMode="External"/><Relationship Id="rId1" Type="http://schemas.openxmlformats.org/officeDocument/2006/relationships/hyperlink" Target="https://card.tap-savvy.com/GRAS-I_SANJEEV-ZAVERI/826" TargetMode="External"/><Relationship Id="rId212" Type="http://schemas.openxmlformats.org/officeDocument/2006/relationships/hyperlink" Target="https://www.grasi.in/" TargetMode="External"/><Relationship Id="rId233" Type="http://schemas.openxmlformats.org/officeDocument/2006/relationships/hyperlink" Target="https://www.linkedin.com/company/gras-%E2%80%93i-intelligent-surface-solutions/" TargetMode="External"/><Relationship Id="rId254" Type="http://schemas.openxmlformats.org/officeDocument/2006/relationships/hyperlink" Target="https://www.grasi.in/" TargetMode="External"/><Relationship Id="rId440" Type="http://schemas.openxmlformats.org/officeDocument/2006/relationships/hyperlink" Target="https://www.facebook.com/LLumarFilms" TargetMode="External"/><Relationship Id="rId28" Type="http://schemas.openxmlformats.org/officeDocument/2006/relationships/hyperlink" Target="https://www.facebook.com/LLumarFilms" TargetMode="External"/><Relationship Id="rId49" Type="http://schemas.openxmlformats.org/officeDocument/2006/relationships/hyperlink" Target="https://card.tap-savvy.com/GRAS-I_BHARAT-PANDYA/852" TargetMode="External"/><Relationship Id="rId114" Type="http://schemas.openxmlformats.org/officeDocument/2006/relationships/hyperlink" Target="https://www.youtube.com/@llumarindia" TargetMode="External"/><Relationship Id="rId275" Type="http://schemas.openxmlformats.org/officeDocument/2006/relationships/hyperlink" Target="https://www.grasi.in/" TargetMode="External"/><Relationship Id="rId296" Type="http://schemas.openxmlformats.org/officeDocument/2006/relationships/hyperlink" Target="https://www.linkedin.com/company/gras-%E2%80%93i-intelligent-surface-solutions/" TargetMode="External"/><Relationship Id="rId300" Type="http://schemas.openxmlformats.org/officeDocument/2006/relationships/hyperlink" Target="https://www.grasi.in/" TargetMode="External"/><Relationship Id="rId60" Type="http://schemas.openxmlformats.org/officeDocument/2006/relationships/hyperlink" Target="https://www.youtube.com/@llumarindia" TargetMode="External"/><Relationship Id="rId81" Type="http://schemas.openxmlformats.org/officeDocument/2006/relationships/hyperlink" Target="https://www.instagram.com/grasi.in/" TargetMode="External"/><Relationship Id="rId135" Type="http://schemas.openxmlformats.org/officeDocument/2006/relationships/hyperlink" Target="https://www.instagram.com/grasi.in/" TargetMode="External"/><Relationship Id="rId156" Type="http://schemas.openxmlformats.org/officeDocument/2006/relationships/hyperlink" Target="https://www.youtube.com/@llumarindia" TargetMode="External"/><Relationship Id="rId177" Type="http://schemas.openxmlformats.org/officeDocument/2006/relationships/hyperlink" Target="https://www.instagram.com/grasi.in/" TargetMode="External"/><Relationship Id="rId198" Type="http://schemas.openxmlformats.org/officeDocument/2006/relationships/hyperlink" Target="https://www.youtube.com/@llumarindia" TargetMode="External"/><Relationship Id="rId321" Type="http://schemas.openxmlformats.org/officeDocument/2006/relationships/hyperlink" Target="https://www.linkedin.com/company/gras-%E2%80%93i-intelligent-surface-solutions/" TargetMode="External"/><Relationship Id="rId342" Type="http://schemas.openxmlformats.org/officeDocument/2006/relationships/hyperlink" Target="https://www.grasi.in/" TargetMode="External"/><Relationship Id="rId363" Type="http://schemas.openxmlformats.org/officeDocument/2006/relationships/hyperlink" Target="https://www.linkedin.com/company/gras-%E2%80%93i-intelligent-surface-solutions/" TargetMode="External"/><Relationship Id="rId384" Type="http://schemas.openxmlformats.org/officeDocument/2006/relationships/hyperlink" Target="https://www.grasi.in/" TargetMode="External"/><Relationship Id="rId419" Type="http://schemas.openxmlformats.org/officeDocument/2006/relationships/hyperlink" Target="https://card.tap-savvy.com/LLumar_PerronMarketersAndDistributors_Anchit/1194" TargetMode="External"/><Relationship Id="rId202" Type="http://schemas.openxmlformats.org/officeDocument/2006/relationships/hyperlink" Target="https://www.facebook.com/LLumarFilms" TargetMode="External"/><Relationship Id="rId223" Type="http://schemas.openxmlformats.org/officeDocument/2006/relationships/hyperlink" Target="https://card.tap-savvy.com/LLumar_Rainbow_Balwant-Singh/990" TargetMode="External"/><Relationship Id="rId244" Type="http://schemas.openxmlformats.org/officeDocument/2006/relationships/hyperlink" Target="https://www.facebook.com/LLumarFilms" TargetMode="External"/><Relationship Id="rId430" Type="http://schemas.openxmlformats.org/officeDocument/2006/relationships/hyperlink" Target="https://www.youtube.com/@llumarindia" TargetMode="External"/><Relationship Id="rId18" Type="http://schemas.openxmlformats.org/officeDocument/2006/relationships/hyperlink" Target="https://www.youtube.com/@llumarindia" TargetMode="External"/><Relationship Id="rId39" Type="http://schemas.openxmlformats.org/officeDocument/2006/relationships/hyperlink" Target="https://www.instagram.com/grasi.in/" TargetMode="External"/><Relationship Id="rId265" Type="http://schemas.openxmlformats.org/officeDocument/2006/relationships/hyperlink" Target="https://www.youtube.com/@llumarindia" TargetMode="External"/><Relationship Id="rId286" Type="http://schemas.openxmlformats.org/officeDocument/2006/relationships/hyperlink" Target="https://card.tap-savvy.com/LLumar_Prodetail_Sameer-Shah/1000" TargetMode="External"/><Relationship Id="rId50" Type="http://schemas.openxmlformats.org/officeDocument/2006/relationships/hyperlink" Target="https://www.grasi.in/" TargetMode="External"/><Relationship Id="rId104" Type="http://schemas.openxmlformats.org/officeDocument/2006/relationships/hyperlink" Target="https://www.grasi.in/" TargetMode="External"/><Relationship Id="rId125" Type="http://schemas.openxmlformats.org/officeDocument/2006/relationships/hyperlink" Target="https://www.linkedin.com/company/gras-%E2%80%93i-intelligent-surface-solutions/" TargetMode="External"/><Relationship Id="rId146" Type="http://schemas.openxmlformats.org/officeDocument/2006/relationships/hyperlink" Target="https://www.grasi.in/" TargetMode="External"/><Relationship Id="rId167" Type="http://schemas.openxmlformats.org/officeDocument/2006/relationships/hyperlink" Target="https://www.linkedin.com/company/gras-%E2%80%93i-intelligent-surface-solutions/" TargetMode="External"/><Relationship Id="rId188" Type="http://schemas.openxmlformats.org/officeDocument/2006/relationships/hyperlink" Target="https://www.grasi.in/" TargetMode="External"/><Relationship Id="rId311" Type="http://schemas.openxmlformats.org/officeDocument/2006/relationships/hyperlink" Target="https://card.tap-savvy.com/LLumar_Auto-Clinic_Vaibhav-Solanki/1048" TargetMode="External"/><Relationship Id="rId332" Type="http://schemas.openxmlformats.org/officeDocument/2006/relationships/hyperlink" Target="https://www.facebook.com/LLumarFilms" TargetMode="External"/><Relationship Id="rId353" Type="http://schemas.openxmlformats.org/officeDocument/2006/relationships/hyperlink" Target="https://card.tap-savvy.com/LLumar_Autologix_Manish-Gupta/1044" TargetMode="External"/><Relationship Id="rId374" Type="http://schemas.openxmlformats.org/officeDocument/2006/relationships/hyperlink" Target="https://www.facebook.com/LLumarFilms" TargetMode="External"/><Relationship Id="rId395" Type="http://schemas.openxmlformats.org/officeDocument/2006/relationships/hyperlink" Target="https://card.tap-savvy.com/Llumar_Bhawani-Motors_Yamank-Pattidar/1057" TargetMode="External"/><Relationship Id="rId409" Type="http://schemas.openxmlformats.org/officeDocument/2006/relationships/hyperlink" Target="https://www.instagram.com/grasi.in/" TargetMode="External"/><Relationship Id="rId71" Type="http://schemas.openxmlformats.org/officeDocument/2006/relationships/hyperlink" Target="https://www.linkedin.com/company/gras-%E2%80%93i-intelligent-surface-solutions/" TargetMode="External"/><Relationship Id="rId92" Type="http://schemas.openxmlformats.org/officeDocument/2006/relationships/hyperlink" Target="https://www.grasi.in/" TargetMode="External"/><Relationship Id="rId213" Type="http://schemas.openxmlformats.org/officeDocument/2006/relationships/hyperlink" Target="https://www.instagram.com/grasi.in/" TargetMode="External"/><Relationship Id="rId234" Type="http://schemas.openxmlformats.org/officeDocument/2006/relationships/hyperlink" Target="https://www.youtube.com/@llumarindia" TargetMode="External"/><Relationship Id="rId420" Type="http://schemas.openxmlformats.org/officeDocument/2006/relationships/hyperlink" Target="https://www.grasi.in/" TargetMode="External"/><Relationship Id="rId2" Type="http://schemas.openxmlformats.org/officeDocument/2006/relationships/hyperlink" Target="https://www.grasi.in/" TargetMode="External"/><Relationship Id="rId29" Type="http://schemas.openxmlformats.org/officeDocument/2006/relationships/hyperlink" Target="https://www.linkedin.com/company/gras-%E2%80%93i-intelligent-surface-solutions/" TargetMode="External"/><Relationship Id="rId255" Type="http://schemas.openxmlformats.org/officeDocument/2006/relationships/hyperlink" Target="https://www.instagram.com/grasi.in/" TargetMode="External"/><Relationship Id="rId276" Type="http://schemas.openxmlformats.org/officeDocument/2006/relationships/hyperlink" Target="https://www.instagram.com/grasi.in/" TargetMode="External"/><Relationship Id="rId297" Type="http://schemas.openxmlformats.org/officeDocument/2006/relationships/hyperlink" Target="https://www.youtube.com/@llumarindia" TargetMode="External"/><Relationship Id="rId441" Type="http://schemas.openxmlformats.org/officeDocument/2006/relationships/hyperlink" Target="https://www.linkedin.com/company/gras-%E2%80%93i-intelligent-surface-solutions/" TargetMode="External"/><Relationship Id="rId40" Type="http://schemas.openxmlformats.org/officeDocument/2006/relationships/hyperlink" Target="https://www.facebook.com/LLumarFilms" TargetMode="External"/><Relationship Id="rId115" Type="http://schemas.openxmlformats.org/officeDocument/2006/relationships/hyperlink" Target="https://card.tap-savvy.com/GRAS-I_M-SURIYA/863" TargetMode="External"/><Relationship Id="rId136" Type="http://schemas.openxmlformats.org/officeDocument/2006/relationships/hyperlink" Target="https://www.facebook.com/LLumarFilms" TargetMode="External"/><Relationship Id="rId157" Type="http://schemas.openxmlformats.org/officeDocument/2006/relationships/hyperlink" Target="https://card.tap-savvy.com/LLumar-India-McLaren-Track-Day-2024_Bharat-Shomi/977" TargetMode="External"/><Relationship Id="rId178" Type="http://schemas.openxmlformats.org/officeDocument/2006/relationships/hyperlink" Target="https://www.facebook.com/LLumarFilms" TargetMode="External"/><Relationship Id="rId301" Type="http://schemas.openxmlformats.org/officeDocument/2006/relationships/hyperlink" Target="https://www.instagram.com/grasi.in/" TargetMode="External"/><Relationship Id="rId322" Type="http://schemas.openxmlformats.org/officeDocument/2006/relationships/hyperlink" Target="https://www.youtube.com/@llumarindia" TargetMode="External"/><Relationship Id="rId343" Type="http://schemas.openxmlformats.org/officeDocument/2006/relationships/hyperlink" Target="https://www.instagram.com/grasi.in/" TargetMode="External"/><Relationship Id="rId364" Type="http://schemas.openxmlformats.org/officeDocument/2006/relationships/hyperlink" Target="https://www.youtube.com/@llumarindia" TargetMode="External"/><Relationship Id="rId61" Type="http://schemas.openxmlformats.org/officeDocument/2006/relationships/hyperlink" Target="https://card.tap-savvy.com/GRAS-I_SHOBBHIT-ZAVERI/854" TargetMode="External"/><Relationship Id="rId82" Type="http://schemas.openxmlformats.org/officeDocument/2006/relationships/hyperlink" Target="https://www.facebook.com/LLumarFilms" TargetMode="External"/><Relationship Id="rId199" Type="http://schemas.openxmlformats.org/officeDocument/2006/relationships/hyperlink" Target="https://card.tap-savvy.com/LLumar-India-McLaren-Track-Day-2024_Bharat-Reddy/984" TargetMode="External"/><Relationship Id="rId203" Type="http://schemas.openxmlformats.org/officeDocument/2006/relationships/hyperlink" Target="https://www.linkedin.com/company/gras-%E2%80%93i-intelligent-surface-solutions/" TargetMode="External"/><Relationship Id="rId385" Type="http://schemas.openxmlformats.org/officeDocument/2006/relationships/hyperlink" Target="https://www.instagram.com/grasi.in/" TargetMode="External"/><Relationship Id="rId19" Type="http://schemas.openxmlformats.org/officeDocument/2006/relationships/hyperlink" Target="https://card.tap-savvy.com/GRAS_I-AMOL-PARSE/847" TargetMode="External"/><Relationship Id="rId224" Type="http://schemas.openxmlformats.org/officeDocument/2006/relationships/hyperlink" Target="https://www.grasi.in/" TargetMode="External"/><Relationship Id="rId245" Type="http://schemas.openxmlformats.org/officeDocument/2006/relationships/hyperlink" Target="https://www.linkedin.com/company/gras-%E2%80%93i-intelligent-surface-solutions/" TargetMode="External"/><Relationship Id="rId266" Type="http://schemas.openxmlformats.org/officeDocument/2006/relationships/hyperlink" Target="https://card.tap-savvy.com/LLumar_Pacompro_Mithru-Parthipan/997" TargetMode="External"/><Relationship Id="rId287" Type="http://schemas.openxmlformats.org/officeDocument/2006/relationships/hyperlink" Target="https://www.grasi.in/" TargetMode="External"/><Relationship Id="rId410" Type="http://schemas.openxmlformats.org/officeDocument/2006/relationships/hyperlink" Target="https://www.facebook.com/LLumarFilms" TargetMode="External"/><Relationship Id="rId431" Type="http://schemas.openxmlformats.org/officeDocument/2006/relationships/hyperlink" Target="https://card.tap-savvy.com/LLumar_Bajoria-Car-Care_Suresh-Bajoria/1219" TargetMode="External"/><Relationship Id="rId30" Type="http://schemas.openxmlformats.org/officeDocument/2006/relationships/hyperlink" Target="https://www.youtube.com/@llumarindia" TargetMode="External"/><Relationship Id="rId105" Type="http://schemas.openxmlformats.org/officeDocument/2006/relationships/hyperlink" Target="https://www.instagram.com/grasi.in/" TargetMode="External"/><Relationship Id="rId126" Type="http://schemas.openxmlformats.org/officeDocument/2006/relationships/hyperlink" Target="https://www.youtube.com/@llumarindia" TargetMode="External"/><Relationship Id="rId147" Type="http://schemas.openxmlformats.org/officeDocument/2006/relationships/hyperlink" Target="https://www.instagram.com/grasi.in/" TargetMode="External"/><Relationship Id="rId168" Type="http://schemas.openxmlformats.org/officeDocument/2006/relationships/hyperlink" Target="https://www.youtube.com/@llumarindia" TargetMode="External"/><Relationship Id="rId312" Type="http://schemas.openxmlformats.org/officeDocument/2006/relationships/hyperlink" Target="https://www.grasi.in/" TargetMode="External"/><Relationship Id="rId333" Type="http://schemas.openxmlformats.org/officeDocument/2006/relationships/hyperlink" Target="https://www.linkedin.com/company/gras-%E2%80%93i-intelligent-surface-solutions/" TargetMode="External"/><Relationship Id="rId354" Type="http://schemas.openxmlformats.org/officeDocument/2006/relationships/hyperlink" Target="https://www.grasi.in/" TargetMode="External"/><Relationship Id="rId51" Type="http://schemas.openxmlformats.org/officeDocument/2006/relationships/hyperlink" Target="https://www.instagram.com/grasi.in/" TargetMode="External"/><Relationship Id="rId72" Type="http://schemas.openxmlformats.org/officeDocument/2006/relationships/hyperlink" Target="https://www.youtube.com/@llumarindia" TargetMode="External"/><Relationship Id="rId93" Type="http://schemas.openxmlformats.org/officeDocument/2006/relationships/hyperlink" Target="https://www.instagram.com/grasi.in/" TargetMode="External"/><Relationship Id="rId189" Type="http://schemas.openxmlformats.org/officeDocument/2006/relationships/hyperlink" Target="https://www.instagram.com/grasi.in/" TargetMode="External"/><Relationship Id="rId375" Type="http://schemas.openxmlformats.org/officeDocument/2006/relationships/hyperlink" Target="https://www.linkedin.com/company/gras-%E2%80%93i-intelligent-surface-solutions/" TargetMode="External"/><Relationship Id="rId396" Type="http://schemas.openxmlformats.org/officeDocument/2006/relationships/hyperlink" Target="https://www.grasi.in/" TargetMode="External"/><Relationship Id="rId3" Type="http://schemas.openxmlformats.org/officeDocument/2006/relationships/hyperlink" Target="https://www.instagram.com/grasi.in/" TargetMode="External"/><Relationship Id="rId214" Type="http://schemas.openxmlformats.org/officeDocument/2006/relationships/hyperlink" Target="https://www.facebook.com/LLumarFilms" TargetMode="External"/><Relationship Id="rId235" Type="http://schemas.openxmlformats.org/officeDocument/2006/relationships/hyperlink" Target="https://card.tap-savvy.com/LLumar_Deepikadiya_Deepika-Jaiswal/992" TargetMode="External"/><Relationship Id="rId256" Type="http://schemas.openxmlformats.org/officeDocument/2006/relationships/hyperlink" Target="https://www.facebook.com/LLumarFilms" TargetMode="External"/><Relationship Id="rId277" Type="http://schemas.openxmlformats.org/officeDocument/2006/relationships/hyperlink" Target="https://www.facebook.com/LLumarFilms" TargetMode="External"/><Relationship Id="rId298" Type="http://schemas.openxmlformats.org/officeDocument/2006/relationships/hyperlink" Target="https://card.tap-savvy.com/LLumar-Autozville_Ambrose/1002" TargetMode="External"/><Relationship Id="rId400" Type="http://schemas.openxmlformats.org/officeDocument/2006/relationships/hyperlink" Target="https://www.youtube.com/@llumarindia" TargetMode="External"/><Relationship Id="rId421" Type="http://schemas.openxmlformats.org/officeDocument/2006/relationships/hyperlink" Target="https://www.instagram.com/grasi.in/" TargetMode="External"/><Relationship Id="rId442" Type="http://schemas.openxmlformats.org/officeDocument/2006/relationships/hyperlink" Target="https://www.youtube.com/@llumarindia" TargetMode="External"/><Relationship Id="rId116" Type="http://schemas.openxmlformats.org/officeDocument/2006/relationships/hyperlink" Target="https://www.grasi.in/" TargetMode="External"/><Relationship Id="rId137" Type="http://schemas.openxmlformats.org/officeDocument/2006/relationships/hyperlink" Target="https://www.linkedin.com/company/gras-%E2%80%93i-intelligent-surface-solutions/" TargetMode="External"/><Relationship Id="rId158" Type="http://schemas.openxmlformats.org/officeDocument/2006/relationships/hyperlink" Target="https://www.grasi.in/" TargetMode="External"/><Relationship Id="rId302" Type="http://schemas.openxmlformats.org/officeDocument/2006/relationships/hyperlink" Target="https://www.facebook.com/LLumarFilms" TargetMode="External"/><Relationship Id="rId323" Type="http://schemas.openxmlformats.org/officeDocument/2006/relationships/hyperlink" Target="https://card.tap-savvy.com/LLumar_RPR_Ritweek-Ray/1008" TargetMode="External"/><Relationship Id="rId344" Type="http://schemas.openxmlformats.org/officeDocument/2006/relationships/hyperlink" Target="https://www.facebook.com/LLumarFilms" TargetMode="External"/><Relationship Id="rId20" Type="http://schemas.openxmlformats.org/officeDocument/2006/relationships/hyperlink" Target="https://www.grasi.in/" TargetMode="External"/><Relationship Id="rId41" Type="http://schemas.openxmlformats.org/officeDocument/2006/relationships/hyperlink" Target="https://www.linkedin.com/company/gras-%E2%80%93i-intelligent-surface-solutions/" TargetMode="External"/><Relationship Id="rId62" Type="http://schemas.openxmlformats.org/officeDocument/2006/relationships/hyperlink" Target="https://www.grasi.in/" TargetMode="External"/><Relationship Id="rId83" Type="http://schemas.openxmlformats.org/officeDocument/2006/relationships/hyperlink" Target="https://www.linkedin.com/company/gras-%E2%80%93i-intelligent-surface-solutions/" TargetMode="External"/><Relationship Id="rId179" Type="http://schemas.openxmlformats.org/officeDocument/2006/relationships/hyperlink" Target="https://www.linkedin.com/company/gras-%E2%80%93i-intelligent-surface-solutions/" TargetMode="External"/><Relationship Id="rId365" Type="http://schemas.openxmlformats.org/officeDocument/2006/relationships/hyperlink" Target="https://card.tap-savvy.com/LLumar_Tyres-Shoppe_Mohit-Jain/1046" TargetMode="External"/><Relationship Id="rId386" Type="http://schemas.openxmlformats.org/officeDocument/2006/relationships/hyperlink" Target="https://www.facebook.com/LLumarFilms" TargetMode="External"/><Relationship Id="rId190" Type="http://schemas.openxmlformats.org/officeDocument/2006/relationships/hyperlink" Target="https://www.facebook.com/LLumarFilms" TargetMode="External"/><Relationship Id="rId204" Type="http://schemas.openxmlformats.org/officeDocument/2006/relationships/hyperlink" Target="https://www.youtube.com/@llumarindia" TargetMode="External"/><Relationship Id="rId225" Type="http://schemas.openxmlformats.org/officeDocument/2006/relationships/hyperlink" Target="https://www.instagram.com/grasi.in/" TargetMode="External"/><Relationship Id="rId246" Type="http://schemas.openxmlformats.org/officeDocument/2006/relationships/hyperlink" Target="https://www.youtube.com/@llumarindia" TargetMode="External"/><Relationship Id="rId267" Type="http://schemas.openxmlformats.org/officeDocument/2006/relationships/hyperlink" Target="mailto:mithru.cp@gmail.com" TargetMode="External"/><Relationship Id="rId288" Type="http://schemas.openxmlformats.org/officeDocument/2006/relationships/hyperlink" Target="https://www.instagram.com/grasi.in/" TargetMode="External"/><Relationship Id="rId411" Type="http://schemas.openxmlformats.org/officeDocument/2006/relationships/hyperlink" Target="https://www.linkedin.com/company/gras-%E2%80%93i-intelligent-surface-solutions/" TargetMode="External"/><Relationship Id="rId432" Type="http://schemas.openxmlformats.org/officeDocument/2006/relationships/hyperlink" Target="https://www.grasi.in/" TargetMode="External"/><Relationship Id="rId106" Type="http://schemas.openxmlformats.org/officeDocument/2006/relationships/hyperlink" Target="https://www.facebook.com/LLumarFilms" TargetMode="External"/><Relationship Id="rId127" Type="http://schemas.openxmlformats.org/officeDocument/2006/relationships/hyperlink" Target="https://card.tap-savvy.com/GRAS-I_SHIVRAJ-SINGH/865" TargetMode="External"/><Relationship Id="rId313" Type="http://schemas.openxmlformats.org/officeDocument/2006/relationships/hyperlink" Target="https://www.instagram.com/grasi.in/" TargetMode="External"/><Relationship Id="rId10" Type="http://schemas.openxmlformats.org/officeDocument/2006/relationships/hyperlink" Target="https://www.facebook.com/LLumarFilms" TargetMode="External"/><Relationship Id="rId31" Type="http://schemas.openxmlformats.org/officeDocument/2006/relationships/hyperlink" Target="https://card.tap-savvy.com/GRAS-I_DEVANG-RAMI/849" TargetMode="External"/><Relationship Id="rId52" Type="http://schemas.openxmlformats.org/officeDocument/2006/relationships/hyperlink" Target="https://www.facebook.com/LLumarFilms" TargetMode="External"/><Relationship Id="rId73" Type="http://schemas.openxmlformats.org/officeDocument/2006/relationships/hyperlink" Target="https://card.tap-savvy.com/GRAS-I_ASHOK-SINGH/855" TargetMode="External"/><Relationship Id="rId94" Type="http://schemas.openxmlformats.org/officeDocument/2006/relationships/hyperlink" Target="https://www.facebook.com/LLumarFilms" TargetMode="External"/><Relationship Id="rId148" Type="http://schemas.openxmlformats.org/officeDocument/2006/relationships/hyperlink" Target="https://www.facebook.com/LLumarFilms" TargetMode="External"/><Relationship Id="rId169" Type="http://schemas.openxmlformats.org/officeDocument/2006/relationships/hyperlink" Target="https://card.tap-savvy.com/LLumar-India-McLaren-Track-Day-2024_Vikas-Anand/979" TargetMode="External"/><Relationship Id="rId334" Type="http://schemas.openxmlformats.org/officeDocument/2006/relationships/hyperlink" Target="https://www.youtube.com/@llumarindia" TargetMode="External"/><Relationship Id="rId355" Type="http://schemas.openxmlformats.org/officeDocument/2006/relationships/hyperlink" Target="https://www.instagram.com/grasi.in/" TargetMode="External"/><Relationship Id="rId376" Type="http://schemas.openxmlformats.org/officeDocument/2006/relationships/hyperlink" Target="https://www.youtube.com/@llumarindia" TargetMode="External"/><Relationship Id="rId397" Type="http://schemas.openxmlformats.org/officeDocument/2006/relationships/hyperlink" Target="https://www.instagram.com/grasi.in/" TargetMode="External"/><Relationship Id="rId4" Type="http://schemas.openxmlformats.org/officeDocument/2006/relationships/hyperlink" Target="https://www.facebook.com/LLumarFilms" TargetMode="External"/><Relationship Id="rId180" Type="http://schemas.openxmlformats.org/officeDocument/2006/relationships/hyperlink" Target="https://www.youtube.com/@llumarindia" TargetMode="External"/><Relationship Id="rId215" Type="http://schemas.openxmlformats.org/officeDocument/2006/relationships/hyperlink" Target="https://www.linkedin.com/company/gras-%E2%80%93i-intelligent-surface-solutions/" TargetMode="External"/><Relationship Id="rId236" Type="http://schemas.openxmlformats.org/officeDocument/2006/relationships/hyperlink" Target="https://www.grasi.in/" TargetMode="External"/><Relationship Id="rId257" Type="http://schemas.openxmlformats.org/officeDocument/2006/relationships/hyperlink" Target="https://www.linkedin.com/company/gras-%E2%80%93i-intelligent-surface-solutions/" TargetMode="External"/><Relationship Id="rId278" Type="http://schemas.openxmlformats.org/officeDocument/2006/relationships/hyperlink" Target="https://www.linkedin.com/company/gras-%E2%80%93i-intelligent-surface-solutions/" TargetMode="External"/><Relationship Id="rId401" Type="http://schemas.openxmlformats.org/officeDocument/2006/relationships/hyperlink" Target="https://card.tap-savvy.com/LLumar_The-Detailing-Studio_Jay-Devecha/1127" TargetMode="External"/><Relationship Id="rId422" Type="http://schemas.openxmlformats.org/officeDocument/2006/relationships/hyperlink" Target="https://www.facebook.com/LLumarFilms" TargetMode="External"/><Relationship Id="rId303" Type="http://schemas.openxmlformats.org/officeDocument/2006/relationships/hyperlink" Target="https://www.linkedin.com/company/gras-%E2%80%93i-intelligent-surface-solutions/" TargetMode="External"/><Relationship Id="rId42" Type="http://schemas.openxmlformats.org/officeDocument/2006/relationships/hyperlink" Target="https://www.youtube.com/@llumarindia" TargetMode="External"/><Relationship Id="rId84" Type="http://schemas.openxmlformats.org/officeDocument/2006/relationships/hyperlink" Target="https://www.youtube.com/@llumarindia" TargetMode="External"/><Relationship Id="rId138" Type="http://schemas.openxmlformats.org/officeDocument/2006/relationships/hyperlink" Target="https://www.youtube.com/@llumarindia" TargetMode="External"/><Relationship Id="rId345" Type="http://schemas.openxmlformats.org/officeDocument/2006/relationships/hyperlink" Target="https://www.linkedin.com/company/gras-%E2%80%93i-intelligent-surface-solutions/" TargetMode="External"/><Relationship Id="rId387" Type="http://schemas.openxmlformats.org/officeDocument/2006/relationships/hyperlink" Target="https://www.linkedin.com/company/gras-%E2%80%93i-intelligent-surface-solutions/" TargetMode="External"/><Relationship Id="rId191" Type="http://schemas.openxmlformats.org/officeDocument/2006/relationships/hyperlink" Target="https://www.linkedin.com/company/gras-%E2%80%93i-intelligent-surface-solutions/" TargetMode="External"/><Relationship Id="rId205" Type="http://schemas.openxmlformats.org/officeDocument/2006/relationships/hyperlink" Target="https://card.tap-savvy.com/LLumar-India-McLaren-Track-Day-2024-Vinay-Mohan/985" TargetMode="External"/><Relationship Id="rId247" Type="http://schemas.openxmlformats.org/officeDocument/2006/relationships/hyperlink" Target="https://card.tap-savvy.com/LLumar_Pitstop_Manmeet-Ahluwalia/994" TargetMode="External"/><Relationship Id="rId412" Type="http://schemas.openxmlformats.org/officeDocument/2006/relationships/hyperlink" Target="https://www.youtube.com/@llumarindia" TargetMode="External"/><Relationship Id="rId107" Type="http://schemas.openxmlformats.org/officeDocument/2006/relationships/hyperlink" Target="https://www.linkedin.com/company/gras-%E2%80%93i-intelligent-surface-solutions/" TargetMode="External"/><Relationship Id="rId289" Type="http://schemas.openxmlformats.org/officeDocument/2006/relationships/hyperlink" Target="https://www.facebook.com/LLumarFilms" TargetMode="External"/><Relationship Id="rId11" Type="http://schemas.openxmlformats.org/officeDocument/2006/relationships/hyperlink" Target="https://www.linkedin.com/company/gras-%E2%80%93i-intelligent-surface-solutions/" TargetMode="External"/><Relationship Id="rId53" Type="http://schemas.openxmlformats.org/officeDocument/2006/relationships/hyperlink" Target="https://www.linkedin.com/company/gras-%E2%80%93i-intelligent-surface-solutions/" TargetMode="External"/><Relationship Id="rId149" Type="http://schemas.openxmlformats.org/officeDocument/2006/relationships/hyperlink" Target="https://www.linkedin.com/company/gras-%E2%80%93i-intelligent-surface-solutions/" TargetMode="External"/><Relationship Id="rId314" Type="http://schemas.openxmlformats.org/officeDocument/2006/relationships/hyperlink" Target="https://www.facebook.com/LLumarFilms" TargetMode="External"/><Relationship Id="rId356" Type="http://schemas.openxmlformats.org/officeDocument/2006/relationships/hyperlink" Target="https://www.facebook.com/LLumarFilms" TargetMode="External"/><Relationship Id="rId398" Type="http://schemas.openxmlformats.org/officeDocument/2006/relationships/hyperlink" Target="https://www.facebook.com/LLumarFilms" TargetMode="External"/><Relationship Id="rId95" Type="http://schemas.openxmlformats.org/officeDocument/2006/relationships/hyperlink" Target="https://www.linkedin.com/company/gras-%E2%80%93i-intelligent-surface-solutions/" TargetMode="External"/><Relationship Id="rId160" Type="http://schemas.openxmlformats.org/officeDocument/2006/relationships/hyperlink" Target="https://www.facebook.com/LLumarFilms" TargetMode="External"/><Relationship Id="rId216" Type="http://schemas.openxmlformats.org/officeDocument/2006/relationships/hyperlink" Target="https://www.youtube.com/@llumarindia" TargetMode="External"/><Relationship Id="rId423" Type="http://schemas.openxmlformats.org/officeDocument/2006/relationships/hyperlink" Target="https://www.linkedin.com/company/gras-%E2%80%93i-intelligent-surface-solutions/" TargetMode="External"/><Relationship Id="rId258" Type="http://schemas.openxmlformats.org/officeDocument/2006/relationships/hyperlink" Target="https://www.youtube.com/@llumarindia" TargetMode="External"/><Relationship Id="rId22" Type="http://schemas.openxmlformats.org/officeDocument/2006/relationships/hyperlink" Target="https://www.facebook.com/LLumarFilms" TargetMode="External"/><Relationship Id="rId64" Type="http://schemas.openxmlformats.org/officeDocument/2006/relationships/hyperlink" Target="https://www.facebook.com/LLumarFilms" TargetMode="External"/><Relationship Id="rId118" Type="http://schemas.openxmlformats.org/officeDocument/2006/relationships/hyperlink" Target="https://www.facebook.com/LLumarFilms" TargetMode="External"/><Relationship Id="rId325" Type="http://schemas.openxmlformats.org/officeDocument/2006/relationships/hyperlink" Target="https://www.instagram.com/grasi.in/" TargetMode="External"/><Relationship Id="rId367" Type="http://schemas.openxmlformats.org/officeDocument/2006/relationships/hyperlink" Target="https://www.instagram.com/grasi.in/" TargetMode="External"/><Relationship Id="rId171" Type="http://schemas.openxmlformats.org/officeDocument/2006/relationships/hyperlink" Target="https://www.instagram.com/grasi.in/" TargetMode="External"/><Relationship Id="rId227" Type="http://schemas.openxmlformats.org/officeDocument/2006/relationships/hyperlink" Target="https://www.linkedin.com/company/gras-%E2%80%93i-intelligent-surface-solutions/" TargetMode="External"/><Relationship Id="rId269" Type="http://schemas.openxmlformats.org/officeDocument/2006/relationships/hyperlink" Target="https://www.instagram.com/grasi.in/" TargetMode="External"/><Relationship Id="rId434" Type="http://schemas.openxmlformats.org/officeDocument/2006/relationships/hyperlink" Target="https://www.facebook.com/LLumarFilm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card.tap-savvy.com/AshishLifeScience_Chirag-Shukla/1025" TargetMode="External"/><Relationship Id="rId18" Type="http://schemas.openxmlformats.org/officeDocument/2006/relationships/hyperlink" Target="https://www.ashishlifescience.com/" TargetMode="External"/><Relationship Id="rId26" Type="http://schemas.openxmlformats.org/officeDocument/2006/relationships/hyperlink" Target="mailto:nirdesh.kumar@ashishlifescience.com" TargetMode="External"/><Relationship Id="rId39" Type="http://schemas.openxmlformats.org/officeDocument/2006/relationships/hyperlink" Target="https://www.ashishlifescience.com/" TargetMode="External"/><Relationship Id="rId3" Type="http://schemas.openxmlformats.org/officeDocument/2006/relationships/hyperlink" Target="https://www.ashishlifescience.com/" TargetMode="External"/><Relationship Id="rId21" Type="http://schemas.openxmlformats.org/officeDocument/2006/relationships/hyperlink" Target="https://www.ashishlifescience.com/" TargetMode="External"/><Relationship Id="rId34" Type="http://schemas.openxmlformats.org/officeDocument/2006/relationships/hyperlink" Target="https://card.tap-savvy.com/AshishLifeScience_Raujesh-Agarrwal/1033" TargetMode="External"/><Relationship Id="rId42" Type="http://schemas.openxmlformats.org/officeDocument/2006/relationships/hyperlink" Target="https://www.ashishlifescience.com/" TargetMode="External"/><Relationship Id="rId47" Type="http://schemas.openxmlformats.org/officeDocument/2006/relationships/hyperlink" Target="mailto:amardeep.athawaley@ashishlifescience.com" TargetMode="External"/><Relationship Id="rId50" Type="http://schemas.openxmlformats.org/officeDocument/2006/relationships/hyperlink" Target="mailto:abdulla.fatiya@ashishlifescience.com" TargetMode="External"/><Relationship Id="rId7" Type="http://schemas.openxmlformats.org/officeDocument/2006/relationships/hyperlink" Target="https://card.tap-savvy.com/AshishLifeScience_Jayesh-Khatri/1023" TargetMode="External"/><Relationship Id="rId12" Type="http://schemas.openxmlformats.org/officeDocument/2006/relationships/hyperlink" Target="https://www.ashishlifescience.com/" TargetMode="External"/><Relationship Id="rId17" Type="http://schemas.openxmlformats.org/officeDocument/2006/relationships/hyperlink" Target="mailto:vivek.kedia@ashishlifescience.com" TargetMode="External"/><Relationship Id="rId25" Type="http://schemas.openxmlformats.org/officeDocument/2006/relationships/hyperlink" Target="https://card.tap-savvy.com/AshishLifeScience_Nirdesh-Kumar/1030" TargetMode="External"/><Relationship Id="rId33" Type="http://schemas.openxmlformats.org/officeDocument/2006/relationships/hyperlink" Target="https://www.ashishlifescience.com/" TargetMode="External"/><Relationship Id="rId38" Type="http://schemas.openxmlformats.org/officeDocument/2006/relationships/hyperlink" Target="mailto:nilesh.chavan@ashishlifescience.com" TargetMode="External"/><Relationship Id="rId46" Type="http://schemas.openxmlformats.org/officeDocument/2006/relationships/hyperlink" Target="https://card.tap-savvy.com/AshishLifeScience_Amardeep-Athawaley/1022" TargetMode="External"/><Relationship Id="rId2" Type="http://schemas.openxmlformats.org/officeDocument/2006/relationships/hyperlink" Target="mailto:saurabh.agarwal@ashishlifescience.com" TargetMode="External"/><Relationship Id="rId16" Type="http://schemas.openxmlformats.org/officeDocument/2006/relationships/hyperlink" Target="https://card.tap-savvy.com/AshishLifeScience_Vivek-Kedia/1026" TargetMode="External"/><Relationship Id="rId20" Type="http://schemas.openxmlformats.org/officeDocument/2006/relationships/hyperlink" Target="mailto:jaiprakash.todi@ashishlifecience.com" TargetMode="External"/><Relationship Id="rId29" Type="http://schemas.openxmlformats.org/officeDocument/2006/relationships/hyperlink" Target="mailto:pooja.karnik@ashishlifescience.com" TargetMode="External"/><Relationship Id="rId41" Type="http://schemas.openxmlformats.org/officeDocument/2006/relationships/hyperlink" Target="mailto:sutanu.nayak@ashishlifescience.com" TargetMode="External"/><Relationship Id="rId54" Type="http://schemas.openxmlformats.org/officeDocument/2006/relationships/hyperlink" Target="https://www.ashishlifescience.com/" TargetMode="External"/><Relationship Id="rId1" Type="http://schemas.openxmlformats.org/officeDocument/2006/relationships/hyperlink" Target="https://card.tap-savvy.com/AshishLifeScience_DrSaurabh-Agarwal/1029" TargetMode="External"/><Relationship Id="rId6" Type="http://schemas.openxmlformats.org/officeDocument/2006/relationships/hyperlink" Target="https://www.ashishlifescience.com/" TargetMode="External"/><Relationship Id="rId11" Type="http://schemas.openxmlformats.org/officeDocument/2006/relationships/hyperlink" Target="mailto:ashish.shah@ashishlifescience.com" TargetMode="External"/><Relationship Id="rId24" Type="http://schemas.openxmlformats.org/officeDocument/2006/relationships/hyperlink" Target="https://www.ashishlifescience.com/" TargetMode="External"/><Relationship Id="rId32" Type="http://schemas.openxmlformats.org/officeDocument/2006/relationships/hyperlink" Target="mailto:kirankumar.madpathi@ashishlifescience.com" TargetMode="External"/><Relationship Id="rId37" Type="http://schemas.openxmlformats.org/officeDocument/2006/relationships/hyperlink" Target="https://card.tap-savvy.com/AshishLifeScience_Nilesh-Chavan/1034" TargetMode="External"/><Relationship Id="rId40" Type="http://schemas.openxmlformats.org/officeDocument/2006/relationships/hyperlink" Target="https://card.tap-savvy.com/AshishLifeScience_Sutanu-Nayak/1035" TargetMode="External"/><Relationship Id="rId45" Type="http://schemas.openxmlformats.org/officeDocument/2006/relationships/hyperlink" Target="https://www.ashishlifescience.com/" TargetMode="External"/><Relationship Id="rId53" Type="http://schemas.openxmlformats.org/officeDocument/2006/relationships/hyperlink" Target="mailto:konstantin.popov@ashishlifescience.com" TargetMode="External"/><Relationship Id="rId5" Type="http://schemas.openxmlformats.org/officeDocument/2006/relationships/hyperlink" Target="mailto:amardeep.athawaley@ashishlifescience.com" TargetMode="External"/><Relationship Id="rId15" Type="http://schemas.openxmlformats.org/officeDocument/2006/relationships/hyperlink" Target="https://www.ashishlifescience.com/" TargetMode="External"/><Relationship Id="rId23" Type="http://schemas.openxmlformats.org/officeDocument/2006/relationships/hyperlink" Target="mailto:saurabh.agarwal@ashishlifescience.com" TargetMode="External"/><Relationship Id="rId28" Type="http://schemas.openxmlformats.org/officeDocument/2006/relationships/hyperlink" Target="https://card.tap-savvy.com/AshishLifeScience_Pooja-Karnik/1031" TargetMode="External"/><Relationship Id="rId36" Type="http://schemas.openxmlformats.org/officeDocument/2006/relationships/hyperlink" Target="https://www.ashishlifescience.com/" TargetMode="External"/><Relationship Id="rId49" Type="http://schemas.openxmlformats.org/officeDocument/2006/relationships/hyperlink" Target="https://card.tap-savvy.com/AshishLifeScience_Mr.Abdulla-Fatiya/1096" TargetMode="External"/><Relationship Id="rId10" Type="http://schemas.openxmlformats.org/officeDocument/2006/relationships/hyperlink" Target="https://card.tap-savvy.com/AshishLifeScience_Ashish-Shah/1024" TargetMode="External"/><Relationship Id="rId19" Type="http://schemas.openxmlformats.org/officeDocument/2006/relationships/hyperlink" Target="https://card.tap-savvy.com/AshishLifeScience_Jaiprakash-Todi/1028" TargetMode="External"/><Relationship Id="rId31" Type="http://schemas.openxmlformats.org/officeDocument/2006/relationships/hyperlink" Target="https://card.tap-savvy.com/AshishLifeScience_DrKirankumar-Madpathi/1032" TargetMode="External"/><Relationship Id="rId44" Type="http://schemas.openxmlformats.org/officeDocument/2006/relationships/hyperlink" Target="about:blank" TargetMode="External"/><Relationship Id="rId52" Type="http://schemas.openxmlformats.org/officeDocument/2006/relationships/hyperlink" Target="https://card.tap-savvy.com/AshishLifeScience_DrKonstantin-Popov/1039" TargetMode="External"/><Relationship Id="rId4" Type="http://schemas.openxmlformats.org/officeDocument/2006/relationships/hyperlink" Target="https://card.tap-savvy.com/AshishLifeScience_Amardeep-Athawaley/1022" TargetMode="External"/><Relationship Id="rId9" Type="http://schemas.openxmlformats.org/officeDocument/2006/relationships/hyperlink" Target="https://www.ashishlifescience.com/" TargetMode="External"/><Relationship Id="rId14" Type="http://schemas.openxmlformats.org/officeDocument/2006/relationships/hyperlink" Target="mailto:chirag.shukla@ashishlifescience.com" TargetMode="External"/><Relationship Id="rId22" Type="http://schemas.openxmlformats.org/officeDocument/2006/relationships/hyperlink" Target="https://card.tap-savvy.com/AshishLifeScience_DrSaurabh-Agarwal/1029" TargetMode="External"/><Relationship Id="rId27" Type="http://schemas.openxmlformats.org/officeDocument/2006/relationships/hyperlink" Target="https://www.ashishlifescience.com/" TargetMode="External"/><Relationship Id="rId30" Type="http://schemas.openxmlformats.org/officeDocument/2006/relationships/hyperlink" Target="https://www.ashishlifescience.com/" TargetMode="External"/><Relationship Id="rId35" Type="http://schemas.openxmlformats.org/officeDocument/2006/relationships/hyperlink" Target="mailto:raujesh@ashishlifescience.com" TargetMode="External"/><Relationship Id="rId43" Type="http://schemas.openxmlformats.org/officeDocument/2006/relationships/hyperlink" Target="https://card.tap-savvy.com/AshishLifeScience_Ronitt-Agarrwal/1038" TargetMode="External"/><Relationship Id="rId48" Type="http://schemas.openxmlformats.org/officeDocument/2006/relationships/hyperlink" Target="https://www.ashishlifescience.com/" TargetMode="External"/><Relationship Id="rId8" Type="http://schemas.openxmlformats.org/officeDocument/2006/relationships/hyperlink" Target="mailto:jayesh.khatri@ashishlifescience.com" TargetMode="External"/><Relationship Id="rId51" Type="http://schemas.openxmlformats.org/officeDocument/2006/relationships/hyperlink" Target="https://www.ashishlifescience.com/"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grasi.in/" TargetMode="External"/><Relationship Id="rId671" Type="http://schemas.openxmlformats.org/officeDocument/2006/relationships/hyperlink" Target="https://card.tap-savvy.com/DR.RIDDHI-SHAH_BNI-INFINITE/1304" TargetMode="External"/><Relationship Id="rId769" Type="http://schemas.openxmlformats.org/officeDocument/2006/relationships/hyperlink" Target="https://card.tap-savvy.com/GRAS-I_RAM-GUJJAR/860" TargetMode="External"/><Relationship Id="rId21" Type="http://schemas.openxmlformats.org/officeDocument/2006/relationships/hyperlink" Target="https://3cheersads.com/" TargetMode="External"/><Relationship Id="rId324" Type="http://schemas.openxmlformats.org/officeDocument/2006/relationships/hyperlink" Target="https://kamajewelry.com/" TargetMode="External"/><Relationship Id="rId531" Type="http://schemas.openxmlformats.org/officeDocument/2006/relationships/hyperlink" Target="https://card.tap-savvy.com/PRAKASH-KONAR_BNI-LIGHTHOUSE/1357" TargetMode="External"/><Relationship Id="rId629" Type="http://schemas.openxmlformats.org/officeDocument/2006/relationships/hyperlink" Target="https://card.tap-savvy.com/VICKY-BAFNA_BNI-INFINITE/1283" TargetMode="External"/><Relationship Id="rId170" Type="http://schemas.openxmlformats.org/officeDocument/2006/relationships/hyperlink" Target="https://www.grasi.in/" TargetMode="External"/><Relationship Id="rId836" Type="http://schemas.openxmlformats.org/officeDocument/2006/relationships/hyperlink" Target="https://card.tap-savvy.com/AshishLifeScience_DrSaurabh-Agarwal/1029" TargetMode="External"/><Relationship Id="rId268" Type="http://schemas.openxmlformats.org/officeDocument/2006/relationships/hyperlink" Target="https://www.abjewels.com/" TargetMode="External"/><Relationship Id="rId475" Type="http://schemas.openxmlformats.org/officeDocument/2006/relationships/hyperlink" Target="https://card.tap-savvy.com/Nectar-Treatss_Hemmali-Nadiyana/829" TargetMode="External"/><Relationship Id="rId682" Type="http://schemas.openxmlformats.org/officeDocument/2006/relationships/hyperlink" Target="https://card.tap-savvy.com/BAJAJ-CAPITAL_KALPESH-DAVE/1397" TargetMode="External"/><Relationship Id="rId32" Type="http://schemas.openxmlformats.org/officeDocument/2006/relationships/hyperlink" Target="https://www.rahulsharmaphotography.com/" TargetMode="External"/><Relationship Id="rId128" Type="http://schemas.openxmlformats.org/officeDocument/2006/relationships/hyperlink" Target="https://www.grasi.in/" TargetMode="External"/><Relationship Id="rId335" Type="http://schemas.openxmlformats.org/officeDocument/2006/relationships/hyperlink" Target="https://zaveriandco.com/" TargetMode="External"/><Relationship Id="rId542" Type="http://schemas.openxmlformats.org/officeDocument/2006/relationships/hyperlink" Target="https://card.tap-savvy.com/BNI-TRIUMMPH_KAPIL-VAID/1432" TargetMode="External"/><Relationship Id="rId181" Type="http://schemas.openxmlformats.org/officeDocument/2006/relationships/hyperlink" Target="https://www.grasi.in/" TargetMode="External"/><Relationship Id="rId402" Type="http://schemas.openxmlformats.org/officeDocument/2006/relationships/hyperlink" Target="https://www.kvar.design/" TargetMode="External"/><Relationship Id="rId847" Type="http://schemas.openxmlformats.org/officeDocument/2006/relationships/hyperlink" Target="https://card.tap-savvy.com/LLumar_Detailing-Xpert_Masoom-Shah/1129" TargetMode="External"/><Relationship Id="rId279" Type="http://schemas.openxmlformats.org/officeDocument/2006/relationships/hyperlink" Target="https://www.mpswarnamahal.com/" TargetMode="External"/><Relationship Id="rId486" Type="http://schemas.openxmlformats.org/officeDocument/2006/relationships/hyperlink" Target="https://card.tap-savvy.com/Ramyachaturvedi/871" TargetMode="External"/><Relationship Id="rId693" Type="http://schemas.openxmlformats.org/officeDocument/2006/relationships/hyperlink" Target="https://card.tap-savvy.com/BAJAJ-CAPITAL_PRERAK-DESAI/1408" TargetMode="External"/><Relationship Id="rId707" Type="http://schemas.openxmlformats.org/officeDocument/2006/relationships/hyperlink" Target="https://card.tap-savvy.com/BAJAJ-CAPITAL_VIJAYENDRA-CHOPRA/1422" TargetMode="External"/><Relationship Id="rId43" Type="http://schemas.openxmlformats.org/officeDocument/2006/relationships/hyperlink" Target="https://www.healhelpinglives.com/" TargetMode="External"/><Relationship Id="rId139" Type="http://schemas.openxmlformats.org/officeDocument/2006/relationships/hyperlink" Target="https://www.grasi.in/" TargetMode="External"/><Relationship Id="rId346" Type="http://schemas.openxmlformats.org/officeDocument/2006/relationships/hyperlink" Target="https://www.tbztheoriginal.com/" TargetMode="External"/><Relationship Id="rId553" Type="http://schemas.openxmlformats.org/officeDocument/2006/relationships/hyperlink" Target="https://card.tap-savvy.com/BNI-TRIUMMPH_ARUN-GUPTA/1460" TargetMode="External"/><Relationship Id="rId760" Type="http://schemas.openxmlformats.org/officeDocument/2006/relationships/hyperlink" Target="https://card.tap-savvy.com/GRAS-I_PRITESH-PRAJAPATI/851" TargetMode="External"/><Relationship Id="rId192" Type="http://schemas.openxmlformats.org/officeDocument/2006/relationships/hyperlink" Target="https://lakshyacs.com/" TargetMode="External"/><Relationship Id="rId206" Type="http://schemas.openxmlformats.org/officeDocument/2006/relationships/hyperlink" Target="https://www.pinetreepictures.in/" TargetMode="External"/><Relationship Id="rId413" Type="http://schemas.openxmlformats.org/officeDocument/2006/relationships/hyperlink" Target="https://amzn.to/363ljfM" TargetMode="External"/><Relationship Id="rId497" Type="http://schemas.openxmlformats.org/officeDocument/2006/relationships/hyperlink" Target="https://card.tap-savvy.com/KETAN-JAIN_BNI-LIGHTHOUSE/1332" TargetMode="External"/><Relationship Id="rId620" Type="http://schemas.openxmlformats.org/officeDocument/2006/relationships/hyperlink" Target="https://card.tap-savvy.com/PRASANNA-KHARE_BNI-INFINITE/1274" TargetMode="External"/><Relationship Id="rId718" Type="http://schemas.openxmlformats.org/officeDocument/2006/relationships/hyperlink" Target="https://card.tap-savvy.com/LLumar-India-McLaren-Track-Day-2024_Vikas-Anand/979" TargetMode="External"/><Relationship Id="rId357" Type="http://schemas.openxmlformats.org/officeDocument/2006/relationships/hyperlink" Target="https://www.jawharajewellery.com/" TargetMode="External"/><Relationship Id="rId54" Type="http://schemas.openxmlformats.org/officeDocument/2006/relationships/hyperlink" Target="https://www.chaitalicreation.com/" TargetMode="External"/><Relationship Id="rId217" Type="http://schemas.openxmlformats.org/officeDocument/2006/relationships/hyperlink" Target="http://www.snhydraulics.in/" TargetMode="External"/><Relationship Id="rId564" Type="http://schemas.openxmlformats.org/officeDocument/2006/relationships/hyperlink" Target="https://card.tap-savvy.com/NIKITA-HARDWARE_BHAGWAN-JAIN/1372" TargetMode="External"/><Relationship Id="rId771" Type="http://schemas.openxmlformats.org/officeDocument/2006/relationships/hyperlink" Target="https://card.tap-savvy.com/GRAS-I_K.V.S.-PRASAD/862" TargetMode="External"/><Relationship Id="rId424" Type="http://schemas.openxmlformats.org/officeDocument/2006/relationships/hyperlink" Target="https://card.tap-savvy.com/ATOZ-SERVICES_SANDEEP-AGARWAL/158" TargetMode="External"/><Relationship Id="rId631" Type="http://schemas.openxmlformats.org/officeDocument/2006/relationships/hyperlink" Target="https://card.tap-savvy.com/VISHAL-PANCHAL_BNI-INFINITE/1285" TargetMode="External"/><Relationship Id="rId729" Type="http://schemas.openxmlformats.org/officeDocument/2006/relationships/hyperlink" Target="https://card.tap-savvy.com/LLumar_Deepikadiya_Deepika-Jaiswal/992" TargetMode="External"/><Relationship Id="rId270" Type="http://schemas.openxmlformats.org/officeDocument/2006/relationships/hyperlink" Target="https://www.abjewels.com/" TargetMode="External"/><Relationship Id="rId65" Type="http://schemas.openxmlformats.org/officeDocument/2006/relationships/hyperlink" Target="https://getsetplayevents.com/" TargetMode="External"/><Relationship Id="rId130" Type="http://schemas.openxmlformats.org/officeDocument/2006/relationships/hyperlink" Target="https://www.grasi.in/" TargetMode="External"/><Relationship Id="rId368" Type="http://schemas.openxmlformats.org/officeDocument/2006/relationships/hyperlink" Target="https://www.joyalukkas.in/" TargetMode="External"/><Relationship Id="rId575" Type="http://schemas.openxmlformats.org/officeDocument/2006/relationships/hyperlink" Target="http://card.tap-savvy.com/GrowPro-Technology_Karan-Dabrai/1232" TargetMode="External"/><Relationship Id="rId740" Type="http://schemas.openxmlformats.org/officeDocument/2006/relationships/hyperlink" Target="https://card.tap-savvy.com/LLumar_Wiper-Auto_Ankush-Gourshettiwar/1003" TargetMode="External"/><Relationship Id="rId782" Type="http://schemas.openxmlformats.org/officeDocument/2006/relationships/hyperlink" Target="https://card.tap-savvy.com/VINAYAK-DENTAL-CLINIC_KARAN-GAIKWAD/892" TargetMode="External"/><Relationship Id="rId838" Type="http://schemas.openxmlformats.org/officeDocument/2006/relationships/hyperlink" Target="https://card.tap-savvy.com/AshishLifeScience_DrKirankumar-Madpathi/1032" TargetMode="External"/><Relationship Id="rId172" Type="http://schemas.openxmlformats.org/officeDocument/2006/relationships/hyperlink" Target="https://www.grasi.in/" TargetMode="External"/><Relationship Id="rId228" Type="http://schemas.openxmlformats.org/officeDocument/2006/relationships/hyperlink" Target="https://3cheersads.com/index.php" TargetMode="External"/><Relationship Id="rId435" Type="http://schemas.openxmlformats.org/officeDocument/2006/relationships/hyperlink" Target="https://card.tap-savvy.com/VASUPATI-JEWELLERS_AVNIP-KOTHARI/403" TargetMode="External"/><Relationship Id="rId477" Type="http://schemas.openxmlformats.org/officeDocument/2006/relationships/hyperlink" Target="https://card.tap-savvy.com/LALIT-GJA/831" TargetMode="External"/><Relationship Id="rId600" Type="http://schemas.openxmlformats.org/officeDocument/2006/relationships/hyperlink" Target="https://card.tap-savvy.com/SAMEER-KHETANI_CREATIVE-PLUS-NETTRADE-LLP/1204" TargetMode="External"/><Relationship Id="rId642" Type="http://schemas.openxmlformats.org/officeDocument/2006/relationships/hyperlink" Target="https://card.tap-savvy.com/ALPESH-SHAH_BNI-INFINITE/1296" TargetMode="External"/><Relationship Id="rId684" Type="http://schemas.openxmlformats.org/officeDocument/2006/relationships/hyperlink" Target="https://card.tap-savvy.com/BAJAJ-CAPITAL_KARAN-RAJGARHIA/1399" TargetMode="External"/><Relationship Id="rId281" Type="http://schemas.openxmlformats.org/officeDocument/2006/relationships/hyperlink" Target="https://www.dpjewellers.com/" TargetMode="External"/><Relationship Id="rId337" Type="http://schemas.openxmlformats.org/officeDocument/2006/relationships/hyperlink" Target="https://rankajewellers.in/" TargetMode="External"/><Relationship Id="rId502" Type="http://schemas.openxmlformats.org/officeDocument/2006/relationships/hyperlink" Target="https://card.tap-savvy.com/AYUSH-LAHOTI_BNI-LIGHTHOUSE/1336" TargetMode="External"/><Relationship Id="rId34" Type="http://schemas.openxmlformats.org/officeDocument/2006/relationships/hyperlink" Target="https://www.vchic.in/" TargetMode="External"/><Relationship Id="rId76" Type="http://schemas.openxmlformats.org/officeDocument/2006/relationships/hyperlink" Target="https://www.turtledownunder.com.au/" TargetMode="External"/><Relationship Id="rId141" Type="http://schemas.openxmlformats.org/officeDocument/2006/relationships/hyperlink" Target="https://www.grasi.in/" TargetMode="External"/><Relationship Id="rId379" Type="http://schemas.openxmlformats.org/officeDocument/2006/relationships/hyperlink" Target="https://www.pngjewellers.com/" TargetMode="External"/><Relationship Id="rId544" Type="http://schemas.openxmlformats.org/officeDocument/2006/relationships/hyperlink" Target="https://card.tap-savvy.com/BNI-TRIUMMPH_KRUPALI-MAHOREY/1435" TargetMode="External"/><Relationship Id="rId586" Type="http://schemas.openxmlformats.org/officeDocument/2006/relationships/hyperlink" Target="https://card.tap-savvy.com/Jainco-Consulting-India-Private-Limited_Kejal-punamia/1249" TargetMode="External"/><Relationship Id="rId751" Type="http://schemas.openxmlformats.org/officeDocument/2006/relationships/hyperlink" Target="https://card.tap-savvy.com/LLumar_Auto-Clinic_Vaibhav-Solanki/1048" TargetMode="External"/><Relationship Id="rId793" Type="http://schemas.openxmlformats.org/officeDocument/2006/relationships/hyperlink" Target="https://card.tap-savvy.com/Dinesh-Chaudhary&amp;co_Rishabh-Dinesh-Chaudhary/925" TargetMode="External"/><Relationship Id="rId807" Type="http://schemas.openxmlformats.org/officeDocument/2006/relationships/hyperlink" Target="https://card.tap-savvy.com/Shodashi-Candles_Tejal-Solanki/952" TargetMode="External"/><Relationship Id="rId849" Type="http://schemas.openxmlformats.org/officeDocument/2006/relationships/table" Target="../tables/table16.xml"/><Relationship Id="rId7" Type="http://schemas.openxmlformats.org/officeDocument/2006/relationships/hyperlink" Target="https://www.shaktiacryplast.com/" TargetMode="External"/><Relationship Id="rId183" Type="http://schemas.openxmlformats.org/officeDocument/2006/relationships/hyperlink" Target="https://www.grasi.in/" TargetMode="External"/><Relationship Id="rId239" Type="http://schemas.openxmlformats.org/officeDocument/2006/relationships/hyperlink" Target="https://www.bajajcapital.com/" TargetMode="External"/><Relationship Id="rId390" Type="http://schemas.openxmlformats.org/officeDocument/2006/relationships/hyperlink" Target="https://www.ejindia.com/" TargetMode="External"/><Relationship Id="rId404" Type="http://schemas.openxmlformats.org/officeDocument/2006/relationships/hyperlink" Target="https://www.grasi.in/" TargetMode="External"/><Relationship Id="rId446" Type="http://schemas.openxmlformats.org/officeDocument/2006/relationships/hyperlink" Target="https://card.tap-savvy.com/HAPPYLIFE_AMIT-ROY/459" TargetMode="External"/><Relationship Id="rId611" Type="http://schemas.openxmlformats.org/officeDocument/2006/relationships/hyperlink" Target="https://card.tap-savvy.com/Eastern-Financiers-Limited_Ajay-Agarwal/1223" TargetMode="External"/><Relationship Id="rId653" Type="http://schemas.openxmlformats.org/officeDocument/2006/relationships/hyperlink" Target="https://card.tap-savvy.com/PURVI-BAJ_BNI-INFINITE/1310" TargetMode="External"/><Relationship Id="rId250" Type="http://schemas.openxmlformats.org/officeDocument/2006/relationships/hyperlink" Target="https://www.bajajcapital.com/" TargetMode="External"/><Relationship Id="rId292" Type="http://schemas.openxmlformats.org/officeDocument/2006/relationships/hyperlink" Target="https://chosen.co.in/" TargetMode="External"/><Relationship Id="rId306" Type="http://schemas.openxmlformats.org/officeDocument/2006/relationships/hyperlink" Target="https://www.rokdejeweller.com/" TargetMode="External"/><Relationship Id="rId488" Type="http://schemas.openxmlformats.org/officeDocument/2006/relationships/hyperlink" Target="https://card.tap-savvy.com/Mourya-Enterprises_Rohan-Kadu/873" TargetMode="External"/><Relationship Id="rId695" Type="http://schemas.openxmlformats.org/officeDocument/2006/relationships/hyperlink" Target="https://card.tap-savvy.com/BAJAJ-CAPITAL_SANGRAM-MOHANTY/1410" TargetMode="External"/><Relationship Id="rId709" Type="http://schemas.openxmlformats.org/officeDocument/2006/relationships/hyperlink" Target="https://card.tap-savvy.com/LLumar_Bajoria-Car-Care_Suyash-Bajoria/1218" TargetMode="External"/><Relationship Id="rId45" Type="http://schemas.openxmlformats.org/officeDocument/2006/relationships/hyperlink" Target="https://www.piparasancheti.com/" TargetMode="External"/><Relationship Id="rId87" Type="http://schemas.openxmlformats.org/officeDocument/2006/relationships/hyperlink" Target="https://www.askkonsultancy.com/" TargetMode="External"/><Relationship Id="rId110" Type="http://schemas.openxmlformats.org/officeDocument/2006/relationships/hyperlink" Target="https://corduroy.in/" TargetMode="External"/><Relationship Id="rId348" Type="http://schemas.openxmlformats.org/officeDocument/2006/relationships/hyperlink" Target="https://www.tbztheoriginal.com/" TargetMode="External"/><Relationship Id="rId513" Type="http://schemas.openxmlformats.org/officeDocument/2006/relationships/hyperlink" Target="https://card.tap-savvy.com/NAYANA-OZA_BNI-LIGHTHOUSE/1345" TargetMode="External"/><Relationship Id="rId555" Type="http://schemas.openxmlformats.org/officeDocument/2006/relationships/hyperlink" Target="https://card.tap-savvy.com/BNI-TRIUMMPH_SUMANTA-BANERJEE/1462" TargetMode="External"/><Relationship Id="rId597" Type="http://schemas.openxmlformats.org/officeDocument/2006/relationships/hyperlink" Target="https://card.tap-savvy.com/FOOT-FUEL_PREETI-JAIN/1210" TargetMode="External"/><Relationship Id="rId720" Type="http://schemas.openxmlformats.org/officeDocument/2006/relationships/hyperlink" Target="https://card.tap-savvy.com/LLumar-India-McLaren-Track-Day-2024_Samsher-Singh/981" TargetMode="External"/><Relationship Id="rId762" Type="http://schemas.openxmlformats.org/officeDocument/2006/relationships/hyperlink" Target="https://card.tap-savvy.com/GRAS-I_SIDDHARTH-ZAVERI/853" TargetMode="External"/><Relationship Id="rId818" Type="http://schemas.openxmlformats.org/officeDocument/2006/relationships/hyperlink" Target="https://card.tap-savvy.com/SBC-Accounts&amp;FinancialServices_Sourabh-Chandorkar/909" TargetMode="External"/><Relationship Id="rId152" Type="http://schemas.openxmlformats.org/officeDocument/2006/relationships/hyperlink" Target="https://www.grasi.in/" TargetMode="External"/><Relationship Id="rId194" Type="http://schemas.openxmlformats.org/officeDocument/2006/relationships/hyperlink" Target="http://www.giftingaffair.com/" TargetMode="External"/><Relationship Id="rId208" Type="http://schemas.openxmlformats.org/officeDocument/2006/relationships/hyperlink" Target="https://dentocares.com/" TargetMode="External"/><Relationship Id="rId415" Type="http://schemas.openxmlformats.org/officeDocument/2006/relationships/hyperlink" Target="https://madhavbaug.org/" TargetMode="External"/><Relationship Id="rId457" Type="http://schemas.openxmlformats.org/officeDocument/2006/relationships/hyperlink" Target="https://card.tap-savvy.com/MukeshNagarVelcordTextiles/763" TargetMode="External"/><Relationship Id="rId622" Type="http://schemas.openxmlformats.org/officeDocument/2006/relationships/hyperlink" Target="https://card.tap-savvy.com/KRUPA-MEHTA_BNI-INFINITE/1276" TargetMode="External"/><Relationship Id="rId261" Type="http://schemas.openxmlformats.org/officeDocument/2006/relationships/hyperlink" Target="https://www.bajajcapital.com/" TargetMode="External"/><Relationship Id="rId499" Type="http://schemas.openxmlformats.org/officeDocument/2006/relationships/hyperlink" Target="https://tirthankarinvestments.com/" TargetMode="External"/><Relationship Id="rId664" Type="http://schemas.openxmlformats.org/officeDocument/2006/relationships/hyperlink" Target="https://card.tap-savvy.com/MAHESH-PATEL_BNI-INFINITE/1321" TargetMode="External"/><Relationship Id="rId14" Type="http://schemas.openxmlformats.org/officeDocument/2006/relationships/hyperlink" Target="https://www.vasupati.com/" TargetMode="External"/><Relationship Id="rId56" Type="http://schemas.openxmlformats.org/officeDocument/2006/relationships/hyperlink" Target="https://www.nikitaasearthborn.com/" TargetMode="External"/><Relationship Id="rId317" Type="http://schemas.openxmlformats.org/officeDocument/2006/relationships/hyperlink" Target="https://www.josalukkasonline.com/" TargetMode="External"/><Relationship Id="rId359" Type="http://schemas.openxmlformats.org/officeDocument/2006/relationships/hyperlink" Target="https://navrathan.com/" TargetMode="External"/><Relationship Id="rId524" Type="http://schemas.openxmlformats.org/officeDocument/2006/relationships/hyperlink" Target="https://card.tap-savvy.com/ABDEALI-CONTRACTOR_BNI-LIGHTHOUSE/1359" TargetMode="External"/><Relationship Id="rId566" Type="http://schemas.openxmlformats.org/officeDocument/2006/relationships/hyperlink" Target="https://card.tap-savvy.com/LUCENT-GARDENS-PVT-LTD_DILIP-MURKUTE/1366" TargetMode="External"/><Relationship Id="rId731" Type="http://schemas.openxmlformats.org/officeDocument/2006/relationships/hyperlink" Target="https://card.tap-savvy.com/LLumar_Pitstop_Manmeet-Ahluwalia/994" TargetMode="External"/><Relationship Id="rId773" Type="http://schemas.openxmlformats.org/officeDocument/2006/relationships/hyperlink" Target="https://card.tap-savvy.com/GRAS-I_DHIRENDRA-KULKARNI/864" TargetMode="External"/><Relationship Id="rId98" Type="http://schemas.openxmlformats.org/officeDocument/2006/relationships/hyperlink" Target="https://www.tahaanpestsolutions.com/" TargetMode="External"/><Relationship Id="rId121" Type="http://schemas.openxmlformats.org/officeDocument/2006/relationships/hyperlink" Target="https://www.grasi.in/" TargetMode="External"/><Relationship Id="rId163" Type="http://schemas.openxmlformats.org/officeDocument/2006/relationships/hyperlink" Target="https://www.grasi.in/" TargetMode="External"/><Relationship Id="rId219" Type="http://schemas.openxmlformats.org/officeDocument/2006/relationships/hyperlink" Target="https://www.webinsight.in/" TargetMode="External"/><Relationship Id="rId370" Type="http://schemas.openxmlformats.org/officeDocument/2006/relationships/hyperlink" Target="https://www.gold.org/" TargetMode="External"/><Relationship Id="rId426" Type="http://schemas.openxmlformats.org/officeDocument/2006/relationships/hyperlink" Target="https://card.tap-savvy.com/AZB&amp;PARTNERS_ADITYA-VIKRAM-BHAT/150" TargetMode="External"/><Relationship Id="rId633" Type="http://schemas.openxmlformats.org/officeDocument/2006/relationships/hyperlink" Target="https://card.tap-savvy.com/LAVESH-KOTHARI_BNI-INFINITE/1287" TargetMode="External"/><Relationship Id="rId829" Type="http://schemas.openxmlformats.org/officeDocument/2006/relationships/hyperlink" Target="https://www.ashishlifescience.com/" TargetMode="External"/><Relationship Id="rId230" Type="http://schemas.openxmlformats.org/officeDocument/2006/relationships/hyperlink" Target="https://sceniccomm.in/" TargetMode="External"/><Relationship Id="rId468" Type="http://schemas.openxmlformats.org/officeDocument/2006/relationships/hyperlink" Target="https://card.tap-savvy.com/Noor-Bhimani/811" TargetMode="External"/><Relationship Id="rId675" Type="http://schemas.openxmlformats.org/officeDocument/2006/relationships/hyperlink" Target="https://card.tap-savvy.com/BAJAJ-CAPITAL_BULBUL-AGRAWAL/1390" TargetMode="External"/><Relationship Id="rId840" Type="http://schemas.openxmlformats.org/officeDocument/2006/relationships/hyperlink" Target="https://card.tap-savvy.com/GiftamStore_Om-Dave/1010" TargetMode="External"/><Relationship Id="rId25" Type="http://schemas.openxmlformats.org/officeDocument/2006/relationships/hyperlink" Target="https://www.saviesahome.com/" TargetMode="External"/><Relationship Id="rId67" Type="http://schemas.openxmlformats.org/officeDocument/2006/relationships/hyperlink" Target="https://www.ashishlifescience.com/" TargetMode="External"/><Relationship Id="rId272" Type="http://schemas.openxmlformats.org/officeDocument/2006/relationships/hyperlink" Target="https://www.bholasons.com/" TargetMode="External"/><Relationship Id="rId328" Type="http://schemas.openxmlformats.org/officeDocument/2006/relationships/hyperlink" Target="https://www.batukbhai.com/" TargetMode="External"/><Relationship Id="rId535" Type="http://schemas.openxmlformats.org/officeDocument/2006/relationships/hyperlink" Target="https://card.tap-savvy.com/JAI-PANGAONKAR_BNI-TRIUMMPH/1363" TargetMode="External"/><Relationship Id="rId577" Type="http://schemas.openxmlformats.org/officeDocument/2006/relationships/hyperlink" Target="https://card.tap-savvy.com/Rashi-Trending-Gadgets_Shweta-Girme/1234" TargetMode="External"/><Relationship Id="rId700" Type="http://schemas.openxmlformats.org/officeDocument/2006/relationships/hyperlink" Target="https://card.tap-savvy.com/BAJAJ-CAPITAL_SHARAD-MITTAL/1415" TargetMode="External"/><Relationship Id="rId742" Type="http://schemas.openxmlformats.org/officeDocument/2006/relationships/hyperlink" Target="https://card.tap-savvy.com/LLumar-Prime-Car_Ashu/1005" TargetMode="External"/><Relationship Id="rId132" Type="http://schemas.openxmlformats.org/officeDocument/2006/relationships/hyperlink" Target="https://www.grasi.in/" TargetMode="External"/><Relationship Id="rId174" Type="http://schemas.openxmlformats.org/officeDocument/2006/relationships/hyperlink" Target="https://www.grasi.in/" TargetMode="External"/><Relationship Id="rId381" Type="http://schemas.openxmlformats.org/officeDocument/2006/relationships/hyperlink" Target="https://www.pngjewellers.com/" TargetMode="External"/><Relationship Id="rId602" Type="http://schemas.openxmlformats.org/officeDocument/2006/relationships/hyperlink" Target="https://card.tap-savvy.com/JM-ANNA-IDLI-CAFE-PVT-LTD_PRAKASH-KONAR/1207" TargetMode="External"/><Relationship Id="rId784" Type="http://schemas.openxmlformats.org/officeDocument/2006/relationships/hyperlink" Target="https://card.tap-savvy.com/PENCIL-STROKE_MUSTAFA-DARUKHANAWALA/894" TargetMode="External"/><Relationship Id="rId241" Type="http://schemas.openxmlformats.org/officeDocument/2006/relationships/hyperlink" Target="https://www.bajajcapital.com/" TargetMode="External"/><Relationship Id="rId437" Type="http://schemas.openxmlformats.org/officeDocument/2006/relationships/hyperlink" Target="https://card.tap-savvy.com/VASUPATI-JEWELLERS_MANSUKH-KOTHARI/405" TargetMode="External"/><Relationship Id="rId479" Type="http://schemas.openxmlformats.org/officeDocument/2006/relationships/hyperlink" Target="https://card.tap-savvy.com/Arihant-NX/835" TargetMode="External"/><Relationship Id="rId644" Type="http://schemas.openxmlformats.org/officeDocument/2006/relationships/hyperlink" Target="https://card.tap-savvy.com/MOHIT-SHAH_BNI-INFINITE/1299" TargetMode="External"/><Relationship Id="rId686" Type="http://schemas.openxmlformats.org/officeDocument/2006/relationships/hyperlink" Target="https://card.tap-savvy.com/BAJAJ-CAPITAL_MOUSHUMI-ROY/1401" TargetMode="External"/><Relationship Id="rId36" Type="http://schemas.openxmlformats.org/officeDocument/2006/relationships/hyperlink" Target="https://www.sheetalmouthfreshners.in/" TargetMode="External"/><Relationship Id="rId283" Type="http://schemas.openxmlformats.org/officeDocument/2006/relationships/hyperlink" Target="https://www.dpjewellers.com/" TargetMode="External"/><Relationship Id="rId339" Type="http://schemas.openxmlformats.org/officeDocument/2006/relationships/hyperlink" Target="https://rankajewellers.in/" TargetMode="External"/><Relationship Id="rId490" Type="http://schemas.openxmlformats.org/officeDocument/2006/relationships/hyperlink" Target="https://card.tap-savvy.com/INNERSPACES_DHARNA/877" TargetMode="External"/><Relationship Id="rId504" Type="http://schemas.openxmlformats.org/officeDocument/2006/relationships/hyperlink" Target="https://card.tap-savvy.com/KRISHNA-POPAT_BNI-LIGHTHOUSE/1337" TargetMode="External"/><Relationship Id="rId546" Type="http://schemas.openxmlformats.org/officeDocument/2006/relationships/hyperlink" Target="https://card.tap-savvy.com/BNI-TRIUMMPH_NAVEEN-UPADHYAY/1437" TargetMode="External"/><Relationship Id="rId711" Type="http://schemas.openxmlformats.org/officeDocument/2006/relationships/hyperlink" Target="https://card.tap-savvy.com/LLumar_Mquik_Mehul-Desai/1220" TargetMode="External"/><Relationship Id="rId753" Type="http://schemas.openxmlformats.org/officeDocument/2006/relationships/hyperlink" Target="https://card.tap-savvy.com/LLumar_Poona-Motors_Vinit-Chauhan/1056" TargetMode="External"/><Relationship Id="rId78" Type="http://schemas.openxmlformats.org/officeDocument/2006/relationships/hyperlink" Target="https://turtledownunder.com.au/" TargetMode="External"/><Relationship Id="rId101" Type="http://schemas.openxmlformats.org/officeDocument/2006/relationships/hyperlink" Target="https://www.esstyle.in/" TargetMode="External"/><Relationship Id="rId143" Type="http://schemas.openxmlformats.org/officeDocument/2006/relationships/hyperlink" Target="https://www.grasi.in/" TargetMode="External"/><Relationship Id="rId185" Type="http://schemas.openxmlformats.org/officeDocument/2006/relationships/hyperlink" Target="https://www.grasi.in/" TargetMode="External"/><Relationship Id="rId350" Type="http://schemas.openxmlformats.org/officeDocument/2006/relationships/hyperlink" Target="https://talwarsons.com/" TargetMode="External"/><Relationship Id="rId406" Type="http://schemas.openxmlformats.org/officeDocument/2006/relationships/hyperlink" Target="http://www.vkbavisi.com/index.html" TargetMode="External"/><Relationship Id="rId588" Type="http://schemas.openxmlformats.org/officeDocument/2006/relationships/hyperlink" Target="https://card.tap-savvy.com/Synthetic-Molecules-Private-Limited_Akshay-Thakur/1257" TargetMode="External"/><Relationship Id="rId795" Type="http://schemas.openxmlformats.org/officeDocument/2006/relationships/hyperlink" Target="https://card.tap-savvy.com/Velcord-Textile-Pvt-Ltd_Anurag-Chaturvedi/929" TargetMode="External"/><Relationship Id="rId809" Type="http://schemas.openxmlformats.org/officeDocument/2006/relationships/hyperlink" Target="https://card.tap-savvy.com/Seventeen-Events_Sourav-Mukherjee/954" TargetMode="External"/><Relationship Id="rId9" Type="http://schemas.openxmlformats.org/officeDocument/2006/relationships/hyperlink" Target="https://www.vlitefurnitech.com/" TargetMode="External"/><Relationship Id="rId210" Type="http://schemas.openxmlformats.org/officeDocument/2006/relationships/hyperlink" Target="https://http/www.bluearch.in" TargetMode="External"/><Relationship Id="rId392" Type="http://schemas.openxmlformats.org/officeDocument/2006/relationships/hyperlink" Target="https://www.thebhimajewellery.com/index.php" TargetMode="External"/><Relationship Id="rId448" Type="http://schemas.openxmlformats.org/officeDocument/2006/relationships/hyperlink" Target="https://card.tap-savvy.com/VISHWAKARMA-INTERNATIONAL_SANJAY-GOYAL/488" TargetMode="External"/><Relationship Id="rId613" Type="http://schemas.openxmlformats.org/officeDocument/2006/relationships/hyperlink" Target="https://card.tap-savvy.com/Eastern-Financiers-Limited_Ambrish-Agarwal/1225" TargetMode="External"/><Relationship Id="rId655" Type="http://schemas.openxmlformats.org/officeDocument/2006/relationships/hyperlink" Target="https://card.tap-savvy.com/DARSHANA-BHATT_BNI-INFINITE/1312" TargetMode="External"/><Relationship Id="rId697" Type="http://schemas.openxmlformats.org/officeDocument/2006/relationships/hyperlink" Target="https://card.tap-savvy.com/BAJAJ-CAPITAL_SANJEEV-MAHESHWARI/1412" TargetMode="External"/><Relationship Id="rId820" Type="http://schemas.openxmlformats.org/officeDocument/2006/relationships/hyperlink" Target="http://card.tap-savvy.com/AshishLifeScience_Ronitt-Agarrwal/1038" TargetMode="External"/><Relationship Id="rId252" Type="http://schemas.openxmlformats.org/officeDocument/2006/relationships/hyperlink" Target="https://www.bajajcapital.com/" TargetMode="External"/><Relationship Id="rId294" Type="http://schemas.openxmlformats.org/officeDocument/2006/relationships/hyperlink" Target="https://rankajewellers.in/" TargetMode="External"/><Relationship Id="rId308" Type="http://schemas.openxmlformats.org/officeDocument/2006/relationships/hyperlink" Target="https://www.metalsfocus.com/" TargetMode="External"/><Relationship Id="rId515" Type="http://schemas.openxmlformats.org/officeDocument/2006/relationships/hyperlink" Target="https://card.tap-savvy.com/YASH-JAIN_BNI-LIGHTHOUSE/1347" TargetMode="External"/><Relationship Id="rId722" Type="http://schemas.openxmlformats.org/officeDocument/2006/relationships/hyperlink" Target="https://card.tap-savvy.com/LLumar-India-McLaren-Track-Day-2024_Faiz-Rezwan/983" TargetMode="External"/><Relationship Id="rId47" Type="http://schemas.openxmlformats.org/officeDocument/2006/relationships/hyperlink" Target="https://corduroy.in/" TargetMode="External"/><Relationship Id="rId89" Type="http://schemas.openxmlformats.org/officeDocument/2006/relationships/hyperlink" Target="https://www.neelsdivinesoul.com/" TargetMode="External"/><Relationship Id="rId112" Type="http://schemas.openxmlformats.org/officeDocument/2006/relationships/hyperlink" Target="https://www.doshidental.in/" TargetMode="External"/><Relationship Id="rId154" Type="http://schemas.openxmlformats.org/officeDocument/2006/relationships/hyperlink" Target="https://www.grasi.in/" TargetMode="External"/><Relationship Id="rId361" Type="http://schemas.openxmlformats.org/officeDocument/2006/relationships/hyperlink" Target="https://www.malabargoldanddiamonds.com/" TargetMode="External"/><Relationship Id="rId557" Type="http://schemas.openxmlformats.org/officeDocument/2006/relationships/hyperlink" Target="https://card.tap-savvy.com/BNI-TRIUMMPH_SAGAR-POOJARY/1451" TargetMode="External"/><Relationship Id="rId599" Type="http://schemas.openxmlformats.org/officeDocument/2006/relationships/hyperlink" Target="https://card.tap-savvy.com/SATISH-D-UPADHYAY/1212" TargetMode="External"/><Relationship Id="rId764" Type="http://schemas.openxmlformats.org/officeDocument/2006/relationships/hyperlink" Target="https://card.tap-savvy.com/GRAS-I_ASHOK-SINGH/855" TargetMode="External"/><Relationship Id="rId196" Type="http://schemas.openxmlformats.org/officeDocument/2006/relationships/hyperlink" Target="http://www.navkarfurnishing.in/" TargetMode="External"/><Relationship Id="rId417" Type="http://schemas.openxmlformats.org/officeDocument/2006/relationships/hyperlink" Target="https://card.tap-savvy.com/CBV&amp;ASSOCIATE_VINAY-PATHAK/279" TargetMode="External"/><Relationship Id="rId459" Type="http://schemas.openxmlformats.org/officeDocument/2006/relationships/hyperlink" Target="https://card.tap-savvy.com/3-CHEERS-ADS_SULAKSHANA-HEREKAR/769" TargetMode="External"/><Relationship Id="rId624" Type="http://schemas.openxmlformats.org/officeDocument/2006/relationships/hyperlink" Target="https://card.tap-savvy.com/PRAVEEN-VISHWAKARMA_BNI-INFINITE/1278" TargetMode="External"/><Relationship Id="rId666" Type="http://schemas.openxmlformats.org/officeDocument/2006/relationships/hyperlink" Target="https://card.tap-savvy.com/VIRALBHAI-PATEL_BNI-INFINITE/1323" TargetMode="External"/><Relationship Id="rId831" Type="http://schemas.openxmlformats.org/officeDocument/2006/relationships/hyperlink" Target="https://card.tap-savvy.com/AshishLifeScience_Jayesh-Khatri/1023" TargetMode="External"/><Relationship Id="rId16" Type="http://schemas.openxmlformats.org/officeDocument/2006/relationships/hyperlink" Target="https://cosmosaircon.com/" TargetMode="External"/><Relationship Id="rId221" Type="http://schemas.openxmlformats.org/officeDocument/2006/relationships/hyperlink" Target="https://tap-savvy.com/" TargetMode="External"/><Relationship Id="rId263" Type="http://schemas.openxmlformats.org/officeDocument/2006/relationships/hyperlink" Target="https://www.bajajcapital.com/" TargetMode="External"/><Relationship Id="rId319" Type="http://schemas.openxmlformats.org/officeDocument/2006/relationships/hyperlink" Target="https://www.thebhimajewellery.com/" TargetMode="External"/><Relationship Id="rId470" Type="http://schemas.openxmlformats.org/officeDocument/2006/relationships/hyperlink" Target="https://card.tap-savvy.com/PEST-RELIEF-SERVICES_SUNIL-AKHADE/819" TargetMode="External"/><Relationship Id="rId526" Type="http://schemas.openxmlformats.org/officeDocument/2006/relationships/hyperlink" Target="https://card.tap-savvy.com/RAHUL-SHARMA_BNI-LIGHTHOUSE/1361" TargetMode="External"/><Relationship Id="rId58" Type="http://schemas.openxmlformats.org/officeDocument/2006/relationships/hyperlink" Target="https://www.seventeenevents.com/" TargetMode="External"/><Relationship Id="rId123" Type="http://schemas.openxmlformats.org/officeDocument/2006/relationships/hyperlink" Target="https://www.grasi.in/" TargetMode="External"/><Relationship Id="rId330" Type="http://schemas.openxmlformats.org/officeDocument/2006/relationships/hyperlink" Target="https://www.kalyanjewellers.net/" TargetMode="External"/><Relationship Id="rId568" Type="http://schemas.openxmlformats.org/officeDocument/2006/relationships/hyperlink" Target="https://card.tap-savvy.com/DHRISHA-JEWELS-PRIVATE-LIMITED_DAINIK-GOTHI/1368" TargetMode="External"/><Relationship Id="rId733" Type="http://schemas.openxmlformats.org/officeDocument/2006/relationships/hyperlink" Target="https://card.tap-savvy.com/LLumar_Studio-J-Vijaywada_Aseem-Juneja/996" TargetMode="External"/><Relationship Id="rId775" Type="http://schemas.openxmlformats.org/officeDocument/2006/relationships/hyperlink" Target="https://card.tap-savvy.com/GRAS-I_BINITA-ZAVERI/827" TargetMode="External"/><Relationship Id="rId165" Type="http://schemas.openxmlformats.org/officeDocument/2006/relationships/hyperlink" Target="https://www.grasi.in/" TargetMode="External"/><Relationship Id="rId372" Type="http://schemas.openxmlformats.org/officeDocument/2006/relationships/hyperlink" Target="https://www.debeers.co.uk/en-gb/home" TargetMode="External"/><Relationship Id="rId428" Type="http://schemas.openxmlformats.org/officeDocument/2006/relationships/hyperlink" Target="https://card.tap-savvy.com/SHAKTI-ACRYPLAST-LLP_Sahil-Jain/300" TargetMode="External"/><Relationship Id="rId635" Type="http://schemas.openxmlformats.org/officeDocument/2006/relationships/hyperlink" Target="https://card.tap-savvy.com/VIKAASH-VERMA-BNI-INFINITE/1289" TargetMode="External"/><Relationship Id="rId677" Type="http://schemas.openxmlformats.org/officeDocument/2006/relationships/hyperlink" Target="https://card.tap-savvy.com/BAJAJ-CAPITAL_GAURAV-SINGH/1392" TargetMode="External"/><Relationship Id="rId800" Type="http://schemas.openxmlformats.org/officeDocument/2006/relationships/hyperlink" Target="https://card.tap-savvy.com/The-Game-Drive_Dipti-Thorat/936" TargetMode="External"/><Relationship Id="rId842" Type="http://schemas.openxmlformats.org/officeDocument/2006/relationships/hyperlink" Target="https://card.tap-savvy.com/Turtledownunder_Abhishek-Sonthalia/1014" TargetMode="External"/><Relationship Id="rId232" Type="http://schemas.openxmlformats.org/officeDocument/2006/relationships/hyperlink" Target="https://www.bajajcapital.com/" TargetMode="External"/><Relationship Id="rId274" Type="http://schemas.openxmlformats.org/officeDocument/2006/relationships/hyperlink" Target="https://www.blhissaria.com/" TargetMode="External"/><Relationship Id="rId481" Type="http://schemas.openxmlformats.org/officeDocument/2006/relationships/hyperlink" Target="https://card.tap-savvy.com/Amal-Mukhopadhyay/837" TargetMode="External"/><Relationship Id="rId702" Type="http://schemas.openxmlformats.org/officeDocument/2006/relationships/hyperlink" Target="https://card.tap-savvy.com/BAJAJ-CAPITAL_SHUBHAM-SAXENA/1417" TargetMode="External"/><Relationship Id="rId27" Type="http://schemas.openxmlformats.org/officeDocument/2006/relationships/hyperlink" Target="https://www.chemtronicsindia.com/" TargetMode="External"/><Relationship Id="rId69" Type="http://schemas.openxmlformats.org/officeDocument/2006/relationships/hyperlink" Target="https://www.ashishlifescience.com/" TargetMode="External"/><Relationship Id="rId134" Type="http://schemas.openxmlformats.org/officeDocument/2006/relationships/hyperlink" Target="https://www.grasi.in/" TargetMode="External"/><Relationship Id="rId537" Type="http://schemas.openxmlformats.org/officeDocument/2006/relationships/hyperlink" Target="https://card.tap-savvy.com/BNI-TRIUMMPH_ANEREE-SATRA/1425" TargetMode="External"/><Relationship Id="rId579" Type="http://schemas.openxmlformats.org/officeDocument/2006/relationships/hyperlink" Target="https://card.tap-savvy.com/Nidhiti_Niyati-Mehta/1236" TargetMode="External"/><Relationship Id="rId744" Type="http://schemas.openxmlformats.org/officeDocument/2006/relationships/hyperlink" Target="https://card.tap-savvy.com/LLumar_RPR_Ritweek-Ray/1008" TargetMode="External"/><Relationship Id="rId786" Type="http://schemas.openxmlformats.org/officeDocument/2006/relationships/hyperlink" Target="https://card.tap-savvy.com/P-S-CREATIONS_HETAAL-SETHIA/898" TargetMode="External"/><Relationship Id="rId80" Type="http://schemas.openxmlformats.org/officeDocument/2006/relationships/hyperlink" Target="https://www.stalwartplugnplay.com/" TargetMode="External"/><Relationship Id="rId176" Type="http://schemas.openxmlformats.org/officeDocument/2006/relationships/hyperlink" Target="https://www.grasi.in/" TargetMode="External"/><Relationship Id="rId341" Type="http://schemas.openxmlformats.org/officeDocument/2006/relationships/hyperlink" Target="https://www.manoharlaljewellers.in/" TargetMode="External"/><Relationship Id="rId383" Type="http://schemas.openxmlformats.org/officeDocument/2006/relationships/hyperlink" Target="https://navrathan.com/" TargetMode="External"/><Relationship Id="rId439" Type="http://schemas.openxmlformats.org/officeDocument/2006/relationships/hyperlink" Target="https://card.tap-savvy.com/MEGH-JEWELLERS_BHAVESH-SOLANKI/424" TargetMode="External"/><Relationship Id="rId590" Type="http://schemas.openxmlformats.org/officeDocument/2006/relationships/hyperlink" Target="https://card.tap-savvy.com/FACETS-HONG-KONG-LIMITED_Kunal-Jain/1266" TargetMode="External"/><Relationship Id="rId604" Type="http://schemas.openxmlformats.org/officeDocument/2006/relationships/hyperlink" Target="https://card.tap-savvy.com/RAJENDRA-BHANUSHALI_CREATIVE-PLUS-NETTRADE-LLP/1203" TargetMode="External"/><Relationship Id="rId646" Type="http://schemas.openxmlformats.org/officeDocument/2006/relationships/hyperlink" Target="https://card.tap-savvy.com/ERINA-JAIN_BNI-INFINITE/1301" TargetMode="External"/><Relationship Id="rId811" Type="http://schemas.openxmlformats.org/officeDocument/2006/relationships/hyperlink" Target="https://card.tap-savvy.com/Seventeen-Events_Nayan-Sadhwani/956" TargetMode="External"/><Relationship Id="rId201" Type="http://schemas.openxmlformats.org/officeDocument/2006/relationships/hyperlink" Target="https://www.citrines.online/" TargetMode="External"/><Relationship Id="rId243" Type="http://schemas.openxmlformats.org/officeDocument/2006/relationships/hyperlink" Target="https://www.bajajcapital.com/" TargetMode="External"/><Relationship Id="rId285" Type="http://schemas.openxmlformats.org/officeDocument/2006/relationships/hyperlink" Target="https://www.motisonsjewellers.com/" TargetMode="External"/><Relationship Id="rId450" Type="http://schemas.openxmlformats.org/officeDocument/2006/relationships/hyperlink" Target="https://card.tap-savvy.com/NNP-LAWS-ASSOCIATES_NEHAL-PAREKH/731" TargetMode="External"/><Relationship Id="rId506" Type="http://schemas.openxmlformats.org/officeDocument/2006/relationships/hyperlink" Target="https://card.tap-savvy.com/PULKIT-MARTWAL_BNI-LIGHTHOUSE/1338" TargetMode="External"/><Relationship Id="rId688" Type="http://schemas.openxmlformats.org/officeDocument/2006/relationships/hyperlink" Target="https://card.tap-savvy.com/BAJAJ-CAPITAL_NAGESH-TIWARI/1403" TargetMode="External"/><Relationship Id="rId38" Type="http://schemas.openxmlformats.org/officeDocument/2006/relationships/hyperlink" Target="https://mockingbird.co.in/" TargetMode="External"/><Relationship Id="rId103" Type="http://schemas.openxmlformats.org/officeDocument/2006/relationships/hyperlink" Target="https://www.creativellp.com/" TargetMode="External"/><Relationship Id="rId310" Type="http://schemas.openxmlformats.org/officeDocument/2006/relationships/hyperlink" Target="https://arjunaa.com/" TargetMode="External"/><Relationship Id="rId492" Type="http://schemas.openxmlformats.org/officeDocument/2006/relationships/hyperlink" Target="https://card.tap-savvy.com/ANUPALAN-ONLINE_DEEPAK-VARIYA/879" TargetMode="External"/><Relationship Id="rId548" Type="http://schemas.openxmlformats.org/officeDocument/2006/relationships/hyperlink" Target="https://card.tap-savvy.com/BNI-TRIUMMPH_PRIYANK-SANCHETI/1442" TargetMode="External"/><Relationship Id="rId713" Type="http://schemas.openxmlformats.org/officeDocument/2006/relationships/hyperlink" Target="https://card.tap-savvy.com/LLumar-India_McLaren-Track-Day-2024_Vishan-Shah/974" TargetMode="External"/><Relationship Id="rId755" Type="http://schemas.openxmlformats.org/officeDocument/2006/relationships/hyperlink" Target="https://card.tap-savvy.com/GRAS-I_AKHILESH-MATHUR/846" TargetMode="External"/><Relationship Id="rId797" Type="http://schemas.openxmlformats.org/officeDocument/2006/relationships/hyperlink" Target="https://card.tap-savvy.com/TheGameDrive_Anosh-Koppikar/933" TargetMode="External"/><Relationship Id="rId91" Type="http://schemas.openxmlformats.org/officeDocument/2006/relationships/hyperlink" Target="https://www.lizardsskintattoos.com/" TargetMode="External"/><Relationship Id="rId145" Type="http://schemas.openxmlformats.org/officeDocument/2006/relationships/hyperlink" Target="https://www.grasi.in/" TargetMode="External"/><Relationship Id="rId187" Type="http://schemas.openxmlformats.org/officeDocument/2006/relationships/hyperlink" Target="https://www.smileworlddental.in/" TargetMode="External"/><Relationship Id="rId352" Type="http://schemas.openxmlformats.org/officeDocument/2006/relationships/hyperlink" Target="https://shobhashringar.com/mobile-home/" TargetMode="External"/><Relationship Id="rId394" Type="http://schemas.openxmlformats.org/officeDocument/2006/relationships/hyperlink" Target="https://omjewellers.com/" TargetMode="External"/><Relationship Id="rId408" Type="http://schemas.openxmlformats.org/officeDocument/2006/relationships/hyperlink" Target="https://www.opc.co.in/" TargetMode="External"/><Relationship Id="rId615" Type="http://schemas.openxmlformats.org/officeDocument/2006/relationships/hyperlink" Target="http://card.tap-savvy.com/ASK-KONSULTANCY_JYOTI-MISHRA/1111" TargetMode="External"/><Relationship Id="rId822" Type="http://schemas.openxmlformats.org/officeDocument/2006/relationships/hyperlink" Target="https://card.tap-savvy.com/AshishLifeScience_Sutanu-Nayak/1035" TargetMode="External"/><Relationship Id="rId212" Type="http://schemas.openxmlformats.org/officeDocument/2006/relationships/hyperlink" Target="http://www.winshine.in/" TargetMode="External"/><Relationship Id="rId254" Type="http://schemas.openxmlformats.org/officeDocument/2006/relationships/hyperlink" Target="https://www.bajajcapital.com/" TargetMode="External"/><Relationship Id="rId657" Type="http://schemas.openxmlformats.org/officeDocument/2006/relationships/hyperlink" Target="https://card.tap-savvy.com/MINAL-NATHVANI_BNI-INFINITE/1314" TargetMode="External"/><Relationship Id="rId699" Type="http://schemas.openxmlformats.org/officeDocument/2006/relationships/hyperlink" Target="https://card.tap-savvy.com/BAJAJ-CAPITAL_SAURABH-BHARGAVA/1414" TargetMode="External"/><Relationship Id="rId49" Type="http://schemas.openxmlformats.org/officeDocument/2006/relationships/hyperlink" Target="https://simonesalon.in/" TargetMode="External"/><Relationship Id="rId114" Type="http://schemas.openxmlformats.org/officeDocument/2006/relationships/hyperlink" Target="https://glisna.com/" TargetMode="External"/><Relationship Id="rId296" Type="http://schemas.openxmlformats.org/officeDocument/2006/relationships/hyperlink" Target="https://www.hirapannajewellers.com/" TargetMode="External"/><Relationship Id="rId461" Type="http://schemas.openxmlformats.org/officeDocument/2006/relationships/hyperlink" Target="https://card.tap-savvy.com/SR-STORE_ROSHAN-JAIN/798" TargetMode="External"/><Relationship Id="rId517" Type="http://schemas.openxmlformats.org/officeDocument/2006/relationships/hyperlink" Target="https://card.tap-savvy.com/NITIN-BHANSALI_BNI-LIGHTHOUSE/1349" TargetMode="External"/><Relationship Id="rId559" Type="http://schemas.openxmlformats.org/officeDocument/2006/relationships/hyperlink" Target="https://card.tap-savvy.com/BNI-TRIUMMPH_SIMONE-DHANWANI/1454" TargetMode="External"/><Relationship Id="rId724" Type="http://schemas.openxmlformats.org/officeDocument/2006/relationships/hyperlink" Target="https://card.tap-savvy.com/LLumar-India-McLaren-Track-Day-2024-Vinay-Mohan/985" TargetMode="External"/><Relationship Id="rId766" Type="http://schemas.openxmlformats.org/officeDocument/2006/relationships/hyperlink" Target="https://card.tap-savvy.com/GRAS-I_SANDEEP-ARORA/857" TargetMode="External"/><Relationship Id="rId60" Type="http://schemas.openxmlformats.org/officeDocument/2006/relationships/hyperlink" Target="https://www.seventeenevents.com/" TargetMode="External"/><Relationship Id="rId156" Type="http://schemas.openxmlformats.org/officeDocument/2006/relationships/hyperlink" Target="https://www.grasi.in/" TargetMode="External"/><Relationship Id="rId198" Type="http://schemas.openxmlformats.org/officeDocument/2006/relationships/hyperlink" Target="http://www.swastikindustries.org/" TargetMode="External"/><Relationship Id="rId321" Type="http://schemas.openxmlformats.org/officeDocument/2006/relationships/hyperlink" Target="https://www.thebhimajewellery.com/" TargetMode="External"/><Relationship Id="rId363" Type="http://schemas.openxmlformats.org/officeDocument/2006/relationships/hyperlink" Target="https://www.malabargoldanddiamonds.com/" TargetMode="External"/><Relationship Id="rId419" Type="http://schemas.openxmlformats.org/officeDocument/2006/relationships/hyperlink" Target="https://card.tap-savvy.com/Swastik_TejmalPokharna/270" TargetMode="External"/><Relationship Id="rId570" Type="http://schemas.openxmlformats.org/officeDocument/2006/relationships/hyperlink" Target="https://card.tap-savvy.com/Eastern-Financiers-Limited_Pankaj-Kumar-Chaudhary/1222" TargetMode="External"/><Relationship Id="rId626" Type="http://schemas.openxmlformats.org/officeDocument/2006/relationships/hyperlink" Target="https://card.tap-savvy.com/MOHIT-MEHTA_BNI-INFINITE/1280" TargetMode="External"/><Relationship Id="rId223" Type="http://schemas.openxmlformats.org/officeDocument/2006/relationships/hyperlink" Target="https://eskayconstruction.in/" TargetMode="External"/><Relationship Id="rId430" Type="http://schemas.openxmlformats.org/officeDocument/2006/relationships/hyperlink" Target="https://card.tap-savvy.com/SCS-BEARINGS/301" TargetMode="External"/><Relationship Id="rId668" Type="http://schemas.openxmlformats.org/officeDocument/2006/relationships/hyperlink" Target="https://card.tap-savvy.com/ARJUN-CHATURVEDI_BNI-INFINITE/1385" TargetMode="External"/><Relationship Id="rId833" Type="http://schemas.openxmlformats.org/officeDocument/2006/relationships/hyperlink" Target="https://card.tap-savvy.com/AshishLifeScience_Chirag-Shukla/1025" TargetMode="External"/><Relationship Id="rId18" Type="http://schemas.openxmlformats.org/officeDocument/2006/relationships/hyperlink" Target="https://corduroy.in/" TargetMode="External"/><Relationship Id="rId265" Type="http://schemas.openxmlformats.org/officeDocument/2006/relationships/hyperlink" Target="https://www.bajajcapital.com/" TargetMode="External"/><Relationship Id="rId472" Type="http://schemas.openxmlformats.org/officeDocument/2006/relationships/hyperlink" Target="https://card.tap-savvy.com/Sudhaamshu/824" TargetMode="External"/><Relationship Id="rId528" Type="http://schemas.openxmlformats.org/officeDocument/2006/relationships/hyperlink" Target="https://card.tap-savvy.com/RUCHI-JAIN_BNI-LIGHTHOUSE/1355" TargetMode="External"/><Relationship Id="rId735" Type="http://schemas.openxmlformats.org/officeDocument/2006/relationships/hyperlink" Target="https://card.tap-savvy.com/LLumar_Autograde_Ankur/998" TargetMode="External"/><Relationship Id="rId125" Type="http://schemas.openxmlformats.org/officeDocument/2006/relationships/hyperlink" Target="https://www.grasi.in/" TargetMode="External"/><Relationship Id="rId167" Type="http://schemas.openxmlformats.org/officeDocument/2006/relationships/hyperlink" Target="https://www.grasi.in/" TargetMode="External"/><Relationship Id="rId332" Type="http://schemas.openxmlformats.org/officeDocument/2006/relationships/hyperlink" Target="https://www.kalyanjewellers.net/" TargetMode="External"/><Relationship Id="rId374" Type="http://schemas.openxmlformats.org/officeDocument/2006/relationships/hyperlink" Target="https://meenajewellers.com/" TargetMode="External"/><Relationship Id="rId581" Type="http://schemas.openxmlformats.org/officeDocument/2006/relationships/hyperlink" Target="https://card.tap-savvy.com/AARTI-AGRAWAL/1238" TargetMode="External"/><Relationship Id="rId777" Type="http://schemas.openxmlformats.org/officeDocument/2006/relationships/hyperlink" Target="https://card.tap-savvy.com/MOCKINGBIRD-STUDIOS_JAI-PANGAONKAR/882" TargetMode="External"/><Relationship Id="rId71" Type="http://schemas.openxmlformats.org/officeDocument/2006/relationships/hyperlink" Target="https://www.ashishlifescience.com/" TargetMode="External"/><Relationship Id="rId234" Type="http://schemas.openxmlformats.org/officeDocument/2006/relationships/hyperlink" Target="https://www.bajajcapital.com/" TargetMode="External"/><Relationship Id="rId637" Type="http://schemas.openxmlformats.org/officeDocument/2006/relationships/hyperlink" Target="https://card.tap-savvy.com/DR.AJINKYA-RAUT_BNI-INFINITE/1291" TargetMode="External"/><Relationship Id="rId679" Type="http://schemas.openxmlformats.org/officeDocument/2006/relationships/hyperlink" Target="https://card.tap-savvy.com/BAJAJ-CAPITAL_HIMANSHU-SAXENA/1394" TargetMode="External"/><Relationship Id="rId802" Type="http://schemas.openxmlformats.org/officeDocument/2006/relationships/hyperlink" Target="https://card.tap-savvy.com/Easy-Investo_Rahaman-Jamilur/939" TargetMode="External"/><Relationship Id="rId844" Type="http://schemas.openxmlformats.org/officeDocument/2006/relationships/hyperlink" Target="https://card.tap-savvy.com/TurtleDownUnder/1017" TargetMode="External"/><Relationship Id="rId2" Type="http://schemas.openxmlformats.org/officeDocument/2006/relationships/hyperlink" Target="https://www.azbpartners.com/" TargetMode="External"/><Relationship Id="rId29" Type="http://schemas.openxmlformats.org/officeDocument/2006/relationships/hyperlink" Target="https://www.nectartreatss.com/" TargetMode="External"/><Relationship Id="rId276" Type="http://schemas.openxmlformats.org/officeDocument/2006/relationships/hyperlink" Target="https://avrswarnamahal.com/" TargetMode="External"/><Relationship Id="rId441" Type="http://schemas.openxmlformats.org/officeDocument/2006/relationships/hyperlink" Target="https://card.tap-savvy.com/KASHISH-FURNISHINGS_MANISH-JAIN/449" TargetMode="External"/><Relationship Id="rId483" Type="http://schemas.openxmlformats.org/officeDocument/2006/relationships/hyperlink" Target="https://card.tap-savvy.com/3-Minds-Digital_Harnish-Shah/839" TargetMode="External"/><Relationship Id="rId539" Type="http://schemas.openxmlformats.org/officeDocument/2006/relationships/hyperlink" Target="https://card.tap-savvy.com/BNI-TRIUMMPH_DINESH-SONI/1428" TargetMode="External"/><Relationship Id="rId690" Type="http://schemas.openxmlformats.org/officeDocument/2006/relationships/hyperlink" Target="https://card.tap-savvy.com/BAJAJ-CAPITAL_NIRAJ-KUMAR/1405" TargetMode="External"/><Relationship Id="rId704" Type="http://schemas.openxmlformats.org/officeDocument/2006/relationships/hyperlink" Target="https://card.tap-savvy.com/BAJAJ-CAPITAL_SUNIL-S/1419" TargetMode="External"/><Relationship Id="rId746" Type="http://schemas.openxmlformats.org/officeDocument/2006/relationships/hyperlink" Target="https://card.tap-savvy.com/LLumar_Always-Dry-Lucknow_Aditya-Jaiswal/1043" TargetMode="External"/><Relationship Id="rId40" Type="http://schemas.openxmlformats.org/officeDocument/2006/relationships/hyperlink" Target="https://nsrm.ae/" TargetMode="External"/><Relationship Id="rId136" Type="http://schemas.openxmlformats.org/officeDocument/2006/relationships/hyperlink" Target="https://www.grasi.in/" TargetMode="External"/><Relationship Id="rId178" Type="http://schemas.openxmlformats.org/officeDocument/2006/relationships/hyperlink" Target="https://www.grasi.in/" TargetMode="External"/><Relationship Id="rId301" Type="http://schemas.openxmlformats.org/officeDocument/2006/relationships/hyperlink" Target="https://www.dassjewellers.com/" TargetMode="External"/><Relationship Id="rId343" Type="http://schemas.openxmlformats.org/officeDocument/2006/relationships/hyperlink" Target="https://www.manoharlaljewellers.in/" TargetMode="External"/><Relationship Id="rId550" Type="http://schemas.openxmlformats.org/officeDocument/2006/relationships/hyperlink" Target="https://card.tap-savvy.com/BNI-TRIUMMPH_RAMSEVAK-VERMA/1443" TargetMode="External"/><Relationship Id="rId788" Type="http://schemas.openxmlformats.org/officeDocument/2006/relationships/hyperlink" Target="https://card.tap-savvy.com/EVEN-BETTER-ADS_RAAHUUL-ADVANI/900" TargetMode="External"/><Relationship Id="rId82" Type="http://schemas.openxmlformats.org/officeDocument/2006/relationships/hyperlink" Target="https://www.aisshpra.com/" TargetMode="External"/><Relationship Id="rId203" Type="http://schemas.openxmlformats.org/officeDocument/2006/relationships/hyperlink" Target="http://www.jmsolutions.co.in/" TargetMode="External"/><Relationship Id="rId385" Type="http://schemas.openxmlformats.org/officeDocument/2006/relationships/hyperlink" Target="https://aisshpra.com/" TargetMode="External"/><Relationship Id="rId592" Type="http://schemas.openxmlformats.org/officeDocument/2006/relationships/hyperlink" Target="https://card.tap-savvy.com/TRIPLE_AAA_Pure_Veg_Restaurant_BHOJNALAYA/1214" TargetMode="External"/><Relationship Id="rId606" Type="http://schemas.openxmlformats.org/officeDocument/2006/relationships/hyperlink" Target="https://card.tap-savvy.com/HSR-Creation_Devendra-Kothari/1201" TargetMode="External"/><Relationship Id="rId648" Type="http://schemas.openxmlformats.org/officeDocument/2006/relationships/hyperlink" Target="https://card.tap-savvy.com/RUSHABH-SOMANI_BNI-INFINITE/1303" TargetMode="External"/><Relationship Id="rId813" Type="http://schemas.openxmlformats.org/officeDocument/2006/relationships/hyperlink" Target="https://card.tap-savvy.com/Seventeen-Events_Shruti-Panhale/959" TargetMode="External"/><Relationship Id="rId245" Type="http://schemas.openxmlformats.org/officeDocument/2006/relationships/hyperlink" Target="https://www.bajajcapital.com/" TargetMode="External"/><Relationship Id="rId287" Type="http://schemas.openxmlformats.org/officeDocument/2006/relationships/hyperlink" Target="https://omjewellers.com/" TargetMode="External"/><Relationship Id="rId410" Type="http://schemas.openxmlformats.org/officeDocument/2006/relationships/hyperlink" Target="https://salonikothari.in/" TargetMode="External"/><Relationship Id="rId452" Type="http://schemas.openxmlformats.org/officeDocument/2006/relationships/hyperlink" Target="https://card.tap-savvy.com/RajeshVakil_PrimeIndiaInternational/753" TargetMode="External"/><Relationship Id="rId494" Type="http://schemas.openxmlformats.org/officeDocument/2006/relationships/hyperlink" Target="https://www.davandco.com/" TargetMode="External"/><Relationship Id="rId508" Type="http://schemas.openxmlformats.org/officeDocument/2006/relationships/hyperlink" Target="https://card.tap-savvy.com/MONALI-SANGHVI_BNI-LIGHTHOUSE/1340" TargetMode="External"/><Relationship Id="rId715" Type="http://schemas.openxmlformats.org/officeDocument/2006/relationships/hyperlink" Target="https://card.tap-savvy.com/LLumar-India_McLaren-Track-Day-2024_Mohit-Chuganee/976" TargetMode="External"/><Relationship Id="rId105" Type="http://schemas.openxmlformats.org/officeDocument/2006/relationships/hyperlink" Target="https://www.annaidly.in/" TargetMode="External"/><Relationship Id="rId147" Type="http://schemas.openxmlformats.org/officeDocument/2006/relationships/hyperlink" Target="https://www.grasi.in/" TargetMode="External"/><Relationship Id="rId312" Type="http://schemas.openxmlformats.org/officeDocument/2006/relationships/hyperlink" Target="https://www.ckcjewellers.com/" TargetMode="External"/><Relationship Id="rId354" Type="http://schemas.openxmlformats.org/officeDocument/2006/relationships/hyperlink" Target="https://www.jawharajewellery.com/" TargetMode="External"/><Relationship Id="rId757" Type="http://schemas.openxmlformats.org/officeDocument/2006/relationships/hyperlink" Target="https://card.tap-savvy.com/GRAS-I_BHAVESH-OZA/848" TargetMode="External"/><Relationship Id="rId799" Type="http://schemas.openxmlformats.org/officeDocument/2006/relationships/hyperlink" Target="https://card.tap-savvy.com/The-Game-Drive_Aaina-Chavan/935" TargetMode="External"/><Relationship Id="rId51" Type="http://schemas.openxmlformats.org/officeDocument/2006/relationships/hyperlink" Target="https://www.thegamedrive.com/" TargetMode="External"/><Relationship Id="rId93" Type="http://schemas.openxmlformats.org/officeDocument/2006/relationships/hyperlink" Target="https://www.avanstrate.com/english/" TargetMode="External"/><Relationship Id="rId189" Type="http://schemas.openxmlformats.org/officeDocument/2006/relationships/hyperlink" Target="https://www.yellowdot.in/" TargetMode="External"/><Relationship Id="rId396" Type="http://schemas.openxmlformats.org/officeDocument/2006/relationships/hyperlink" Target="https://arjunaa.com/" TargetMode="External"/><Relationship Id="rId561" Type="http://schemas.openxmlformats.org/officeDocument/2006/relationships/hyperlink" Target="https://card.tap-savvy.com/BNI-TRIUMMPH_SUNIL-AKHADE/1457" TargetMode="External"/><Relationship Id="rId617" Type="http://schemas.openxmlformats.org/officeDocument/2006/relationships/hyperlink" Target="https://card.tap-savvy.com/ASK-KONSULTANCY_RANJANA-UPADHYAY/1113" TargetMode="External"/><Relationship Id="rId659" Type="http://schemas.openxmlformats.org/officeDocument/2006/relationships/hyperlink" Target="https://card.tap-savvy.com/SANDEEP-DUGGAL_BNI-INFINITE/1316" TargetMode="External"/><Relationship Id="rId824" Type="http://schemas.openxmlformats.org/officeDocument/2006/relationships/hyperlink" Target="https://www.ashishlifescience.com/" TargetMode="External"/><Relationship Id="rId214" Type="http://schemas.openxmlformats.org/officeDocument/2006/relationships/hyperlink" Target="https://www.sunberaindia.in/" TargetMode="External"/><Relationship Id="rId256" Type="http://schemas.openxmlformats.org/officeDocument/2006/relationships/hyperlink" Target="https://www.bajajcapital.com/" TargetMode="External"/><Relationship Id="rId298" Type="http://schemas.openxmlformats.org/officeDocument/2006/relationships/hyperlink" Target="https://tallajewellers.in/" TargetMode="External"/><Relationship Id="rId421" Type="http://schemas.openxmlformats.org/officeDocument/2006/relationships/hyperlink" Target="https://card.tap-savvy.com/JAS-SHAH/233" TargetMode="External"/><Relationship Id="rId463" Type="http://schemas.openxmlformats.org/officeDocument/2006/relationships/hyperlink" Target="https://card.tap-savvy.com/GATE-WAY-ABROAD_PRATIK-MALDE/804" TargetMode="External"/><Relationship Id="rId519" Type="http://schemas.openxmlformats.org/officeDocument/2006/relationships/hyperlink" Target="https://card.tap-savvy.com/MANISH-BALWANI_BNI-LIGHTHOUSE/1351" TargetMode="External"/><Relationship Id="rId670" Type="http://schemas.openxmlformats.org/officeDocument/2006/relationships/hyperlink" Target="https://card.tap-savvy.com/DHARMESH-PATEL_BNI-INFINITE/1387" TargetMode="External"/><Relationship Id="rId116" Type="http://schemas.openxmlformats.org/officeDocument/2006/relationships/hyperlink" Target="https://www.grasi.in/" TargetMode="External"/><Relationship Id="rId158" Type="http://schemas.openxmlformats.org/officeDocument/2006/relationships/hyperlink" Target="https://www.grasi.in/" TargetMode="External"/><Relationship Id="rId323" Type="http://schemas.openxmlformats.org/officeDocument/2006/relationships/hyperlink" Target="https://kamajewelry.com/" TargetMode="External"/><Relationship Id="rId530" Type="http://schemas.openxmlformats.org/officeDocument/2006/relationships/hyperlink" Target="http://www.jmbrand.in/" TargetMode="External"/><Relationship Id="rId726" Type="http://schemas.openxmlformats.org/officeDocument/2006/relationships/hyperlink" Target="https://card.tap-savvy.com/LLumar_Autologix_Karthik-Bhandari/988" TargetMode="External"/><Relationship Id="rId768" Type="http://schemas.openxmlformats.org/officeDocument/2006/relationships/hyperlink" Target="https://card.tap-savvy.com/GRAS-I_DEEPAKKUMAR-DAS/859" TargetMode="External"/><Relationship Id="rId20" Type="http://schemas.openxmlformats.org/officeDocument/2006/relationships/hyperlink" Target="http://www.samrutholidays.com/" TargetMode="External"/><Relationship Id="rId62" Type="http://schemas.openxmlformats.org/officeDocument/2006/relationships/hyperlink" Target="https://www.seventeenevents.com/" TargetMode="External"/><Relationship Id="rId365" Type="http://schemas.openxmlformats.org/officeDocument/2006/relationships/hyperlink" Target="https://www.malabargoldanddiamonds.com/" TargetMode="External"/><Relationship Id="rId572" Type="http://schemas.openxmlformats.org/officeDocument/2006/relationships/hyperlink" Target="https://card.tap-savvy.com/SWEET-FASHION_RAKESH-LAKHOTIA/1229" TargetMode="External"/><Relationship Id="rId628" Type="http://schemas.openxmlformats.org/officeDocument/2006/relationships/hyperlink" Target="https://card.tap-savvy.com/MITHEEL-JAGADA_BNI-INFINITE/1282" TargetMode="External"/><Relationship Id="rId835" Type="http://schemas.openxmlformats.org/officeDocument/2006/relationships/hyperlink" Target="https://card.tap-savvy.com/AshishLifeScience_Jaiprakash-Todi/1028" TargetMode="External"/><Relationship Id="rId225" Type="http://schemas.openxmlformats.org/officeDocument/2006/relationships/hyperlink" Target="http://deepcomputers.info/index.html" TargetMode="External"/><Relationship Id="rId267" Type="http://schemas.openxmlformats.org/officeDocument/2006/relationships/hyperlink" Target="https://www.bajajcapital.com/" TargetMode="External"/><Relationship Id="rId432" Type="http://schemas.openxmlformats.org/officeDocument/2006/relationships/hyperlink" Target="https://card.tap-savvy.com/CHOPSTICK_TUSHAR-MAROLIA/306" TargetMode="External"/><Relationship Id="rId474" Type="http://schemas.openxmlformats.org/officeDocument/2006/relationships/hyperlink" Target="https://card.tap-savvy.com/ANKIT_JAIN_TAP/828" TargetMode="External"/><Relationship Id="rId127" Type="http://schemas.openxmlformats.org/officeDocument/2006/relationships/hyperlink" Target="https://www.grasi.in/" TargetMode="External"/><Relationship Id="rId681" Type="http://schemas.openxmlformats.org/officeDocument/2006/relationships/hyperlink" Target="https://card.tap-savvy.com/BAJAJ-CAPITAL_JINESH-NAIR/1396" TargetMode="External"/><Relationship Id="rId737" Type="http://schemas.openxmlformats.org/officeDocument/2006/relationships/hyperlink" Target="https://card.tap-savvy.com/LLumar_Prodetail_Sameer-Shah/1000" TargetMode="External"/><Relationship Id="rId779" Type="http://schemas.openxmlformats.org/officeDocument/2006/relationships/hyperlink" Target="https://card.tap-savvy.com/White-Wish-co_DEVANSHI/886" TargetMode="External"/><Relationship Id="rId31" Type="http://schemas.openxmlformats.org/officeDocument/2006/relationships/hyperlink" Target="https://3mindsdigital.com/" TargetMode="External"/><Relationship Id="rId73" Type="http://schemas.openxmlformats.org/officeDocument/2006/relationships/hyperlink" Target="https://www.ashishlifescience.com/" TargetMode="External"/><Relationship Id="rId169" Type="http://schemas.openxmlformats.org/officeDocument/2006/relationships/hyperlink" Target="https://www.grasi.in/" TargetMode="External"/><Relationship Id="rId334" Type="http://schemas.openxmlformats.org/officeDocument/2006/relationships/hyperlink" Target="https://zaveriandco.com/" TargetMode="External"/><Relationship Id="rId376" Type="http://schemas.openxmlformats.org/officeDocument/2006/relationships/hyperlink" Target="https://www.pngjewellers.com/" TargetMode="External"/><Relationship Id="rId541" Type="http://schemas.openxmlformats.org/officeDocument/2006/relationships/hyperlink" Target="https://card.tap-savvy.com/BNI-TRIUMMPH_JALPA-SHAH/1430" TargetMode="External"/><Relationship Id="rId583" Type="http://schemas.openxmlformats.org/officeDocument/2006/relationships/hyperlink" Target="https://card.tap-savvy.com/LOVELY-MIX-CO_LOVELY-JAGTIANI/1240" TargetMode="External"/><Relationship Id="rId639" Type="http://schemas.openxmlformats.org/officeDocument/2006/relationships/hyperlink" Target="https://card.tap-savvy.com/CHETAN-JOSHI_BNI-INFINITE/1293" TargetMode="External"/><Relationship Id="rId790" Type="http://schemas.openxmlformats.org/officeDocument/2006/relationships/hyperlink" Target="https://card.tap-savvy.com/Avaran-Jewellery/921" TargetMode="External"/><Relationship Id="rId804" Type="http://schemas.openxmlformats.org/officeDocument/2006/relationships/hyperlink" Target="https://card.tap-savvy.com/Cosmic-Healings_Chaitali-Jhaveri/947" TargetMode="External"/><Relationship Id="rId4" Type="http://schemas.openxmlformats.org/officeDocument/2006/relationships/hyperlink" Target="https://www.azbpartners.com/" TargetMode="External"/><Relationship Id="rId180" Type="http://schemas.openxmlformats.org/officeDocument/2006/relationships/hyperlink" Target="https://www.grasi.in/" TargetMode="External"/><Relationship Id="rId236" Type="http://schemas.openxmlformats.org/officeDocument/2006/relationships/hyperlink" Target="https://www.bajajcapital.com/" TargetMode="External"/><Relationship Id="rId278" Type="http://schemas.openxmlformats.org/officeDocument/2006/relationships/hyperlink" Target="https://www.mpswarnamahal.com/" TargetMode="External"/><Relationship Id="rId401" Type="http://schemas.openxmlformats.org/officeDocument/2006/relationships/hyperlink" Target="https://just-feel-555523.framer.app/" TargetMode="External"/><Relationship Id="rId443" Type="http://schemas.openxmlformats.org/officeDocument/2006/relationships/hyperlink" Target="https://card.tap-savvy.com/KASHISH-ENTERPRISE_RAVI-JAIN/451" TargetMode="External"/><Relationship Id="rId650" Type="http://schemas.openxmlformats.org/officeDocument/2006/relationships/hyperlink" Target="https://card.tap-savvy.com/HARDIK-PUROHIT_BNI-iNFINITE/1307" TargetMode="External"/><Relationship Id="rId846" Type="http://schemas.openxmlformats.org/officeDocument/2006/relationships/hyperlink" Target="https://card.tap-savvy.com/LLumar_The-Detailing-Studio_Jay-Devecha/1127" TargetMode="External"/><Relationship Id="rId303" Type="http://schemas.openxmlformats.org/officeDocument/2006/relationships/hyperlink" Target="http://www.manoharlal.com/" TargetMode="External"/><Relationship Id="rId485" Type="http://schemas.openxmlformats.org/officeDocument/2006/relationships/hyperlink" Target="https://card.tap-savvy.com/Rahulsharmaphotography/870" TargetMode="External"/><Relationship Id="rId692" Type="http://schemas.openxmlformats.org/officeDocument/2006/relationships/hyperlink" Target="https://card.tap-savvy.com/BAJAJ-CAPITAL_NIZAMUDDIN-QUTUBUDDIN/1407" TargetMode="External"/><Relationship Id="rId706" Type="http://schemas.openxmlformats.org/officeDocument/2006/relationships/hyperlink" Target="https://card.tap-savvy.com/BAJAJ-CAPITAL_VIJAY-KUMAR-DEVAKATH/1421" TargetMode="External"/><Relationship Id="rId748" Type="http://schemas.openxmlformats.org/officeDocument/2006/relationships/hyperlink" Target="https://card.tap-savvy.com/LLumar_Detailing-Bull_Khailendra-Singh/1045" TargetMode="External"/><Relationship Id="rId42" Type="http://schemas.openxmlformats.org/officeDocument/2006/relationships/hyperlink" Target="https://www.pencilstroke.in/" TargetMode="External"/><Relationship Id="rId84" Type="http://schemas.openxmlformats.org/officeDocument/2006/relationships/hyperlink" Target="https://insyncanalytics.com/" TargetMode="External"/><Relationship Id="rId138" Type="http://schemas.openxmlformats.org/officeDocument/2006/relationships/hyperlink" Target="https://www.grasi.in/" TargetMode="External"/><Relationship Id="rId345" Type="http://schemas.openxmlformats.org/officeDocument/2006/relationships/hyperlink" Target="https://www.hsj.co.in/" TargetMode="External"/><Relationship Id="rId387" Type="http://schemas.openxmlformats.org/officeDocument/2006/relationships/hyperlink" Target="https://aisshpra.com/" TargetMode="External"/><Relationship Id="rId510" Type="http://schemas.openxmlformats.org/officeDocument/2006/relationships/hyperlink" Target="https://card.tap-savvy.com/NAYAN-PATEL_BNI-LIGHTHOUSE/1342" TargetMode="External"/><Relationship Id="rId552" Type="http://schemas.openxmlformats.org/officeDocument/2006/relationships/hyperlink" Target="https://card.tap-savvy.com/BNI-TRIUMMPH_NITIN-GHADGE/1440" TargetMode="External"/><Relationship Id="rId594" Type="http://schemas.openxmlformats.org/officeDocument/2006/relationships/hyperlink" Target="https://card.tap-savvy.com/AAYUSHMAN-AMAN-MAHESHWARI/1217" TargetMode="External"/><Relationship Id="rId608" Type="http://schemas.openxmlformats.org/officeDocument/2006/relationships/hyperlink" Target="http://card.tap-savvy.com/TEE-ESSTYLE-LLP_Devesh-Singh/1199" TargetMode="External"/><Relationship Id="rId815" Type="http://schemas.openxmlformats.org/officeDocument/2006/relationships/hyperlink" Target="https://card.tap-savvy.com/Seventeen-Events_Natasha-Devadiga/961" TargetMode="External"/><Relationship Id="rId191" Type="http://schemas.openxmlformats.org/officeDocument/2006/relationships/hyperlink" Target="http://www.kmspakwan.com/" TargetMode="External"/><Relationship Id="rId205" Type="http://schemas.openxmlformats.org/officeDocument/2006/relationships/hyperlink" Target="http://www.thesilverstar.in/" TargetMode="External"/><Relationship Id="rId247" Type="http://schemas.openxmlformats.org/officeDocument/2006/relationships/hyperlink" Target="https://www.bajajcapital.com/" TargetMode="External"/><Relationship Id="rId412" Type="http://schemas.openxmlformats.org/officeDocument/2006/relationships/hyperlink" Target="http://www.socialoutstrech.com/" TargetMode="External"/><Relationship Id="rId107" Type="http://schemas.openxmlformats.org/officeDocument/2006/relationships/hyperlink" Target="https://growpro.co.in/" TargetMode="External"/><Relationship Id="rId289" Type="http://schemas.openxmlformats.org/officeDocument/2006/relationships/hyperlink" Target="https://ppjeweller.com/" TargetMode="External"/><Relationship Id="rId454" Type="http://schemas.openxmlformats.org/officeDocument/2006/relationships/hyperlink" Target="https://card.tap-savvy.com/SHUBH-EXIM_HIMMAT-JAIN/760" TargetMode="External"/><Relationship Id="rId496" Type="http://schemas.openxmlformats.org/officeDocument/2006/relationships/hyperlink" Target="https://card.tap-savvy.com/SAUMYA-SANGHVI_BNI-LIGHTHOUSE/1334" TargetMode="External"/><Relationship Id="rId661" Type="http://schemas.openxmlformats.org/officeDocument/2006/relationships/hyperlink" Target="https://card.tap-savvy.com/POONAM-GUPTA_BNI-INFINITE/1318" TargetMode="External"/><Relationship Id="rId717" Type="http://schemas.openxmlformats.org/officeDocument/2006/relationships/hyperlink" Target="https://card.tap-savvy.com/LLumar-India-McLaren-Track-Day-2024_Abhishek-Agarwal/978" TargetMode="External"/><Relationship Id="rId759" Type="http://schemas.openxmlformats.org/officeDocument/2006/relationships/hyperlink" Target="https://card.tap-savvy.com/GRAS-I_KC-MOHAN/850" TargetMode="External"/><Relationship Id="rId11" Type="http://schemas.openxmlformats.org/officeDocument/2006/relationships/hyperlink" Target="https://www.vasupati.com/" TargetMode="External"/><Relationship Id="rId53" Type="http://schemas.openxmlformats.org/officeDocument/2006/relationships/hyperlink" Target="https://bento.me/jamilur-rahaman-" TargetMode="External"/><Relationship Id="rId149" Type="http://schemas.openxmlformats.org/officeDocument/2006/relationships/hyperlink" Target="https://www.grasi.in/" TargetMode="External"/><Relationship Id="rId314" Type="http://schemas.openxmlformats.org/officeDocument/2006/relationships/hyperlink" Target="https://www.khuranajewellers.com/" TargetMode="External"/><Relationship Id="rId356" Type="http://schemas.openxmlformats.org/officeDocument/2006/relationships/hyperlink" Target="https://www.jawharajewellery.com/" TargetMode="External"/><Relationship Id="rId398" Type="http://schemas.openxmlformats.org/officeDocument/2006/relationships/hyperlink" Target="https://www.biopole.in/" TargetMode="External"/><Relationship Id="rId521" Type="http://schemas.openxmlformats.org/officeDocument/2006/relationships/hyperlink" Target="https://card.tap-savvy.com/VISHAL-LAHOTI_BNI-LIGHTHOUSE/1353" TargetMode="External"/><Relationship Id="rId563" Type="http://schemas.openxmlformats.org/officeDocument/2006/relationships/hyperlink" Target="https://card.tap-savvy.com/GLISNA_NIRALI-CHARANIYA/1379" TargetMode="External"/><Relationship Id="rId619" Type="http://schemas.openxmlformats.org/officeDocument/2006/relationships/hyperlink" Target="https://card.tap-savvy.com/SEEMA-MAKWANA_BNI-INFINITE/1272" TargetMode="External"/><Relationship Id="rId770" Type="http://schemas.openxmlformats.org/officeDocument/2006/relationships/hyperlink" Target="https://card.tap-savvy.com/GRAS-I_KAUSTAV-CHAUDHARY/861" TargetMode="External"/><Relationship Id="rId95" Type="http://schemas.openxmlformats.org/officeDocument/2006/relationships/hyperlink" Target="https://www.travezy.in/" TargetMode="External"/><Relationship Id="rId160" Type="http://schemas.openxmlformats.org/officeDocument/2006/relationships/hyperlink" Target="https://www.grasi.in/" TargetMode="External"/><Relationship Id="rId216" Type="http://schemas.openxmlformats.org/officeDocument/2006/relationships/hyperlink" Target="http://www.mockingbird.co.in/" TargetMode="External"/><Relationship Id="rId423" Type="http://schemas.openxmlformats.org/officeDocument/2006/relationships/hyperlink" Target="https://card.tap-savvy.com/DD-HOLISTIC-HEALTH-CARE_URWIZ-DARA-CHAVDA" TargetMode="External"/><Relationship Id="rId826" Type="http://schemas.openxmlformats.org/officeDocument/2006/relationships/hyperlink" Target="https://www.ashishlifescience.com/" TargetMode="External"/><Relationship Id="rId258" Type="http://schemas.openxmlformats.org/officeDocument/2006/relationships/hyperlink" Target="https://www.bajajcapital.com/" TargetMode="External"/><Relationship Id="rId465" Type="http://schemas.openxmlformats.org/officeDocument/2006/relationships/hyperlink" Target="https://card.tap-savvy.com/NEENA-JAMDADE/807" TargetMode="External"/><Relationship Id="rId630" Type="http://schemas.openxmlformats.org/officeDocument/2006/relationships/hyperlink" Target="https://card.tap-savvy.com/MUSTAFA-SHABBIR_BNI-INFINITE/1284" TargetMode="External"/><Relationship Id="rId672" Type="http://schemas.openxmlformats.org/officeDocument/2006/relationships/hyperlink" Target="https://card.tap-savvy.com/KRISHNA-THALESAR_BNI-INFINITE/1305" TargetMode="External"/><Relationship Id="rId728" Type="http://schemas.openxmlformats.org/officeDocument/2006/relationships/hyperlink" Target="https://card.tap-savvy.com/LLumar-Detailing-Bull_Ved-Prakash/991" TargetMode="External"/><Relationship Id="rId22" Type="http://schemas.openxmlformats.org/officeDocument/2006/relationships/hyperlink" Target="https://pdsltd.com/" TargetMode="External"/><Relationship Id="rId64" Type="http://schemas.openxmlformats.org/officeDocument/2006/relationships/hyperlink" Target="https://www.seventeenevents.com/" TargetMode="External"/><Relationship Id="rId118" Type="http://schemas.openxmlformats.org/officeDocument/2006/relationships/hyperlink" Target="https://www.grasi.in/" TargetMode="External"/><Relationship Id="rId325" Type="http://schemas.openxmlformats.org/officeDocument/2006/relationships/hyperlink" Target="https://www.batukbhai.com/" TargetMode="External"/><Relationship Id="rId367" Type="http://schemas.openxmlformats.org/officeDocument/2006/relationships/hyperlink" Target="https://www.joyalukkas.in/" TargetMode="External"/><Relationship Id="rId532" Type="http://schemas.openxmlformats.org/officeDocument/2006/relationships/hyperlink" Target="https://card.tap-savvy.com/DHRUVI-SHAH_BNI-LIGHTHOUSE/1356" TargetMode="External"/><Relationship Id="rId574" Type="http://schemas.openxmlformats.org/officeDocument/2006/relationships/hyperlink" Target="https://card.tap-savvy.com/ASTRIX_Illuminar-Ventures-Pvt-Ltd_Saket-Dongre/1231" TargetMode="External"/><Relationship Id="rId171" Type="http://schemas.openxmlformats.org/officeDocument/2006/relationships/hyperlink" Target="https://www.grasi.in/" TargetMode="External"/><Relationship Id="rId227" Type="http://schemas.openxmlformats.org/officeDocument/2006/relationships/hyperlink" Target="https://simonesalon.in/" TargetMode="External"/><Relationship Id="rId781" Type="http://schemas.openxmlformats.org/officeDocument/2006/relationships/hyperlink" Target="https://card.tap-savvy.com/rajatkapoor/889" TargetMode="External"/><Relationship Id="rId837" Type="http://schemas.openxmlformats.org/officeDocument/2006/relationships/hyperlink" Target="https://card.tap-savvy.com/AshishLifeScience_Pooja-Karnik/1031" TargetMode="External"/><Relationship Id="rId269" Type="http://schemas.openxmlformats.org/officeDocument/2006/relationships/hyperlink" Target="https://www.abjewels.com/" TargetMode="External"/><Relationship Id="rId434" Type="http://schemas.openxmlformats.org/officeDocument/2006/relationships/hyperlink" Target="https://card.tap-savvy.com/VAISHALINX_NAMDEV-DESHMUKH/402" TargetMode="External"/><Relationship Id="rId476" Type="http://schemas.openxmlformats.org/officeDocument/2006/relationships/hyperlink" Target="https://card.tap-savvy.com/AKASH-GJA/830" TargetMode="External"/><Relationship Id="rId641" Type="http://schemas.openxmlformats.org/officeDocument/2006/relationships/hyperlink" Target="https://card.tap-savvy.com/BINA-PANDIT_BNI-INFINITE/1295" TargetMode="External"/><Relationship Id="rId683" Type="http://schemas.openxmlformats.org/officeDocument/2006/relationships/hyperlink" Target="https://card.tap-savvy.com/BAJAJ-CAPITAL_KARAN-CHETRY/1398" TargetMode="External"/><Relationship Id="rId739" Type="http://schemas.openxmlformats.org/officeDocument/2006/relationships/hyperlink" Target="https://card.tap-savvy.com/LLumar-Autozville_Ambrose/1002" TargetMode="External"/><Relationship Id="rId33" Type="http://schemas.openxmlformats.org/officeDocument/2006/relationships/hyperlink" Target="https://www.vchic.in/" TargetMode="External"/><Relationship Id="rId129" Type="http://schemas.openxmlformats.org/officeDocument/2006/relationships/hyperlink" Target="https://www.grasi.in/" TargetMode="External"/><Relationship Id="rId280" Type="http://schemas.openxmlformats.org/officeDocument/2006/relationships/hyperlink" Target="https://www.dpjewellers.com/" TargetMode="External"/><Relationship Id="rId336" Type="http://schemas.openxmlformats.org/officeDocument/2006/relationships/hyperlink" Target="https://zaveriandco.com/" TargetMode="External"/><Relationship Id="rId501" Type="http://schemas.openxmlformats.org/officeDocument/2006/relationships/hyperlink" Target="https://card.tap-savvy.com/MANISH-JAIN_BNI-LIGHTHOUSE/1330" TargetMode="External"/><Relationship Id="rId543" Type="http://schemas.openxmlformats.org/officeDocument/2006/relationships/hyperlink" Target="https://card.tap-savvy.com/BNI-TRIUMMPH_KHUSHNAM-KARANJIA/1433" TargetMode="External"/><Relationship Id="rId75" Type="http://schemas.openxmlformats.org/officeDocument/2006/relationships/hyperlink" Target="https://www.iflynow.in/"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pngjewellers.com/" TargetMode="External"/><Relationship Id="rId403" Type="http://schemas.openxmlformats.org/officeDocument/2006/relationships/hyperlink" Target="https://kanchidesigns.com/" TargetMode="External"/><Relationship Id="rId585" Type="http://schemas.openxmlformats.org/officeDocument/2006/relationships/hyperlink" Target="https://card.tap-savvy.com/Krisha-Mehta/1248" TargetMode="External"/><Relationship Id="rId750" Type="http://schemas.openxmlformats.org/officeDocument/2006/relationships/hyperlink" Target="https://card.tap-savvy.com/LLumar_Always-Dry-NewDelhi_Vijay/1047" TargetMode="External"/><Relationship Id="rId792" Type="http://schemas.openxmlformats.org/officeDocument/2006/relationships/hyperlink" Target="https://card.tap-savvy.com/CAVAIBHAVPTHAKKAR_28022020/924" TargetMode="External"/><Relationship Id="rId806" Type="http://schemas.openxmlformats.org/officeDocument/2006/relationships/hyperlink" Target="https://card.tap-savvy.com/PaperToProject_Jalpa-Shah/951" TargetMode="External"/><Relationship Id="rId848" Type="http://schemas.openxmlformats.org/officeDocument/2006/relationships/hyperlink" Target="https://card.tap-savvy.com/LLumar_DetailingDada_Subhojeet-Chaterjee/1167" TargetMode="External"/><Relationship Id="rId6" Type="http://schemas.openxmlformats.org/officeDocument/2006/relationships/hyperlink" Target="https://cbva.in/" TargetMode="External"/><Relationship Id="rId238" Type="http://schemas.openxmlformats.org/officeDocument/2006/relationships/hyperlink" Target="https://www.bajajcapital.com/" TargetMode="External"/><Relationship Id="rId445" Type="http://schemas.openxmlformats.org/officeDocument/2006/relationships/hyperlink" Target="https://card.tap-savvy.com/KEY2HAPPYLIFEPVTLTD_MALLICKPAREKH/458" TargetMode="External"/><Relationship Id="rId487" Type="http://schemas.openxmlformats.org/officeDocument/2006/relationships/hyperlink" Target="https://card.tap-savvy.com/Varshachaturvedi/872" TargetMode="External"/><Relationship Id="rId610" Type="http://schemas.openxmlformats.org/officeDocument/2006/relationships/hyperlink" Target="https://card.tap-savvy.com/Kothari-Investments_Harsh-Kothari/1197" TargetMode="External"/><Relationship Id="rId652" Type="http://schemas.openxmlformats.org/officeDocument/2006/relationships/hyperlink" Target="https://card.tap-savvy.com/MILAN-PANDYA_BNI-INFINITE/1309" TargetMode="External"/><Relationship Id="rId694" Type="http://schemas.openxmlformats.org/officeDocument/2006/relationships/hyperlink" Target="https://card.tap-savvy.com/BAJAJ-CAPITAL_SANDEEP-ANANT-AMBEKAR/1409" TargetMode="External"/><Relationship Id="rId708" Type="http://schemas.openxmlformats.org/officeDocument/2006/relationships/hyperlink" Target="https://card.tap-savvy.com/BAJAJ-CAPITAL_VIPIN-ANAND/1423" TargetMode="External"/><Relationship Id="rId291" Type="http://schemas.openxmlformats.org/officeDocument/2006/relationships/hyperlink" Target="http://www.sonachandis.com/" TargetMode="External"/><Relationship Id="rId305" Type="http://schemas.openxmlformats.org/officeDocument/2006/relationships/hyperlink" Target="https://www.rokdejeweller.com/" TargetMode="External"/><Relationship Id="rId347" Type="http://schemas.openxmlformats.org/officeDocument/2006/relationships/hyperlink" Target="https://www.tbztheoriginal.com/" TargetMode="External"/><Relationship Id="rId512" Type="http://schemas.openxmlformats.org/officeDocument/2006/relationships/hyperlink" Target="https://card.tap-savvy.com/MAZIYA-CHANDIWALA_BNI-LIGHTHOUSE/1343" TargetMode="External"/><Relationship Id="rId44" Type="http://schemas.openxmlformats.org/officeDocument/2006/relationships/hyperlink" Target="https://www.evenbetter.co.in/" TargetMode="External"/><Relationship Id="rId86" Type="http://schemas.openxmlformats.org/officeDocument/2006/relationships/hyperlink" Target="https://www.askkonsultancy.com/" TargetMode="External"/><Relationship Id="rId151" Type="http://schemas.openxmlformats.org/officeDocument/2006/relationships/hyperlink" Target="https://www.grasi.in/" TargetMode="External"/><Relationship Id="rId389" Type="http://schemas.openxmlformats.org/officeDocument/2006/relationships/hyperlink" Target="https://www.ejindia.com/" TargetMode="External"/><Relationship Id="rId554" Type="http://schemas.openxmlformats.org/officeDocument/2006/relationships/hyperlink" Target="https://card.tap-savvy.com/BNI-TRIUMMPH_KUNAL-JAIN/1461" TargetMode="External"/><Relationship Id="rId596" Type="http://schemas.openxmlformats.org/officeDocument/2006/relationships/hyperlink" Target="https://card.tap-savvy.com/AKASH-ENTERPRISES_DINESH-TORASKAR/1209" TargetMode="External"/><Relationship Id="rId761" Type="http://schemas.openxmlformats.org/officeDocument/2006/relationships/hyperlink" Target="https://card.tap-savvy.com/GRAS-I_BHARAT-PANDYA/852" TargetMode="External"/><Relationship Id="rId817" Type="http://schemas.openxmlformats.org/officeDocument/2006/relationships/hyperlink" Target="https://card.tap-savvy.com/ALICANTOS-STUDIO_HIMANI-JAIN/902" TargetMode="External"/><Relationship Id="rId193" Type="http://schemas.openxmlformats.org/officeDocument/2006/relationships/hyperlink" Target="http://www.angelswork.in/" TargetMode="External"/><Relationship Id="rId207" Type="http://schemas.openxmlformats.org/officeDocument/2006/relationships/hyperlink" Target="https://www.critontech.com/" TargetMode="External"/><Relationship Id="rId249" Type="http://schemas.openxmlformats.org/officeDocument/2006/relationships/hyperlink" Target="https://www.bajajcapital.com/" TargetMode="External"/><Relationship Id="rId414" Type="http://schemas.openxmlformats.org/officeDocument/2006/relationships/hyperlink" Target="http://www.gnanoworld.com/" TargetMode="External"/><Relationship Id="rId456" Type="http://schemas.openxmlformats.org/officeDocument/2006/relationships/hyperlink" Target="https://card.tap-savvy.com/SiddharthJainVelcordTextiles/762" TargetMode="External"/><Relationship Id="rId498" Type="http://schemas.openxmlformats.org/officeDocument/2006/relationships/hyperlink" Target="https://card.tap-savvy.com/DR.HATIM-MERCHANT_BNI-LIGHTHOUSE/1333" TargetMode="External"/><Relationship Id="rId621" Type="http://schemas.openxmlformats.org/officeDocument/2006/relationships/hyperlink" Target="https://card.tap-savvy.com/DEVANSHI-SHAH_BNI-INFINITE/1275" TargetMode="External"/><Relationship Id="rId663" Type="http://schemas.openxmlformats.org/officeDocument/2006/relationships/hyperlink" Target="https://card.tap-savvy.com/PRASHANTH-SOLANKI_BNI-INFINITE/1320" TargetMode="External"/><Relationship Id="rId13" Type="http://schemas.openxmlformats.org/officeDocument/2006/relationships/hyperlink" Target="https://www.vasupati.com/" TargetMode="External"/><Relationship Id="rId109" Type="http://schemas.openxmlformats.org/officeDocument/2006/relationships/hyperlink" Target="https://dyt.co.in/" TargetMode="External"/><Relationship Id="rId260" Type="http://schemas.openxmlformats.org/officeDocument/2006/relationships/hyperlink" Target="https://www.bajajcapital.com/" TargetMode="External"/><Relationship Id="rId316" Type="http://schemas.openxmlformats.org/officeDocument/2006/relationships/hyperlink" Target="https://www.josalukkasonline.com/" TargetMode="External"/><Relationship Id="rId523" Type="http://schemas.openxmlformats.org/officeDocument/2006/relationships/hyperlink" Target="https://card.tap-savvy.com/NAGESH-MORE_BNI-LIGHTHOUSE/1358" TargetMode="External"/><Relationship Id="rId719" Type="http://schemas.openxmlformats.org/officeDocument/2006/relationships/hyperlink" Target="https://card.tap-savvy.com/LLumar-India-McLaren-Track-Day-2024_Rahul-Yadav/980" TargetMode="External"/><Relationship Id="rId55" Type="http://schemas.openxmlformats.org/officeDocument/2006/relationships/hyperlink" Target="https://www.cosmichealings.in/" TargetMode="External"/><Relationship Id="rId97" Type="http://schemas.openxmlformats.org/officeDocument/2006/relationships/hyperlink" Target="https://www.dinustatteidli.com/" TargetMode="External"/><Relationship Id="rId120" Type="http://schemas.openxmlformats.org/officeDocument/2006/relationships/hyperlink" Target="https://www.grasi.in/" TargetMode="External"/><Relationship Id="rId358" Type="http://schemas.openxmlformats.org/officeDocument/2006/relationships/hyperlink" Target="https://www.jawharajewellery.com/" TargetMode="External"/><Relationship Id="rId565" Type="http://schemas.openxmlformats.org/officeDocument/2006/relationships/hyperlink" Target="https://card.tap-savvy.com/ONE-CLICK-LOGISTICS-INDIA-LIMITED_MAHESH-BHANUSHALI/1380" TargetMode="External"/><Relationship Id="rId730" Type="http://schemas.openxmlformats.org/officeDocument/2006/relationships/hyperlink" Target="https://card.tap-savvy.com/LLumar_SD-Jaipur_Ravi-Dewani/993" TargetMode="External"/><Relationship Id="rId772" Type="http://schemas.openxmlformats.org/officeDocument/2006/relationships/hyperlink" Target="https://card.tap-savvy.com/GRAS-I_M-SURIYA/863" TargetMode="External"/><Relationship Id="rId828" Type="http://schemas.openxmlformats.org/officeDocument/2006/relationships/hyperlink" Target="https://www.ashishlifescience.com/" TargetMode="External"/><Relationship Id="rId162" Type="http://schemas.openxmlformats.org/officeDocument/2006/relationships/hyperlink" Target="https://www.grasi.in/" TargetMode="External"/><Relationship Id="rId218" Type="http://schemas.openxmlformats.org/officeDocument/2006/relationships/hyperlink" Target="https://papercurrency.in/" TargetMode="External"/><Relationship Id="rId425" Type="http://schemas.openxmlformats.org/officeDocument/2006/relationships/hyperlink" Target="https://card.tap-savvy.com/BRIJESH-RATHOD/157" TargetMode="External"/><Relationship Id="rId467" Type="http://schemas.openxmlformats.org/officeDocument/2006/relationships/hyperlink" Target="https://card.tap-savvy.com/NAMASTE_NEHA-MISHRA/810" TargetMode="External"/><Relationship Id="rId632" Type="http://schemas.openxmlformats.org/officeDocument/2006/relationships/hyperlink" Target="https://card.tap-savvy.com/HARDIK-GADHIA_BNI-INFINITE/1286" TargetMode="External"/><Relationship Id="rId271" Type="http://schemas.openxmlformats.org/officeDocument/2006/relationships/hyperlink" Target="https://www.abjewels.com/" TargetMode="External"/><Relationship Id="rId674" Type="http://schemas.openxmlformats.org/officeDocument/2006/relationships/hyperlink" Target="https://card.tap-savvy.com/BAJAJ-CAPITAL_AVRO-MUKERJI/1389" TargetMode="External"/><Relationship Id="rId24" Type="http://schemas.openxmlformats.org/officeDocument/2006/relationships/hyperlink" Target="https://njdigit.com/" TargetMode="External"/><Relationship Id="rId66" Type="http://schemas.openxmlformats.org/officeDocument/2006/relationships/hyperlink" Target="https://www.giftam.com/" TargetMode="External"/><Relationship Id="rId131" Type="http://schemas.openxmlformats.org/officeDocument/2006/relationships/hyperlink" Target="https://www.grasi.in/" TargetMode="External"/><Relationship Id="rId327" Type="http://schemas.openxmlformats.org/officeDocument/2006/relationships/hyperlink" Target="https://www.batukbhai.com/" TargetMode="External"/><Relationship Id="rId369" Type="http://schemas.openxmlformats.org/officeDocument/2006/relationships/hyperlink" Target="https://www.gold.org/" TargetMode="External"/><Relationship Id="rId534" Type="http://schemas.openxmlformats.org/officeDocument/2006/relationships/hyperlink" Target="https://card.tap-savvy.com/BNI-TRIUMMPH_AHAD-SHAIKH/1424" TargetMode="External"/><Relationship Id="rId576" Type="http://schemas.openxmlformats.org/officeDocument/2006/relationships/hyperlink" Target="https://card.tap-savvy.com/Sshades_Dhiirraj-Chhadwa/1233" TargetMode="External"/><Relationship Id="rId741" Type="http://schemas.openxmlformats.org/officeDocument/2006/relationships/hyperlink" Target="https://card.tap-savvy.com/LLumar_Detailing-Expert_Prashant-Thakor/1004" TargetMode="External"/><Relationship Id="rId783" Type="http://schemas.openxmlformats.org/officeDocument/2006/relationships/hyperlink" Target="https://card.tap-savvy.com/THE-DENTAL-SUITE/893" TargetMode="External"/><Relationship Id="rId839" Type="http://schemas.openxmlformats.org/officeDocument/2006/relationships/hyperlink" Target="https://card.tap-savvy.com/AshishLifeScience_Raujesh-Agarrwal/1033" TargetMode="External"/><Relationship Id="rId173" Type="http://schemas.openxmlformats.org/officeDocument/2006/relationships/hyperlink" Target="https://www.grasi.in/" TargetMode="External"/><Relationship Id="rId229" Type="http://schemas.openxmlformats.org/officeDocument/2006/relationships/hyperlink" Target="https://pestreliefservices.com/" TargetMode="External"/><Relationship Id="rId380" Type="http://schemas.openxmlformats.org/officeDocument/2006/relationships/hyperlink" Target="https://www.pngjewellers.com/" TargetMode="External"/><Relationship Id="rId436" Type="http://schemas.openxmlformats.org/officeDocument/2006/relationships/hyperlink" Target="https://card.tap-savvy.com/VASUPATI-JEWELLERS_MUKESH-KOTHARI/404" TargetMode="External"/><Relationship Id="rId601" Type="http://schemas.openxmlformats.org/officeDocument/2006/relationships/hyperlink" Target="https://card.tap-savvy.com/J-MADHU-ADVERTISING&amp;MARKETING-PVT-LTD_PRAKASH-KONAR/1206" TargetMode="External"/><Relationship Id="rId643" Type="http://schemas.openxmlformats.org/officeDocument/2006/relationships/hyperlink" Target="https://card.tap-savvy.com/PUSHPENDRA-JAIN_BNI-INFINITE/1297" TargetMode="External"/><Relationship Id="rId240" Type="http://schemas.openxmlformats.org/officeDocument/2006/relationships/hyperlink" Target="https://www.bajajcapital.com/" TargetMode="External"/><Relationship Id="rId478" Type="http://schemas.openxmlformats.org/officeDocument/2006/relationships/hyperlink" Target="https://card.tap-savvy.com/Gateway_Abroad_Nisha_Nair/833" TargetMode="External"/><Relationship Id="rId685" Type="http://schemas.openxmlformats.org/officeDocument/2006/relationships/hyperlink" Target="https://card.tap-savvy.com/BAJAJ-CAPITAL_MEGHA-UPADHYAY/1400" TargetMode="External"/><Relationship Id="rId35" Type="http://schemas.openxmlformats.org/officeDocument/2006/relationships/hyperlink" Target="https://chandorkarandassociates.in/" TargetMode="External"/><Relationship Id="rId77" Type="http://schemas.openxmlformats.org/officeDocument/2006/relationships/hyperlink" Target="https://turtledownunder.com.au/" TargetMode="External"/><Relationship Id="rId100" Type="http://schemas.openxmlformats.org/officeDocument/2006/relationships/hyperlink" Target="https://www.kothariinvestments.com/" TargetMode="External"/><Relationship Id="rId282" Type="http://schemas.openxmlformats.org/officeDocument/2006/relationships/hyperlink" Target="https://www.dpjewellers.com/" TargetMode="External"/><Relationship Id="rId338" Type="http://schemas.openxmlformats.org/officeDocument/2006/relationships/hyperlink" Target="https://rankajewellers.in/" TargetMode="External"/><Relationship Id="rId503" Type="http://schemas.openxmlformats.org/officeDocument/2006/relationships/hyperlink" Target="https://cskrishnap.com/" TargetMode="External"/><Relationship Id="rId545" Type="http://schemas.openxmlformats.org/officeDocument/2006/relationships/hyperlink" Target="https://card.tap-savvy.com/BNI-TRIUMMPH_MEGHA-AGRAWWAL/1436" TargetMode="External"/><Relationship Id="rId587" Type="http://schemas.openxmlformats.org/officeDocument/2006/relationships/hyperlink" Target="https://card.tap-savvy.com/Velcord-Textiles-Pvt-Ltd_Pankaj-Sonawane/1255" TargetMode="External"/><Relationship Id="rId710" Type="http://schemas.openxmlformats.org/officeDocument/2006/relationships/hyperlink" Target="https://card.tap-savvy.com/LLumar_Bajoria-Car-Care_Suresh-Bajoria/1219" TargetMode="External"/><Relationship Id="rId752" Type="http://schemas.openxmlformats.org/officeDocument/2006/relationships/hyperlink" Target="https://card.tap-savvy.com/LLumar_Pro-Detail_Harsh-Gandhi/1049" TargetMode="External"/><Relationship Id="rId808" Type="http://schemas.openxmlformats.org/officeDocument/2006/relationships/hyperlink" Target="https://card.tap-savvy.com/DATAMATICS_Sabha-Khan/953" TargetMode="External"/><Relationship Id="rId8" Type="http://schemas.openxmlformats.org/officeDocument/2006/relationships/hyperlink" Target="https://www.scsindustrialsolutions.com/" TargetMode="External"/><Relationship Id="rId142" Type="http://schemas.openxmlformats.org/officeDocument/2006/relationships/hyperlink" Target="https://www.grasi.in/" TargetMode="External"/><Relationship Id="rId184" Type="http://schemas.openxmlformats.org/officeDocument/2006/relationships/hyperlink" Target="https://www.grasi.in/" TargetMode="External"/><Relationship Id="rId391" Type="http://schemas.openxmlformats.org/officeDocument/2006/relationships/hyperlink" Target="https://www.ejindia.com/" TargetMode="External"/><Relationship Id="rId405" Type="http://schemas.openxmlformats.org/officeDocument/2006/relationships/hyperlink" Target="https://evenbetter.co.in/" TargetMode="External"/><Relationship Id="rId447" Type="http://schemas.openxmlformats.org/officeDocument/2006/relationships/hyperlink" Target="https://card.tap-savvy.com/KEY2HAPPYLIFEPVTLTD_NAVEENKHANNA/460" TargetMode="External"/><Relationship Id="rId612" Type="http://schemas.openxmlformats.org/officeDocument/2006/relationships/hyperlink" Target="https://card.tap-savvy.com/Eastern-Financiers-Limited_Abhishek-Agarwal/1224" TargetMode="External"/><Relationship Id="rId794" Type="http://schemas.openxmlformats.org/officeDocument/2006/relationships/hyperlink" Target="https://card.tap-savvy.com/Papercurrency_Ayushi-Shah/926" TargetMode="External"/><Relationship Id="rId251" Type="http://schemas.openxmlformats.org/officeDocument/2006/relationships/hyperlink" Target="https://www.bajajcapital.com/" TargetMode="External"/><Relationship Id="rId489" Type="http://schemas.openxmlformats.org/officeDocument/2006/relationships/hyperlink" Target="https://card.tap-savvy.com/ADVSAAURABHBCHANDDORKAR_CHANDORKAR&amp;ASSOCIATES/875" TargetMode="External"/><Relationship Id="rId654" Type="http://schemas.openxmlformats.org/officeDocument/2006/relationships/hyperlink" Target="https://card.tap-savvy.com/SAGAR-POTHAN_BNI-INFINITE/1311" TargetMode="External"/><Relationship Id="rId696" Type="http://schemas.openxmlformats.org/officeDocument/2006/relationships/hyperlink" Target="https://card.tap-savvy.com/BAJAJ-CAPITAL_SANJAY-MISHRA/1411" TargetMode="External"/><Relationship Id="rId46" Type="http://schemas.openxmlformats.org/officeDocument/2006/relationships/hyperlink" Target="https://papercurrency.in/" TargetMode="External"/><Relationship Id="rId293" Type="http://schemas.openxmlformats.org/officeDocument/2006/relationships/hyperlink" Target="https://chosen.co.in/" TargetMode="External"/><Relationship Id="rId307" Type="http://schemas.openxmlformats.org/officeDocument/2006/relationships/hyperlink" Target="https://www.rankajewellers.store/" TargetMode="External"/><Relationship Id="rId349" Type="http://schemas.openxmlformats.org/officeDocument/2006/relationships/hyperlink" Target="https://talwarsons.com/" TargetMode="External"/><Relationship Id="rId514" Type="http://schemas.openxmlformats.org/officeDocument/2006/relationships/hyperlink" Target="https://card.tap-savvy.com/VARUN-GINODIA_BNI-LIGHTHOUSE/1346" TargetMode="External"/><Relationship Id="rId556" Type="http://schemas.openxmlformats.org/officeDocument/2006/relationships/hyperlink" Target="https://card.tap-savvy.com/BNI-TRIUMMPH_MOIN-MISTRY/1463" TargetMode="External"/><Relationship Id="rId721" Type="http://schemas.openxmlformats.org/officeDocument/2006/relationships/hyperlink" Target="https://card.tap-savvy.com/LLumar-India-McLaren-Track-Day-2024-Aryan-Dandhania/982" TargetMode="External"/><Relationship Id="rId763" Type="http://schemas.openxmlformats.org/officeDocument/2006/relationships/hyperlink" Target="https://card.tap-savvy.com/GRAS-I_SHOBBHIT-ZAVERI/854" TargetMode="External"/><Relationship Id="rId88" Type="http://schemas.openxmlformats.org/officeDocument/2006/relationships/hyperlink" Target="https://www.askkonsultancy.com/" TargetMode="External"/><Relationship Id="rId111" Type="http://schemas.openxmlformats.org/officeDocument/2006/relationships/hyperlink" Target="https://www.syntheticmolecules.com/" TargetMode="External"/><Relationship Id="rId153" Type="http://schemas.openxmlformats.org/officeDocument/2006/relationships/hyperlink" Target="https://www.grasi.in/" TargetMode="External"/><Relationship Id="rId195" Type="http://schemas.openxmlformats.org/officeDocument/2006/relationships/hyperlink" Target="https://www.mondialmmx.com/" TargetMode="External"/><Relationship Id="rId209" Type="http://schemas.openxmlformats.org/officeDocument/2006/relationships/hyperlink" Target="http://www.innexus.in/" TargetMode="External"/><Relationship Id="rId360" Type="http://schemas.openxmlformats.org/officeDocument/2006/relationships/hyperlink" Target="https://www.malabargoldanddiamonds.com/" TargetMode="External"/><Relationship Id="rId416" Type="http://schemas.openxmlformats.org/officeDocument/2006/relationships/hyperlink" Target="https://corduroy.in/" TargetMode="External"/><Relationship Id="rId598" Type="http://schemas.openxmlformats.org/officeDocument/2006/relationships/hyperlink" Target="https://card.tap-savvy.com/VIBRANT-DESI_KAPIL-VAID/1211" TargetMode="External"/><Relationship Id="rId819" Type="http://schemas.openxmlformats.org/officeDocument/2006/relationships/hyperlink" Target="https://card.tap-savvy.com/AshishLifeScience_Mr.Abdulla-Fatiya/1096" TargetMode="External"/><Relationship Id="rId220" Type="http://schemas.openxmlformats.org/officeDocument/2006/relationships/hyperlink" Target="https://khushhnmkkaranjia.com/" TargetMode="External"/><Relationship Id="rId458" Type="http://schemas.openxmlformats.org/officeDocument/2006/relationships/hyperlink" Target="https://card.tap-savvy.com/SAMRUT-HOLDAYS_NIRAJ-LALWANI/765" TargetMode="External"/><Relationship Id="rId623" Type="http://schemas.openxmlformats.org/officeDocument/2006/relationships/hyperlink" Target="https://card.tap-savvy.com/ASHAY-SAVE_BNI-INFINITE/1277" TargetMode="External"/><Relationship Id="rId665" Type="http://schemas.openxmlformats.org/officeDocument/2006/relationships/hyperlink" Target="https://card.tap-savvy.com/WINSTON-FERNANDES_BNI-INFINITE/1322" TargetMode="External"/><Relationship Id="rId830" Type="http://schemas.openxmlformats.org/officeDocument/2006/relationships/hyperlink" Target="https://www.ashishlifescience.com/" TargetMode="External"/><Relationship Id="rId15" Type="http://schemas.openxmlformats.org/officeDocument/2006/relationships/hyperlink" Target="https://www.vasupati.com/" TargetMode="External"/><Relationship Id="rId57" Type="http://schemas.openxmlformats.org/officeDocument/2006/relationships/hyperlink" Target="https://www.datamatics.com/" TargetMode="External"/><Relationship Id="rId262" Type="http://schemas.openxmlformats.org/officeDocument/2006/relationships/hyperlink" Target="https://www.bajajcapital.com/" TargetMode="External"/><Relationship Id="rId318" Type="http://schemas.openxmlformats.org/officeDocument/2006/relationships/hyperlink" Target="https://www.josalukkasonline.com/" TargetMode="External"/><Relationship Id="rId525" Type="http://schemas.openxmlformats.org/officeDocument/2006/relationships/hyperlink" Target="https://card.tap-savvy.com/AKASH-SHAH_BNI-LIGHTHOUSE/1360" TargetMode="External"/><Relationship Id="rId567" Type="http://schemas.openxmlformats.org/officeDocument/2006/relationships/hyperlink" Target="https://card.tap-savvy.com/DrMayankDoshi-Dentalclinic/1367" TargetMode="External"/><Relationship Id="rId732" Type="http://schemas.openxmlformats.org/officeDocument/2006/relationships/hyperlink" Target="https://card.tap-savvy.com/LLumar_Studio-J-Guntur_Abhishek-Juneja/995" TargetMode="External"/><Relationship Id="rId99" Type="http://schemas.openxmlformats.org/officeDocument/2006/relationships/hyperlink" Target="https://shantanukude.fundexpert.net/" TargetMode="External"/><Relationship Id="rId122" Type="http://schemas.openxmlformats.org/officeDocument/2006/relationships/hyperlink" Target="https://www.grasi.in/" TargetMode="External"/><Relationship Id="rId164" Type="http://schemas.openxmlformats.org/officeDocument/2006/relationships/hyperlink" Target="https://www.grasi.in/" TargetMode="External"/><Relationship Id="rId371" Type="http://schemas.openxmlformats.org/officeDocument/2006/relationships/hyperlink" Target="https://www.gold.org/" TargetMode="External"/><Relationship Id="rId774" Type="http://schemas.openxmlformats.org/officeDocument/2006/relationships/hyperlink" Target="https://card.tap-savvy.com/GRAS-I_SHIVRAJ-SINGH/865" TargetMode="External"/><Relationship Id="rId427" Type="http://schemas.openxmlformats.org/officeDocument/2006/relationships/hyperlink" Target="https://card.tap-savvy.com/AZB&amp;PARTNERS_PRERAK-VED/149" TargetMode="External"/><Relationship Id="rId469" Type="http://schemas.openxmlformats.org/officeDocument/2006/relationships/hyperlink" Target="https://card.tap-savvy.com/MRJ-HOME-IMPROVEMENTS-PVT-LTD_RAJESH-AHUJA/817" TargetMode="External"/><Relationship Id="rId634" Type="http://schemas.openxmlformats.org/officeDocument/2006/relationships/hyperlink" Target="https://card.tap-savvy.com/KRUPA-SHAH_BNI-INFINITE/1288" TargetMode="External"/><Relationship Id="rId676" Type="http://schemas.openxmlformats.org/officeDocument/2006/relationships/hyperlink" Target="https://card.tap-savvy.com/BAJAJ-CAPITAL_DHAVAL-VASAVADA/1391" TargetMode="External"/><Relationship Id="rId841" Type="http://schemas.openxmlformats.org/officeDocument/2006/relationships/hyperlink" Target="https://card.tap-savvy.com/I-Fly-Now_Kunal-Ramchandani/1013" TargetMode="External"/><Relationship Id="rId26" Type="http://schemas.openxmlformats.org/officeDocument/2006/relationships/hyperlink" Target="https://pestreliefservices.com/" TargetMode="External"/><Relationship Id="rId231" Type="http://schemas.openxmlformats.org/officeDocument/2006/relationships/hyperlink" Target="https://ahcapital.in/" TargetMode="External"/><Relationship Id="rId273" Type="http://schemas.openxmlformats.org/officeDocument/2006/relationships/hyperlink" Target="https://www.blhissaria.com/" TargetMode="External"/><Relationship Id="rId329" Type="http://schemas.openxmlformats.org/officeDocument/2006/relationships/hyperlink" Target="https://www.batukbhai.com/" TargetMode="External"/><Relationship Id="rId480" Type="http://schemas.openxmlformats.org/officeDocument/2006/relationships/hyperlink" Target="https://card.tap-savvy.com/Abhishek_Rao_Mks/836" TargetMode="External"/><Relationship Id="rId536" Type="http://schemas.openxmlformats.org/officeDocument/2006/relationships/hyperlink" Target="https://card.tap-savvy.com/BNI-TRIMMPH_AYUSHI-SHAH/1426" TargetMode="External"/><Relationship Id="rId701" Type="http://schemas.openxmlformats.org/officeDocument/2006/relationships/hyperlink" Target="https://card.tap-savvy.com/BAJAJ-CAPITAL_SHIKHA-GOYAL/1416" TargetMode="External"/><Relationship Id="rId68" Type="http://schemas.openxmlformats.org/officeDocument/2006/relationships/hyperlink" Target="https://www.ashishlifescience.com/" TargetMode="External"/><Relationship Id="rId133" Type="http://schemas.openxmlformats.org/officeDocument/2006/relationships/hyperlink" Target="https://www.grasi.in/" TargetMode="External"/><Relationship Id="rId175" Type="http://schemas.openxmlformats.org/officeDocument/2006/relationships/hyperlink" Target="https://www.grasi.in/" TargetMode="External"/><Relationship Id="rId340" Type="http://schemas.openxmlformats.org/officeDocument/2006/relationships/hyperlink" Target="https://www.radhikajeweltech.com/" TargetMode="External"/><Relationship Id="rId578" Type="http://schemas.openxmlformats.org/officeDocument/2006/relationships/hyperlink" Target="https://card.tap-savvy.com/Nidhiti_Pankti-Choksi/1235" TargetMode="External"/><Relationship Id="rId743" Type="http://schemas.openxmlformats.org/officeDocument/2006/relationships/hyperlink" Target="https://card.tap-savvy.com/LLumar_Poona-Motors_Anup-Chauhan/1006" TargetMode="External"/><Relationship Id="rId785" Type="http://schemas.openxmlformats.org/officeDocument/2006/relationships/hyperlink" Target="https://card.tap-savvy.com/BLOSSOM_ZAINAB-CALCUTTAWALA/895" TargetMode="External"/><Relationship Id="rId200" Type="http://schemas.openxmlformats.org/officeDocument/2006/relationships/hyperlink" Target="http://www.pearltravels.in/" TargetMode="External"/><Relationship Id="rId382" Type="http://schemas.openxmlformats.org/officeDocument/2006/relationships/hyperlink" Target="https://navrathan.com/" TargetMode="External"/><Relationship Id="rId438" Type="http://schemas.openxmlformats.org/officeDocument/2006/relationships/hyperlink" Target="https://card.tap-savvy.com/VASUPATI-JEWELLERS_NISHI-KOTHARI/406" TargetMode="External"/><Relationship Id="rId603" Type="http://schemas.openxmlformats.org/officeDocument/2006/relationships/hyperlink" Target="https://card.tap-savvy.com/ALLURE&amp;ADORN_POOJA-GUPTA/1208" TargetMode="External"/><Relationship Id="rId645" Type="http://schemas.openxmlformats.org/officeDocument/2006/relationships/hyperlink" Target="https://card.tap-savvy.com/TEJAS-SANGHVI_BNI-INFINITE/1300" TargetMode="External"/><Relationship Id="rId687" Type="http://schemas.openxmlformats.org/officeDocument/2006/relationships/hyperlink" Target="https://card.tap-savvy.com/BAJAJ-CAPITAL_MOUSHUMI-TIWARY/1402" TargetMode="External"/><Relationship Id="rId810" Type="http://schemas.openxmlformats.org/officeDocument/2006/relationships/hyperlink" Target="https://card.tap-savvy.com/Seventeen-Events_Bhavika-Trivedi/955" TargetMode="External"/><Relationship Id="rId242" Type="http://schemas.openxmlformats.org/officeDocument/2006/relationships/hyperlink" Target="https://www.bajajcapital.com/" TargetMode="External"/><Relationship Id="rId284" Type="http://schemas.openxmlformats.org/officeDocument/2006/relationships/hyperlink" Target="https://www.motisonsjewellers.com/" TargetMode="External"/><Relationship Id="rId491" Type="http://schemas.openxmlformats.org/officeDocument/2006/relationships/hyperlink" Target="https://card.tap-savvy.com/SHEETAL-MOUTHFRESHNERS_SAMVEG-MEHTA/878" TargetMode="External"/><Relationship Id="rId505" Type="http://schemas.openxmlformats.org/officeDocument/2006/relationships/hyperlink" Target="http://tryskinthirst.com/" TargetMode="External"/><Relationship Id="rId712" Type="http://schemas.openxmlformats.org/officeDocument/2006/relationships/hyperlink" Target="https://card.tap-savvy.com/LLumar-India_McLaren-Track-Day-2024/973" TargetMode="External"/><Relationship Id="rId37" Type="http://schemas.openxmlformats.org/officeDocument/2006/relationships/hyperlink" Target="https://www.davandco.com/" TargetMode="External"/><Relationship Id="rId79" Type="http://schemas.openxmlformats.org/officeDocument/2006/relationships/hyperlink" Target="https://turtledownunder.com.au/" TargetMode="External"/><Relationship Id="rId102" Type="http://schemas.openxmlformats.org/officeDocument/2006/relationships/hyperlink" Target="https://www.creativellp.com/" TargetMode="External"/><Relationship Id="rId144" Type="http://schemas.openxmlformats.org/officeDocument/2006/relationships/hyperlink" Target="https://www.grasi.in/" TargetMode="External"/><Relationship Id="rId547" Type="http://schemas.openxmlformats.org/officeDocument/2006/relationships/hyperlink" Target="https://card.tap-savvy.com/BNI-TRIUMMPH_NEENA-JAMDADE/1438" TargetMode="External"/><Relationship Id="rId589" Type="http://schemas.openxmlformats.org/officeDocument/2006/relationships/hyperlink" Target="https://card.tap-savvy.com/Synthetic-Molecules-Private-Limited_Kishor-Thakur/1258" TargetMode="External"/><Relationship Id="rId754" Type="http://schemas.openxmlformats.org/officeDocument/2006/relationships/hyperlink" Target="https://card.tap-savvy.com/Llumar_Bhawani-Motors_Yamank-Pattidar/1057" TargetMode="External"/><Relationship Id="rId796" Type="http://schemas.openxmlformats.org/officeDocument/2006/relationships/hyperlink" Target="https://card.tap-savvy.com/Wrapsandtags_Shraddha-Shah/932" TargetMode="External"/><Relationship Id="rId90" Type="http://schemas.openxmlformats.org/officeDocument/2006/relationships/hyperlink" Target="https://www.thetapegaasi.com/" TargetMode="External"/><Relationship Id="rId186" Type="http://schemas.openxmlformats.org/officeDocument/2006/relationships/hyperlink" Target="https://www.grasi.in/" TargetMode="External"/><Relationship Id="rId351" Type="http://schemas.openxmlformats.org/officeDocument/2006/relationships/hyperlink" Target="https://talwarsons.com/" TargetMode="External"/><Relationship Id="rId393" Type="http://schemas.openxmlformats.org/officeDocument/2006/relationships/hyperlink" Target="https://www.bholasons.com/" TargetMode="External"/><Relationship Id="rId407" Type="http://schemas.openxmlformats.org/officeDocument/2006/relationships/hyperlink" Target="https://www.opc.co.in/" TargetMode="External"/><Relationship Id="rId449" Type="http://schemas.openxmlformats.org/officeDocument/2006/relationships/hyperlink" Target="https://card.tap-savvy.com/HARRY-BYCYCLE-RENTAL/704" TargetMode="External"/><Relationship Id="rId614" Type="http://schemas.openxmlformats.org/officeDocument/2006/relationships/hyperlink" Target="https://card.tap-savvy.com/ASK-KONSULTANCY_BUSHRA-VORA/1110" TargetMode="External"/><Relationship Id="rId656" Type="http://schemas.openxmlformats.org/officeDocument/2006/relationships/hyperlink" Target="https://card.tap-savvy.com/NILAY-BHATTER_BNI-INFINITE/1313" TargetMode="External"/><Relationship Id="rId821" Type="http://schemas.openxmlformats.org/officeDocument/2006/relationships/hyperlink" Target="https://card.tap-savvy.com/AshishLifeScience_Nilesh-Chavan/1034" TargetMode="External"/><Relationship Id="rId211" Type="http://schemas.openxmlformats.org/officeDocument/2006/relationships/hyperlink" Target="http://www.expresslearning.in/" TargetMode="External"/><Relationship Id="rId253" Type="http://schemas.openxmlformats.org/officeDocument/2006/relationships/hyperlink" Target="https://www.bajajcapital.com/" TargetMode="External"/><Relationship Id="rId295" Type="http://schemas.openxmlformats.org/officeDocument/2006/relationships/hyperlink" Target="http://www.manikchandjewellers.com/" TargetMode="External"/><Relationship Id="rId309" Type="http://schemas.openxmlformats.org/officeDocument/2006/relationships/hyperlink" Target="https://www.metalsfocus.com/" TargetMode="External"/><Relationship Id="rId460" Type="http://schemas.openxmlformats.org/officeDocument/2006/relationships/hyperlink" Target="https://card.tap-savvy.com/Qvitta-TheWriteMind/774" TargetMode="External"/><Relationship Id="rId516" Type="http://schemas.openxmlformats.org/officeDocument/2006/relationships/hyperlink" Target="https://card.tap-savvy.com/TRAPTI-KARIA_BNI-LIGHTHOUSE/1348" TargetMode="External"/><Relationship Id="rId698" Type="http://schemas.openxmlformats.org/officeDocument/2006/relationships/hyperlink" Target="https://card.tap-savvy.com/BAJAJ-CAPITAL_SATIS-MONGA/1413" TargetMode="External"/><Relationship Id="rId48" Type="http://schemas.openxmlformats.org/officeDocument/2006/relationships/hyperlink" Target="https://www.thegamedrive.com/" TargetMode="External"/><Relationship Id="rId113" Type="http://schemas.openxmlformats.org/officeDocument/2006/relationships/hyperlink" Target="https://leadershipwithdeepa.com/" TargetMode="External"/><Relationship Id="rId320" Type="http://schemas.openxmlformats.org/officeDocument/2006/relationships/hyperlink" Target="https://www.thebhimajewellery.com/" TargetMode="External"/><Relationship Id="rId558" Type="http://schemas.openxmlformats.org/officeDocument/2006/relationships/hyperlink" Target="https://card.tap-savvy.com/BNI-TRIUMMPH_DR.SANKET-BRAHMBHATT/1452" TargetMode="External"/><Relationship Id="rId723" Type="http://schemas.openxmlformats.org/officeDocument/2006/relationships/hyperlink" Target="https://card.tap-savvy.com/LLumar-India-McLaren-Track-Day-2024_Bharat-Reddy/984" TargetMode="External"/><Relationship Id="rId765" Type="http://schemas.openxmlformats.org/officeDocument/2006/relationships/hyperlink" Target="https://card.tap-savvy.com/GRAS-I_ASHOK-SINGH/855" TargetMode="External"/><Relationship Id="rId155" Type="http://schemas.openxmlformats.org/officeDocument/2006/relationships/hyperlink" Target="https://www.grasi.in/" TargetMode="External"/><Relationship Id="rId197" Type="http://schemas.openxmlformats.org/officeDocument/2006/relationships/hyperlink" Target="http://www.kanchbazaar.com/" TargetMode="External"/><Relationship Id="rId362" Type="http://schemas.openxmlformats.org/officeDocument/2006/relationships/hyperlink" Target="https://www.malabargoldanddiamonds.com/" TargetMode="External"/><Relationship Id="rId418" Type="http://schemas.openxmlformats.org/officeDocument/2006/relationships/hyperlink" Target="https://card.tap-savvy.com/SETUZ/278" TargetMode="External"/><Relationship Id="rId625" Type="http://schemas.openxmlformats.org/officeDocument/2006/relationships/hyperlink" Target="https://card.tap-savvy.com/SMIT-SHAH_BNI-INFINITE/1279" TargetMode="External"/><Relationship Id="rId832" Type="http://schemas.openxmlformats.org/officeDocument/2006/relationships/hyperlink" Target="https://card.tap-savvy.com/AshishLifeScience_Ashish-Shah/1024" TargetMode="External"/><Relationship Id="rId222" Type="http://schemas.openxmlformats.org/officeDocument/2006/relationships/hyperlink" Target="http://www.samrutholidays.com/" TargetMode="External"/><Relationship Id="rId264" Type="http://schemas.openxmlformats.org/officeDocument/2006/relationships/hyperlink" Target="https://www.bajajcapital.com/" TargetMode="External"/><Relationship Id="rId471" Type="http://schemas.openxmlformats.org/officeDocument/2006/relationships/hyperlink" Target="https://card.tap-savvy.com/AMITPATEL/823" TargetMode="External"/><Relationship Id="rId667" Type="http://schemas.openxmlformats.org/officeDocument/2006/relationships/hyperlink" Target="https://card.tap-savvy.com/ARIF-SAYED_BNI-INFINITE/1324" TargetMode="External"/><Relationship Id="rId17" Type="http://schemas.openxmlformats.org/officeDocument/2006/relationships/hyperlink" Target="https://www.primeindiainternational.com/" TargetMode="External"/><Relationship Id="rId59" Type="http://schemas.openxmlformats.org/officeDocument/2006/relationships/hyperlink" Target="https://www.seventeenevents.com/" TargetMode="External"/><Relationship Id="rId124" Type="http://schemas.openxmlformats.org/officeDocument/2006/relationships/hyperlink" Target="https://www.grasi.in/" TargetMode="External"/><Relationship Id="rId527" Type="http://schemas.openxmlformats.org/officeDocument/2006/relationships/hyperlink" Target="https://card.tap-savvy.com/CHAITALI-THAKKAR_BNI-LIGHTHOUSE/1362" TargetMode="External"/><Relationship Id="rId569" Type="http://schemas.openxmlformats.org/officeDocument/2006/relationships/hyperlink" Target="https://card.tap-savvy.com/MAHAVIR-HARDWARE-STUDIO_RAMESH-JAIN/1371" TargetMode="External"/><Relationship Id="rId734" Type="http://schemas.openxmlformats.org/officeDocument/2006/relationships/hyperlink" Target="https://card.tap-savvy.com/LLumar_Pacompro_Mithru-Parthipan/997" TargetMode="External"/><Relationship Id="rId776" Type="http://schemas.openxmlformats.org/officeDocument/2006/relationships/hyperlink" Target="https://card.tap-savvy.com/Xtasy_by_Megh/881" TargetMode="External"/><Relationship Id="rId70" Type="http://schemas.openxmlformats.org/officeDocument/2006/relationships/hyperlink" Target="https://www.ashishlifescience.com/" TargetMode="External"/><Relationship Id="rId166" Type="http://schemas.openxmlformats.org/officeDocument/2006/relationships/hyperlink" Target="https://www.grasi.in/" TargetMode="External"/><Relationship Id="rId331" Type="http://schemas.openxmlformats.org/officeDocument/2006/relationships/hyperlink" Target="https://www.kalyanjewellers.net/" TargetMode="External"/><Relationship Id="rId373" Type="http://schemas.openxmlformats.org/officeDocument/2006/relationships/hyperlink" Target="https://meenajewellers.com/" TargetMode="External"/><Relationship Id="rId429" Type="http://schemas.openxmlformats.org/officeDocument/2006/relationships/hyperlink" Target="https://card.tap-savvy.com/VASUPATI-JEWELLERS_SRISHTI-KOTHARI/326" TargetMode="External"/><Relationship Id="rId580" Type="http://schemas.openxmlformats.org/officeDocument/2006/relationships/hyperlink" Target="https://card.tap-savvy.com/NIPPON-LIFE-INSURANCE_10001/1237" TargetMode="External"/><Relationship Id="rId636" Type="http://schemas.openxmlformats.org/officeDocument/2006/relationships/hyperlink" Target="https://card.tap-savvy.com/JAYESH-MEGHNANI_BNI-INFINITE/1290" TargetMode="External"/><Relationship Id="rId801" Type="http://schemas.openxmlformats.org/officeDocument/2006/relationships/hyperlink" Target="https://card.tap-savvy.com/The-Game-Drive-Amita-Matkar/938" TargetMode="External"/><Relationship Id="rId1" Type="http://schemas.openxmlformats.org/officeDocument/2006/relationships/hyperlink" Target="https://www.azbpartners.com/" TargetMode="External"/><Relationship Id="rId233" Type="http://schemas.openxmlformats.org/officeDocument/2006/relationships/hyperlink" Target="https://www.bajajcapital.com/" TargetMode="External"/><Relationship Id="rId440" Type="http://schemas.openxmlformats.org/officeDocument/2006/relationships/hyperlink" Target="https://card.tap-savvy.com/KASHISH-FURNISHING_VISHAL-JAIN/448" TargetMode="External"/><Relationship Id="rId678" Type="http://schemas.openxmlformats.org/officeDocument/2006/relationships/hyperlink" Target="https://card.tap-savvy.com/BAJAJ-CAPITAL_HANUMANTHA-RAO/1393" TargetMode="External"/><Relationship Id="rId843" Type="http://schemas.openxmlformats.org/officeDocument/2006/relationships/hyperlink" Target="https://card.tap-savvy.com/Turtledownunder_Chander-Chhabriya/1016" TargetMode="External"/><Relationship Id="rId28" Type="http://schemas.openxmlformats.org/officeDocument/2006/relationships/hyperlink" Target="https://propertyservices.net.in/" TargetMode="External"/><Relationship Id="rId275" Type="http://schemas.openxmlformats.org/officeDocument/2006/relationships/hyperlink" Target="https://avrswarnamahal.com/" TargetMode="External"/><Relationship Id="rId300" Type="http://schemas.openxmlformats.org/officeDocument/2006/relationships/hyperlink" Target="https://www.dassjewellers.com/" TargetMode="External"/><Relationship Id="rId482" Type="http://schemas.openxmlformats.org/officeDocument/2006/relationships/hyperlink" Target="https://card.tap-savvy.com/Mitulgada/838" TargetMode="External"/><Relationship Id="rId538" Type="http://schemas.openxmlformats.org/officeDocument/2006/relationships/hyperlink" Target="https://card.tap-savvy.com/BNI-TRIUMMPH_DHVANIL-SHAH/1427" TargetMode="External"/><Relationship Id="rId703" Type="http://schemas.openxmlformats.org/officeDocument/2006/relationships/hyperlink" Target="https://card.tap-savvy.com/BAJAJ-CAPITAL_SIDDHARTH-CHAUHAN/1418" TargetMode="External"/><Relationship Id="rId745" Type="http://schemas.openxmlformats.org/officeDocument/2006/relationships/hyperlink" Target="https://card.tap-savvy.com/LLumar_Motor-Artz_Salman/1042" TargetMode="External"/><Relationship Id="rId81" Type="http://schemas.openxmlformats.org/officeDocument/2006/relationships/hyperlink" Target="https://www.stalwartmanagement.com/" TargetMode="External"/><Relationship Id="rId135" Type="http://schemas.openxmlformats.org/officeDocument/2006/relationships/hyperlink" Target="https://www.grasi.in/" TargetMode="External"/><Relationship Id="rId177" Type="http://schemas.openxmlformats.org/officeDocument/2006/relationships/hyperlink" Target="https://www.grasi.in/" TargetMode="External"/><Relationship Id="rId342" Type="http://schemas.openxmlformats.org/officeDocument/2006/relationships/hyperlink" Target="https://www.manoharlaljewellers.in/" TargetMode="External"/><Relationship Id="rId384" Type="http://schemas.openxmlformats.org/officeDocument/2006/relationships/hyperlink" Target="https://aisshpra.com/" TargetMode="External"/><Relationship Id="rId591" Type="http://schemas.openxmlformats.org/officeDocument/2006/relationships/hyperlink" Target="https://card.tap-savvy.com/90-Prints_Narendra-Verat/1269" TargetMode="External"/><Relationship Id="rId605" Type="http://schemas.openxmlformats.org/officeDocument/2006/relationships/hyperlink" Target="https://card.tap-savvy.com/HSR-Creation_Darshan-Sanghavi/1202" TargetMode="External"/><Relationship Id="rId787" Type="http://schemas.openxmlformats.org/officeDocument/2006/relationships/hyperlink" Target="https://card.tap-savvy.com/HEAL-HEPLPING-LIVES_HABIBA-KUDRATI/899" TargetMode="External"/><Relationship Id="rId812" Type="http://schemas.openxmlformats.org/officeDocument/2006/relationships/hyperlink" Target="https://card.tap-savvy.com/Seventeen-Events_Abbas-Sayyed/958" TargetMode="External"/><Relationship Id="rId202" Type="http://schemas.openxmlformats.org/officeDocument/2006/relationships/hyperlink" Target="https://www.mondialmmx.com/" TargetMode="External"/><Relationship Id="rId244" Type="http://schemas.openxmlformats.org/officeDocument/2006/relationships/hyperlink" Target="https://www.bajajcapital.com/" TargetMode="External"/><Relationship Id="rId647" Type="http://schemas.openxmlformats.org/officeDocument/2006/relationships/hyperlink" Target="https://card.tap-savvy.com/DEEPAK-KUMAR_BNI-INFINITE/1302" TargetMode="External"/><Relationship Id="rId689" Type="http://schemas.openxmlformats.org/officeDocument/2006/relationships/hyperlink" Target="https://card.tap-savvy.com/BAJAJ-CAPITAL_NEHA-TALWAR/1404" TargetMode="External"/><Relationship Id="rId39" Type="http://schemas.openxmlformats.org/officeDocument/2006/relationships/hyperlink" Target="https://webinsight.in/" TargetMode="External"/><Relationship Id="rId286" Type="http://schemas.openxmlformats.org/officeDocument/2006/relationships/hyperlink" Target="https://omjewellers.com/" TargetMode="External"/><Relationship Id="rId451" Type="http://schemas.openxmlformats.org/officeDocument/2006/relationships/hyperlink" Target="https://card.tap-savvy.com/BNI-INDIA_NIKHIL-DESAI/744" TargetMode="External"/><Relationship Id="rId493" Type="http://schemas.openxmlformats.org/officeDocument/2006/relationships/hyperlink" Target="https://card.tap-savvy.com/DEEPAK-A-VARIYA-&amp;-CO._DEEPAK-VARIYA/880" TargetMode="External"/><Relationship Id="rId507" Type="http://schemas.openxmlformats.org/officeDocument/2006/relationships/hyperlink" Target="https://www.monaliscouture.com/" TargetMode="External"/><Relationship Id="rId549" Type="http://schemas.openxmlformats.org/officeDocument/2006/relationships/hyperlink" Target="https://card.tap-savvy.com/BNI-TRIUMMPH_RINKAL-SHAH/1444" TargetMode="External"/><Relationship Id="rId714" Type="http://schemas.openxmlformats.org/officeDocument/2006/relationships/hyperlink" Target="https://card.tap-savvy.com/LLumar-India_McLaren-Track-Day-2024_Sandeep-Gandhi/975" TargetMode="External"/><Relationship Id="rId756" Type="http://schemas.openxmlformats.org/officeDocument/2006/relationships/hyperlink" Target="https://card.tap-savvy.com/GRAS_I-AMOL-PARSE/847" TargetMode="External"/><Relationship Id="rId50" Type="http://schemas.openxmlformats.org/officeDocument/2006/relationships/hyperlink" Target="https://www.thegamedrive.com/" TargetMode="External"/><Relationship Id="rId104" Type="http://schemas.openxmlformats.org/officeDocument/2006/relationships/hyperlink" Target="https://www.jmbrand.in/" TargetMode="External"/><Relationship Id="rId146" Type="http://schemas.openxmlformats.org/officeDocument/2006/relationships/hyperlink" Target="https://www.grasi.in/" TargetMode="External"/><Relationship Id="rId188" Type="http://schemas.openxmlformats.org/officeDocument/2006/relationships/hyperlink" Target="http://www.saffronhr.com/" TargetMode="External"/><Relationship Id="rId311" Type="http://schemas.openxmlformats.org/officeDocument/2006/relationships/hyperlink" Target="https://jugalkishorejewellers.com/" TargetMode="External"/><Relationship Id="rId353" Type="http://schemas.openxmlformats.org/officeDocument/2006/relationships/hyperlink" Target="https://shobhashringar.com/mobile-home/" TargetMode="External"/><Relationship Id="rId395" Type="http://schemas.openxmlformats.org/officeDocument/2006/relationships/hyperlink" Target="https://omjewellers.com/" TargetMode="External"/><Relationship Id="rId409" Type="http://schemas.openxmlformats.org/officeDocument/2006/relationships/hyperlink" Target="https://atozservices.info/" TargetMode="External"/><Relationship Id="rId560" Type="http://schemas.openxmlformats.org/officeDocument/2006/relationships/hyperlink" Target="https://card.tap-savvy.com/BNI-TRIUMMPH_SULAKSHANA-HEREKAR/1455" TargetMode="External"/><Relationship Id="rId798" Type="http://schemas.openxmlformats.org/officeDocument/2006/relationships/hyperlink" Target="https://card.tap-savvy.com/Simmone-SalonandSpa_Simmone-Dhanwani/934" TargetMode="External"/><Relationship Id="rId92" Type="http://schemas.openxmlformats.org/officeDocument/2006/relationships/hyperlink" Target="https://sucharita.in/" TargetMode="External"/><Relationship Id="rId213" Type="http://schemas.openxmlformats.org/officeDocument/2006/relationships/hyperlink" Target="http://www.innoventaircon.com/" TargetMode="External"/><Relationship Id="rId420" Type="http://schemas.openxmlformats.org/officeDocument/2006/relationships/hyperlink" Target="https://card.tap-savvy.com/ASIAN-OPTICIAN/238" TargetMode="External"/><Relationship Id="rId616" Type="http://schemas.openxmlformats.org/officeDocument/2006/relationships/hyperlink" Target="http://card.tap-savvy.com/ASK-KONSULTANCY_MITALI-RAUT/1112" TargetMode="External"/><Relationship Id="rId658" Type="http://schemas.openxmlformats.org/officeDocument/2006/relationships/hyperlink" Target="https://card.tap-savvy.com/NAITRI-MEHTA_BNI-INFINITE/1315" TargetMode="External"/><Relationship Id="rId823" Type="http://schemas.openxmlformats.org/officeDocument/2006/relationships/hyperlink" Target="https://www.ashishlifescience.com/" TargetMode="External"/><Relationship Id="rId255" Type="http://schemas.openxmlformats.org/officeDocument/2006/relationships/hyperlink" Target="https://www.bajajcapital.com/" TargetMode="External"/><Relationship Id="rId297" Type="http://schemas.openxmlformats.org/officeDocument/2006/relationships/hyperlink" Target="https://tallajewellers.in/" TargetMode="External"/><Relationship Id="rId462" Type="http://schemas.openxmlformats.org/officeDocument/2006/relationships/hyperlink" Target="https://card.tap-savvy.com/PDS-MFG_MANOJ-DIMRI/803" TargetMode="External"/><Relationship Id="rId518" Type="http://schemas.openxmlformats.org/officeDocument/2006/relationships/hyperlink" Target="https://card.tap-savvy.com/VISHAL-CHANDRA_BNI-LIGHTHOUSE/1350" TargetMode="External"/><Relationship Id="rId725" Type="http://schemas.openxmlformats.org/officeDocument/2006/relationships/hyperlink" Target="https://card.tap-savvy.com/Rikam-Enterprises_Piyush-Dhawan/969" TargetMode="External"/><Relationship Id="rId115" Type="http://schemas.openxmlformats.org/officeDocument/2006/relationships/hyperlink" Target="https://www.1click.co.in/" TargetMode="External"/><Relationship Id="rId157" Type="http://schemas.openxmlformats.org/officeDocument/2006/relationships/hyperlink" Target="https://www.grasi.in/" TargetMode="External"/><Relationship Id="rId322" Type="http://schemas.openxmlformats.org/officeDocument/2006/relationships/hyperlink" Target="https://kamajewelry.com/" TargetMode="External"/><Relationship Id="rId364" Type="http://schemas.openxmlformats.org/officeDocument/2006/relationships/hyperlink" Target="https://www.malabargoldanddiamonds.com/" TargetMode="External"/><Relationship Id="rId767" Type="http://schemas.openxmlformats.org/officeDocument/2006/relationships/hyperlink" Target="https://card.tap-savvy.com/GRAS-I-ASHUTOSH-CHAPTEKAR/858" TargetMode="External"/><Relationship Id="rId61" Type="http://schemas.openxmlformats.org/officeDocument/2006/relationships/hyperlink" Target="https://www.seventeenevents.com/" TargetMode="External"/><Relationship Id="rId199" Type="http://schemas.openxmlformats.org/officeDocument/2006/relationships/hyperlink" Target="https://wa.me/c/917977239342" TargetMode="External"/><Relationship Id="rId571" Type="http://schemas.openxmlformats.org/officeDocument/2006/relationships/hyperlink" Target="https://card.tap-savvy.com/Global-Copier-resource-PTE-LTD_Aatish-Patel/1228" TargetMode="External"/><Relationship Id="rId627" Type="http://schemas.openxmlformats.org/officeDocument/2006/relationships/hyperlink" Target="https://card.tap-savvy.com/CHIRAG-JAIN_BNI-INFINITE/1281" TargetMode="External"/><Relationship Id="rId669" Type="http://schemas.openxmlformats.org/officeDocument/2006/relationships/hyperlink" Target="https://card.tap-savvy.com/NIKUNJ-GALA_BNI-INFINITE/1386" TargetMode="External"/><Relationship Id="rId834" Type="http://schemas.openxmlformats.org/officeDocument/2006/relationships/hyperlink" Target="https://card.tap-savvy.com/AshishLifeScience_Vivek-Kedia/1026" TargetMode="External"/><Relationship Id="rId19" Type="http://schemas.openxmlformats.org/officeDocument/2006/relationships/hyperlink" Target="https://corduroy.in/" TargetMode="External"/><Relationship Id="rId224" Type="http://schemas.openxmlformats.org/officeDocument/2006/relationships/hyperlink" Target="http://www.piparasancheti.com/" TargetMode="External"/><Relationship Id="rId266" Type="http://schemas.openxmlformats.org/officeDocument/2006/relationships/hyperlink" Target="https://www.bajajcapital.com/" TargetMode="External"/><Relationship Id="rId431" Type="http://schemas.openxmlformats.org/officeDocument/2006/relationships/hyperlink" Target="https://card.tap-savvy.com/VLITE-FURNITECH/302" TargetMode="External"/><Relationship Id="rId473" Type="http://schemas.openxmlformats.org/officeDocument/2006/relationships/hyperlink" Target="https://card.tap-savvy.com/SUNIL-SHAH/825" TargetMode="External"/><Relationship Id="rId529" Type="http://schemas.openxmlformats.org/officeDocument/2006/relationships/hyperlink" Target="https://card.tap-savvy.com/RAJVI-SHAH_BNI-LIGHTHOUSE/1374" TargetMode="External"/><Relationship Id="rId680" Type="http://schemas.openxmlformats.org/officeDocument/2006/relationships/hyperlink" Target="https://card.tap-savvy.com/BAJAJ-CAPITAL_JAYANT-GANGULY/1395" TargetMode="External"/><Relationship Id="rId736" Type="http://schemas.openxmlformats.org/officeDocument/2006/relationships/hyperlink" Target="https://card.tap-savvy.com/LLumar_Xtremegraphix_Chirayu-Bendre/999" TargetMode="External"/><Relationship Id="rId30" Type="http://schemas.openxmlformats.org/officeDocument/2006/relationships/hyperlink" Target="https://http/www.glitorium.com/" TargetMode="External"/><Relationship Id="rId126" Type="http://schemas.openxmlformats.org/officeDocument/2006/relationships/hyperlink" Target="https://www.grasi.in/" TargetMode="External"/><Relationship Id="rId168" Type="http://schemas.openxmlformats.org/officeDocument/2006/relationships/hyperlink" Target="https://www.grasi.in/" TargetMode="External"/><Relationship Id="rId333" Type="http://schemas.openxmlformats.org/officeDocument/2006/relationships/hyperlink" Target="https://zaveriandco.com/" TargetMode="External"/><Relationship Id="rId540" Type="http://schemas.openxmlformats.org/officeDocument/2006/relationships/hyperlink" Target="https://card.tap-savvy.com/BNI-TRIUMMPH_ISHIKA-SHARMA/1429" TargetMode="External"/><Relationship Id="rId778" Type="http://schemas.openxmlformats.org/officeDocument/2006/relationships/hyperlink" Target="https://card.tap-savvy.com/WEBINSIGHT_DINESH-SONI/884" TargetMode="External"/><Relationship Id="rId72" Type="http://schemas.openxmlformats.org/officeDocument/2006/relationships/hyperlink" Target="https://www.ashishlifescience.com/" TargetMode="External"/><Relationship Id="rId375" Type="http://schemas.openxmlformats.org/officeDocument/2006/relationships/hyperlink" Target="https://www.thangamjewel.com/" TargetMode="External"/><Relationship Id="rId582" Type="http://schemas.openxmlformats.org/officeDocument/2006/relationships/hyperlink" Target="https://card.tap-savvy.com/PANCHDEV-TRADERS_RAMASHANKAR-PATEL/1239" TargetMode="External"/><Relationship Id="rId638" Type="http://schemas.openxmlformats.org/officeDocument/2006/relationships/hyperlink" Target="https://card.tap-savvy.com/SIRISHA-RAVURI_BNI-INFINITE/1292" TargetMode="External"/><Relationship Id="rId803" Type="http://schemas.openxmlformats.org/officeDocument/2006/relationships/hyperlink" Target="https://card.tap-savvy.com/Chaitali-Creations_Chaitali-Jhaveri/946" TargetMode="External"/><Relationship Id="rId845" Type="http://schemas.openxmlformats.org/officeDocument/2006/relationships/hyperlink" Target="https://card.tap-savvy.com/Turtledownunder_Kunal-Ramchandani/1018" TargetMode="External"/><Relationship Id="rId3" Type="http://schemas.openxmlformats.org/officeDocument/2006/relationships/hyperlink" Target="https://atozservices.info/" TargetMode="External"/><Relationship Id="rId235" Type="http://schemas.openxmlformats.org/officeDocument/2006/relationships/hyperlink" Target="https://www.bajajcapital.com/" TargetMode="External"/><Relationship Id="rId277" Type="http://schemas.openxmlformats.org/officeDocument/2006/relationships/hyperlink" Target="https://avrswarnamahal.com/" TargetMode="External"/><Relationship Id="rId400" Type="http://schemas.openxmlformats.org/officeDocument/2006/relationships/hyperlink" Target="http://www.biopole.in/" TargetMode="External"/><Relationship Id="rId442" Type="http://schemas.openxmlformats.org/officeDocument/2006/relationships/hyperlink" Target="https://card.tap-savvy.com/KASHISH-FURNISHING/450" TargetMode="External"/><Relationship Id="rId484" Type="http://schemas.openxmlformats.org/officeDocument/2006/relationships/hyperlink" Target="https://card.tap-savvy.com/Rockpunksclothing/869" TargetMode="External"/><Relationship Id="rId705" Type="http://schemas.openxmlformats.org/officeDocument/2006/relationships/hyperlink" Target="https://card.tap-savvy.com/BAJAJ-CAPITAL_TAUFEEQ-MIRZA-BEG/1420" TargetMode="External"/><Relationship Id="rId137" Type="http://schemas.openxmlformats.org/officeDocument/2006/relationships/hyperlink" Target="https://www.grasi.in/" TargetMode="External"/><Relationship Id="rId302" Type="http://schemas.openxmlformats.org/officeDocument/2006/relationships/hyperlink" Target="http://www.manoharlal.com/" TargetMode="External"/><Relationship Id="rId344" Type="http://schemas.openxmlformats.org/officeDocument/2006/relationships/hyperlink" Target="https://www.hsj.co.in/" TargetMode="External"/><Relationship Id="rId691" Type="http://schemas.openxmlformats.org/officeDocument/2006/relationships/hyperlink" Target="https://card.tap-savvy.com/BAJAJ-CAPITAL_NITIN-KALE/1406" TargetMode="External"/><Relationship Id="rId747" Type="http://schemas.openxmlformats.org/officeDocument/2006/relationships/hyperlink" Target="https://card.tap-savvy.com/LLumar_Autologix_Manish-Gupta/1044" TargetMode="External"/><Relationship Id="rId789" Type="http://schemas.openxmlformats.org/officeDocument/2006/relationships/hyperlink" Target="https://card.tap-savvy.com/PiparaSancheti&amp;Associates_Priyank-Sancheti/901" TargetMode="External"/><Relationship Id="rId41" Type="http://schemas.openxmlformats.org/officeDocument/2006/relationships/hyperlink" Target="https://www.dentalsuite.in/" TargetMode="External"/><Relationship Id="rId83" Type="http://schemas.openxmlformats.org/officeDocument/2006/relationships/hyperlink" Target="https://insyncanalytics.com/" TargetMode="External"/><Relationship Id="rId179" Type="http://schemas.openxmlformats.org/officeDocument/2006/relationships/hyperlink" Target="https://www.grasi.in/" TargetMode="External"/><Relationship Id="rId386" Type="http://schemas.openxmlformats.org/officeDocument/2006/relationships/hyperlink" Target="https://aisshpra.com/" TargetMode="External"/><Relationship Id="rId551" Type="http://schemas.openxmlformats.org/officeDocument/2006/relationships/hyperlink" Target="https://card.tap-savvy.com/BNI-TRIUMMPH_RISHABH-CHAUDHARY/1446" TargetMode="External"/><Relationship Id="rId593" Type="http://schemas.openxmlformats.org/officeDocument/2006/relationships/hyperlink" Target="https://card.tap-savvy.com/ATUL-PARIKH/1215" TargetMode="External"/><Relationship Id="rId607" Type="http://schemas.openxmlformats.org/officeDocument/2006/relationships/hyperlink" Target="https://card.tap-savvy.com/Food-Lexicon-Pvt-Ltd_RubyRay/1200" TargetMode="External"/><Relationship Id="rId649" Type="http://schemas.openxmlformats.org/officeDocument/2006/relationships/hyperlink" Target="https://card.tap-savvy.com/SHUBHAM-PATIL_BNI-INFINITE/1306" TargetMode="External"/><Relationship Id="rId814" Type="http://schemas.openxmlformats.org/officeDocument/2006/relationships/hyperlink" Target="https://card.tap-savvy.com/Seventeen-Events_Aftab-Khan/960" TargetMode="External"/><Relationship Id="rId190" Type="http://schemas.openxmlformats.org/officeDocument/2006/relationships/hyperlink" Target="https://instabizfilings.com/" TargetMode="External"/><Relationship Id="rId204" Type="http://schemas.openxmlformats.org/officeDocument/2006/relationships/hyperlink" Target="https://abhastudios.com/" TargetMode="External"/><Relationship Id="rId246" Type="http://schemas.openxmlformats.org/officeDocument/2006/relationships/hyperlink" Target="https://www.bajajcapital.com/" TargetMode="External"/><Relationship Id="rId288" Type="http://schemas.openxmlformats.org/officeDocument/2006/relationships/hyperlink" Target="https://ppjeweller.com/" TargetMode="External"/><Relationship Id="rId411" Type="http://schemas.openxmlformats.org/officeDocument/2006/relationships/hyperlink" Target="https://licindia.in/" TargetMode="External"/><Relationship Id="rId453" Type="http://schemas.openxmlformats.org/officeDocument/2006/relationships/hyperlink" Target="https://card.tap-savvy.com/SHUBH-EXIM_AMIT-JAIN/759" TargetMode="External"/><Relationship Id="rId509" Type="http://schemas.openxmlformats.org/officeDocument/2006/relationships/hyperlink" Target="https://card.tap-savvy.com/RAMESH-SAKPAL_BNI-LIGHTHOUSE/1341" TargetMode="External"/><Relationship Id="rId660" Type="http://schemas.openxmlformats.org/officeDocument/2006/relationships/hyperlink" Target="https://card.tap-savvy.com/NIRMAL-TAK_BNI-INFINITE/1317" TargetMode="External"/><Relationship Id="rId106" Type="http://schemas.openxmlformats.org/officeDocument/2006/relationships/hyperlink" Target="https://footfuel.in/" TargetMode="External"/><Relationship Id="rId313" Type="http://schemas.openxmlformats.org/officeDocument/2006/relationships/hyperlink" Target="https://www.khuranajewellers.com/" TargetMode="External"/><Relationship Id="rId495" Type="http://schemas.openxmlformats.org/officeDocument/2006/relationships/hyperlink" Target="https://card.tap-savvy.com/BHAVESH-JAIN_BNI-LIGHTHOUSE/1335" TargetMode="External"/><Relationship Id="rId716" Type="http://schemas.openxmlformats.org/officeDocument/2006/relationships/hyperlink" Target="https://card.tap-savvy.com/LLumar-India-McLaren-Track-Day-2024_Bharat-Shomi/977" TargetMode="External"/><Relationship Id="rId758" Type="http://schemas.openxmlformats.org/officeDocument/2006/relationships/hyperlink" Target="https://card.tap-savvy.com/GRAS-I_DEVANG-RAMI/849" TargetMode="External"/><Relationship Id="rId10" Type="http://schemas.openxmlformats.org/officeDocument/2006/relationships/hyperlink" Target="https://chopsticktshirt.com/" TargetMode="External"/><Relationship Id="rId52" Type="http://schemas.openxmlformats.org/officeDocument/2006/relationships/hyperlink" Target="https://www.thegamedrive.com/" TargetMode="External"/><Relationship Id="rId94" Type="http://schemas.openxmlformats.org/officeDocument/2006/relationships/hyperlink" Target="https://www.fundzbazar.com/customisedlinkregistration/7c7723/2364257c7723246c3c7c77235e6d3a246c3c21713d3f6326" TargetMode="External"/><Relationship Id="rId148" Type="http://schemas.openxmlformats.org/officeDocument/2006/relationships/hyperlink" Target="https://www.grasi.in/" TargetMode="External"/><Relationship Id="rId355" Type="http://schemas.openxmlformats.org/officeDocument/2006/relationships/hyperlink" Target="https://www.jawharajewellery.com/" TargetMode="External"/><Relationship Id="rId397" Type="http://schemas.openxmlformats.org/officeDocument/2006/relationships/hyperlink" Target="https://shobhashringar.com/mobile-home/" TargetMode="External"/><Relationship Id="rId520" Type="http://schemas.openxmlformats.org/officeDocument/2006/relationships/hyperlink" Target="https://card.tap-savvy.com/ADITIYA-BIRLA_BNI-LIGHTHOUSE/1352" TargetMode="External"/><Relationship Id="rId562" Type="http://schemas.openxmlformats.org/officeDocument/2006/relationships/hyperlink" Target="https://card.tap-savvy.com/LEADERSHIP-WITH-DEEPA_DEEPA-PADDA/1376" TargetMode="External"/><Relationship Id="rId618" Type="http://schemas.openxmlformats.org/officeDocument/2006/relationships/hyperlink" Target="https://card.tap-savvy.com/DR.KAPIL-JAIN_BNI-INFINITE/1263" TargetMode="External"/><Relationship Id="rId825" Type="http://schemas.openxmlformats.org/officeDocument/2006/relationships/hyperlink" Target="https://www.ashishlifescience.com/" TargetMode="External"/><Relationship Id="rId215" Type="http://schemas.openxmlformats.org/officeDocument/2006/relationships/hyperlink" Target="http://www.rkvacations.live/" TargetMode="External"/><Relationship Id="rId257" Type="http://schemas.openxmlformats.org/officeDocument/2006/relationships/hyperlink" Target="https://www.bajajcapital.com/" TargetMode="External"/><Relationship Id="rId422" Type="http://schemas.openxmlformats.org/officeDocument/2006/relationships/hyperlink" Target="https://card.tap-savvy.com/AZB&amp;PARTNERS_AJAY-UPADHYAY/211" TargetMode="External"/><Relationship Id="rId464" Type="http://schemas.openxmlformats.org/officeDocument/2006/relationships/hyperlink" Target="https://card.tap-savvy.com/CHOCOLATE-COSMOS_SIMRA-SONULE/805" TargetMode="External"/><Relationship Id="rId299" Type="http://schemas.openxmlformats.org/officeDocument/2006/relationships/hyperlink" Target="https://www.dassjewellers.com/" TargetMode="External"/><Relationship Id="rId727" Type="http://schemas.openxmlformats.org/officeDocument/2006/relationships/hyperlink" Target="https://card.tap-savvy.com/LLumar_Rainbow_Balwant-Singh/990" TargetMode="External"/><Relationship Id="rId63" Type="http://schemas.openxmlformats.org/officeDocument/2006/relationships/hyperlink" Target="https://www.seventeenevents.com/" TargetMode="External"/><Relationship Id="rId159" Type="http://schemas.openxmlformats.org/officeDocument/2006/relationships/hyperlink" Target="https://www.grasi.in/" TargetMode="External"/><Relationship Id="rId366" Type="http://schemas.openxmlformats.org/officeDocument/2006/relationships/hyperlink" Target="https://www.joyalukkas.in/" TargetMode="External"/><Relationship Id="rId573" Type="http://schemas.openxmlformats.org/officeDocument/2006/relationships/hyperlink" Target="https://card.tap-savvy.com/PARA-KIDS-N-MEN'S-CLOTHING_Pooja-Jhunjhunwala/1230" TargetMode="External"/><Relationship Id="rId780" Type="http://schemas.openxmlformats.org/officeDocument/2006/relationships/hyperlink" Target="https://card.tap-savvy.com/White-Wish-co_VIDHI/887" TargetMode="External"/><Relationship Id="rId226" Type="http://schemas.openxmlformats.org/officeDocument/2006/relationships/hyperlink" Target="https://sagarpoojary.com/digitalmarketingservices" TargetMode="External"/><Relationship Id="rId433" Type="http://schemas.openxmlformats.org/officeDocument/2006/relationships/hyperlink" Target="https://card.tap-savvy.com/VAISHALINX_NAYAN-DOSHI/387" TargetMode="External"/><Relationship Id="rId640" Type="http://schemas.openxmlformats.org/officeDocument/2006/relationships/hyperlink" Target="https://card.tap-savvy.com/RUMA-DESAI_BNI-INFINITE/1294" TargetMode="External"/><Relationship Id="rId738" Type="http://schemas.openxmlformats.org/officeDocument/2006/relationships/hyperlink" Target="https://card.tap-savvy.com/LLumar_Motor-Artz_Sufiyan/1001" TargetMode="External"/><Relationship Id="rId74" Type="http://schemas.openxmlformats.org/officeDocument/2006/relationships/hyperlink" Target="https://www.datamatics.com/" TargetMode="External"/><Relationship Id="rId377" Type="http://schemas.openxmlformats.org/officeDocument/2006/relationships/hyperlink" Target="https://www.pngjewellers.com/" TargetMode="External"/><Relationship Id="rId500" Type="http://schemas.openxmlformats.org/officeDocument/2006/relationships/hyperlink" Target="https://card.tap-savvy.com/AMI-DAMAANI_BNI-LIGHTHOUSE/1331" TargetMode="External"/><Relationship Id="rId584" Type="http://schemas.openxmlformats.org/officeDocument/2006/relationships/hyperlink" Target="https://card.tap-savvy.com/VASTRA-BY-MALA-MUNDE_MALA-MUNDE/1241" TargetMode="External"/><Relationship Id="rId805" Type="http://schemas.openxmlformats.org/officeDocument/2006/relationships/hyperlink" Target="https://card.tap-savvy.com/Earthborn_Nikitaa-Shah/948" TargetMode="External"/><Relationship Id="rId5" Type="http://schemas.openxmlformats.org/officeDocument/2006/relationships/hyperlink" Target="https://setuzsales.com/" TargetMode="External"/><Relationship Id="rId237" Type="http://schemas.openxmlformats.org/officeDocument/2006/relationships/hyperlink" Target="https://www.bajajcapital.com/" TargetMode="External"/><Relationship Id="rId791" Type="http://schemas.openxmlformats.org/officeDocument/2006/relationships/hyperlink" Target="https://card.tap-savvy.com/Spiritual-Healing-by-Khushnam/923" TargetMode="External"/><Relationship Id="rId444" Type="http://schemas.openxmlformats.org/officeDocument/2006/relationships/hyperlink" Target="https://card.tap-savvy.com/WIN-AT-RELATIONSHIP_KUUNJAL-PAAL/452" TargetMode="External"/><Relationship Id="rId651" Type="http://schemas.openxmlformats.org/officeDocument/2006/relationships/hyperlink" Target="https://card.tap-savvy.com/SUCHI-SHAH_BNI-INFINITE/1308" TargetMode="External"/><Relationship Id="rId749" Type="http://schemas.openxmlformats.org/officeDocument/2006/relationships/hyperlink" Target="https://card.tap-savvy.com/LLumar_Tyres-Shoppe_Mohit-Jain/1046" TargetMode="External"/><Relationship Id="rId290" Type="http://schemas.openxmlformats.org/officeDocument/2006/relationships/hyperlink" Target="http://www.sonachandis.com/" TargetMode="External"/><Relationship Id="rId304" Type="http://schemas.openxmlformats.org/officeDocument/2006/relationships/hyperlink" Target="http://www.manoharlal.com/" TargetMode="External"/><Relationship Id="rId388" Type="http://schemas.openxmlformats.org/officeDocument/2006/relationships/hyperlink" Target="https://www.ejindia.com/" TargetMode="External"/><Relationship Id="rId511" Type="http://schemas.openxmlformats.org/officeDocument/2006/relationships/hyperlink" Target="https://card.tap-savvy.com/SOHIL-SHAH_BNI-LIGHTHOUSE/1344" TargetMode="External"/><Relationship Id="rId609" Type="http://schemas.openxmlformats.org/officeDocument/2006/relationships/hyperlink" Target="https://card.tap-savvy.com/ScaleUpConsultants_CA-Pratik-Damani/1198" TargetMode="External"/><Relationship Id="rId85" Type="http://schemas.openxmlformats.org/officeDocument/2006/relationships/hyperlink" Target="https://www.askkonsultancy.com/" TargetMode="External"/><Relationship Id="rId150" Type="http://schemas.openxmlformats.org/officeDocument/2006/relationships/hyperlink" Target="https://www.grasi.in/" TargetMode="External"/><Relationship Id="rId595" Type="http://schemas.openxmlformats.org/officeDocument/2006/relationships/hyperlink" Target="https://card.tap-savvy.com/Dhrisha-Jewels-Private-Limited_Sunny-Mehta/1221" TargetMode="External"/><Relationship Id="rId816" Type="http://schemas.openxmlformats.org/officeDocument/2006/relationships/hyperlink" Target="https://card.tap-savvy.com/Get-Set-Play-Events_Aruna-Karia/962" TargetMode="External"/><Relationship Id="rId248" Type="http://schemas.openxmlformats.org/officeDocument/2006/relationships/hyperlink" Target="https://www.bajajcapital.com/" TargetMode="External"/><Relationship Id="rId455" Type="http://schemas.openxmlformats.org/officeDocument/2006/relationships/hyperlink" Target="https://card.tap-savvy.com/SHUBH-EXIM_PRAVIN-JAIN/761" TargetMode="External"/><Relationship Id="rId662" Type="http://schemas.openxmlformats.org/officeDocument/2006/relationships/hyperlink" Target="https://card.tap-savvy.com/AFSHAN-NAFIS_BNI-INFINITE/1319" TargetMode="External"/><Relationship Id="rId12" Type="http://schemas.openxmlformats.org/officeDocument/2006/relationships/hyperlink" Target="https://www.vasupati.com/" TargetMode="External"/><Relationship Id="rId108" Type="http://schemas.openxmlformats.org/officeDocument/2006/relationships/hyperlink" Target="https://shadesdecor.com/" TargetMode="External"/><Relationship Id="rId315" Type="http://schemas.openxmlformats.org/officeDocument/2006/relationships/hyperlink" Target="https://www.khuranajewellers.com/" TargetMode="External"/><Relationship Id="rId522" Type="http://schemas.openxmlformats.org/officeDocument/2006/relationships/hyperlink" Target="https://card.tap-savvy.com/NUPEN-GANDHI_BNI-LIGHTHOUSE/1354" TargetMode="External"/><Relationship Id="rId96" Type="http://schemas.openxmlformats.org/officeDocument/2006/relationships/hyperlink" Target="https://www.rashiaircons.com/" TargetMode="External"/><Relationship Id="rId161" Type="http://schemas.openxmlformats.org/officeDocument/2006/relationships/hyperlink" Target="https://www.grasi.in/" TargetMode="External"/><Relationship Id="rId399" Type="http://schemas.openxmlformats.org/officeDocument/2006/relationships/hyperlink" Target="https://biopole.in/" TargetMode="External"/><Relationship Id="rId827" Type="http://schemas.openxmlformats.org/officeDocument/2006/relationships/hyperlink" Target="https://www.ashishlifescience.com/" TargetMode="External"/><Relationship Id="rId259" Type="http://schemas.openxmlformats.org/officeDocument/2006/relationships/hyperlink" Target="https://www.bajajcapital.com/" TargetMode="External"/><Relationship Id="rId466" Type="http://schemas.openxmlformats.org/officeDocument/2006/relationships/hyperlink" Target="https://card.tap-savvy.com/AMAN-MEMON/808" TargetMode="External"/><Relationship Id="rId673" Type="http://schemas.openxmlformats.org/officeDocument/2006/relationships/hyperlink" Target="https://card.tap-savvy.com/BAJAJ-CAPITAL_AJAY-PARMAR/1388" TargetMode="External"/><Relationship Id="rId23" Type="http://schemas.openxmlformats.org/officeDocument/2006/relationships/hyperlink" Target="https://www.gatewayabroad.com/" TargetMode="External"/><Relationship Id="rId119" Type="http://schemas.openxmlformats.org/officeDocument/2006/relationships/hyperlink" Target="https://www.grasi.in/" TargetMode="External"/><Relationship Id="rId326" Type="http://schemas.openxmlformats.org/officeDocument/2006/relationships/hyperlink" Target="https://www.batukbhai.com/" TargetMode="External"/><Relationship Id="rId533" Type="http://schemas.openxmlformats.org/officeDocument/2006/relationships/hyperlink" Target="https://card.tap-savvy.com/DR.SACHIN-JAIN_BNI-LIGHTHOUSE/1328"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ashishlifescience.com/" TargetMode="External"/><Relationship Id="rId18" Type="http://schemas.openxmlformats.org/officeDocument/2006/relationships/hyperlink" Target="https://www.ashishlifescience.com/" TargetMode="External"/><Relationship Id="rId26" Type="http://schemas.openxmlformats.org/officeDocument/2006/relationships/hyperlink" Target="mailto:saurabh.agarwal@ashishlifescience.com" TargetMode="External"/><Relationship Id="rId39" Type="http://schemas.openxmlformats.org/officeDocument/2006/relationships/hyperlink" Target="mailto:sutanu.nayak@ashishlifescience.com" TargetMode="External"/><Relationship Id="rId21" Type="http://schemas.openxmlformats.org/officeDocument/2006/relationships/hyperlink" Target="https://www.ashishlifescience.com/" TargetMode="External"/><Relationship Id="rId34" Type="http://schemas.openxmlformats.org/officeDocument/2006/relationships/hyperlink" Target="mailto:nirdesh.kumar@ashishlifescience.com" TargetMode="External"/><Relationship Id="rId42" Type="http://schemas.openxmlformats.org/officeDocument/2006/relationships/hyperlink" Target="mailto:abdulla.fatiya@ashishlifescience.com" TargetMode="External"/><Relationship Id="rId47" Type="http://schemas.openxmlformats.org/officeDocument/2006/relationships/hyperlink" Target="https://card.tap-savvy.com/KASHISH-FURNISHING_VISHAL-JAIN/448" TargetMode="External"/><Relationship Id="rId50" Type="http://schemas.openxmlformats.org/officeDocument/2006/relationships/hyperlink" Target="https://card.tap-savvy.com/AshishLifeScience_Amardeep-Athawaley/1022" TargetMode="External"/><Relationship Id="rId55" Type="http://schemas.openxmlformats.org/officeDocument/2006/relationships/hyperlink" Target="https://card.tap-savvy.com/AshishLifeScience_DrKirankumar-Madpathi/1032" TargetMode="External"/><Relationship Id="rId63" Type="http://schemas.openxmlformats.org/officeDocument/2006/relationships/hyperlink" Target="https://card.tap-savvy.com/AshishLifeScience_Jayesh-Khatri/1023" TargetMode="External"/><Relationship Id="rId68" Type="http://schemas.openxmlformats.org/officeDocument/2006/relationships/hyperlink" Target="https://card.tap-savvy.com/The-Game-Drive_Dipti-Thorat/936" TargetMode="External"/><Relationship Id="rId7" Type="http://schemas.openxmlformats.org/officeDocument/2006/relationships/hyperlink" Target="mailto:Operations@thegamedrive.in" TargetMode="External"/><Relationship Id="rId2" Type="http://schemas.openxmlformats.org/officeDocument/2006/relationships/hyperlink" Target="https://www.thegamedrive.com/" TargetMode="External"/><Relationship Id="rId16" Type="http://schemas.openxmlformats.org/officeDocument/2006/relationships/hyperlink" Target="https://www.ashishlifescience.com/" TargetMode="External"/><Relationship Id="rId29" Type="http://schemas.openxmlformats.org/officeDocument/2006/relationships/hyperlink" Target="mailto:ashish.shah@ashishlifescience.com" TargetMode="External"/><Relationship Id="rId1" Type="http://schemas.openxmlformats.org/officeDocument/2006/relationships/hyperlink" Target="https://www.thegamedrive.com/" TargetMode="External"/><Relationship Id="rId6" Type="http://schemas.openxmlformats.org/officeDocument/2006/relationships/hyperlink" Target="mailto:marketing@thegamedrive.in" TargetMode="External"/><Relationship Id="rId11" Type="http://schemas.openxmlformats.org/officeDocument/2006/relationships/hyperlink" Target="https://www.ashishlifescience.com/" TargetMode="External"/><Relationship Id="rId24" Type="http://schemas.openxmlformats.org/officeDocument/2006/relationships/hyperlink" Target="https://www.ashishlifescience.com/" TargetMode="External"/><Relationship Id="rId32" Type="http://schemas.openxmlformats.org/officeDocument/2006/relationships/hyperlink" Target="mailto:jaiprakash.todi@ashishlifecience.com" TargetMode="External"/><Relationship Id="rId37" Type="http://schemas.openxmlformats.org/officeDocument/2006/relationships/hyperlink" Target="mailto:raujesh@ashishlifescience.com" TargetMode="External"/><Relationship Id="rId40" Type="http://schemas.openxmlformats.org/officeDocument/2006/relationships/hyperlink" Target="about:blank" TargetMode="External"/><Relationship Id="rId45" Type="http://schemas.openxmlformats.org/officeDocument/2006/relationships/hyperlink" Target="https://card.tap-savvy.com/KASHISH-FURNISHING/450" TargetMode="External"/><Relationship Id="rId53" Type="http://schemas.openxmlformats.org/officeDocument/2006/relationships/hyperlink" Target="https://card.tap-savvy.com/AshishLifeScience_Nilesh-Chavan/1034" TargetMode="External"/><Relationship Id="rId58" Type="http://schemas.openxmlformats.org/officeDocument/2006/relationships/hyperlink" Target="https://card.tap-savvy.com/AshishLifeScience_DrSaurabh-Agarwal/1029" TargetMode="External"/><Relationship Id="rId66" Type="http://schemas.openxmlformats.org/officeDocument/2006/relationships/hyperlink" Target="https://card.tap-savvy.com/The-Game-Drive-Amita-Matkar/938" TargetMode="External"/><Relationship Id="rId5" Type="http://schemas.openxmlformats.org/officeDocument/2006/relationships/hyperlink" Target="mailto:dipti@thegamedrive.in" TargetMode="External"/><Relationship Id="rId15" Type="http://schemas.openxmlformats.org/officeDocument/2006/relationships/hyperlink" Target="https://www.ashishlifescience.com/" TargetMode="External"/><Relationship Id="rId23" Type="http://schemas.openxmlformats.org/officeDocument/2006/relationships/hyperlink" Target="https://www.ashishlifescience.com/" TargetMode="External"/><Relationship Id="rId28" Type="http://schemas.openxmlformats.org/officeDocument/2006/relationships/hyperlink" Target="mailto:jayesh.khatri@ashishlifescience.com" TargetMode="External"/><Relationship Id="rId36" Type="http://schemas.openxmlformats.org/officeDocument/2006/relationships/hyperlink" Target="mailto:kirankumar.madpathi@ashishlifescience.com" TargetMode="External"/><Relationship Id="rId49" Type="http://schemas.openxmlformats.org/officeDocument/2006/relationships/hyperlink" Target="https://card.tap-savvy.com/AshishLifeScience_Mr.Abdulla-Fatiya/1096" TargetMode="External"/><Relationship Id="rId57" Type="http://schemas.openxmlformats.org/officeDocument/2006/relationships/hyperlink" Target="https://card.tap-savvy.com/AshishLifeScience_Nirdesh-Kumar/1030" TargetMode="External"/><Relationship Id="rId61" Type="http://schemas.openxmlformats.org/officeDocument/2006/relationships/hyperlink" Target="https://card.tap-savvy.com/AshishLifeScience_Chirag-Shukla/1025" TargetMode="External"/><Relationship Id="rId10" Type="http://schemas.openxmlformats.org/officeDocument/2006/relationships/hyperlink" Target="https://www.ashishlifescience.com/" TargetMode="External"/><Relationship Id="rId19" Type="http://schemas.openxmlformats.org/officeDocument/2006/relationships/hyperlink" Target="https://www.ashishlifescience.com/" TargetMode="External"/><Relationship Id="rId31" Type="http://schemas.openxmlformats.org/officeDocument/2006/relationships/hyperlink" Target="mailto:vivek.kedia@ashishlifescience.com" TargetMode="External"/><Relationship Id="rId44" Type="http://schemas.openxmlformats.org/officeDocument/2006/relationships/hyperlink" Target="https://card.tap-savvy.com/KASHISH-ENTERPRISE_RAVI-JAIN/451" TargetMode="External"/><Relationship Id="rId52" Type="http://schemas.openxmlformats.org/officeDocument/2006/relationships/hyperlink" Target="https://card.tap-savvy.com/AshishLifeScience_Sutanu-Nayak/1035" TargetMode="External"/><Relationship Id="rId60" Type="http://schemas.openxmlformats.org/officeDocument/2006/relationships/hyperlink" Target="https://card.tap-savvy.com/AshishLifeScience_Vivek-Kedia/1026" TargetMode="External"/><Relationship Id="rId65" Type="http://schemas.openxmlformats.org/officeDocument/2006/relationships/hyperlink" Target="https://card.tap-savvy.com/AshishLifeScience_DrSaurabh-Agarwal/1029" TargetMode="External"/><Relationship Id="rId4" Type="http://schemas.openxmlformats.org/officeDocument/2006/relationships/hyperlink" Target="https://www.thegamedrive.com/" TargetMode="External"/><Relationship Id="rId9" Type="http://schemas.openxmlformats.org/officeDocument/2006/relationships/hyperlink" Target="https://www.ashishlifescience.com/" TargetMode="External"/><Relationship Id="rId14" Type="http://schemas.openxmlformats.org/officeDocument/2006/relationships/hyperlink" Target="https://www.ashishlifescience.com/" TargetMode="External"/><Relationship Id="rId22" Type="http://schemas.openxmlformats.org/officeDocument/2006/relationships/hyperlink" Target="https://www.ashishlifescience.com/" TargetMode="External"/><Relationship Id="rId27" Type="http://schemas.openxmlformats.org/officeDocument/2006/relationships/hyperlink" Target="mailto:amardeep.athawaley@ashishlifescience.com" TargetMode="External"/><Relationship Id="rId30" Type="http://schemas.openxmlformats.org/officeDocument/2006/relationships/hyperlink" Target="mailto:chirag.shukla@ashishlifescience.com" TargetMode="External"/><Relationship Id="rId35" Type="http://schemas.openxmlformats.org/officeDocument/2006/relationships/hyperlink" Target="mailto:pooja.karnik@ashishlifescience.com" TargetMode="External"/><Relationship Id="rId43" Type="http://schemas.openxmlformats.org/officeDocument/2006/relationships/hyperlink" Target="mailto:konstantin.popov@ashishlifescience.com" TargetMode="External"/><Relationship Id="rId48" Type="http://schemas.openxmlformats.org/officeDocument/2006/relationships/hyperlink" Target="https://card.tap-savvy.com/AshishLifeScience_DrKonstantin-Popov/1039" TargetMode="External"/><Relationship Id="rId56" Type="http://schemas.openxmlformats.org/officeDocument/2006/relationships/hyperlink" Target="https://card.tap-savvy.com/AshishLifeScience_Pooja-Karnik/1031" TargetMode="External"/><Relationship Id="rId64" Type="http://schemas.openxmlformats.org/officeDocument/2006/relationships/hyperlink" Target="https://card.tap-savvy.com/AshishLifeScience_Amardeep-Athawaley/1022" TargetMode="External"/><Relationship Id="rId69" Type="http://schemas.openxmlformats.org/officeDocument/2006/relationships/hyperlink" Target="https://card.tap-savvy.com/TheGameDrive_Anosh-Koppikar/933" TargetMode="External"/><Relationship Id="rId8" Type="http://schemas.openxmlformats.org/officeDocument/2006/relationships/hyperlink" Target="https://www.ashishlifescience.com/" TargetMode="External"/><Relationship Id="rId51" Type="http://schemas.openxmlformats.org/officeDocument/2006/relationships/hyperlink" Target="https://card.tap-savvy.com/AshishLifeScience_Ronitt-Agarrwal/1038" TargetMode="External"/><Relationship Id="rId3" Type="http://schemas.openxmlformats.org/officeDocument/2006/relationships/hyperlink" Target="https://www.thegamedrive.com/" TargetMode="External"/><Relationship Id="rId12" Type="http://schemas.openxmlformats.org/officeDocument/2006/relationships/hyperlink" Target="https://www.ashishlifescience.com/" TargetMode="External"/><Relationship Id="rId17" Type="http://schemas.openxmlformats.org/officeDocument/2006/relationships/hyperlink" Target="https://www.ashishlifescience.com/" TargetMode="External"/><Relationship Id="rId25" Type="http://schemas.openxmlformats.org/officeDocument/2006/relationships/hyperlink" Target="https://www.ashishlifescience.com/" TargetMode="External"/><Relationship Id="rId33" Type="http://schemas.openxmlformats.org/officeDocument/2006/relationships/hyperlink" Target="mailto:saurabh.agarwal@ashishlifescience.com" TargetMode="External"/><Relationship Id="rId38" Type="http://schemas.openxmlformats.org/officeDocument/2006/relationships/hyperlink" Target="mailto:nilesh.chavan@ashishlifescience.com" TargetMode="External"/><Relationship Id="rId46" Type="http://schemas.openxmlformats.org/officeDocument/2006/relationships/hyperlink" Target="https://card.tap-savvy.com/KASHISH-FURNISHINGS_MANISH-JAIN/449" TargetMode="External"/><Relationship Id="rId59" Type="http://schemas.openxmlformats.org/officeDocument/2006/relationships/hyperlink" Target="https://card.tap-savvy.com/AshishLifeScience_Jaiprakash-Todi/1028" TargetMode="External"/><Relationship Id="rId67" Type="http://schemas.openxmlformats.org/officeDocument/2006/relationships/hyperlink" Target="https://card.tap-savvy.com/The-Game-Drive_Aaina-Chavan/935" TargetMode="External"/><Relationship Id="rId20" Type="http://schemas.openxmlformats.org/officeDocument/2006/relationships/hyperlink" Target="https://www.ashishlifescience.com/" TargetMode="External"/><Relationship Id="rId41" Type="http://schemas.openxmlformats.org/officeDocument/2006/relationships/hyperlink" Target="mailto:amardeep.athawaley@ashishlifescience.com" TargetMode="External"/><Relationship Id="rId54" Type="http://schemas.openxmlformats.org/officeDocument/2006/relationships/hyperlink" Target="https://card.tap-savvy.com/AshishLifeScience_Raujesh-Agarrwal/1033" TargetMode="External"/><Relationship Id="rId62" Type="http://schemas.openxmlformats.org/officeDocument/2006/relationships/hyperlink" Target="https://card.tap-savvy.com/AshishLifeScience_Ashish-Shah/102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card.tap-savvy.com/Gateway_Abroad_Nisha_Nair/833" TargetMode="External"/><Relationship Id="rId18" Type="http://schemas.openxmlformats.org/officeDocument/2006/relationships/hyperlink" Target="https://maps.app.goo.gl/1NG6nxNoRTtAgPs4A?g_st=ic" TargetMode="External"/><Relationship Id="rId26" Type="http://schemas.openxmlformats.org/officeDocument/2006/relationships/hyperlink" Target="https://www.google.com/maps/search/glitorium+hardware+laxmi/@19.0708395,72.7676173,12z/data=!3m1!4b1?entry=ttu" TargetMode="External"/><Relationship Id="rId39" Type="http://schemas.openxmlformats.org/officeDocument/2006/relationships/hyperlink" Target="https://card.tap-savvy.com/Ramyachaturvedi/714/715,Tulsiani%20Chambers,%20212,%20Nariman%20Point,%20Mumbai,%20Maharashtra%20400021" TargetMode="External"/><Relationship Id="rId21" Type="http://schemas.openxmlformats.org/officeDocument/2006/relationships/hyperlink" Target="https://card.tap-savvy.com/Amal-Mukhopadhyay/837" TargetMode="External"/><Relationship Id="rId34" Type="http://schemas.openxmlformats.org/officeDocument/2006/relationships/hyperlink" Target="mailto:contact@rahulsharmaphotography.com" TargetMode="External"/><Relationship Id="rId42" Type="http://schemas.openxmlformats.org/officeDocument/2006/relationships/hyperlink" Target="https://www.vchic.in/" TargetMode="External"/><Relationship Id="rId47" Type="http://schemas.openxmlformats.org/officeDocument/2006/relationships/hyperlink" Target="mailto:advsaaurabhbchanddorkar@gmail.com" TargetMode="External"/><Relationship Id="rId50" Type="http://schemas.openxmlformats.org/officeDocument/2006/relationships/hyperlink" Target="https://card.tap-savvy.com/INNERSPACES_DHARNA/877" TargetMode="External"/><Relationship Id="rId55" Type="http://schemas.openxmlformats.org/officeDocument/2006/relationships/hyperlink" Target="https://card.tap-savvy.com/ANUPALAN-ONLINE_DEEPAK-VARIYA/879" TargetMode="External"/><Relationship Id="rId63" Type="http://schemas.openxmlformats.org/officeDocument/2006/relationships/hyperlink" Target="mailto:jai@mockingbird.co.in" TargetMode="External"/><Relationship Id="rId68" Type="http://schemas.openxmlformats.org/officeDocument/2006/relationships/hyperlink" Target="https://card.tap-savvy.com/White-Wish-co_DEVANSHI/886" TargetMode="External"/><Relationship Id="rId76" Type="http://schemas.openxmlformats.org/officeDocument/2006/relationships/hyperlink" Target="mailto:karangaikwad274@gmail.com" TargetMode="External"/><Relationship Id="rId84" Type="http://schemas.openxmlformats.org/officeDocument/2006/relationships/hyperlink" Target="https://card.tap-savvy.com/BLOSSOM_ZAINAB-CALCUTTAWALA/895" TargetMode="External"/><Relationship Id="rId89" Type="http://schemas.openxmlformats.org/officeDocument/2006/relationships/hyperlink" Target="https://www.healhelpinglives.com/" TargetMode="External"/><Relationship Id="rId7" Type="http://schemas.openxmlformats.org/officeDocument/2006/relationships/hyperlink" Target="https://propertyservices.net.in/" TargetMode="External"/><Relationship Id="rId71" Type="http://schemas.openxmlformats.org/officeDocument/2006/relationships/hyperlink" Target="about:blank" TargetMode="External"/><Relationship Id="rId92" Type="http://schemas.openxmlformats.org/officeDocument/2006/relationships/hyperlink" Target="mailto:raahuuladvani@gmail.com" TargetMode="External"/><Relationship Id="rId2" Type="http://schemas.openxmlformats.org/officeDocument/2006/relationships/hyperlink" Target="https://card.tap-savvy.com/Sudhaamshu/824" TargetMode="External"/><Relationship Id="rId16" Type="http://schemas.openxmlformats.org/officeDocument/2006/relationships/hyperlink" Target="https://card.tap-savvy.com/Arihant-NX/835" TargetMode="External"/><Relationship Id="rId29" Type="http://schemas.openxmlformats.org/officeDocument/2006/relationships/hyperlink" Target="https://3mindsdigital.com/" TargetMode="External"/><Relationship Id="rId11" Type="http://schemas.openxmlformats.org/officeDocument/2006/relationships/hyperlink" Target="https://card.tap-savvy.com/LALIT-GJA/831" TargetMode="External"/><Relationship Id="rId24" Type="http://schemas.openxmlformats.org/officeDocument/2006/relationships/hyperlink" Target="mailto:mitulgada@glitorium.com" TargetMode="External"/><Relationship Id="rId32" Type="http://schemas.openxmlformats.org/officeDocument/2006/relationships/hyperlink" Target="mailto:Rockpunkstores@gmail.com" TargetMode="External"/><Relationship Id="rId37" Type="http://schemas.openxmlformats.org/officeDocument/2006/relationships/hyperlink" Target="mailto:ramya.c@vchic.in" TargetMode="External"/><Relationship Id="rId40" Type="http://schemas.openxmlformats.org/officeDocument/2006/relationships/hyperlink" Target="https://card.tap-savvy.com/Varshachaturvedi/872" TargetMode="External"/><Relationship Id="rId45" Type="http://schemas.openxmlformats.org/officeDocument/2006/relationships/hyperlink" Target="mailto:moryaenterprises2302@gmail.com" TargetMode="External"/><Relationship Id="rId53" Type="http://schemas.openxmlformats.org/officeDocument/2006/relationships/hyperlink" Target="mailto:samveg.sm@gmail.com" TargetMode="External"/><Relationship Id="rId58" Type="http://schemas.openxmlformats.org/officeDocument/2006/relationships/hyperlink" Target="https://card.tap-savvy.com/DEEPAK-A-VARIYA-&amp;-CO._DEEPAK-VARIYA/880" TargetMode="External"/><Relationship Id="rId66" Type="http://schemas.openxmlformats.org/officeDocument/2006/relationships/hyperlink" Target="mailto:dinesh@webinsight.in" TargetMode="External"/><Relationship Id="rId74" Type="http://schemas.openxmlformats.org/officeDocument/2006/relationships/hyperlink" Target="https://g.co/kgs/AwbhbX" TargetMode="External"/><Relationship Id="rId79" Type="http://schemas.openxmlformats.org/officeDocument/2006/relationships/hyperlink" Target="https://www.dentalsuite.in/" TargetMode="External"/><Relationship Id="rId87" Type="http://schemas.openxmlformats.org/officeDocument/2006/relationships/hyperlink" Target="mailto:hetaaldsethia@gmail.com" TargetMode="External"/><Relationship Id="rId5" Type="http://schemas.openxmlformats.org/officeDocument/2006/relationships/hyperlink" Target="https://www.chemtronicsindia.com/" TargetMode="External"/><Relationship Id="rId61" Type="http://schemas.openxmlformats.org/officeDocument/2006/relationships/hyperlink" Target="mailto:meghshah2002@gmail.com" TargetMode="External"/><Relationship Id="rId82" Type="http://schemas.openxmlformats.org/officeDocument/2006/relationships/hyperlink" Target="https://www.pencilstroke.in/" TargetMode="External"/><Relationship Id="rId90" Type="http://schemas.openxmlformats.org/officeDocument/2006/relationships/hyperlink" Target="https://maps.app.goo.gl/jvf6jKHeZiiLxmNB7" TargetMode="External"/><Relationship Id="rId19" Type="http://schemas.openxmlformats.org/officeDocument/2006/relationships/hyperlink" Target="https://card.tap-savvy.com/Abhishek_Rao_Mks/836" TargetMode="External"/><Relationship Id="rId14" Type="http://schemas.openxmlformats.org/officeDocument/2006/relationships/hyperlink" Target="mailto:mumbai@gatewayabroad.in" TargetMode="External"/><Relationship Id="rId22" Type="http://schemas.openxmlformats.org/officeDocument/2006/relationships/hyperlink" Target="mailto:corporate@lorven.eu" TargetMode="External"/><Relationship Id="rId27" Type="http://schemas.openxmlformats.org/officeDocument/2006/relationships/hyperlink" Target="https://card.tap-savvy.com/3-Minds-Digital_Harnish-Shah/839" TargetMode="External"/><Relationship Id="rId30" Type="http://schemas.openxmlformats.org/officeDocument/2006/relationships/hyperlink" Target="https://maps.app.goo.gl/jPiqYfNMYfuv12jv5" TargetMode="External"/><Relationship Id="rId35" Type="http://schemas.openxmlformats.org/officeDocument/2006/relationships/hyperlink" Target="https://www.rahulsharmaphotography.com/" TargetMode="External"/><Relationship Id="rId43" Type="http://schemas.openxmlformats.org/officeDocument/2006/relationships/hyperlink" Target="https://card.tap-savvy.com/Ramyachaturvedi/714/715,Tulsiani%20Chambers,%20212,%20Nariman%20Point,%20Mumbai,%20Maharashtra%20400021" TargetMode="External"/><Relationship Id="rId48" Type="http://schemas.openxmlformats.org/officeDocument/2006/relationships/hyperlink" Target="https://chandorkarandassociates.in/" TargetMode="External"/><Relationship Id="rId56" Type="http://schemas.openxmlformats.org/officeDocument/2006/relationships/hyperlink" Target="mailto:info@anupalanonline.com" TargetMode="External"/><Relationship Id="rId64" Type="http://schemas.openxmlformats.org/officeDocument/2006/relationships/hyperlink" Target="https://mockingbird.co.in/" TargetMode="External"/><Relationship Id="rId69" Type="http://schemas.openxmlformats.org/officeDocument/2006/relationships/hyperlink" Target="mailto:whitewishco@gmail.com" TargetMode="External"/><Relationship Id="rId77" Type="http://schemas.openxmlformats.org/officeDocument/2006/relationships/hyperlink" Target="https://maps.app.goo.gl/uxDSwWLq1814FPfx7?g_st=iw" TargetMode="External"/><Relationship Id="rId8" Type="http://schemas.openxmlformats.org/officeDocument/2006/relationships/hyperlink" Target="https://card.tap-savvy.com/Nectar-Treatss_Hemmali-Nadiyana/829" TargetMode="External"/><Relationship Id="rId51" Type="http://schemas.openxmlformats.org/officeDocument/2006/relationships/hyperlink" Target="mailto:dharnak@hotmail.com" TargetMode="External"/><Relationship Id="rId72" Type="http://schemas.openxmlformats.org/officeDocument/2006/relationships/hyperlink" Target="https://card.tap-savvy.com/rajatkapoor/889" TargetMode="External"/><Relationship Id="rId80" Type="http://schemas.openxmlformats.org/officeDocument/2006/relationships/hyperlink" Target="https://card.tap-savvy.com/PENCIL-STROKE_MUSTAFA-DARUKHANAWALA/894" TargetMode="External"/><Relationship Id="rId85" Type="http://schemas.openxmlformats.org/officeDocument/2006/relationships/hyperlink" Target="mailto:murtazazainab84@gmail.com" TargetMode="External"/><Relationship Id="rId93" Type="http://schemas.openxmlformats.org/officeDocument/2006/relationships/hyperlink" Target="https://www.evenbetter.co.in/" TargetMode="External"/><Relationship Id="rId3" Type="http://schemas.openxmlformats.org/officeDocument/2006/relationships/hyperlink" Target="https://card.tap-savvy.com/SUNIL-SHAH/825" TargetMode="External"/><Relationship Id="rId12" Type="http://schemas.openxmlformats.org/officeDocument/2006/relationships/hyperlink" Target="mailto:galajainassociates@gmail.com" TargetMode="External"/><Relationship Id="rId17" Type="http://schemas.openxmlformats.org/officeDocument/2006/relationships/hyperlink" Target="mailto:savlaanil00@gmail.com" TargetMode="External"/><Relationship Id="rId25" Type="http://schemas.openxmlformats.org/officeDocument/2006/relationships/hyperlink" Target="https://http/www.glitorium.com/" TargetMode="External"/><Relationship Id="rId33" Type="http://schemas.openxmlformats.org/officeDocument/2006/relationships/hyperlink" Target="https://card.tap-savvy.com/Rahulsharmaphotography/870" TargetMode="External"/><Relationship Id="rId38" Type="http://schemas.openxmlformats.org/officeDocument/2006/relationships/hyperlink" Target="https://www.vchic.in/" TargetMode="External"/><Relationship Id="rId46" Type="http://schemas.openxmlformats.org/officeDocument/2006/relationships/hyperlink" Target="https://card.tap-savvy.com/ADVSAAURABHBCHANDDORKAR_CHANDORKAR&amp;ASSOCIATES/875" TargetMode="External"/><Relationship Id="rId59" Type="http://schemas.openxmlformats.org/officeDocument/2006/relationships/hyperlink" Target="https://www.davandco.com/" TargetMode="External"/><Relationship Id="rId67" Type="http://schemas.openxmlformats.org/officeDocument/2006/relationships/hyperlink" Target="https://webinsight.in/" TargetMode="External"/><Relationship Id="rId20" Type="http://schemas.openxmlformats.org/officeDocument/2006/relationships/hyperlink" Target="mailto:mksstudio09@gmail.com" TargetMode="External"/><Relationship Id="rId41" Type="http://schemas.openxmlformats.org/officeDocument/2006/relationships/hyperlink" Target="mailto:varsha.c@vchic.in" TargetMode="External"/><Relationship Id="rId54" Type="http://schemas.openxmlformats.org/officeDocument/2006/relationships/hyperlink" Target="https://www.sheetalmouthfreshners.in/" TargetMode="External"/><Relationship Id="rId62" Type="http://schemas.openxmlformats.org/officeDocument/2006/relationships/hyperlink" Target="https://card.tap-savvy.com/MOCKINGBIRD-STUDIOS_JAI-PANGAONKAR/882" TargetMode="External"/><Relationship Id="rId70" Type="http://schemas.openxmlformats.org/officeDocument/2006/relationships/hyperlink" Target="https://card.tap-savvy.com/White-Wish-co_VIDHI/887" TargetMode="External"/><Relationship Id="rId75" Type="http://schemas.openxmlformats.org/officeDocument/2006/relationships/hyperlink" Target="https://card.tap-savvy.com/VINAYAK-DENTAL-CLINIC_KARAN-GAIKWAD/892" TargetMode="External"/><Relationship Id="rId83" Type="http://schemas.openxmlformats.org/officeDocument/2006/relationships/hyperlink" Target="https://maps.app.goo.gl/WNTDfstfCwSXFbCFA" TargetMode="External"/><Relationship Id="rId88" Type="http://schemas.openxmlformats.org/officeDocument/2006/relationships/hyperlink" Target="https://card.tap-savvy.com/HEAL-HEPLPING-LIVES_HABIBA-KUDRATI/899" TargetMode="External"/><Relationship Id="rId91" Type="http://schemas.openxmlformats.org/officeDocument/2006/relationships/hyperlink" Target="https://card.tap-savvy.com/EVEN-BETTER-ADS_RAAHUUL-ADVANI/900" TargetMode="External"/><Relationship Id="rId1" Type="http://schemas.openxmlformats.org/officeDocument/2006/relationships/hyperlink" Target="https://card.tap-savvy.com/AMITPATEL/823" TargetMode="External"/><Relationship Id="rId6" Type="http://schemas.openxmlformats.org/officeDocument/2006/relationships/hyperlink" Target="https://card.tap-savvy.com/ANKIT_JAIN_TAP/828" TargetMode="External"/><Relationship Id="rId15" Type="http://schemas.openxmlformats.org/officeDocument/2006/relationships/hyperlink" Target="https://www.google.com/maps/place/Gateway+Abroad+Study+in+UK/@19.1643003,72.9371923,17z/data=!3m1!4b1!4m6!3m5!1s0x3be7b90eb32d2ecd:0xce60f024eaab736c!8m2!3d19.1643003!4d72.9371923!16s%2Fg%2F11g0h1q9mx?entry=ttu" TargetMode="External"/><Relationship Id="rId23" Type="http://schemas.openxmlformats.org/officeDocument/2006/relationships/hyperlink" Target="https://card.tap-savvy.com/Mitulgada/838" TargetMode="External"/><Relationship Id="rId28" Type="http://schemas.openxmlformats.org/officeDocument/2006/relationships/hyperlink" Target="mailto:harnish@3mindsdigital.com" TargetMode="External"/><Relationship Id="rId36" Type="http://schemas.openxmlformats.org/officeDocument/2006/relationships/hyperlink" Target="https://card.tap-savvy.com/Ramyachaturvedi/871" TargetMode="External"/><Relationship Id="rId49" Type="http://schemas.openxmlformats.org/officeDocument/2006/relationships/hyperlink" Target="https://maps.app.goo.gl/tF3znmzq8WJ9WW8r8?g_st=iwb" TargetMode="External"/><Relationship Id="rId57" Type="http://schemas.openxmlformats.org/officeDocument/2006/relationships/hyperlink" Target="https://www.anupalanonline.com/" TargetMode="External"/><Relationship Id="rId10" Type="http://schemas.openxmlformats.org/officeDocument/2006/relationships/hyperlink" Target="https://card.tap-savvy.com/AKASH-GJA/830" TargetMode="External"/><Relationship Id="rId31" Type="http://schemas.openxmlformats.org/officeDocument/2006/relationships/hyperlink" Target="https://card.tap-savvy.com/Rockpunksclothing/869" TargetMode="External"/><Relationship Id="rId44" Type="http://schemas.openxmlformats.org/officeDocument/2006/relationships/hyperlink" Target="https://card.tap-savvy.com/Mourya-Enterprises_Rohan-Kadu/873" TargetMode="External"/><Relationship Id="rId52" Type="http://schemas.openxmlformats.org/officeDocument/2006/relationships/hyperlink" Target="https://card.tap-savvy.com/SHEETAL-MOUTHFRESHNERS_SAMVEG-MEHTA/878" TargetMode="External"/><Relationship Id="rId60" Type="http://schemas.openxmlformats.org/officeDocument/2006/relationships/hyperlink" Target="https://card.tap-savvy.com/Xtasy_by_Megh/881" TargetMode="External"/><Relationship Id="rId65" Type="http://schemas.openxmlformats.org/officeDocument/2006/relationships/hyperlink" Target="https://card.tap-savvy.com/WEBINSIGHT_DINESH-SONI/884" TargetMode="External"/><Relationship Id="rId73" Type="http://schemas.openxmlformats.org/officeDocument/2006/relationships/hyperlink" Target="mailto:rajat.kapoor@nsrm.ae" TargetMode="External"/><Relationship Id="rId78" Type="http://schemas.openxmlformats.org/officeDocument/2006/relationships/hyperlink" Target="https://card.tap-savvy.com/THE-DENTAL-SUITE/893" TargetMode="External"/><Relationship Id="rId81" Type="http://schemas.openxmlformats.org/officeDocument/2006/relationships/hyperlink" Target="mailto:info@pencilstroke.in" TargetMode="External"/><Relationship Id="rId86" Type="http://schemas.openxmlformats.org/officeDocument/2006/relationships/hyperlink" Target="https://card.tap-savvy.com/P-S-CREATIONS_HETAAL-SETHIA/898" TargetMode="External"/><Relationship Id="rId4" Type="http://schemas.openxmlformats.org/officeDocument/2006/relationships/hyperlink" Target="mailto:solution@chemtronicsindia.com" TargetMode="External"/><Relationship Id="rId9" Type="http://schemas.openxmlformats.org/officeDocument/2006/relationships/hyperlink" Target="https://www.nectartreatss.com/"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www.jmbrand.in/" TargetMode="External"/><Relationship Id="rId117" Type="http://schemas.openxmlformats.org/officeDocument/2006/relationships/hyperlink" Target="mailto:drmayank18@gmail.com" TargetMode="External"/><Relationship Id="rId21" Type="http://schemas.openxmlformats.org/officeDocument/2006/relationships/hyperlink" Target="https://card.tap-savvy.com/ImaxOpticals&amp;Watches/1205" TargetMode="External"/><Relationship Id="rId42" Type="http://schemas.openxmlformats.org/officeDocument/2006/relationships/hyperlink" Target="https://maps.app.goo.gl/ZPmh82y6WKLGGYA47" TargetMode="External"/><Relationship Id="rId47" Type="http://schemas.openxmlformats.org/officeDocument/2006/relationships/hyperlink" Target="https://card.tap-savvy.com/Dhrisha-Jewels-Private-Limited_Sunny-Mehta/1221" TargetMode="External"/><Relationship Id="rId63" Type="http://schemas.openxmlformats.org/officeDocument/2006/relationships/hyperlink" Target="https://card.tap-savvy.com/PARA-KIDS-N-MEN'S-CLOTHING_Pooja-Jhunjhunwala/1230" TargetMode="External"/><Relationship Id="rId68" Type="http://schemas.openxmlformats.org/officeDocument/2006/relationships/hyperlink" Target="https://growpro.co.in/" TargetMode="External"/><Relationship Id="rId84" Type="http://schemas.openxmlformats.org/officeDocument/2006/relationships/hyperlink" Target="mailto:panchdev_traders@yahoo.co.in" TargetMode="External"/><Relationship Id="rId89" Type="http://schemas.openxmlformats.org/officeDocument/2006/relationships/hyperlink" Target="https://card.tap-savvy.com/Krisha-Mehta/1248" TargetMode="External"/><Relationship Id="rId112" Type="http://schemas.openxmlformats.org/officeDocument/2006/relationships/hyperlink" Target="https://card.tap-savvy.com/SHETH-DENTAL-CLINIC_DR.NOMAL-SHETH/1271" TargetMode="External"/><Relationship Id="rId133" Type="http://schemas.openxmlformats.org/officeDocument/2006/relationships/hyperlink" Target="https://card.tap-savvy.com/Kothari-Investments_Harsh-Kothari/1197" TargetMode="External"/><Relationship Id="rId16" Type="http://schemas.openxmlformats.org/officeDocument/2006/relationships/hyperlink" Target="mailto:rajbhanushali1970@gmail.com" TargetMode="External"/><Relationship Id="rId107" Type="http://schemas.openxmlformats.org/officeDocument/2006/relationships/hyperlink" Target="mailto:kthakur28@rediffmail.com" TargetMode="External"/><Relationship Id="rId11" Type="http://schemas.openxmlformats.org/officeDocument/2006/relationships/hyperlink" Target="https://card.tap-savvy.com/HSR-Creation_Devendra-Kothari/1201" TargetMode="External"/><Relationship Id="rId32" Type="http://schemas.openxmlformats.org/officeDocument/2006/relationships/hyperlink" Target="https://card.tap-savvy.com/AKASH-ENTERPRISES_DINESH-TORASKAR/1209" TargetMode="External"/><Relationship Id="rId37" Type="http://schemas.openxmlformats.org/officeDocument/2006/relationships/hyperlink" Target="mailto:kapilvaid3177@gmail.com" TargetMode="External"/><Relationship Id="rId53" Type="http://schemas.openxmlformats.org/officeDocument/2006/relationships/hyperlink" Target="https://card.tap-savvy.com/Eastern-Financiers-Limited_Abhishek-Agarwal/1224" TargetMode="External"/><Relationship Id="rId58" Type="http://schemas.openxmlformats.org/officeDocument/2006/relationships/hyperlink" Target="mailto:pankajchaudhary@easternfin.com" TargetMode="External"/><Relationship Id="rId74" Type="http://schemas.openxmlformats.org/officeDocument/2006/relationships/hyperlink" Target="mailto:rahulgrime@gmail.com" TargetMode="External"/><Relationship Id="rId79" Type="http://schemas.openxmlformats.org/officeDocument/2006/relationships/hyperlink" Target="https://card.tap-savvy.com/NIPPON-LIFE-INSURANCE_10001/1237" TargetMode="External"/><Relationship Id="rId102" Type="http://schemas.openxmlformats.org/officeDocument/2006/relationships/hyperlink" Target="mailto:pankaj@velcord.in" TargetMode="External"/><Relationship Id="rId123" Type="http://schemas.openxmlformats.org/officeDocument/2006/relationships/hyperlink" Target="mailto:mahavirhardwarestudio@gmail.com" TargetMode="External"/><Relationship Id="rId128" Type="http://schemas.openxmlformats.org/officeDocument/2006/relationships/hyperlink" Target="https://card.tap-savvy.com/GLISNA_NIRALI-CHARANIYA/1379" TargetMode="External"/><Relationship Id="rId5" Type="http://schemas.openxmlformats.org/officeDocument/2006/relationships/hyperlink" Target="mailto:pratik.bniace@gmail.com" TargetMode="External"/><Relationship Id="rId90" Type="http://schemas.openxmlformats.org/officeDocument/2006/relationships/hyperlink" Target="mailto:krishamehta22@yahoo.com" TargetMode="External"/><Relationship Id="rId95" Type="http://schemas.openxmlformats.org/officeDocument/2006/relationships/hyperlink" Target="https://card.tap-savvy.com/Dinesh-Chaudhary-&amp;-co_Dinesh-Chaudhary/1252" TargetMode="External"/><Relationship Id="rId14" Type="http://schemas.openxmlformats.org/officeDocument/2006/relationships/hyperlink" Target="mailto:hsrcreationinfo@gmail.com" TargetMode="External"/><Relationship Id="rId22" Type="http://schemas.openxmlformats.org/officeDocument/2006/relationships/hyperlink" Target="mailto:monali.imax@gmail.com" TargetMode="External"/><Relationship Id="rId27" Type="http://schemas.openxmlformats.org/officeDocument/2006/relationships/hyperlink" Target="https://card.tap-savvy.com/JM-ANNA-IDLI-CAFE-PVT-LTD_PRAKASH-KONAR/1207" TargetMode="External"/><Relationship Id="rId30" Type="http://schemas.openxmlformats.org/officeDocument/2006/relationships/hyperlink" Target="https://card.tap-savvy.com/ALLURE&amp;ADORN_POOJA-GUPTA/1208" TargetMode="External"/><Relationship Id="rId35" Type="http://schemas.openxmlformats.org/officeDocument/2006/relationships/hyperlink" Target="mailto:foot_fuel@yahoo.com" TargetMode="External"/><Relationship Id="rId43" Type="http://schemas.openxmlformats.org/officeDocument/2006/relationships/hyperlink" Target="https://card.tap-savvy.com/ATUL-PARIKH/1215" TargetMode="External"/><Relationship Id="rId48" Type="http://schemas.openxmlformats.org/officeDocument/2006/relationships/hyperlink" Target="mailto:dhrishajewelspvtltd@outlook.com" TargetMode="External"/><Relationship Id="rId56" Type="http://schemas.openxmlformats.org/officeDocument/2006/relationships/hyperlink" Target="mailto:ajayagarwal@easternfin.com" TargetMode="External"/><Relationship Id="rId64" Type="http://schemas.openxmlformats.org/officeDocument/2006/relationships/hyperlink" Target="mailto:para.kidswear@gmail.com" TargetMode="External"/><Relationship Id="rId69" Type="http://schemas.openxmlformats.org/officeDocument/2006/relationships/hyperlink" Target="https://card.tap-savvy.com/Sshades_Dhiirraj-Chhadwa/1233" TargetMode="External"/><Relationship Id="rId77" Type="http://schemas.openxmlformats.org/officeDocument/2006/relationships/hyperlink" Target="https://card.tap-savvy.com/Nidhiti_Niyati-Mehta/1236" TargetMode="External"/><Relationship Id="rId100" Type="http://schemas.openxmlformats.org/officeDocument/2006/relationships/hyperlink" Target="mailto:sangammart51@gmail.com" TargetMode="External"/><Relationship Id="rId105" Type="http://schemas.openxmlformats.org/officeDocument/2006/relationships/hyperlink" Target="https://www.syntheticmolecules.com/" TargetMode="External"/><Relationship Id="rId113" Type="http://schemas.openxmlformats.org/officeDocument/2006/relationships/hyperlink" Target="mailto:dentalsheth@gmail.com" TargetMode="External"/><Relationship Id="rId118" Type="http://schemas.openxmlformats.org/officeDocument/2006/relationships/hyperlink" Target="https://www.doshidental.in/" TargetMode="External"/><Relationship Id="rId126" Type="http://schemas.openxmlformats.org/officeDocument/2006/relationships/hyperlink" Target="https://card.tap-savvy.com/LEADERSHIP-WITH-DEEPA_DEEPA-PADDA/1376" TargetMode="External"/><Relationship Id="rId8" Type="http://schemas.openxmlformats.org/officeDocument/2006/relationships/hyperlink" Target="https://www.esstyle.in/" TargetMode="External"/><Relationship Id="rId51" Type="http://schemas.openxmlformats.org/officeDocument/2006/relationships/hyperlink" Target="https://card.tap-savvy.com/Eastern-Financiers-Limited_Ambrish-Agarwal/1225" TargetMode="External"/><Relationship Id="rId72" Type="http://schemas.openxmlformats.org/officeDocument/2006/relationships/hyperlink" Target="https://www.google.com/maps/place/Shades/@19.0800444,72.9039475,15z/data=!4m2!3m1!1s0x0:0x7a0bacbcb09977d6?sa=X&amp;ved=1t:2428&amp;ictx=111" TargetMode="External"/><Relationship Id="rId80" Type="http://schemas.openxmlformats.org/officeDocument/2006/relationships/hyperlink" Target="mailto:rahul.ss.sharma@relianceada.com" TargetMode="External"/><Relationship Id="rId85" Type="http://schemas.openxmlformats.org/officeDocument/2006/relationships/hyperlink" Target="https://card.tap-savvy.com/LOVELY-MIX-CO_LOVELY-JAGTIANI/1240" TargetMode="External"/><Relationship Id="rId93" Type="http://schemas.openxmlformats.org/officeDocument/2006/relationships/hyperlink" Target="mailto:ravi.ahuja@dyt.co.in" TargetMode="External"/><Relationship Id="rId98" Type="http://schemas.openxmlformats.org/officeDocument/2006/relationships/hyperlink" Target="mailto:rinkishah109@gmail.com" TargetMode="External"/><Relationship Id="rId121" Type="http://schemas.openxmlformats.org/officeDocument/2006/relationships/hyperlink" Target="mailto:dhrishajewelspvtltd@outlook.com" TargetMode="External"/><Relationship Id="rId3" Type="http://schemas.openxmlformats.org/officeDocument/2006/relationships/hyperlink" Target="https://card.tap-savvy.com/Kothari-Investments_Harsh-Kothari/Kothari%20Investments%20098193%2038777" TargetMode="External"/><Relationship Id="rId12" Type="http://schemas.openxmlformats.org/officeDocument/2006/relationships/hyperlink" Target="mailto:hsrcreationinfo@gmail.com" TargetMode="External"/><Relationship Id="rId17" Type="http://schemas.openxmlformats.org/officeDocument/2006/relationships/hyperlink" Target="https://www.creativellp.com/" TargetMode="External"/><Relationship Id="rId25" Type="http://schemas.openxmlformats.org/officeDocument/2006/relationships/hyperlink" Target="mailto:jmadvprint@gmail.com" TargetMode="External"/><Relationship Id="rId33" Type="http://schemas.openxmlformats.org/officeDocument/2006/relationships/hyperlink" Target="mailto:akashenterprise87@gmail.com" TargetMode="External"/><Relationship Id="rId38" Type="http://schemas.openxmlformats.org/officeDocument/2006/relationships/hyperlink" Target="https://card.tap-savvy.com/SATISH-D-UPADHYAY/1212" TargetMode="External"/><Relationship Id="rId46" Type="http://schemas.openxmlformats.org/officeDocument/2006/relationships/hyperlink" Target="mailto:ayushmanaman@gmail.com" TargetMode="External"/><Relationship Id="rId59" Type="http://schemas.openxmlformats.org/officeDocument/2006/relationships/hyperlink" Target="https://card.tap-savvy.com/Global-Copier-resource-PTE-LTD_Aatish-Patel/1228" TargetMode="External"/><Relationship Id="rId67" Type="http://schemas.openxmlformats.org/officeDocument/2006/relationships/hyperlink" Target="http://card.tap-savvy.com/GrowPro-Technology_Karan-Dabrai/1232" TargetMode="External"/><Relationship Id="rId103" Type="http://schemas.openxmlformats.org/officeDocument/2006/relationships/hyperlink" Target="https://card.tap-savvy.com/Synthetic-Molecules-Private-Limited_Akshay-Thakur/1257" TargetMode="External"/><Relationship Id="rId108" Type="http://schemas.openxmlformats.org/officeDocument/2006/relationships/hyperlink" Target="https://card.tap-savvy.com/FACETS-HONG-KONG-LIMITED_Kunal-Jain/1266" TargetMode="External"/><Relationship Id="rId116" Type="http://schemas.openxmlformats.org/officeDocument/2006/relationships/hyperlink" Target="https://card.tap-savvy.com/DrMayankDoshi-Dentalclinic/1367" TargetMode="External"/><Relationship Id="rId124" Type="http://schemas.openxmlformats.org/officeDocument/2006/relationships/hyperlink" Target="https://card.tap-savvy.com/NIKITA-HARDWARE_BHAGWAN-JAIN/1372" TargetMode="External"/><Relationship Id="rId129" Type="http://schemas.openxmlformats.org/officeDocument/2006/relationships/hyperlink" Target="mailto:INFO@GLISNA.COM" TargetMode="External"/><Relationship Id="rId20" Type="http://schemas.openxmlformats.org/officeDocument/2006/relationships/hyperlink" Target="https://www.creativellp.com/" TargetMode="External"/><Relationship Id="rId41" Type="http://schemas.openxmlformats.org/officeDocument/2006/relationships/hyperlink" Target="mailto:Ruchira@bhojnalaya.com" TargetMode="External"/><Relationship Id="rId54" Type="http://schemas.openxmlformats.org/officeDocument/2006/relationships/hyperlink" Target="about:blank" TargetMode="External"/><Relationship Id="rId62" Type="http://schemas.openxmlformats.org/officeDocument/2006/relationships/hyperlink" Target="mailto:fashionkstw@gmail.com" TargetMode="External"/><Relationship Id="rId70" Type="http://schemas.openxmlformats.org/officeDocument/2006/relationships/hyperlink" Target="mailto:ddc@shadesdecor.com" TargetMode="External"/><Relationship Id="rId75" Type="http://schemas.openxmlformats.org/officeDocument/2006/relationships/hyperlink" Target="https://card.tap-savvy.com/Nidhiti_Pankti-Choksi/1235" TargetMode="External"/><Relationship Id="rId83" Type="http://schemas.openxmlformats.org/officeDocument/2006/relationships/hyperlink" Target="https://card.tap-savvy.com/PANCHDEV-TRADERS_RAMASHANKAR-PATEL/1239" TargetMode="External"/><Relationship Id="rId88" Type="http://schemas.openxmlformats.org/officeDocument/2006/relationships/hyperlink" Target="mailto:labelvastra@yahoo.com" TargetMode="External"/><Relationship Id="rId91" Type="http://schemas.openxmlformats.org/officeDocument/2006/relationships/hyperlink" Target="https://card.tap-savvy.com/Jainco-Consulting-India-Private-Limited_Kejal-punamia/1249" TargetMode="External"/><Relationship Id="rId96" Type="http://schemas.openxmlformats.org/officeDocument/2006/relationships/hyperlink" Target="mailto:dinesh@dcncca.com" TargetMode="External"/><Relationship Id="rId111" Type="http://schemas.openxmlformats.org/officeDocument/2006/relationships/hyperlink" Target="mailto:Info@90prints.com" TargetMode="External"/><Relationship Id="rId132" Type="http://schemas.openxmlformats.org/officeDocument/2006/relationships/hyperlink" Target="https://www.1click.co.in/" TargetMode="External"/><Relationship Id="rId1" Type="http://schemas.openxmlformats.org/officeDocument/2006/relationships/hyperlink" Target="mailto:harsh@kothariinvestments.com" TargetMode="External"/><Relationship Id="rId6" Type="http://schemas.openxmlformats.org/officeDocument/2006/relationships/hyperlink" Target="http://card.tap-savvy.com/TEE-ESSTYLE-LLP_Devesh-Singh/1199" TargetMode="External"/><Relationship Id="rId15" Type="http://schemas.openxmlformats.org/officeDocument/2006/relationships/hyperlink" Target="https://card.tap-savvy.com/RAJENDRA-BHANUSHALI_CREATIVE-PLUS-NETTRADE-LLP/1203" TargetMode="External"/><Relationship Id="rId23" Type="http://schemas.openxmlformats.org/officeDocument/2006/relationships/hyperlink" Target="https://g.page/r/CWlHbea-NUSiEBM/review" TargetMode="External"/><Relationship Id="rId28" Type="http://schemas.openxmlformats.org/officeDocument/2006/relationships/hyperlink" Target="mailto:info@annaidlicafe.com" TargetMode="External"/><Relationship Id="rId36" Type="http://schemas.openxmlformats.org/officeDocument/2006/relationships/hyperlink" Target="https://card.tap-savvy.com/VIBRANT-DESI_KAPIL-VAID/1211" TargetMode="External"/><Relationship Id="rId49" Type="http://schemas.openxmlformats.org/officeDocument/2006/relationships/hyperlink" Target="https://card.tap-savvy.com/Eastern-Financiers-Limited_Tina-Jain/1226" TargetMode="External"/><Relationship Id="rId57" Type="http://schemas.openxmlformats.org/officeDocument/2006/relationships/hyperlink" Target="https://card.tap-savvy.com/Eastern-Financiers-Limited_Pankaj-Kumar-Chaudhary/1222" TargetMode="External"/><Relationship Id="rId106" Type="http://schemas.openxmlformats.org/officeDocument/2006/relationships/hyperlink" Target="https://card.tap-savvy.com/Synthetic-Molecules-Private-Limited_Kishor-Thakur/1258" TargetMode="External"/><Relationship Id="rId114" Type="http://schemas.openxmlformats.org/officeDocument/2006/relationships/hyperlink" Target="https://card.tap-savvy.com/LUCENT-GARDENS-PVT-LTD_DILIP-MURKUTE/1366" TargetMode="External"/><Relationship Id="rId119" Type="http://schemas.openxmlformats.org/officeDocument/2006/relationships/hyperlink" Target="https://maps.app.goo.gl/8nSMfwtxudGrL1Su7?g_st=ic" TargetMode="External"/><Relationship Id="rId127" Type="http://schemas.openxmlformats.org/officeDocument/2006/relationships/hyperlink" Target="mailto:d@leadershipwithdeepa.com" TargetMode="External"/><Relationship Id="rId10" Type="http://schemas.openxmlformats.org/officeDocument/2006/relationships/hyperlink" Target="mailto:rubyray4@gmail.com" TargetMode="External"/><Relationship Id="rId31" Type="http://schemas.openxmlformats.org/officeDocument/2006/relationships/hyperlink" Target="mailto:gupta.pooja@hotmail.com" TargetMode="External"/><Relationship Id="rId44" Type="http://schemas.openxmlformats.org/officeDocument/2006/relationships/hyperlink" Target="mailto:atulparikh_111@yahoo.in" TargetMode="External"/><Relationship Id="rId52" Type="http://schemas.openxmlformats.org/officeDocument/2006/relationships/hyperlink" Target="mailto:ambrish@easternfin.com" TargetMode="External"/><Relationship Id="rId60" Type="http://schemas.openxmlformats.org/officeDocument/2006/relationships/hyperlink" Target="mailto:copier@gcr.com.sg" TargetMode="External"/><Relationship Id="rId65" Type="http://schemas.openxmlformats.org/officeDocument/2006/relationships/hyperlink" Target="https://card.tap-savvy.com/ASTRIX_Illuminar-Ventures-Pvt-Ltd_Saket-Dongre/1231" TargetMode="External"/><Relationship Id="rId73" Type="http://schemas.openxmlformats.org/officeDocument/2006/relationships/hyperlink" Target="https://card.tap-savvy.com/Rashi-Trending-Gadgets_Shweta-Girme/1234" TargetMode="External"/><Relationship Id="rId78" Type="http://schemas.openxmlformats.org/officeDocument/2006/relationships/hyperlink" Target="mailto:niyati.giriraj@gmail.com" TargetMode="External"/><Relationship Id="rId81" Type="http://schemas.openxmlformats.org/officeDocument/2006/relationships/hyperlink" Target="https://card.tap-savvy.com/AARTI-AGRAWAL/1238" TargetMode="External"/><Relationship Id="rId86" Type="http://schemas.openxmlformats.org/officeDocument/2006/relationships/hyperlink" Target="mailto:lovelytwist3@gmail.com" TargetMode="External"/><Relationship Id="rId94" Type="http://schemas.openxmlformats.org/officeDocument/2006/relationships/hyperlink" Target="https://dyt.co.in/" TargetMode="External"/><Relationship Id="rId99" Type="http://schemas.openxmlformats.org/officeDocument/2006/relationships/hyperlink" Target="https://card.tap-savvy.com/Sangam-Mart_Suraj-Upadhyay/1254" TargetMode="External"/><Relationship Id="rId101" Type="http://schemas.openxmlformats.org/officeDocument/2006/relationships/hyperlink" Target="https://card.tap-savvy.com/Velcord-Textiles-Pvt-Ltd_Pankaj-Sonawane/1255" TargetMode="External"/><Relationship Id="rId122" Type="http://schemas.openxmlformats.org/officeDocument/2006/relationships/hyperlink" Target="https://card.tap-savvy.com/MAHAVIR-HARDWARE-STUDIO_RAMESH-JAIN/1371" TargetMode="External"/><Relationship Id="rId130" Type="http://schemas.openxmlformats.org/officeDocument/2006/relationships/hyperlink" Target="https://card.tap-savvy.com/ONE-CLICK-LOGISTICS-INDIA-LIMITED_MAHESH-BHANUSHALI/1380" TargetMode="External"/><Relationship Id="rId4" Type="http://schemas.openxmlformats.org/officeDocument/2006/relationships/hyperlink" Target="https://card.tap-savvy.com/ScaleUpConsultants_CA-Pratik-Damani/1198" TargetMode="External"/><Relationship Id="rId9" Type="http://schemas.openxmlformats.org/officeDocument/2006/relationships/hyperlink" Target="https://card.tap-savvy.com/Food-Lexicon-Pvt-Ltd_RubyRay/1200" TargetMode="External"/><Relationship Id="rId13" Type="http://schemas.openxmlformats.org/officeDocument/2006/relationships/hyperlink" Target="https://card.tap-savvy.com/HSR-Creation_Darshan-Sanghavi/1202" TargetMode="External"/><Relationship Id="rId18" Type="http://schemas.openxmlformats.org/officeDocument/2006/relationships/hyperlink" Target="https://card.tap-savvy.com/SAMEER-KHETANI_CREATIVE-PLUS-NETTRADE-LLP/1204" TargetMode="External"/><Relationship Id="rId39" Type="http://schemas.openxmlformats.org/officeDocument/2006/relationships/hyperlink" Target="mailto:satish@rupadhyay.in" TargetMode="External"/><Relationship Id="rId109" Type="http://schemas.openxmlformats.org/officeDocument/2006/relationships/hyperlink" Target="mailto:kunalajain@gmail.com" TargetMode="External"/><Relationship Id="rId34" Type="http://schemas.openxmlformats.org/officeDocument/2006/relationships/hyperlink" Target="https://card.tap-savvy.com/FOOT-FUEL_PREETI-JAIN/1210" TargetMode="External"/><Relationship Id="rId50" Type="http://schemas.openxmlformats.org/officeDocument/2006/relationships/hyperlink" Target="mailto:tina@easternfin.com" TargetMode="External"/><Relationship Id="rId55" Type="http://schemas.openxmlformats.org/officeDocument/2006/relationships/hyperlink" Target="https://card.tap-savvy.com/Eastern-Financiers-Limited_Ajay-Agarwal/1223" TargetMode="External"/><Relationship Id="rId76" Type="http://schemas.openxmlformats.org/officeDocument/2006/relationships/hyperlink" Target="mailto:modi.pankti@gmail.com" TargetMode="External"/><Relationship Id="rId97" Type="http://schemas.openxmlformats.org/officeDocument/2006/relationships/hyperlink" Target="https://card.tap-savvy.com/HEALING-ARTS-CENTRE_RINKAL-SHAH/1253" TargetMode="External"/><Relationship Id="rId104" Type="http://schemas.openxmlformats.org/officeDocument/2006/relationships/hyperlink" Target="mailto:Akshay.thakur@syntheticmolecules.com" TargetMode="External"/><Relationship Id="rId120" Type="http://schemas.openxmlformats.org/officeDocument/2006/relationships/hyperlink" Target="https://card.tap-savvy.com/DHRISHA-JEWELS-PRIVATE-LIMITED_DAINIK-GOTHI/1368" TargetMode="External"/><Relationship Id="rId125" Type="http://schemas.openxmlformats.org/officeDocument/2006/relationships/hyperlink" Target="mailto:nikitahardware@gmail.com" TargetMode="External"/><Relationship Id="rId7" Type="http://schemas.openxmlformats.org/officeDocument/2006/relationships/hyperlink" Target="mailto:esstyle.in@gmail.com" TargetMode="External"/><Relationship Id="rId71" Type="http://schemas.openxmlformats.org/officeDocument/2006/relationships/hyperlink" Target="https://shadesdecor.com/" TargetMode="External"/><Relationship Id="rId92" Type="http://schemas.openxmlformats.org/officeDocument/2006/relationships/hyperlink" Target="mailto:kejal.punamia@jaincotech.com" TargetMode="External"/><Relationship Id="rId2" Type="http://schemas.openxmlformats.org/officeDocument/2006/relationships/hyperlink" Target="https://www.kothariinvestments.com/" TargetMode="External"/><Relationship Id="rId29" Type="http://schemas.openxmlformats.org/officeDocument/2006/relationships/hyperlink" Target="https://www.annaidly.in/" TargetMode="External"/><Relationship Id="rId24" Type="http://schemas.openxmlformats.org/officeDocument/2006/relationships/hyperlink" Target="https://card.tap-savvy.com/J-MADHU-ADVERTISING&amp;MARKETING-PVT-LTD_PRAKASH-KONAR/1206" TargetMode="External"/><Relationship Id="rId40" Type="http://schemas.openxmlformats.org/officeDocument/2006/relationships/hyperlink" Target="https://card.tap-savvy.com/TRIPLE_AAA_Pure_Veg_Restaurant_BHOJNALAYA/1214" TargetMode="External"/><Relationship Id="rId45" Type="http://schemas.openxmlformats.org/officeDocument/2006/relationships/hyperlink" Target="https://card.tap-savvy.com/AAYUSHMAN-AMAN-MAHESHWARI/1217" TargetMode="External"/><Relationship Id="rId66" Type="http://schemas.openxmlformats.org/officeDocument/2006/relationships/hyperlink" Target="mailto:saket@astrixev.com" TargetMode="External"/><Relationship Id="rId87" Type="http://schemas.openxmlformats.org/officeDocument/2006/relationships/hyperlink" Target="https://card.tap-savvy.com/VASTRA-BY-MALA-MUNDE_MALA-MUNDE/1241" TargetMode="External"/><Relationship Id="rId110" Type="http://schemas.openxmlformats.org/officeDocument/2006/relationships/hyperlink" Target="https://card.tap-savvy.com/90-Prints_Narendra-Verat/1269" TargetMode="External"/><Relationship Id="rId115" Type="http://schemas.openxmlformats.org/officeDocument/2006/relationships/hyperlink" Target="mailto:dilip@lucentcorporation.com" TargetMode="External"/><Relationship Id="rId131" Type="http://schemas.openxmlformats.org/officeDocument/2006/relationships/hyperlink" Target="mailto:mahesh@1click.co.in" TargetMode="External"/><Relationship Id="rId61" Type="http://schemas.openxmlformats.org/officeDocument/2006/relationships/hyperlink" Target="https://card.tap-savvy.com/SWEET-FASHION_RAKESH-LAKHOTIA/1229" TargetMode="External"/><Relationship Id="rId82" Type="http://schemas.openxmlformats.org/officeDocument/2006/relationships/hyperlink" Target="mailto:anuti28@gmail.com" TargetMode="External"/><Relationship Id="rId19" Type="http://schemas.openxmlformats.org/officeDocument/2006/relationships/hyperlink" Target="mailto:khetani@hotmail.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g.co/kgs/8XSMXu7" TargetMode="External"/><Relationship Id="rId13" Type="http://schemas.openxmlformats.org/officeDocument/2006/relationships/hyperlink" Target="https://g.co/kgs/8XSMXu7" TargetMode="External"/><Relationship Id="rId18" Type="http://schemas.openxmlformats.org/officeDocument/2006/relationships/hyperlink" Target="https://g.co/kgs/8XSMXu7" TargetMode="External"/><Relationship Id="rId3" Type="http://schemas.openxmlformats.org/officeDocument/2006/relationships/hyperlink" Target="https://www.askkonsultancy.com/" TargetMode="External"/><Relationship Id="rId21" Type="http://schemas.openxmlformats.org/officeDocument/2006/relationships/hyperlink" Target="mailto:mitaliaskkonsultancy@gmail.com" TargetMode="External"/><Relationship Id="rId7" Type="http://schemas.openxmlformats.org/officeDocument/2006/relationships/hyperlink" Target="https://www.askkonsultancy.com/" TargetMode="External"/><Relationship Id="rId12" Type="http://schemas.openxmlformats.org/officeDocument/2006/relationships/hyperlink" Target="https://www.askkonsultancy.com/" TargetMode="External"/><Relationship Id="rId17" Type="http://schemas.openxmlformats.org/officeDocument/2006/relationships/hyperlink" Target="https://www.askkonsultancy.com/" TargetMode="External"/><Relationship Id="rId2" Type="http://schemas.openxmlformats.org/officeDocument/2006/relationships/hyperlink" Target="mailto:officeaskkonsultancy@gmail.com" TargetMode="External"/><Relationship Id="rId16" Type="http://schemas.openxmlformats.org/officeDocument/2006/relationships/hyperlink" Target="mailto:officeaskkonsultancy@gmail.com" TargetMode="External"/><Relationship Id="rId20" Type="http://schemas.openxmlformats.org/officeDocument/2006/relationships/hyperlink" Target="mailto:officeaskkonsultancy@gmail.com" TargetMode="External"/><Relationship Id="rId1" Type="http://schemas.openxmlformats.org/officeDocument/2006/relationships/hyperlink" Target="https://card.tap-savvy.com/ASK-KONSULTANCY_BUSHRA-VORA/1110" TargetMode="External"/><Relationship Id="rId6" Type="http://schemas.openxmlformats.org/officeDocument/2006/relationships/hyperlink" Target="http://card.tap-savvy.com/ASK-KONSULTANCY_JYOTI-MISHRA/1111" TargetMode="External"/><Relationship Id="rId11" Type="http://schemas.openxmlformats.org/officeDocument/2006/relationships/hyperlink" Target="mailto:mitaliaskkonsultancy@gmail.com" TargetMode="External"/><Relationship Id="rId5" Type="http://schemas.openxmlformats.org/officeDocument/2006/relationships/hyperlink" Target="https://www.instagram.com/ask_konsultancy/" TargetMode="External"/><Relationship Id="rId15" Type="http://schemas.openxmlformats.org/officeDocument/2006/relationships/hyperlink" Target="https://card.tap-savvy.com/ASK-KONSULTANCY_RANJANA-UPADHYAY/1113" TargetMode="External"/><Relationship Id="rId10" Type="http://schemas.openxmlformats.org/officeDocument/2006/relationships/hyperlink" Target="http://card.tap-savvy.com/ASK-KONSULTANCY_MITALI-RAUT/1112" TargetMode="External"/><Relationship Id="rId19" Type="http://schemas.openxmlformats.org/officeDocument/2006/relationships/hyperlink" Target="https://www.instagram.com/ask_konsultancy/" TargetMode="External"/><Relationship Id="rId4" Type="http://schemas.openxmlformats.org/officeDocument/2006/relationships/hyperlink" Target="https://g.co/kgs/8XSMXu7" TargetMode="External"/><Relationship Id="rId9" Type="http://schemas.openxmlformats.org/officeDocument/2006/relationships/hyperlink" Target="https://www.instagram.com/ask_konsultancy/" TargetMode="External"/><Relationship Id="rId14" Type="http://schemas.openxmlformats.org/officeDocument/2006/relationships/hyperlink" Target="https://www.instagram.com/ask_konsultancy/" TargetMode="External"/><Relationship Id="rId22" Type="http://schemas.openxmlformats.org/officeDocument/2006/relationships/hyperlink" Target="mailto:officeaskkonsultancy@gmail.com"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www.instagram.com/webinsightin" TargetMode="External"/><Relationship Id="rId21" Type="http://schemas.openxmlformats.org/officeDocument/2006/relationships/hyperlink" Target="https://card.tap-savvy.com/BNI-TRIUMMPH_DHVANIL-SHAH/1427" TargetMode="External"/><Relationship Id="rId42" Type="http://schemas.openxmlformats.org/officeDocument/2006/relationships/hyperlink" Target="https://card.tap-savvy.com/BNI-TRIUMMPH_MEGHA-AGRAWWAL/1436" TargetMode="External"/><Relationship Id="rId47" Type="http://schemas.openxmlformats.org/officeDocument/2006/relationships/hyperlink" Target="mailto:neenajamdade@gmail.com" TargetMode="External"/><Relationship Id="rId63" Type="http://schemas.openxmlformats.org/officeDocument/2006/relationships/hyperlink" Target="mailto:rinkishah109@gmail.com" TargetMode="External"/><Relationship Id="rId68" Type="http://schemas.openxmlformats.org/officeDocument/2006/relationships/hyperlink" Target="https://card.tap-savvy.com/BNI-TRIUMMPH_DR.SANKET-BRAHMBHATT/1452" TargetMode="External"/><Relationship Id="rId84" Type="http://schemas.openxmlformats.org/officeDocument/2006/relationships/hyperlink" Target="https://card.tap-savvy.com/BNI-TRIUMMPH_ARUN-GUPTA/1460" TargetMode="External"/><Relationship Id="rId89" Type="http://schemas.openxmlformats.org/officeDocument/2006/relationships/hyperlink" Target="mailto:Sumanta.Banerjee@sceniccomm.in" TargetMode="External"/><Relationship Id="rId7" Type="http://schemas.openxmlformats.org/officeDocument/2006/relationships/hyperlink" Target="https://www.youtube.com/@MockingbirdStudiosIN" TargetMode="External"/><Relationship Id="rId71" Type="http://schemas.openxmlformats.org/officeDocument/2006/relationships/hyperlink" Target="https://www.facebook.com/thedentalsuitemumbai" TargetMode="External"/><Relationship Id="rId92" Type="http://schemas.openxmlformats.org/officeDocument/2006/relationships/hyperlink" Target="https://www.facebook.com/Sceniccomm/" TargetMode="External"/><Relationship Id="rId2" Type="http://schemas.openxmlformats.org/officeDocument/2006/relationships/hyperlink" Target="mailto:jai@mockingbird.co.in" TargetMode="External"/><Relationship Id="rId16" Type="http://schemas.openxmlformats.org/officeDocument/2006/relationships/hyperlink" Target="mailto:studioaseventeen@gmail.com" TargetMode="External"/><Relationship Id="rId29" Type="http://schemas.openxmlformats.org/officeDocument/2006/relationships/hyperlink" Target="https://card.tap-savvy.com/BNI-TRIUMMPH_ISHIKA-SHARMA/1429" TargetMode="External"/><Relationship Id="rId11" Type="http://schemas.openxmlformats.org/officeDocument/2006/relationships/hyperlink" Target="https://www.instagram.com/snhydraulics/" TargetMode="External"/><Relationship Id="rId24" Type="http://schemas.openxmlformats.org/officeDocument/2006/relationships/hyperlink" Target="mailto:dinesh@webinsight.in" TargetMode="External"/><Relationship Id="rId32" Type="http://schemas.openxmlformats.org/officeDocument/2006/relationships/hyperlink" Target="mailto:jalppaashah.designs@gmail.com" TargetMode="External"/><Relationship Id="rId37" Type="http://schemas.openxmlformats.org/officeDocument/2006/relationships/hyperlink" Target="https://www.instagram.com/khushhnmkkaranjia/" TargetMode="External"/><Relationship Id="rId40" Type="http://schemas.openxmlformats.org/officeDocument/2006/relationships/hyperlink" Target="https://card.tap-savvy.com/BNI-TRIUMMPH_KRUPALI-MAHOREY/1435" TargetMode="External"/><Relationship Id="rId45" Type="http://schemas.openxmlformats.org/officeDocument/2006/relationships/hyperlink" Target="mailto:tapsavvyofficial@gmail.com" TargetMode="External"/><Relationship Id="rId53" Type="http://schemas.openxmlformats.org/officeDocument/2006/relationships/hyperlink" Target="https://card.tap-savvy.com/BNI-TRIUMMPH_PRIYANK-SANCHETI/1442" TargetMode="External"/><Relationship Id="rId58" Type="http://schemas.openxmlformats.org/officeDocument/2006/relationships/hyperlink" Target="https://www.linkedin.com/feed/" TargetMode="External"/><Relationship Id="rId66" Type="http://schemas.openxmlformats.org/officeDocument/2006/relationships/hyperlink" Target="https://card.tap-savvy.com/BNI-TRIUMMPH_SAGAR-POOJARY/1451" TargetMode="External"/><Relationship Id="rId74" Type="http://schemas.openxmlformats.org/officeDocument/2006/relationships/hyperlink" Target="https://simonesalon.in/" TargetMode="External"/><Relationship Id="rId79" Type="http://schemas.openxmlformats.org/officeDocument/2006/relationships/hyperlink" Target="https://www.facebook.com/3CheersAds/" TargetMode="External"/><Relationship Id="rId87" Type="http://schemas.openxmlformats.org/officeDocument/2006/relationships/hyperlink" Target="mailto:kunalajain@gmail.com" TargetMode="External"/><Relationship Id="rId102" Type="http://schemas.openxmlformats.org/officeDocument/2006/relationships/table" Target="../tables/table20.xml"/><Relationship Id="rId5" Type="http://schemas.openxmlformats.org/officeDocument/2006/relationships/hyperlink" Target="https://www.facebook.com/MockingbirdStudiosIN/" TargetMode="External"/><Relationship Id="rId61" Type="http://schemas.openxmlformats.org/officeDocument/2006/relationships/hyperlink" Target="http://www.deepcomputers.info/" TargetMode="External"/><Relationship Id="rId82" Type="http://schemas.openxmlformats.org/officeDocument/2006/relationships/hyperlink" Target="mailto:pestreliefservice21@gmail.com" TargetMode="External"/><Relationship Id="rId90" Type="http://schemas.openxmlformats.org/officeDocument/2006/relationships/hyperlink" Target="https://sceniccomm.in/" TargetMode="External"/><Relationship Id="rId95" Type="http://schemas.openxmlformats.org/officeDocument/2006/relationships/hyperlink" Target="https://ahcapital.in/" TargetMode="External"/><Relationship Id="rId19" Type="http://schemas.openxmlformats.org/officeDocument/2006/relationships/hyperlink" Target="mailto:ayushishah36@gmail.com" TargetMode="External"/><Relationship Id="rId14" Type="http://schemas.openxmlformats.org/officeDocument/2006/relationships/hyperlink" Target="https://www.youtube.com/@snhydraulics" TargetMode="External"/><Relationship Id="rId22" Type="http://schemas.openxmlformats.org/officeDocument/2006/relationships/hyperlink" Target="mailto:goyam.dhvanil@gmail.com" TargetMode="External"/><Relationship Id="rId27" Type="http://schemas.openxmlformats.org/officeDocument/2006/relationships/hyperlink" Target="https://www.facebook.com/WebinsightIn/" TargetMode="External"/><Relationship Id="rId30" Type="http://schemas.openxmlformats.org/officeDocument/2006/relationships/hyperlink" Target="mailto:ishika.sharma@nuvama.com" TargetMode="External"/><Relationship Id="rId35" Type="http://schemas.openxmlformats.org/officeDocument/2006/relationships/hyperlink" Target="https://card.tap-savvy.com/BNI-TRIUMMPH_KHUSHNAM-KARANJIA/1433" TargetMode="External"/><Relationship Id="rId43" Type="http://schemas.openxmlformats.org/officeDocument/2006/relationships/hyperlink" Target="mailto:mna@mnaassociates.in" TargetMode="External"/><Relationship Id="rId48" Type="http://schemas.openxmlformats.org/officeDocument/2006/relationships/hyperlink" Target="http://www.njdigit.com/" TargetMode="External"/><Relationship Id="rId56" Type="http://schemas.openxmlformats.org/officeDocument/2006/relationships/hyperlink" Target="https://www.instagram.com/?hl=en" TargetMode="External"/><Relationship Id="rId64" Type="http://schemas.openxmlformats.org/officeDocument/2006/relationships/hyperlink" Target="https://card.tap-savvy.com/BNI-TRIUMMPH_RISHABH-CHAUDHARY/1446" TargetMode="External"/><Relationship Id="rId69" Type="http://schemas.openxmlformats.org/officeDocument/2006/relationships/hyperlink" Target="mailto:contactus@dentalsuite.in" TargetMode="External"/><Relationship Id="rId77" Type="http://schemas.openxmlformats.org/officeDocument/2006/relationships/hyperlink" Target="https://3cheersads.com/" TargetMode="External"/><Relationship Id="rId100" Type="http://schemas.openxmlformats.org/officeDocument/2006/relationships/table" Target="../tables/table18.xml"/><Relationship Id="rId8" Type="http://schemas.openxmlformats.org/officeDocument/2006/relationships/hyperlink" Target="https://card.tap-savvy.com/BNI-TRIUMMPH_AHAD-SHAIKH/1424" TargetMode="External"/><Relationship Id="rId51" Type="http://schemas.openxmlformats.org/officeDocument/2006/relationships/hyperlink" Target="mailto:airtechnitin@gmail.com" TargetMode="External"/><Relationship Id="rId72" Type="http://schemas.openxmlformats.org/officeDocument/2006/relationships/hyperlink" Target="https://card.tap-savvy.com/BNI-TRIUMMPH_SIMONE-DHANWANI/1454" TargetMode="External"/><Relationship Id="rId80" Type="http://schemas.openxmlformats.org/officeDocument/2006/relationships/hyperlink" Target="https://www.linkedin.com/company/3cheers-films/about/" TargetMode="External"/><Relationship Id="rId85" Type="http://schemas.openxmlformats.org/officeDocument/2006/relationships/hyperlink" Target="mailto:arungupta1211@yahoo.com" TargetMode="External"/><Relationship Id="rId93" Type="http://schemas.openxmlformats.org/officeDocument/2006/relationships/hyperlink" Target="https://www.linkedin.com/company/scenic-comm/" TargetMode="External"/><Relationship Id="rId98" Type="http://schemas.openxmlformats.org/officeDocument/2006/relationships/hyperlink" Target="https://www.linkedin.com/company/a-h-capital/" TargetMode="External"/><Relationship Id="rId3" Type="http://schemas.openxmlformats.org/officeDocument/2006/relationships/hyperlink" Target="https://mockingbird.co.in/" TargetMode="External"/><Relationship Id="rId12" Type="http://schemas.openxmlformats.org/officeDocument/2006/relationships/hyperlink" Target="https://www.facebook.com/snhydraulics" TargetMode="External"/><Relationship Id="rId17" Type="http://schemas.openxmlformats.org/officeDocument/2006/relationships/hyperlink" Target="https://www.studioa17.in/" TargetMode="External"/><Relationship Id="rId25" Type="http://schemas.openxmlformats.org/officeDocument/2006/relationships/hyperlink" Target="https://www.webinsight.in/" TargetMode="External"/><Relationship Id="rId33" Type="http://schemas.openxmlformats.org/officeDocument/2006/relationships/hyperlink" Target="https://card.tap-savvy.com/BNI-TRIUMMPH_KAPIL-VAID/1432" TargetMode="External"/><Relationship Id="rId38" Type="http://schemas.openxmlformats.org/officeDocument/2006/relationships/hyperlink" Target="https://www.facebook.com/profile.php?id=61560908019609" TargetMode="External"/><Relationship Id="rId46" Type="http://schemas.openxmlformats.org/officeDocument/2006/relationships/hyperlink" Target="https://card.tap-savvy.com/BNI-TRIUMMPH_NEENA-JAMDADE/1438" TargetMode="External"/><Relationship Id="rId59" Type="http://schemas.openxmlformats.org/officeDocument/2006/relationships/hyperlink" Target="https://card.tap-savvy.com/BNI-TRIUMMPH_RAMSEVAK-VERMA/1443" TargetMode="External"/><Relationship Id="rId67" Type="http://schemas.openxmlformats.org/officeDocument/2006/relationships/hyperlink" Target="mailto:support@sagarpoojary.com" TargetMode="External"/><Relationship Id="rId103" Type="http://schemas.openxmlformats.org/officeDocument/2006/relationships/table" Target="../tables/table21.xml"/><Relationship Id="rId20" Type="http://schemas.openxmlformats.org/officeDocument/2006/relationships/hyperlink" Target="https://papercurrency.in/" TargetMode="External"/><Relationship Id="rId41" Type="http://schemas.openxmlformats.org/officeDocument/2006/relationships/hyperlink" Target="mailto:cs.krupali@gmail.com" TargetMode="External"/><Relationship Id="rId54" Type="http://schemas.openxmlformats.org/officeDocument/2006/relationships/hyperlink" Target="mailto:priyanksancheti@gmail.com" TargetMode="External"/><Relationship Id="rId62" Type="http://schemas.openxmlformats.org/officeDocument/2006/relationships/hyperlink" Target="https://card.tap-savvy.com/BNI-TRIUMMPH_RINKAL-SHAH/1444" TargetMode="External"/><Relationship Id="rId70" Type="http://schemas.openxmlformats.org/officeDocument/2006/relationships/hyperlink" Target="https://dentalsuite.in/" TargetMode="External"/><Relationship Id="rId75" Type="http://schemas.openxmlformats.org/officeDocument/2006/relationships/hyperlink" Target="https://card.tap-savvy.com/BNI-TRIUMMPH_SULAKSHANA-HEREKAR/1455" TargetMode="External"/><Relationship Id="rId83" Type="http://schemas.openxmlformats.org/officeDocument/2006/relationships/hyperlink" Target="https://pestreliefservices.com/" TargetMode="External"/><Relationship Id="rId88" Type="http://schemas.openxmlformats.org/officeDocument/2006/relationships/hyperlink" Target="https://card.tap-savvy.com/BNI-TRIUMMPH_SUMANTA-BANERJEE/1462" TargetMode="External"/><Relationship Id="rId91" Type="http://schemas.openxmlformats.org/officeDocument/2006/relationships/hyperlink" Target="https://www.instagram.com/sceniccommunication/" TargetMode="External"/><Relationship Id="rId96" Type="http://schemas.openxmlformats.org/officeDocument/2006/relationships/hyperlink" Target="https://www.instagram.com/ahcapital.in/" TargetMode="External"/><Relationship Id="rId1" Type="http://schemas.openxmlformats.org/officeDocument/2006/relationships/hyperlink" Target="https://card.tap-savvy.com/JAI-PANGAONKAR_BNI-TRIUMMPH/1363" TargetMode="External"/><Relationship Id="rId6" Type="http://schemas.openxmlformats.org/officeDocument/2006/relationships/hyperlink" Target="https://www.linkedin.com/company/2323940" TargetMode="External"/><Relationship Id="rId15" Type="http://schemas.openxmlformats.org/officeDocument/2006/relationships/hyperlink" Target="https://card.tap-savvy.com/BNI-TRIUMMPH_ANEREE-SATRA/1425" TargetMode="External"/><Relationship Id="rId23" Type="http://schemas.openxmlformats.org/officeDocument/2006/relationships/hyperlink" Target="https://card.tap-savvy.com/BNI-TRIUMMPH_DINESH-SONI/1428" TargetMode="External"/><Relationship Id="rId28" Type="http://schemas.openxmlformats.org/officeDocument/2006/relationships/hyperlink" Target="https://www.linkedin.com/in/sonidinesh/" TargetMode="External"/><Relationship Id="rId36" Type="http://schemas.openxmlformats.org/officeDocument/2006/relationships/hyperlink" Target="mailto:khushnam.zubin@gmail.com" TargetMode="External"/><Relationship Id="rId49" Type="http://schemas.openxmlformats.org/officeDocument/2006/relationships/hyperlink" Target="https://www.linkedin.com/in/neena-jamdade-70888941/?originalSubdomain=in" TargetMode="External"/><Relationship Id="rId57" Type="http://schemas.openxmlformats.org/officeDocument/2006/relationships/hyperlink" Target="https://www.facebook.com/home.php" TargetMode="External"/><Relationship Id="rId10" Type="http://schemas.openxmlformats.org/officeDocument/2006/relationships/hyperlink" Target="http://www.snhydraulics.in/" TargetMode="External"/><Relationship Id="rId31" Type="http://schemas.openxmlformats.org/officeDocument/2006/relationships/hyperlink" Target="https://card.tap-savvy.com/BNI-TRIUMMPH_JALPA-SHAH/1430" TargetMode="External"/><Relationship Id="rId44" Type="http://schemas.openxmlformats.org/officeDocument/2006/relationships/hyperlink" Target="https://card.tap-savvy.com/BNI-TRIUMMPH_NAVEEN-UPADHYAY/1437" TargetMode="External"/><Relationship Id="rId52" Type="http://schemas.openxmlformats.org/officeDocument/2006/relationships/hyperlink" Target="https://www.airtechpneumatics.com/" TargetMode="External"/><Relationship Id="rId60" Type="http://schemas.openxmlformats.org/officeDocument/2006/relationships/hyperlink" Target="mailto:sales@deepcomputer.co.in" TargetMode="External"/><Relationship Id="rId65" Type="http://schemas.openxmlformats.org/officeDocument/2006/relationships/hyperlink" Target="mailto:rishabhdchaudhary@gmail.com" TargetMode="External"/><Relationship Id="rId73" Type="http://schemas.openxmlformats.org/officeDocument/2006/relationships/hyperlink" Target="mailto:simonedhanwani@gmail.com" TargetMode="External"/><Relationship Id="rId78" Type="http://schemas.openxmlformats.org/officeDocument/2006/relationships/hyperlink" Target="https://www.instagram.com/3cheersads/?hl=en" TargetMode="External"/><Relationship Id="rId81" Type="http://schemas.openxmlformats.org/officeDocument/2006/relationships/hyperlink" Target="https://card.tap-savvy.com/BNI-TRIUMMPH_SUNIL-AKHADE/1457" TargetMode="External"/><Relationship Id="rId86" Type="http://schemas.openxmlformats.org/officeDocument/2006/relationships/hyperlink" Target="https://card.tap-savvy.com/BNI-TRIUMMPH_KUNAL-JAIN/1461" TargetMode="External"/><Relationship Id="rId94" Type="http://schemas.openxmlformats.org/officeDocument/2006/relationships/hyperlink" Target="https://card.tap-savvy.com/BNI-TRIUMMPH_MOIN-MISTRY/1463" TargetMode="External"/><Relationship Id="rId99" Type="http://schemas.openxmlformats.org/officeDocument/2006/relationships/table" Target="../tables/table17.xml"/><Relationship Id="rId101" Type="http://schemas.openxmlformats.org/officeDocument/2006/relationships/table" Target="../tables/table19.xml"/><Relationship Id="rId4" Type="http://schemas.openxmlformats.org/officeDocument/2006/relationships/hyperlink" Target="https://www.instagram.com/mockingbirdstudios" TargetMode="External"/><Relationship Id="rId9" Type="http://schemas.openxmlformats.org/officeDocument/2006/relationships/hyperlink" Target="mailto:shaikhabdulaahad250@gmail.com" TargetMode="External"/><Relationship Id="rId13" Type="http://schemas.openxmlformats.org/officeDocument/2006/relationships/hyperlink" Target="https://www.linkedin.com/company/s-n-hydraulics/" TargetMode="External"/><Relationship Id="rId18" Type="http://schemas.openxmlformats.org/officeDocument/2006/relationships/hyperlink" Target="https://card.tap-savvy.com/BNI-TRIMMPH_AYUSHI-SHAH/1426" TargetMode="External"/><Relationship Id="rId39" Type="http://schemas.openxmlformats.org/officeDocument/2006/relationships/hyperlink" Target="https://www.linkedin.com/in/khushnam-karanjia-b9114064/" TargetMode="External"/><Relationship Id="rId34" Type="http://schemas.openxmlformats.org/officeDocument/2006/relationships/hyperlink" Target="mailto:kapilvaid3177@gmail.com" TargetMode="External"/><Relationship Id="rId50" Type="http://schemas.openxmlformats.org/officeDocument/2006/relationships/hyperlink" Target="https://card.tap-savvy.com/BNI-TRIUMMPH_NITIN-GHADGE/1440" TargetMode="External"/><Relationship Id="rId55" Type="http://schemas.openxmlformats.org/officeDocument/2006/relationships/hyperlink" Target="http://www.piparasancheti.com/" TargetMode="External"/><Relationship Id="rId76" Type="http://schemas.openxmlformats.org/officeDocument/2006/relationships/hyperlink" Target="mailto:sulakshana@3cheersads.com" TargetMode="External"/><Relationship Id="rId97" Type="http://schemas.openxmlformats.org/officeDocument/2006/relationships/hyperlink" Target="https://www.facebook.com/ahcapital.in" TargetMode="External"/><Relationship Id="rId104" Type="http://schemas.openxmlformats.org/officeDocument/2006/relationships/table" Target="../tables/table22.xml"/></Relationships>
</file>

<file path=xl/worksheets/_rels/sheet14.xml.rels><?xml version="1.0" encoding="UTF-8" standalone="yes"?>
<Relationships xmlns="http://schemas.openxmlformats.org/package/2006/relationships"><Relationship Id="rId26" Type="http://schemas.openxmlformats.org/officeDocument/2006/relationships/hyperlink" Target="https://card.tap-savvy.com/PRAKASH-KONAR_BNI-LIGHTHOUSE/1357" TargetMode="External"/><Relationship Id="rId117" Type="http://schemas.openxmlformats.org/officeDocument/2006/relationships/hyperlink" Target="https://www.instagram.com/aaradhya_diamonds/profilecard/?igsh=MXB3cWY5dW52eGozMw==" TargetMode="External"/><Relationship Id="rId21" Type="http://schemas.openxmlformats.org/officeDocument/2006/relationships/hyperlink" Target="mailto:vginodia@gmail.com" TargetMode="External"/><Relationship Id="rId42" Type="http://schemas.openxmlformats.org/officeDocument/2006/relationships/hyperlink" Target="http://www.rkvacations.live/" TargetMode="External"/><Relationship Id="rId47" Type="http://schemas.openxmlformats.org/officeDocument/2006/relationships/hyperlink" Target="https://www.facebook.com/share/BHtVv9en8pGkJKQQ/?mibextid=qi2Omg" TargetMode="External"/><Relationship Id="rId63" Type="http://schemas.openxmlformats.org/officeDocument/2006/relationships/hyperlink" Target="https://www.instagram.com/in_nexus" TargetMode="External"/><Relationship Id="rId68" Type="http://schemas.openxmlformats.org/officeDocument/2006/relationships/hyperlink" Target="https://www.monaliscouture.com/" TargetMode="External"/><Relationship Id="rId84" Type="http://schemas.openxmlformats.org/officeDocument/2006/relationships/hyperlink" Target="mailto:cuttingedgelumbers@gmail.com" TargetMode="External"/><Relationship Id="rId89" Type="http://schemas.openxmlformats.org/officeDocument/2006/relationships/hyperlink" Target="https://card.tap-savvy.com/NITIN-BHANSALI_BNI-LIGHTHOUSE/1349" TargetMode="External"/><Relationship Id="rId112" Type="http://schemas.openxmlformats.org/officeDocument/2006/relationships/hyperlink" Target="https://www.juelrye.in/" TargetMode="External"/><Relationship Id="rId133" Type="http://schemas.openxmlformats.org/officeDocument/2006/relationships/hyperlink" Target="https://card.tap-savvy.com/DR-ANAGHA-VIVEK-KHAROLKAR_BNI-LIGHTHOUSE/4182" TargetMode="External"/><Relationship Id="rId138" Type="http://schemas.openxmlformats.org/officeDocument/2006/relationships/table" Target="../tables/table26.xml"/><Relationship Id="rId16" Type="http://schemas.openxmlformats.org/officeDocument/2006/relationships/hyperlink" Target="https://tirthankarinvestments.com/" TargetMode="External"/><Relationship Id="rId107" Type="http://schemas.openxmlformats.org/officeDocument/2006/relationships/hyperlink" Target="https://card.tap-savvy.com/RAHUL-SHARMA_BNI-LIGHTHOUSE/1361" TargetMode="External"/><Relationship Id="rId11" Type="http://schemas.openxmlformats.org/officeDocument/2006/relationships/hyperlink" Target="https://card.tap-savvy.com/RAJVI-SHAH_BNI-LIGHTHOUSE/1374" TargetMode="External"/><Relationship Id="rId32" Type="http://schemas.openxmlformats.org/officeDocument/2006/relationships/hyperlink" Target="https://card.tap-savvy.com/SOHIL-SHAH_BNI-LIGHTHOUSE/1344" TargetMode="External"/><Relationship Id="rId37" Type="http://schemas.openxmlformats.org/officeDocument/2006/relationships/hyperlink" Target="mailto:sanghvisaumya99@gmail.com" TargetMode="External"/><Relationship Id="rId53" Type="http://schemas.openxmlformats.org/officeDocument/2006/relationships/hyperlink" Target="http://tryskinthirst.com/" TargetMode="External"/><Relationship Id="rId58" Type="http://schemas.openxmlformats.org/officeDocument/2006/relationships/hyperlink" Target="mailto:krishna@cskrishnap.com" TargetMode="External"/><Relationship Id="rId74" Type="http://schemas.openxmlformats.org/officeDocument/2006/relationships/hyperlink" Target="https://www.facebook.com/share/128DELDd9Rq/" TargetMode="External"/><Relationship Id="rId79" Type="http://schemas.openxmlformats.org/officeDocument/2006/relationships/hyperlink" Target="https://card.tap-savvy.com/BHAVESH-JAIN_BNI-LIGHTHOUSE/1335" TargetMode="External"/><Relationship Id="rId102" Type="http://schemas.openxmlformats.org/officeDocument/2006/relationships/hyperlink" Target="mailto:nagesh@stalagmite.in" TargetMode="External"/><Relationship Id="rId123" Type="http://schemas.openxmlformats.org/officeDocument/2006/relationships/hyperlink" Target="http://www.sarvasvahealth.com/" TargetMode="External"/><Relationship Id="rId128" Type="http://schemas.openxmlformats.org/officeDocument/2006/relationships/hyperlink" Target="http://www.purplemediaworks.com/" TargetMode="External"/><Relationship Id="rId5" Type="http://schemas.openxmlformats.org/officeDocument/2006/relationships/hyperlink" Target="http://www.dentocares.com/" TargetMode="External"/><Relationship Id="rId90" Type="http://schemas.openxmlformats.org/officeDocument/2006/relationships/hyperlink" Target="mailto:nbhansali269@gmail.com" TargetMode="External"/><Relationship Id="rId95" Type="http://schemas.openxmlformats.org/officeDocument/2006/relationships/hyperlink" Target="https://card.tap-savvy.com/ADITIYA-BIRLA_BNI-LIGHTHOUSE/1352" TargetMode="External"/><Relationship Id="rId22" Type="http://schemas.openxmlformats.org/officeDocument/2006/relationships/hyperlink" Target="https://www.linkedin.com/in/varunginodia?utm_source=share&amp;utm_campaign=share_via&amp;utm_content=profile&amp;utm_medium=android_app" TargetMode="External"/><Relationship Id="rId27" Type="http://schemas.openxmlformats.org/officeDocument/2006/relationships/hyperlink" Target="mailto:prakash.konar@gmail.com" TargetMode="External"/><Relationship Id="rId43" Type="http://schemas.openxmlformats.org/officeDocument/2006/relationships/hyperlink" Target="https://www.instagram.com/rkvacations_mumbai/?igsh=OHR4OHIxenB0Nnc2" TargetMode="External"/><Relationship Id="rId48" Type="http://schemas.openxmlformats.org/officeDocument/2006/relationships/hyperlink" Target="https://card.tap-savvy.com/RAMESH-SAKPAL_BNI-LIGHTHOUSE/1341" TargetMode="External"/><Relationship Id="rId64" Type="http://schemas.openxmlformats.org/officeDocument/2006/relationships/hyperlink" Target="https://card.tap-savvy.com/RUCHI-JAIN_BNI-LIGHTHOUSE/1355" TargetMode="External"/><Relationship Id="rId69" Type="http://schemas.openxmlformats.org/officeDocument/2006/relationships/hyperlink" Target="https://www.instagram.com/thedecalhub?igsh=MW82aWQ0bHU2YWljdQ==" TargetMode="External"/><Relationship Id="rId113" Type="http://schemas.openxmlformats.org/officeDocument/2006/relationships/hyperlink" Target="https://www.instagram.com/juelrye.in/profilecard/?igsh=eHh4NDFvb3dubWlo" TargetMode="External"/><Relationship Id="rId118" Type="http://schemas.openxmlformats.org/officeDocument/2006/relationships/hyperlink" Target="https://card.tap-savvy.com/MURTAZA-LAKDAWALA_BNI-LIGHTHOUSE" TargetMode="External"/><Relationship Id="rId134" Type="http://schemas.openxmlformats.org/officeDocument/2006/relationships/hyperlink" Target="https://madhavbaug.org/" TargetMode="External"/><Relationship Id="rId139" Type="http://schemas.openxmlformats.org/officeDocument/2006/relationships/table" Target="../tables/table27.xml"/><Relationship Id="rId8" Type="http://schemas.openxmlformats.org/officeDocument/2006/relationships/hyperlink" Target="https://www.facebook.com/profile.php?id=100063710573123&amp;mibextid=ZbWKwL" TargetMode="External"/><Relationship Id="rId51" Type="http://schemas.openxmlformats.org/officeDocument/2006/relationships/hyperlink" Target="https://card.tap-savvy.com/PULKIT-MARTWAL_BNI-LIGHTHOUSE/1338" TargetMode="External"/><Relationship Id="rId72" Type="http://schemas.openxmlformats.org/officeDocument/2006/relationships/hyperlink" Target="http://www.expresslearning.in/" TargetMode="External"/><Relationship Id="rId80" Type="http://schemas.openxmlformats.org/officeDocument/2006/relationships/hyperlink" Target="mailto:bhaveshjain940@gmail.com" TargetMode="External"/><Relationship Id="rId85" Type="http://schemas.openxmlformats.org/officeDocument/2006/relationships/hyperlink" Target="https://card.tap-savvy.com/YASH-JAIN_BNI-LIGHTHOUSE/1347" TargetMode="External"/><Relationship Id="rId93" Type="http://schemas.openxmlformats.org/officeDocument/2006/relationships/hyperlink" Target="https://card.tap-savvy.com/MANISH-BALWANI_BNI-LIGHTHOUSE/1351" TargetMode="External"/><Relationship Id="rId98" Type="http://schemas.openxmlformats.org/officeDocument/2006/relationships/hyperlink" Target="mailto:vishallahoti80@yahoo.co.uk" TargetMode="External"/><Relationship Id="rId121" Type="http://schemas.openxmlformats.org/officeDocument/2006/relationships/hyperlink" Target="https://www.facebook.com/profile.php?id=61561128345333&amp;mibextid=LQQJ4d" TargetMode="External"/><Relationship Id="rId142" Type="http://schemas.openxmlformats.org/officeDocument/2006/relationships/table" Target="../tables/table30.xml"/><Relationship Id="rId3" Type="http://schemas.openxmlformats.org/officeDocument/2006/relationships/hyperlink" Target="https://card.tap-savvy.com/DR.ALPLESH-JAIN_BNI-LIGHTHOUSE/1261" TargetMode="External"/><Relationship Id="rId12" Type="http://schemas.openxmlformats.org/officeDocument/2006/relationships/hyperlink" Target="mailto:nikhilshah83@gmail.com" TargetMode="External"/><Relationship Id="rId17" Type="http://schemas.openxmlformats.org/officeDocument/2006/relationships/hyperlink" Target="https://www.instagram.com/tirthankarinsurellp/" TargetMode="External"/><Relationship Id="rId25" Type="http://schemas.openxmlformats.org/officeDocument/2006/relationships/hyperlink" Target="https://www.facebook.com/KlassicMounts?mibextid=ZbWKwL" TargetMode="External"/><Relationship Id="rId33" Type="http://schemas.openxmlformats.org/officeDocument/2006/relationships/hyperlink" Target="mailto:sohilshah07@gmail.com" TargetMode="External"/><Relationship Id="rId38" Type="http://schemas.openxmlformats.org/officeDocument/2006/relationships/hyperlink" Target="http://www.winshine.in/" TargetMode="External"/><Relationship Id="rId46" Type="http://schemas.openxmlformats.org/officeDocument/2006/relationships/hyperlink" Target="https://www.instagram.com/ortho_cares?igsh=YWd3NXp5azAxb2Iw" TargetMode="External"/><Relationship Id="rId59" Type="http://schemas.openxmlformats.org/officeDocument/2006/relationships/hyperlink" Target="https://cskrishnap.com/" TargetMode="External"/><Relationship Id="rId67" Type="http://schemas.openxmlformats.org/officeDocument/2006/relationships/hyperlink" Target="mailto:monalishah0879@gmail.com" TargetMode="External"/><Relationship Id="rId103" Type="http://schemas.openxmlformats.org/officeDocument/2006/relationships/hyperlink" Target="https://card.tap-savvy.com/ABDEALI-CONTRACTOR_BNI-LIGHTHOUSE/1359" TargetMode="External"/><Relationship Id="rId108" Type="http://schemas.openxmlformats.org/officeDocument/2006/relationships/hyperlink" Target="mailto:contact@rahulsharmaphotography.com" TargetMode="External"/><Relationship Id="rId116" Type="http://schemas.openxmlformats.org/officeDocument/2006/relationships/hyperlink" Target="https://card.tap-savvy.com/NIKITA-AGARWAL_BNI-LIGHTHOUSE" TargetMode="External"/><Relationship Id="rId124" Type="http://schemas.openxmlformats.org/officeDocument/2006/relationships/hyperlink" Target="https://www.instagram.com/dr.prasadkasbekar/profilecard/?igsh=aXY0OTd3eGd0aDds" TargetMode="External"/><Relationship Id="rId129" Type="http://schemas.openxmlformats.org/officeDocument/2006/relationships/hyperlink" Target="https://www.instagram.com/purplemediaworks_/" TargetMode="External"/><Relationship Id="rId137" Type="http://schemas.openxmlformats.org/officeDocument/2006/relationships/table" Target="../tables/table25.xml"/><Relationship Id="rId20" Type="http://schemas.openxmlformats.org/officeDocument/2006/relationships/hyperlink" Target="https://card.tap-savvy.com/VARUN-GINODIA_BNI-LIGHTHOUSE/1346" TargetMode="External"/><Relationship Id="rId41" Type="http://schemas.openxmlformats.org/officeDocument/2006/relationships/hyperlink" Target="mailto:dhruvi@rkvacations.com" TargetMode="External"/><Relationship Id="rId54" Type="http://schemas.openxmlformats.org/officeDocument/2006/relationships/hyperlink" Target="https://www.instagram.com/tryskinthirst?igsh=cm5kaHZ3MThkaHBo" TargetMode="External"/><Relationship Id="rId62" Type="http://schemas.openxmlformats.org/officeDocument/2006/relationships/hyperlink" Target="http://www.innexus.in/" TargetMode="External"/><Relationship Id="rId70" Type="http://schemas.openxmlformats.org/officeDocument/2006/relationships/hyperlink" Target="https://card.tap-savvy.com/DR.HATIM-MERCHANT_BNI-LIGHTHOUSE/1333" TargetMode="External"/><Relationship Id="rId75" Type="http://schemas.openxmlformats.org/officeDocument/2006/relationships/hyperlink" Target="https://card.tap-savvy.com/DEEPAK-JAIN_BNI-LIGHTHOUSE/1327" TargetMode="External"/><Relationship Id="rId83" Type="http://schemas.openxmlformats.org/officeDocument/2006/relationships/hyperlink" Target="https://card.tap-savvy.com/NAYAN-PATEL_BNI-LIGHTHOUSE/1342" TargetMode="External"/><Relationship Id="rId88" Type="http://schemas.openxmlformats.org/officeDocument/2006/relationships/hyperlink" Target="mailto:karia.trapti@yahoo.in" TargetMode="External"/><Relationship Id="rId91" Type="http://schemas.openxmlformats.org/officeDocument/2006/relationships/hyperlink" Target="https://card.tap-savvy.com/VISHAL-CHANDRA_BNI-LIGHTHOUSE/1350" TargetMode="External"/><Relationship Id="rId96" Type="http://schemas.openxmlformats.org/officeDocument/2006/relationships/hyperlink" Target="mailto:birlaaditya@outlook.com" TargetMode="External"/><Relationship Id="rId111" Type="http://schemas.openxmlformats.org/officeDocument/2006/relationships/hyperlink" Target="https://card.tap-savvy.com/SENUJ-JAIN_BNI-LIGHTHOUSE" TargetMode="External"/><Relationship Id="rId132" Type="http://schemas.openxmlformats.org/officeDocument/2006/relationships/hyperlink" Target="https://www.instagram.com/meditva_/" TargetMode="External"/><Relationship Id="rId140" Type="http://schemas.openxmlformats.org/officeDocument/2006/relationships/table" Target="../tables/table28.xml"/><Relationship Id="rId1" Type="http://schemas.openxmlformats.org/officeDocument/2006/relationships/hyperlink" Target="https://card.tap-savvy.com/NAYANA-OZA_BNI-LIGHTHOUSE/1345" TargetMode="External"/><Relationship Id="rId6" Type="http://schemas.openxmlformats.org/officeDocument/2006/relationships/hyperlink" Target="https://www.google.com/maps/search/Shop+no.3,+Poonawala+Bldg+No.2,+Opp+Piramal+Tower,+Lower+Parel,+Mumbai,+-+400013/@19.021874,72.832442,15z?hl=en-US&amp;entry=ttu" TargetMode="External"/><Relationship Id="rId15" Type="http://schemas.openxmlformats.org/officeDocument/2006/relationships/hyperlink" Target="mailto:manish.tirthankar@yahoo.com" TargetMode="External"/><Relationship Id="rId23" Type="http://schemas.openxmlformats.org/officeDocument/2006/relationships/hyperlink" Target="https://card.tap-savvy.com/KETAN-JAIN_BNI-LIGHTHOUSE/1332" TargetMode="External"/><Relationship Id="rId28" Type="http://schemas.openxmlformats.org/officeDocument/2006/relationships/hyperlink" Target="http://www.jmbrand.in/" TargetMode="External"/><Relationship Id="rId36" Type="http://schemas.openxmlformats.org/officeDocument/2006/relationships/hyperlink" Target="https://card.tap-savvy.com/SAUMYA-SANGHVI_BNI-LIGHTHOUSE/1334" TargetMode="External"/><Relationship Id="rId49" Type="http://schemas.openxmlformats.org/officeDocument/2006/relationships/hyperlink" Target="mailto:sales@innoventaircon.com" TargetMode="External"/><Relationship Id="rId57" Type="http://schemas.openxmlformats.org/officeDocument/2006/relationships/hyperlink" Target="https://card.tap-savvy.com/KRISHNA-POPAT_BNI-LIGHTHOUSE/1337" TargetMode="External"/><Relationship Id="rId106" Type="http://schemas.openxmlformats.org/officeDocument/2006/relationships/hyperlink" Target="mailto:rnshahandassociates@gmail.com" TargetMode="External"/><Relationship Id="rId114" Type="http://schemas.openxmlformats.org/officeDocument/2006/relationships/hyperlink" Target="https://card.tap-savvy.com/TAHIR-QURESHI_BNI-LIGHTHOUSE" TargetMode="External"/><Relationship Id="rId119" Type="http://schemas.openxmlformats.org/officeDocument/2006/relationships/hyperlink" Target="http://www.multiplize.com/" TargetMode="External"/><Relationship Id="rId127" Type="http://schemas.openxmlformats.org/officeDocument/2006/relationships/hyperlink" Target="https://card.tap-savvy.com/ANUJ-ANAND_BNI-LIGHTHOUSE" TargetMode="External"/><Relationship Id="rId10" Type="http://schemas.openxmlformats.org/officeDocument/2006/relationships/hyperlink" Target="mailto:furniqueens@gmail.com" TargetMode="External"/><Relationship Id="rId31" Type="http://schemas.openxmlformats.org/officeDocument/2006/relationships/hyperlink" Target="https://www.linkedin.com/company/100493003/admin/dashboard/" TargetMode="External"/><Relationship Id="rId44" Type="http://schemas.openxmlformats.org/officeDocument/2006/relationships/hyperlink" Target="https://card.tap-savvy.com/DR.SACHIN-JAIN_BNI-LIGHTHOUSE/1328" TargetMode="External"/><Relationship Id="rId52" Type="http://schemas.openxmlformats.org/officeDocument/2006/relationships/hyperlink" Target="mailto:vyomagaskincare@gmail.com" TargetMode="External"/><Relationship Id="rId60" Type="http://schemas.openxmlformats.org/officeDocument/2006/relationships/hyperlink" Target="https://card.tap-savvy.com/DIPESH-DOSHI_BNI-LIGHTHOUSE/1325" TargetMode="External"/><Relationship Id="rId65" Type="http://schemas.openxmlformats.org/officeDocument/2006/relationships/hyperlink" Target="mailto:rachidjain@gmail.com" TargetMode="External"/><Relationship Id="rId73" Type="http://schemas.openxmlformats.org/officeDocument/2006/relationships/hyperlink" Target="https://www.instagram.com/monaliscouture?igsh=NTc4MTIwNjQ2YQ==" TargetMode="External"/><Relationship Id="rId78" Type="http://schemas.openxmlformats.org/officeDocument/2006/relationships/hyperlink" Target="mailto:devanshi@neptune.in" TargetMode="External"/><Relationship Id="rId81" Type="http://schemas.openxmlformats.org/officeDocument/2006/relationships/hyperlink" Target="https://card.tap-savvy.com/AYUSH-LAHOTI_BNI-LIGHTHOUSE/1336" TargetMode="External"/><Relationship Id="rId86" Type="http://schemas.openxmlformats.org/officeDocument/2006/relationships/hyperlink" Target="mailto:yashjain.3232@gmail.com" TargetMode="External"/><Relationship Id="rId94" Type="http://schemas.openxmlformats.org/officeDocument/2006/relationships/hyperlink" Target="mailto:manishbalwani.wealthmanagement@gmail.com" TargetMode="External"/><Relationship Id="rId99" Type="http://schemas.openxmlformats.org/officeDocument/2006/relationships/hyperlink" Target="https://card.tap-savvy.com/NUPEN-GANDHI_BNI-LIGHTHOUSE/1354" TargetMode="External"/><Relationship Id="rId101" Type="http://schemas.openxmlformats.org/officeDocument/2006/relationships/hyperlink" Target="https://card.tap-savvy.com/NAGESH-MORE_BNI-LIGHTHOUSE/1358" TargetMode="External"/><Relationship Id="rId122" Type="http://schemas.openxmlformats.org/officeDocument/2006/relationships/hyperlink" Target="https://card.tap-savvy.com/DR-PRASAD-KASBEKAR_BNI-LIGHTHOUSE/4793" TargetMode="External"/><Relationship Id="rId130" Type="http://schemas.openxmlformats.org/officeDocument/2006/relationships/hyperlink" Target="https://card.tap-savvy.com/DIPESH-CHOUBISA_BNI-LIGHTHOUSE" TargetMode="External"/><Relationship Id="rId135" Type="http://schemas.openxmlformats.org/officeDocument/2006/relationships/table" Target="../tables/table23.xml"/><Relationship Id="rId4" Type="http://schemas.openxmlformats.org/officeDocument/2006/relationships/hyperlink" Target="mailto:dentocaresclinic@gmail.com" TargetMode="External"/><Relationship Id="rId9" Type="http://schemas.openxmlformats.org/officeDocument/2006/relationships/hyperlink" Target="https://card.tap-savvy.com/MAZIYA-CHANDIWALA_BNI-LIGHTHOUSE/1343" TargetMode="External"/><Relationship Id="rId13" Type="http://schemas.openxmlformats.org/officeDocument/2006/relationships/hyperlink" Target="https://www.instagram.com/r1sedesign?igsh=MzB2d20waWVpeDN0" TargetMode="External"/><Relationship Id="rId18" Type="http://schemas.openxmlformats.org/officeDocument/2006/relationships/hyperlink" Target="https://www.facebook.com/tirthankarinsurellp" TargetMode="External"/><Relationship Id="rId39" Type="http://schemas.openxmlformats.org/officeDocument/2006/relationships/hyperlink" Target="http://www.linkedin.com/in/saumyasanghvi" TargetMode="External"/><Relationship Id="rId109" Type="http://schemas.openxmlformats.org/officeDocument/2006/relationships/hyperlink" Target="https://card.tap-savvy.com/CHAITALI-THAKKAR_BNI-LIGHTHOUSE/1362" TargetMode="External"/><Relationship Id="rId34" Type="http://schemas.openxmlformats.org/officeDocument/2006/relationships/hyperlink" Target="https://card.tap-savvy.com/AMI-DAMAANI_BNI-LIGHTHOUSE/1331" TargetMode="External"/><Relationship Id="rId50" Type="http://schemas.openxmlformats.org/officeDocument/2006/relationships/hyperlink" Target="http://www.innoventaircon.com/" TargetMode="External"/><Relationship Id="rId55" Type="http://schemas.openxmlformats.org/officeDocument/2006/relationships/hyperlink" Target="https://www.facebook.com/skinthirstofficial?mibextid=ZbWKwL" TargetMode="External"/><Relationship Id="rId76" Type="http://schemas.openxmlformats.org/officeDocument/2006/relationships/hyperlink" Target="mailto:dostienquiry@gmail.com" TargetMode="External"/><Relationship Id="rId97" Type="http://schemas.openxmlformats.org/officeDocument/2006/relationships/hyperlink" Target="https://card.tap-savvy.com/VISHAL-LAHOTI_BNI-LIGHTHOUSE/1353" TargetMode="External"/><Relationship Id="rId104" Type="http://schemas.openxmlformats.org/officeDocument/2006/relationships/hyperlink" Target="mailto:info@allaboutweb.in" TargetMode="External"/><Relationship Id="rId120" Type="http://schemas.openxmlformats.org/officeDocument/2006/relationships/hyperlink" Target="https://www.instagram.com/multiplizeinvestment/profilecard/?igsh=MWQzamFsODQ3YXA3NQ==" TargetMode="External"/><Relationship Id="rId125" Type="http://schemas.openxmlformats.org/officeDocument/2006/relationships/hyperlink" Target="https://www.facebook.com/share/18Qhs4XkLu/" TargetMode="External"/><Relationship Id="rId141" Type="http://schemas.openxmlformats.org/officeDocument/2006/relationships/table" Target="../tables/table29.xml"/><Relationship Id="rId7" Type="http://schemas.openxmlformats.org/officeDocument/2006/relationships/hyperlink" Target="https://www.instagram.com/dent_o_cares?igsh=NmZscjNqZGY5ODR0" TargetMode="External"/><Relationship Id="rId71" Type="http://schemas.openxmlformats.org/officeDocument/2006/relationships/hyperlink" Target="mailto:drhatimbni@gmail.com" TargetMode="External"/><Relationship Id="rId92" Type="http://schemas.openxmlformats.org/officeDocument/2006/relationships/hyperlink" Target="mailto:sunbera999@gmail.com" TargetMode="External"/><Relationship Id="rId2" Type="http://schemas.openxmlformats.org/officeDocument/2006/relationships/hyperlink" Target="mailto:oza6365@gmail.com" TargetMode="External"/><Relationship Id="rId29" Type="http://schemas.openxmlformats.org/officeDocument/2006/relationships/hyperlink" Target="https://www.instagram.com/jm_brand_promotion/" TargetMode="External"/><Relationship Id="rId24" Type="http://schemas.openxmlformats.org/officeDocument/2006/relationships/hyperlink" Target="mailto:ketanbjain007@gmaiI.com" TargetMode="External"/><Relationship Id="rId40" Type="http://schemas.openxmlformats.org/officeDocument/2006/relationships/hyperlink" Target="https://card.tap-savvy.com/DHRUVI-SHAH_BNI-LIGHTHOUSE/1356" TargetMode="External"/><Relationship Id="rId45" Type="http://schemas.openxmlformats.org/officeDocument/2006/relationships/hyperlink" Target="mailto:drsbjain@gmail.com" TargetMode="External"/><Relationship Id="rId66" Type="http://schemas.openxmlformats.org/officeDocument/2006/relationships/hyperlink" Target="https://card.tap-savvy.com/MONALI-SANGHVI_BNI-LIGHTHOUSE/1340" TargetMode="External"/><Relationship Id="rId87" Type="http://schemas.openxmlformats.org/officeDocument/2006/relationships/hyperlink" Target="https://card.tap-savvy.com/TRAPTI-KARIA_BNI-LIGHTHOUSE/1348" TargetMode="External"/><Relationship Id="rId110" Type="http://schemas.openxmlformats.org/officeDocument/2006/relationships/hyperlink" Target="mailto:risedesign09@gmail.com" TargetMode="External"/><Relationship Id="rId115" Type="http://schemas.openxmlformats.org/officeDocument/2006/relationships/hyperlink" Target="https://www.instagram.com/iminfra_interiors/profilecard/?igsh=MWowb2FlbGlyY2w2bA==" TargetMode="External"/><Relationship Id="rId131" Type="http://schemas.openxmlformats.org/officeDocument/2006/relationships/hyperlink" Target="http://www.meditva.com/" TargetMode="External"/><Relationship Id="rId136" Type="http://schemas.openxmlformats.org/officeDocument/2006/relationships/table" Target="../tables/table24.xml"/><Relationship Id="rId61" Type="http://schemas.openxmlformats.org/officeDocument/2006/relationships/hyperlink" Target="mailto:dipesh@innexus.in" TargetMode="External"/><Relationship Id="rId82" Type="http://schemas.openxmlformats.org/officeDocument/2006/relationships/hyperlink" Target="mailto:ayushlahoti8@gmail.com" TargetMode="External"/><Relationship Id="rId19" Type="http://schemas.openxmlformats.org/officeDocument/2006/relationships/hyperlink" Target="https://www.linkedin.com/company/tirthankar-insure-llp/" TargetMode="External"/><Relationship Id="rId14" Type="http://schemas.openxmlformats.org/officeDocument/2006/relationships/hyperlink" Target="https://card.tap-savvy.com/MANISH-JAIN_BNI-LIGHTHOUSE/1330" TargetMode="External"/><Relationship Id="rId30" Type="http://schemas.openxmlformats.org/officeDocument/2006/relationships/hyperlink" Target="https://www.facebook.com/profile.php?id=61556303214244" TargetMode="External"/><Relationship Id="rId35" Type="http://schemas.openxmlformats.org/officeDocument/2006/relationships/hyperlink" Target="mailto:ami_corals@yahoo.com" TargetMode="External"/><Relationship Id="rId56" Type="http://schemas.openxmlformats.org/officeDocument/2006/relationships/hyperlink" Target="https://www.linkedin.com/in/pulkit-martwal-55413911a?utm_source=share&amp;utm_campaign=share_via&amp;utm_content=profile&amp;utm_medium=android_app" TargetMode="External"/><Relationship Id="rId77" Type="http://schemas.openxmlformats.org/officeDocument/2006/relationships/hyperlink" Target="https://card.tap-savvy.com/DEVANSHI-SIDHPURA_BNI-LIGHTHOUSE/1329" TargetMode="External"/><Relationship Id="rId100" Type="http://schemas.openxmlformats.org/officeDocument/2006/relationships/hyperlink" Target="mailto:hello@midogift.in" TargetMode="External"/><Relationship Id="rId105" Type="http://schemas.openxmlformats.org/officeDocument/2006/relationships/hyperlink" Target="https://card.tap-savvy.com/AKASH-SHAH_BNI-LIGHTHOUSE/1360" TargetMode="External"/><Relationship Id="rId126" Type="http://schemas.openxmlformats.org/officeDocument/2006/relationships/hyperlink" Target="https://www.linkedin.com/in/drprasadkasbekar?utm_source=share&amp;utm_campaign=share_via&amp;utm_content=profile&amp;utm_medium=android_app"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just-feel-555523.framer.app/" TargetMode="External"/><Relationship Id="rId13" Type="http://schemas.openxmlformats.org/officeDocument/2006/relationships/hyperlink" Target="https://kanchidesigns.com/" TargetMode="External"/><Relationship Id="rId18" Type="http://schemas.openxmlformats.org/officeDocument/2006/relationships/hyperlink" Target="https://www.opc.co.in/" TargetMode="External"/><Relationship Id="rId26" Type="http://schemas.openxmlformats.org/officeDocument/2006/relationships/hyperlink" Target="https://madhavbaug.org/" TargetMode="External"/><Relationship Id="rId3" Type="http://schemas.openxmlformats.org/officeDocument/2006/relationships/hyperlink" Target="mailto:kedarjadhav@biopole.in" TargetMode="External"/><Relationship Id="rId21" Type="http://schemas.openxmlformats.org/officeDocument/2006/relationships/hyperlink" Target="https://salonikothari.in/" TargetMode="External"/><Relationship Id="rId7" Type="http://schemas.openxmlformats.org/officeDocument/2006/relationships/hyperlink" Target="mailto:nisarggandhi2242@gmail.com" TargetMode="External"/><Relationship Id="rId12" Type="http://schemas.openxmlformats.org/officeDocument/2006/relationships/hyperlink" Target="mailto:connect@kvar.design" TargetMode="External"/><Relationship Id="rId17" Type="http://schemas.openxmlformats.org/officeDocument/2006/relationships/hyperlink" Target="https://evenbetter.co.in/" TargetMode="External"/><Relationship Id="rId25" Type="http://schemas.openxmlformats.org/officeDocument/2006/relationships/hyperlink" Target="http://www.gnanoworld.com/" TargetMode="External"/><Relationship Id="rId2" Type="http://schemas.openxmlformats.org/officeDocument/2006/relationships/hyperlink" Target="https://www.biopole.in/" TargetMode="External"/><Relationship Id="rId16" Type="http://schemas.openxmlformats.org/officeDocument/2006/relationships/hyperlink" Target="mailto:tushar.evenbetter@gmail.com" TargetMode="External"/><Relationship Id="rId20" Type="http://schemas.openxmlformats.org/officeDocument/2006/relationships/hyperlink" Target="https://atozservices.info/" TargetMode="External"/><Relationship Id="rId1" Type="http://schemas.openxmlformats.org/officeDocument/2006/relationships/hyperlink" Target="mailto:akshata@biopole.in" TargetMode="External"/><Relationship Id="rId6" Type="http://schemas.openxmlformats.org/officeDocument/2006/relationships/hyperlink" Target="http://www.biopole.in/" TargetMode="External"/><Relationship Id="rId11" Type="http://schemas.openxmlformats.org/officeDocument/2006/relationships/hyperlink" Target="https://www.kvar.design/" TargetMode="External"/><Relationship Id="rId24" Type="http://schemas.openxmlformats.org/officeDocument/2006/relationships/hyperlink" Target="https://amzn.to/363ljfM" TargetMode="External"/><Relationship Id="rId5" Type="http://schemas.openxmlformats.org/officeDocument/2006/relationships/hyperlink" Target="mailto:mihiikaasampat@elastochemie.com" TargetMode="External"/><Relationship Id="rId15" Type="http://schemas.openxmlformats.org/officeDocument/2006/relationships/hyperlink" Target="https://www.grasi.in/" TargetMode="External"/><Relationship Id="rId23" Type="http://schemas.openxmlformats.org/officeDocument/2006/relationships/hyperlink" Target="http://www.socialoutstrech.com/" TargetMode="External"/><Relationship Id="rId10" Type="http://schemas.openxmlformats.org/officeDocument/2006/relationships/hyperlink" Target="mailto:connect@kvar.design" TargetMode="External"/><Relationship Id="rId19" Type="http://schemas.openxmlformats.org/officeDocument/2006/relationships/hyperlink" Target="https://www.opc.co.in/" TargetMode="External"/><Relationship Id="rId4" Type="http://schemas.openxmlformats.org/officeDocument/2006/relationships/hyperlink" Target="https://biopole.in/" TargetMode="External"/><Relationship Id="rId9" Type="http://schemas.openxmlformats.org/officeDocument/2006/relationships/hyperlink" Target="mailto:airtechnitin@gmail.com" TargetMode="External"/><Relationship Id="rId14" Type="http://schemas.openxmlformats.org/officeDocument/2006/relationships/hyperlink" Target="mailto:enquiry@grasi.in" TargetMode="External"/><Relationship Id="rId22" Type="http://schemas.openxmlformats.org/officeDocument/2006/relationships/hyperlink" Target="https://licindia.in/" TargetMode="External"/><Relationship Id="rId27" Type="http://schemas.openxmlformats.org/officeDocument/2006/relationships/hyperlink" Target="https://corduroy.in/"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mailto:aditya@stalwartmanagement.com" TargetMode="External"/><Relationship Id="rId117" Type="http://schemas.openxmlformats.org/officeDocument/2006/relationships/hyperlink" Target="https://www.rashiaircons.com/" TargetMode="External"/><Relationship Id="rId21" Type="http://schemas.openxmlformats.org/officeDocument/2006/relationships/hyperlink" Target="mailto:vishalsignages24@gmail.com" TargetMode="External"/><Relationship Id="rId42" Type="http://schemas.openxmlformats.org/officeDocument/2006/relationships/hyperlink" Target="http://card.tap-savvy.com/ASK-KONSULTANCY_JYOTI-MISHRA/1111" TargetMode="External"/><Relationship Id="rId47" Type="http://schemas.openxmlformats.org/officeDocument/2006/relationships/hyperlink" Target="https://www.askkonsultancy.com/" TargetMode="External"/><Relationship Id="rId63" Type="http://schemas.openxmlformats.org/officeDocument/2006/relationships/hyperlink" Target="https://card.tap-savvy.com/BACKPACK-TRAVELLERS_NITISH-SAWANT/1119" TargetMode="External"/><Relationship Id="rId68" Type="http://schemas.openxmlformats.org/officeDocument/2006/relationships/hyperlink" Target="mailto:niloydaslst@gmail.com" TargetMode="External"/><Relationship Id="rId84" Type="http://schemas.openxmlformats.org/officeDocument/2006/relationships/hyperlink" Target="mailto:nakshatra.prachi@gmail.com" TargetMode="External"/><Relationship Id="rId89" Type="http://schemas.openxmlformats.org/officeDocument/2006/relationships/hyperlink" Target="https://maps.app.goo.gl/n3LDxEnsiEBtu68fA" TargetMode="External"/><Relationship Id="rId112" Type="http://schemas.openxmlformats.org/officeDocument/2006/relationships/hyperlink" Target="mailto:lalitkushwaha7050@gmail.com" TargetMode="External"/><Relationship Id="rId133" Type="http://schemas.openxmlformats.org/officeDocument/2006/relationships/hyperlink" Target="https://card.tap-savvy.com/MeraakiSolutions_Nidhi-Gaglani/1191" TargetMode="External"/><Relationship Id="rId138" Type="http://schemas.openxmlformats.org/officeDocument/2006/relationships/hyperlink" Target="https://card.tap-savvy.com/SoulfulDesignsLLP_Harshal-Thore/1193" TargetMode="External"/><Relationship Id="rId16" Type="http://schemas.openxmlformats.org/officeDocument/2006/relationships/hyperlink" Target="https://turtledownunder.com.au/" TargetMode="External"/><Relationship Id="rId107" Type="http://schemas.openxmlformats.org/officeDocument/2006/relationships/hyperlink" Target="mailto:ishika.sharma@nuvama.com" TargetMode="External"/><Relationship Id="rId11" Type="http://schemas.openxmlformats.org/officeDocument/2006/relationships/hyperlink" Target="mailto:siddhesh@turtledownunder.com.au" TargetMode="External"/><Relationship Id="rId32" Type="http://schemas.openxmlformats.org/officeDocument/2006/relationships/hyperlink" Target="https://card.tap-savvy.com/INSYNC-ANALYTICS_GUNBIR-SETHI/1106" TargetMode="External"/><Relationship Id="rId37" Type="http://schemas.openxmlformats.org/officeDocument/2006/relationships/hyperlink" Target="https://insyncanalytics.com/" TargetMode="External"/><Relationship Id="rId53" Type="http://schemas.openxmlformats.org/officeDocument/2006/relationships/hyperlink" Target="https://card.tap-savvy.com/NEELS-DIVIIINE-SOUL_NEELU-KUMAR/1115" TargetMode="External"/><Relationship Id="rId58" Type="http://schemas.openxmlformats.org/officeDocument/2006/relationships/hyperlink" Target="https://www.thetapegaasi.com/" TargetMode="External"/><Relationship Id="rId74" Type="http://schemas.openxmlformats.org/officeDocument/2006/relationships/hyperlink" Target="mailto:peristiwa.planner@gmail.com" TargetMode="External"/><Relationship Id="rId79" Type="http://schemas.openxmlformats.org/officeDocument/2006/relationships/hyperlink" Target="https://card.tap-savvy.com/Dentales-OptimumDentalCare/1137" TargetMode="External"/><Relationship Id="rId102" Type="http://schemas.openxmlformats.org/officeDocument/2006/relationships/hyperlink" Target="mailto:purvafarmresortandrestaurant@gmail.com" TargetMode="External"/><Relationship Id="rId123" Type="http://schemas.openxmlformats.org/officeDocument/2006/relationships/hyperlink" Target="mailto:Ruchira@bhojnalaya.com" TargetMode="External"/><Relationship Id="rId128" Type="http://schemas.openxmlformats.org/officeDocument/2006/relationships/hyperlink" Target="http://card.tap-savvy.com/GoldenHourHospital_DrSantanu-Kumar-Sahu/1189" TargetMode="External"/><Relationship Id="rId5" Type="http://schemas.openxmlformats.org/officeDocument/2006/relationships/hyperlink" Target="mailto:Kunalr@iflynow.in" TargetMode="External"/><Relationship Id="rId90" Type="http://schemas.openxmlformats.org/officeDocument/2006/relationships/hyperlink" Target="https://card.tap-savvy.com/Ronald-Soans/1166" TargetMode="External"/><Relationship Id="rId95" Type="http://schemas.openxmlformats.org/officeDocument/2006/relationships/hyperlink" Target="https://card.tap-savvy.com/NAYAK-PHARMA_DHARAM-SHAH/1171" TargetMode="External"/><Relationship Id="rId22" Type="http://schemas.openxmlformats.org/officeDocument/2006/relationships/hyperlink" Target="https://card.tap-savvy.com/Stalwart-World_Divyashika_Gupta/1059" TargetMode="External"/><Relationship Id="rId27" Type="http://schemas.openxmlformats.org/officeDocument/2006/relationships/hyperlink" Target="https://www.stalwartmanagement.com/" TargetMode="External"/><Relationship Id="rId43" Type="http://schemas.openxmlformats.org/officeDocument/2006/relationships/hyperlink" Target="https://www.askkonsultancy.com/" TargetMode="External"/><Relationship Id="rId48" Type="http://schemas.openxmlformats.org/officeDocument/2006/relationships/hyperlink" Target="https://g.co/kgs/8XSMXu7" TargetMode="External"/><Relationship Id="rId64" Type="http://schemas.openxmlformats.org/officeDocument/2006/relationships/hyperlink" Target="mailto:info.backpacktravellers@gmail.com" TargetMode="External"/><Relationship Id="rId69" Type="http://schemas.openxmlformats.org/officeDocument/2006/relationships/hyperlink" Target="https://www.lizardsskintattoos.com/" TargetMode="External"/><Relationship Id="rId113" Type="http://schemas.openxmlformats.org/officeDocument/2006/relationships/hyperlink" Target="https://card.tap-savvy.com/KASHVI'S-CARDIAC-CARE_DR.AMIT-GANGWANI/1182" TargetMode="External"/><Relationship Id="rId118" Type="http://schemas.openxmlformats.org/officeDocument/2006/relationships/hyperlink" Target="https://card.tap-savvy.com/RSquare-Beer-Shop/1185" TargetMode="External"/><Relationship Id="rId134" Type="http://schemas.openxmlformats.org/officeDocument/2006/relationships/hyperlink" Target="mailto:meraakiisolutions@gmail.com" TargetMode="External"/><Relationship Id="rId139" Type="http://schemas.openxmlformats.org/officeDocument/2006/relationships/hyperlink" Target="mailto:Soulfuldesignsllp@gmail.com" TargetMode="External"/><Relationship Id="rId8" Type="http://schemas.openxmlformats.org/officeDocument/2006/relationships/hyperlink" Target="mailto:abhisheks@turtledownunder.com.au" TargetMode="External"/><Relationship Id="rId51" Type="http://schemas.openxmlformats.org/officeDocument/2006/relationships/hyperlink" Target="https://www.askkonsultancy.com/" TargetMode="External"/><Relationship Id="rId72" Type="http://schemas.openxmlformats.org/officeDocument/2006/relationships/hyperlink" Target="https://sucharita.in/" TargetMode="External"/><Relationship Id="rId80" Type="http://schemas.openxmlformats.org/officeDocument/2006/relationships/hyperlink" Target="mailto:dentalesdentalcare@gmail.com" TargetMode="External"/><Relationship Id="rId85" Type="http://schemas.openxmlformats.org/officeDocument/2006/relationships/hyperlink" Target="https://card.tap-savvy.com/Holiday-Tribe-India_Prathamesh-Gamre/1160" TargetMode="External"/><Relationship Id="rId93" Type="http://schemas.openxmlformats.org/officeDocument/2006/relationships/hyperlink" Target="https://card.tap-savvy.com/SARIKA-SHIRSAT/1170" TargetMode="External"/><Relationship Id="rId98" Type="http://schemas.openxmlformats.org/officeDocument/2006/relationships/hyperlink" Target="mailto:anirban@spectre.net.in" TargetMode="External"/><Relationship Id="rId121" Type="http://schemas.openxmlformats.org/officeDocument/2006/relationships/hyperlink" Target="mailto:sunil.zanjugade@gmail.com" TargetMode="External"/><Relationship Id="rId142" Type="http://schemas.openxmlformats.org/officeDocument/2006/relationships/hyperlink" Target="https://shantanukude.fundexpert.net/" TargetMode="External"/><Relationship Id="rId3" Type="http://schemas.openxmlformats.org/officeDocument/2006/relationships/hyperlink" Target="https://www.datamatics.com/" TargetMode="External"/><Relationship Id="rId12" Type="http://schemas.openxmlformats.org/officeDocument/2006/relationships/hyperlink" Target="https://turtledownunder.com.au/" TargetMode="External"/><Relationship Id="rId17" Type="http://schemas.openxmlformats.org/officeDocument/2006/relationships/hyperlink" Target="https://card.tap-savvy.com/Turtledownunder_Kunal-Ramchandani/1018" TargetMode="External"/><Relationship Id="rId25" Type="http://schemas.openxmlformats.org/officeDocument/2006/relationships/hyperlink" Target="https://card.tap-savvy.com/Stalwart-Management-Consulting_Adityavikram-Gupta/1060" TargetMode="External"/><Relationship Id="rId33" Type="http://schemas.openxmlformats.org/officeDocument/2006/relationships/hyperlink" Target="mailto:gsethi@insyncanalytics.com" TargetMode="External"/><Relationship Id="rId38" Type="http://schemas.openxmlformats.org/officeDocument/2006/relationships/hyperlink" Target="https://card.tap-savvy.com/ASK-KONSULTANCY_BUSHRA-VORA/1110" TargetMode="External"/><Relationship Id="rId46" Type="http://schemas.openxmlformats.org/officeDocument/2006/relationships/hyperlink" Target="mailto:mitaliaskkonsultancy@gmail.com" TargetMode="External"/><Relationship Id="rId59" Type="http://schemas.openxmlformats.org/officeDocument/2006/relationships/hyperlink" Target="https://card.tap-savvy.com/ARETE_Amii-Vikas-Mediratta/1117" TargetMode="External"/><Relationship Id="rId67" Type="http://schemas.openxmlformats.org/officeDocument/2006/relationships/hyperlink" Target="https://card.tap-savvy.com/NILOY-DAS_LST/1125" TargetMode="External"/><Relationship Id="rId103" Type="http://schemas.openxmlformats.org/officeDocument/2006/relationships/hyperlink" Target="http://card.tap-savvy.com/Shree_Ganesh_Refrigeration/1176" TargetMode="External"/><Relationship Id="rId108" Type="http://schemas.openxmlformats.org/officeDocument/2006/relationships/hyperlink" Target="https://card.tap-savvy.com/TRAVEZY_PARESH-MEHTA/1180" TargetMode="External"/><Relationship Id="rId116" Type="http://schemas.openxmlformats.org/officeDocument/2006/relationships/hyperlink" Target="mailto:connect@rashiaircons.com" TargetMode="External"/><Relationship Id="rId124" Type="http://schemas.openxmlformats.org/officeDocument/2006/relationships/hyperlink" Target="https://www.dinustatteidli.com/" TargetMode="External"/><Relationship Id="rId129" Type="http://schemas.openxmlformats.org/officeDocument/2006/relationships/hyperlink" Target="mailto:goldenhourhospital994@gmail.com" TargetMode="External"/><Relationship Id="rId137" Type="http://schemas.openxmlformats.org/officeDocument/2006/relationships/hyperlink" Target="https://www.tahaanpestsolutions.com/" TargetMode="External"/><Relationship Id="rId20" Type="http://schemas.openxmlformats.org/officeDocument/2006/relationships/hyperlink" Target="https://card.tap-savvy.com/VishalSignages_Vishal-Salvi/1019" TargetMode="External"/><Relationship Id="rId41" Type="http://schemas.openxmlformats.org/officeDocument/2006/relationships/hyperlink" Target="https://g.co/kgs/8XSMXu7" TargetMode="External"/><Relationship Id="rId54" Type="http://schemas.openxmlformats.org/officeDocument/2006/relationships/hyperlink" Target="mailto:neelujkumar@gmail.com" TargetMode="External"/><Relationship Id="rId62" Type="http://schemas.openxmlformats.org/officeDocument/2006/relationships/hyperlink" Target="mailto:spectacleocclinic@gmail.com" TargetMode="External"/><Relationship Id="rId70" Type="http://schemas.openxmlformats.org/officeDocument/2006/relationships/hyperlink" Target="https://card.tap-savvy.com/SUCHARITA-PAIK_FASHION/1126" TargetMode="External"/><Relationship Id="rId75" Type="http://schemas.openxmlformats.org/officeDocument/2006/relationships/hyperlink" Target="https://card.tap-savvy.com/AvanStrate_Akarsh-Hebbar/1133" TargetMode="External"/><Relationship Id="rId83" Type="http://schemas.openxmlformats.org/officeDocument/2006/relationships/hyperlink" Target="https://card.tap-savvy.com/Nakshatra_Prachi-Saraf/1139" TargetMode="External"/><Relationship Id="rId88" Type="http://schemas.openxmlformats.org/officeDocument/2006/relationships/hyperlink" Target="mailto:rajivkakka@hotmail.com" TargetMode="External"/><Relationship Id="rId91" Type="http://schemas.openxmlformats.org/officeDocument/2006/relationships/hyperlink" Target="mailto:ronaldsoans@prudentconnect.com" TargetMode="External"/><Relationship Id="rId96" Type="http://schemas.openxmlformats.org/officeDocument/2006/relationships/hyperlink" Target="mailto:pharmnayak@gmail.com" TargetMode="External"/><Relationship Id="rId111" Type="http://schemas.openxmlformats.org/officeDocument/2006/relationships/hyperlink" Target="https://card.tap-savvy.com/ASIAN-PAINTS_LALIT-KUMAR/1181" TargetMode="External"/><Relationship Id="rId132" Type="http://schemas.openxmlformats.org/officeDocument/2006/relationships/hyperlink" Target="mailto:lunkad88@gmail.com" TargetMode="External"/><Relationship Id="rId140" Type="http://schemas.openxmlformats.org/officeDocument/2006/relationships/hyperlink" Target="https://card.tap-savvy.com/KUDE-INVESTMENT_SHANTANU-KUDE/1195" TargetMode="External"/><Relationship Id="rId1" Type="http://schemas.openxmlformats.org/officeDocument/2006/relationships/hyperlink" Target="https://card.tap-savvy.com/Datamatics_Anup-Sharma/1041" TargetMode="External"/><Relationship Id="rId6" Type="http://schemas.openxmlformats.org/officeDocument/2006/relationships/hyperlink" Target="https://www.iflynow.in/" TargetMode="External"/><Relationship Id="rId15" Type="http://schemas.openxmlformats.org/officeDocument/2006/relationships/hyperlink" Target="mailto:sales@turtledownunder.com.au" TargetMode="External"/><Relationship Id="rId23" Type="http://schemas.openxmlformats.org/officeDocument/2006/relationships/hyperlink" Target="mailto:divya@stalwartworld.com" TargetMode="External"/><Relationship Id="rId28" Type="http://schemas.openxmlformats.org/officeDocument/2006/relationships/hyperlink" Target="http://card.tap-savvy.com/aakshae_group_company/1080" TargetMode="External"/><Relationship Id="rId36" Type="http://schemas.openxmlformats.org/officeDocument/2006/relationships/hyperlink" Target="mailto:abhijeet.akash@insyncanalytics.com" TargetMode="External"/><Relationship Id="rId49" Type="http://schemas.openxmlformats.org/officeDocument/2006/relationships/hyperlink" Target="https://card.tap-savvy.com/ASK-KONSULTANCY_RANJANA-UPADHYAY/1113" TargetMode="External"/><Relationship Id="rId57" Type="http://schemas.openxmlformats.org/officeDocument/2006/relationships/hyperlink" Target="mailto:nhpegasi@gmail.com" TargetMode="External"/><Relationship Id="rId106" Type="http://schemas.openxmlformats.org/officeDocument/2006/relationships/hyperlink" Target="https://card.tap-savvy.com/ISHIKA-SHARMA/1177" TargetMode="External"/><Relationship Id="rId114" Type="http://schemas.openxmlformats.org/officeDocument/2006/relationships/hyperlink" Target="mailto:dramitgangawani12@gmail.com" TargetMode="External"/><Relationship Id="rId119" Type="http://schemas.openxmlformats.org/officeDocument/2006/relationships/hyperlink" Target="mailto:pratikgurav123@gmail.com" TargetMode="External"/><Relationship Id="rId127" Type="http://schemas.openxmlformats.org/officeDocument/2006/relationships/hyperlink" Target="https://g.co/kgs/gFQrtxz" TargetMode="External"/><Relationship Id="rId10" Type="http://schemas.openxmlformats.org/officeDocument/2006/relationships/hyperlink" Target="https://card.tap-savvy.com/Turtledownunder_Chander-Chhabriya/1016" TargetMode="External"/><Relationship Id="rId31" Type="http://schemas.openxmlformats.org/officeDocument/2006/relationships/hyperlink" Target="https://www.aisshpra.com/" TargetMode="External"/><Relationship Id="rId44" Type="http://schemas.openxmlformats.org/officeDocument/2006/relationships/hyperlink" Target="https://g.co/kgs/8XSMXu7" TargetMode="External"/><Relationship Id="rId52" Type="http://schemas.openxmlformats.org/officeDocument/2006/relationships/hyperlink" Target="https://g.co/kgs/8XSMXu7" TargetMode="External"/><Relationship Id="rId60" Type="http://schemas.openxmlformats.org/officeDocument/2006/relationships/hyperlink" Target="mailto:ami.arete@gmail.com" TargetMode="External"/><Relationship Id="rId65" Type="http://schemas.openxmlformats.org/officeDocument/2006/relationships/hyperlink" Target="https://card.tap-savvy.com/MNA&amp;Associates_Advocates_Megha-Agrawwal/1121" TargetMode="External"/><Relationship Id="rId73" Type="http://schemas.openxmlformats.org/officeDocument/2006/relationships/hyperlink" Target="https://card.tap-savvy.com/Peristiwa-Planners_Rhythm-Bhatia/1130" TargetMode="External"/><Relationship Id="rId78" Type="http://schemas.openxmlformats.org/officeDocument/2006/relationships/hyperlink" Target="mailto:pritesh1046@gmail.com" TargetMode="External"/><Relationship Id="rId81" Type="http://schemas.openxmlformats.org/officeDocument/2006/relationships/hyperlink" Target="https://card.tap-savvy.com/Zankhana-Bhansali&amp;Associates_Zakhana-Bhansali/1138" TargetMode="External"/><Relationship Id="rId86" Type="http://schemas.openxmlformats.org/officeDocument/2006/relationships/hyperlink" Target="mailto:Holidaytribeindia@gmail.com" TargetMode="External"/><Relationship Id="rId94" Type="http://schemas.openxmlformats.org/officeDocument/2006/relationships/hyperlink" Target="mailto:11sarika1982@gmail.com" TargetMode="External"/><Relationship Id="rId99" Type="http://schemas.openxmlformats.org/officeDocument/2006/relationships/hyperlink" Target="https://card.tap-savvy.com/SPECTRE_RITWIK-BHAWSINGHKA/1174" TargetMode="External"/><Relationship Id="rId101" Type="http://schemas.openxmlformats.org/officeDocument/2006/relationships/hyperlink" Target="https://card.tap-savvy.com/PURVA-FARM_AAPPA-GAIKWAD/1175" TargetMode="External"/><Relationship Id="rId122" Type="http://schemas.openxmlformats.org/officeDocument/2006/relationships/hyperlink" Target="https://card.tap-savvy.com/RUCHIRA_Pure_Veg_Restaurant_and_BHOJNALAYA/1187" TargetMode="External"/><Relationship Id="rId130" Type="http://schemas.openxmlformats.org/officeDocument/2006/relationships/hyperlink" Target="https://maps.app.goo.gl/tHmEkKy2u8H6sAh97" TargetMode="External"/><Relationship Id="rId135" Type="http://schemas.openxmlformats.org/officeDocument/2006/relationships/hyperlink" Target="https://card.tap-savvy.com/TahaanPestSolutionsLLP_Zoheb-Shaikh/1192" TargetMode="External"/><Relationship Id="rId143" Type="http://schemas.openxmlformats.org/officeDocument/2006/relationships/hyperlink" Target="https://card.tap-savvy.com/ImaxOpticals&amp;Watches_Monali-Gada/1196" TargetMode="External"/><Relationship Id="rId4" Type="http://schemas.openxmlformats.org/officeDocument/2006/relationships/hyperlink" Target="https://card.tap-savvy.com/I-Fly-Now_Kunal-Ramchandani/1013" TargetMode="External"/><Relationship Id="rId9" Type="http://schemas.openxmlformats.org/officeDocument/2006/relationships/hyperlink" Target="https://www.turtledownunder.com.au/" TargetMode="External"/><Relationship Id="rId13" Type="http://schemas.openxmlformats.org/officeDocument/2006/relationships/hyperlink" Target="https://maps.app.goo.gl/hk31D6auQZpHMuN69" TargetMode="External"/><Relationship Id="rId18" Type="http://schemas.openxmlformats.org/officeDocument/2006/relationships/hyperlink" Target="mailto:kunalr@turtledownunder.com.au" TargetMode="External"/><Relationship Id="rId39" Type="http://schemas.openxmlformats.org/officeDocument/2006/relationships/hyperlink" Target="mailto:officeaskkonsultancy@gmail.com" TargetMode="External"/><Relationship Id="rId109" Type="http://schemas.openxmlformats.org/officeDocument/2006/relationships/hyperlink" Target="mailto:info@travezy.in" TargetMode="External"/><Relationship Id="rId34" Type="http://schemas.openxmlformats.org/officeDocument/2006/relationships/hyperlink" Target="https://insyncanalytics.com/" TargetMode="External"/><Relationship Id="rId50" Type="http://schemas.openxmlformats.org/officeDocument/2006/relationships/hyperlink" Target="mailto:officeaskkonsultancy@gmail.com" TargetMode="External"/><Relationship Id="rId55" Type="http://schemas.openxmlformats.org/officeDocument/2006/relationships/hyperlink" Target="https://www.neelsdivinesoul.com/" TargetMode="External"/><Relationship Id="rId76" Type="http://schemas.openxmlformats.org/officeDocument/2006/relationships/hyperlink" Target="mailto:Akarsh.k.hebbar@avanstrate.com" TargetMode="External"/><Relationship Id="rId97" Type="http://schemas.openxmlformats.org/officeDocument/2006/relationships/hyperlink" Target="https://card.tap-savvy.com/SPECTRE_ANIRBAN-BASU/1173" TargetMode="External"/><Relationship Id="rId104" Type="http://schemas.openxmlformats.org/officeDocument/2006/relationships/hyperlink" Target="mailto:shreeganeshservice12@gmail.com" TargetMode="External"/><Relationship Id="rId120" Type="http://schemas.openxmlformats.org/officeDocument/2006/relationships/hyperlink" Target="https://card.tap-savvy.com/Sunil-zanjugade/1186" TargetMode="External"/><Relationship Id="rId125" Type="http://schemas.openxmlformats.org/officeDocument/2006/relationships/hyperlink" Target="https://card.tap-savvy.com/Maya's-salon&amp;Academy/1188" TargetMode="External"/><Relationship Id="rId141" Type="http://schemas.openxmlformats.org/officeDocument/2006/relationships/hyperlink" Target="mailto:SHANTANUKUDE@GMAIL.COM" TargetMode="External"/><Relationship Id="rId7" Type="http://schemas.openxmlformats.org/officeDocument/2006/relationships/hyperlink" Target="https://card.tap-savvy.com/Turtledownunder_Abhishek-Sonthalia/1014" TargetMode="External"/><Relationship Id="rId71" Type="http://schemas.openxmlformats.org/officeDocument/2006/relationships/hyperlink" Target="mailto:info@sucharita.in" TargetMode="External"/><Relationship Id="rId92" Type="http://schemas.openxmlformats.org/officeDocument/2006/relationships/hyperlink" Target="https://www.fundzbazar.com/customisedlinkregistration/7c7723/2364257c7723246c3c7c77235e6d3a246c3c21713d3f6326" TargetMode="External"/><Relationship Id="rId2" Type="http://schemas.openxmlformats.org/officeDocument/2006/relationships/hyperlink" Target="mailto:anup.sharma@datamatics.com" TargetMode="External"/><Relationship Id="rId29" Type="http://schemas.openxmlformats.org/officeDocument/2006/relationships/hyperlink" Target="mailto:shubhankar_1998@yahoo.com" TargetMode="External"/><Relationship Id="rId24" Type="http://schemas.openxmlformats.org/officeDocument/2006/relationships/hyperlink" Target="https://www.stalwartplugnplay.com/" TargetMode="External"/><Relationship Id="rId40" Type="http://schemas.openxmlformats.org/officeDocument/2006/relationships/hyperlink" Target="https://www.askkonsultancy.com/" TargetMode="External"/><Relationship Id="rId45" Type="http://schemas.openxmlformats.org/officeDocument/2006/relationships/hyperlink" Target="http://card.tap-savvy.com/ASK-KONSULTANCY_MITALI-RAUT/1112" TargetMode="External"/><Relationship Id="rId66" Type="http://schemas.openxmlformats.org/officeDocument/2006/relationships/hyperlink" Target="mailto:mna@mnaassociates.in" TargetMode="External"/><Relationship Id="rId87" Type="http://schemas.openxmlformats.org/officeDocument/2006/relationships/hyperlink" Target="http://card.tap-savvy.com/Goodluck-Opticians/1165" TargetMode="External"/><Relationship Id="rId110" Type="http://schemas.openxmlformats.org/officeDocument/2006/relationships/hyperlink" Target="https://www.travezy.in/" TargetMode="External"/><Relationship Id="rId115" Type="http://schemas.openxmlformats.org/officeDocument/2006/relationships/hyperlink" Target="https://card.tap-savvy.com/RASHI-AIRCONS_RAJESH-RAJANI/1184" TargetMode="External"/><Relationship Id="rId131" Type="http://schemas.openxmlformats.org/officeDocument/2006/relationships/hyperlink" Target="https://card.tap-savvy.com/PadmawatiJewellers_Manish-Lunkad/1190" TargetMode="External"/><Relationship Id="rId136" Type="http://schemas.openxmlformats.org/officeDocument/2006/relationships/hyperlink" Target="mailto:joheb@tahaanpestsolutions.com" TargetMode="External"/><Relationship Id="rId61" Type="http://schemas.openxmlformats.org/officeDocument/2006/relationships/hyperlink" Target="https://card.tap-savvy.com/SPECTACLE-O&amp;C-CLINIC_NANDKISHOR-AMBURLE/1118" TargetMode="External"/><Relationship Id="rId82" Type="http://schemas.openxmlformats.org/officeDocument/2006/relationships/hyperlink" Target="mailto:zankhana.bhansali@gmail.com" TargetMode="External"/><Relationship Id="rId19" Type="http://schemas.openxmlformats.org/officeDocument/2006/relationships/hyperlink" Target="https://turtledownunder.com.au/" TargetMode="External"/><Relationship Id="rId14" Type="http://schemas.openxmlformats.org/officeDocument/2006/relationships/hyperlink" Target="https://card.tap-savvy.com/TurtleDownUnder/1017" TargetMode="External"/><Relationship Id="rId30" Type="http://schemas.openxmlformats.org/officeDocument/2006/relationships/hyperlink" Target="https://card.tap-savvy.com/AISSHPRA-GEMS-AND-JEWELS_SAUMITRA-SARAF/1098" TargetMode="External"/><Relationship Id="rId35" Type="http://schemas.openxmlformats.org/officeDocument/2006/relationships/hyperlink" Target="https://card.tap-savvy.com/INSYNC-ANALYTICS_ABHIJEET-AKASH/1107" TargetMode="External"/><Relationship Id="rId56" Type="http://schemas.openxmlformats.org/officeDocument/2006/relationships/hyperlink" Target="https://card.tap-savvy.com/THETAPEGASSI_Nniki-Hingad/1116" TargetMode="External"/><Relationship Id="rId77" Type="http://schemas.openxmlformats.org/officeDocument/2006/relationships/hyperlink" Target="https://card.tap-savvy.com/ChandraTradingCompany_Pritesh-Sanghavi/1135" TargetMode="External"/><Relationship Id="rId100" Type="http://schemas.openxmlformats.org/officeDocument/2006/relationships/hyperlink" Target="mailto:ritwik@spectre.net.in" TargetMode="External"/><Relationship Id="rId105" Type="http://schemas.openxmlformats.org/officeDocument/2006/relationships/hyperlink" Target="https://maps.app.goo.gl/jRn7apCgivCmkGv28" TargetMode="External"/><Relationship Id="rId126" Type="http://schemas.openxmlformats.org/officeDocument/2006/relationships/hyperlink" Target="mailto:mayassalon@gmail.com"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www.annaidly.in/" TargetMode="External"/><Relationship Id="rId299" Type="http://schemas.openxmlformats.org/officeDocument/2006/relationships/hyperlink" Target="https://www.bajajcapital.com/" TargetMode="External"/><Relationship Id="rId21" Type="http://schemas.openxmlformats.org/officeDocument/2006/relationships/hyperlink" Target="https://www.google.com/maps/place/Citi+Mall/@19.1386235,72.8314387,15z/data=!4m6!3m5!1s0x3be7b63cd0ce884f:0x5a3f9df6a2063fc5!8m2!3d19.1386235!4d72.8314387!16s%2Fg%2F11bz_0d2_n?entry=ttu&amp;g_ep=EgoyMDI0MTAxNi4wIKXMDSoASAFQAw%3D%3D" TargetMode="External"/><Relationship Id="rId63" Type="http://schemas.openxmlformats.org/officeDocument/2006/relationships/hyperlink" Target="https://www.seventeenevents.com/" TargetMode="External"/><Relationship Id="rId159" Type="http://schemas.openxmlformats.org/officeDocument/2006/relationships/hyperlink" Target="https://www.grasi.in/" TargetMode="External"/><Relationship Id="rId324" Type="http://schemas.openxmlformats.org/officeDocument/2006/relationships/hyperlink" Target="https://omjewellers.com/" TargetMode="External"/><Relationship Id="rId366" Type="http://schemas.openxmlformats.org/officeDocument/2006/relationships/hyperlink" Target="https://www.batukbhai.com/" TargetMode="External"/><Relationship Id="rId170" Type="http://schemas.openxmlformats.org/officeDocument/2006/relationships/hyperlink" Target="https://www.grasi.in/" TargetMode="External"/><Relationship Id="rId226" Type="http://schemas.openxmlformats.org/officeDocument/2006/relationships/hyperlink" Target="https://tirthankarinvestments.com/" TargetMode="External"/><Relationship Id="rId433" Type="http://schemas.openxmlformats.org/officeDocument/2006/relationships/hyperlink" Target="https://arjunaa.com/" TargetMode="External"/><Relationship Id="rId268" Type="http://schemas.openxmlformats.org/officeDocument/2006/relationships/hyperlink" Target="https://ahcapital.in/" TargetMode="External"/><Relationship Id="rId32" Type="http://schemas.openxmlformats.org/officeDocument/2006/relationships/hyperlink" Target="https://http/www.glitorium.com/" TargetMode="External"/><Relationship Id="rId74" Type="http://schemas.openxmlformats.org/officeDocument/2006/relationships/hyperlink" Target="https://www.ashishlifescience.com/" TargetMode="External"/><Relationship Id="rId128" Type="http://schemas.openxmlformats.org/officeDocument/2006/relationships/hyperlink" Target="https://glisna.com/" TargetMode="External"/><Relationship Id="rId335" Type="http://schemas.openxmlformats.org/officeDocument/2006/relationships/hyperlink" Target="https://tallajewellers.in/" TargetMode="External"/><Relationship Id="rId377" Type="http://schemas.openxmlformats.org/officeDocument/2006/relationships/hyperlink" Target="https://www.radhikajeweltech.com/" TargetMode="External"/><Relationship Id="rId5" Type="http://schemas.openxmlformats.org/officeDocument/2006/relationships/hyperlink" Target="https://www.azbpartners.com/" TargetMode="External"/><Relationship Id="rId181" Type="http://schemas.openxmlformats.org/officeDocument/2006/relationships/hyperlink" Target="https://www.grasi.in/" TargetMode="External"/><Relationship Id="rId237" Type="http://schemas.openxmlformats.org/officeDocument/2006/relationships/hyperlink" Target="https://maps.app.goo.gl/TLjJXvcM5hdRTVoj7" TargetMode="External"/><Relationship Id="rId402" Type="http://schemas.openxmlformats.org/officeDocument/2006/relationships/hyperlink" Target="https://www.malabargoldanddiamonds.com/" TargetMode="External"/><Relationship Id="rId279" Type="http://schemas.openxmlformats.org/officeDocument/2006/relationships/hyperlink" Target="https://www.bajajcapital.com/" TargetMode="External"/><Relationship Id="rId444" Type="http://schemas.openxmlformats.org/officeDocument/2006/relationships/hyperlink" Target="https://maps.app.goo.gl/Ayv5A5YqkmMJyiZ77" TargetMode="External"/><Relationship Id="rId43" Type="http://schemas.openxmlformats.org/officeDocument/2006/relationships/hyperlink" Target="https://www.dentalsuite.in/" TargetMode="External"/><Relationship Id="rId139" Type="http://schemas.openxmlformats.org/officeDocument/2006/relationships/hyperlink" Target="https://www.grasi.in/" TargetMode="External"/><Relationship Id="rId290" Type="http://schemas.openxmlformats.org/officeDocument/2006/relationships/hyperlink" Target="https://www.bajajcapital.com/" TargetMode="External"/><Relationship Id="rId304" Type="http://schemas.openxmlformats.org/officeDocument/2006/relationships/hyperlink" Target="https://www.bajajcapital.com/" TargetMode="External"/><Relationship Id="rId346" Type="http://schemas.openxmlformats.org/officeDocument/2006/relationships/hyperlink" Target="https://www.metalsfocus.com/" TargetMode="External"/><Relationship Id="rId388" Type="http://schemas.openxmlformats.org/officeDocument/2006/relationships/hyperlink" Target="https://talwarsons.com/" TargetMode="External"/><Relationship Id="rId85" Type="http://schemas.openxmlformats.org/officeDocument/2006/relationships/hyperlink" Target="https://www.ashishlifescience.com/" TargetMode="External"/><Relationship Id="rId150" Type="http://schemas.openxmlformats.org/officeDocument/2006/relationships/hyperlink" Target="https://www.grasi.in/" TargetMode="External"/><Relationship Id="rId192" Type="http://schemas.openxmlformats.org/officeDocument/2006/relationships/hyperlink" Target="https://www.grasi.in/" TargetMode="External"/><Relationship Id="rId206" Type="http://schemas.openxmlformats.org/officeDocument/2006/relationships/hyperlink" Target="https://lakshyacs.com/" TargetMode="External"/><Relationship Id="rId413" Type="http://schemas.openxmlformats.org/officeDocument/2006/relationships/hyperlink" Target="https://www.pngjewellers.com/" TargetMode="External"/><Relationship Id="rId248" Type="http://schemas.openxmlformats.org/officeDocument/2006/relationships/hyperlink" Target="https://papercurrency.in/" TargetMode="External"/><Relationship Id="rId455" Type="http://schemas.openxmlformats.org/officeDocument/2006/relationships/hyperlink" Target="https://maps.app.goo.gl/w8Jp9c7a8etkXa226" TargetMode="External"/><Relationship Id="rId12" Type="http://schemas.openxmlformats.org/officeDocument/2006/relationships/hyperlink" Target="https://www.vasupati.com/" TargetMode="External"/><Relationship Id="rId108" Type="http://schemas.openxmlformats.org/officeDocument/2006/relationships/hyperlink" Target="https://www.rashiaircons.com/" TargetMode="External"/><Relationship Id="rId315" Type="http://schemas.openxmlformats.org/officeDocument/2006/relationships/hyperlink" Target="https://www.mpswarnamahal.com/" TargetMode="External"/><Relationship Id="rId357" Type="http://schemas.openxmlformats.org/officeDocument/2006/relationships/hyperlink" Target="https://www.thebhimajewellery.com/" TargetMode="External"/><Relationship Id="rId54" Type="http://schemas.openxmlformats.org/officeDocument/2006/relationships/hyperlink" Target="https://www.thegamedrive.com/" TargetMode="External"/><Relationship Id="rId96" Type="http://schemas.openxmlformats.org/officeDocument/2006/relationships/hyperlink" Target="https://insyncanalytics.com/" TargetMode="External"/><Relationship Id="rId161" Type="http://schemas.openxmlformats.org/officeDocument/2006/relationships/hyperlink" Target="https://www.grasi.in/" TargetMode="External"/><Relationship Id="rId217" Type="http://schemas.openxmlformats.org/officeDocument/2006/relationships/hyperlink" Target="http://www.jmsolutions.co.in/" TargetMode="External"/><Relationship Id="rId399" Type="http://schemas.openxmlformats.org/officeDocument/2006/relationships/hyperlink" Target="https://www.malabargoldanddiamonds.com/" TargetMode="External"/><Relationship Id="rId259" Type="http://schemas.openxmlformats.org/officeDocument/2006/relationships/hyperlink" Target="http://deepcomputers.info/index.html" TargetMode="External"/><Relationship Id="rId424" Type="http://schemas.openxmlformats.org/officeDocument/2006/relationships/hyperlink" Target="https://aisshpra.com/" TargetMode="External"/><Relationship Id="rId23" Type="http://schemas.openxmlformats.org/officeDocument/2006/relationships/hyperlink" Target="https://3cheersads.com/" TargetMode="External"/><Relationship Id="rId119" Type="http://schemas.openxmlformats.org/officeDocument/2006/relationships/hyperlink" Target="https://growpro.co.in/" TargetMode="External"/><Relationship Id="rId270" Type="http://schemas.openxmlformats.org/officeDocument/2006/relationships/hyperlink" Target="https://www.bajajcapital.com/" TargetMode="External"/><Relationship Id="rId291" Type="http://schemas.openxmlformats.org/officeDocument/2006/relationships/hyperlink" Target="https://www.bajajcapital.com/" TargetMode="External"/><Relationship Id="rId305" Type="http://schemas.openxmlformats.org/officeDocument/2006/relationships/hyperlink" Target="https://www.abjewels.com/" TargetMode="External"/><Relationship Id="rId326" Type="http://schemas.openxmlformats.org/officeDocument/2006/relationships/hyperlink" Target="https://ppjeweller.com/" TargetMode="External"/><Relationship Id="rId347" Type="http://schemas.openxmlformats.org/officeDocument/2006/relationships/hyperlink" Target="https://arjunaa.com/" TargetMode="External"/><Relationship Id="rId44" Type="http://schemas.openxmlformats.org/officeDocument/2006/relationships/hyperlink" Target="https://www.pencilstroke.in/" TargetMode="External"/><Relationship Id="rId65" Type="http://schemas.openxmlformats.org/officeDocument/2006/relationships/hyperlink" Target="https://www.seventeenevents.com/" TargetMode="External"/><Relationship Id="rId86" Type="http://schemas.openxmlformats.org/officeDocument/2006/relationships/hyperlink" Target="https://www.datamatics.com/" TargetMode="External"/><Relationship Id="rId130" Type="http://schemas.openxmlformats.org/officeDocument/2006/relationships/hyperlink" Target="https://www.grasi.in/" TargetMode="External"/><Relationship Id="rId151" Type="http://schemas.openxmlformats.org/officeDocument/2006/relationships/hyperlink" Target="https://www.grasi.in/" TargetMode="External"/><Relationship Id="rId368" Type="http://schemas.openxmlformats.org/officeDocument/2006/relationships/hyperlink" Target="https://www.kalyanjewellers.net/" TargetMode="External"/><Relationship Id="rId389" Type="http://schemas.openxmlformats.org/officeDocument/2006/relationships/hyperlink" Target="https://shobhashringar.com/mobile-home/" TargetMode="External"/><Relationship Id="rId172" Type="http://schemas.openxmlformats.org/officeDocument/2006/relationships/hyperlink" Target="https://www.grasi.in/" TargetMode="External"/><Relationship Id="rId193" Type="http://schemas.openxmlformats.org/officeDocument/2006/relationships/hyperlink" Target="https://www.grasi.in/" TargetMode="External"/><Relationship Id="rId207" Type="http://schemas.openxmlformats.org/officeDocument/2006/relationships/hyperlink" Target="http://www.angelswork.in/" TargetMode="External"/><Relationship Id="rId228" Type="http://schemas.openxmlformats.org/officeDocument/2006/relationships/hyperlink" Target="http://www.expresslearning.in/" TargetMode="External"/><Relationship Id="rId249" Type="http://schemas.openxmlformats.org/officeDocument/2006/relationships/hyperlink" Target="https://maps.app.goo.gl/yBLectmYFeNzDmoW7" TargetMode="External"/><Relationship Id="rId414" Type="http://schemas.openxmlformats.org/officeDocument/2006/relationships/hyperlink" Target="https://www.pngjewellers.com/" TargetMode="External"/><Relationship Id="rId435" Type="http://schemas.openxmlformats.org/officeDocument/2006/relationships/hyperlink" Target="https://www.biopole.in/" TargetMode="External"/><Relationship Id="rId456" Type="http://schemas.openxmlformats.org/officeDocument/2006/relationships/hyperlink" Target="https://amzn.to/363ljfM" TargetMode="External"/><Relationship Id="rId13" Type="http://schemas.openxmlformats.org/officeDocument/2006/relationships/hyperlink" Target="https://www.vasupati.com/" TargetMode="External"/><Relationship Id="rId109" Type="http://schemas.openxmlformats.org/officeDocument/2006/relationships/hyperlink" Target="https://www.dinustatteidli.com/" TargetMode="External"/><Relationship Id="rId260" Type="http://schemas.openxmlformats.org/officeDocument/2006/relationships/hyperlink" Target="https://maps.app.goo.gl/zrCWeEd226P9Af1g8" TargetMode="External"/><Relationship Id="rId281" Type="http://schemas.openxmlformats.org/officeDocument/2006/relationships/hyperlink" Target="https://www.bajajcapital.com/" TargetMode="External"/><Relationship Id="rId316" Type="http://schemas.openxmlformats.org/officeDocument/2006/relationships/hyperlink" Target="https://www.mpswarnamahal.com/" TargetMode="External"/><Relationship Id="rId337" Type="http://schemas.openxmlformats.org/officeDocument/2006/relationships/hyperlink" Target="https://www.dassjewellers.com/" TargetMode="External"/><Relationship Id="rId34" Type="http://schemas.openxmlformats.org/officeDocument/2006/relationships/hyperlink" Target="https://www.rahulsharmaphotography.com/" TargetMode="External"/><Relationship Id="rId55" Type="http://schemas.openxmlformats.org/officeDocument/2006/relationships/hyperlink" Target="https://www.thegamedrive.com/" TargetMode="External"/><Relationship Id="rId76" Type="http://schemas.openxmlformats.org/officeDocument/2006/relationships/hyperlink" Target="https://www.ashishlifescience.com/" TargetMode="External"/><Relationship Id="rId97" Type="http://schemas.openxmlformats.org/officeDocument/2006/relationships/hyperlink" Target="https://www.askkonsultancy.com/" TargetMode="External"/><Relationship Id="rId120" Type="http://schemas.openxmlformats.org/officeDocument/2006/relationships/hyperlink" Target="https://shadesdecor.com/" TargetMode="External"/><Relationship Id="rId141" Type="http://schemas.openxmlformats.org/officeDocument/2006/relationships/hyperlink" Target="https://www.grasi.in/" TargetMode="External"/><Relationship Id="rId358" Type="http://schemas.openxmlformats.org/officeDocument/2006/relationships/hyperlink" Target="https://www.thebhimajewellery.com/" TargetMode="External"/><Relationship Id="rId379" Type="http://schemas.openxmlformats.org/officeDocument/2006/relationships/hyperlink" Target="https://www.manoharlaljewellers.in/" TargetMode="External"/><Relationship Id="rId7" Type="http://schemas.openxmlformats.org/officeDocument/2006/relationships/hyperlink" Target="https://cbva.in/" TargetMode="External"/><Relationship Id="rId162" Type="http://schemas.openxmlformats.org/officeDocument/2006/relationships/hyperlink" Target="https://www.grasi.in/" TargetMode="External"/><Relationship Id="rId183" Type="http://schemas.openxmlformats.org/officeDocument/2006/relationships/hyperlink" Target="https://www.grasi.in/" TargetMode="External"/><Relationship Id="rId218" Type="http://schemas.openxmlformats.org/officeDocument/2006/relationships/hyperlink" Target="https://abhastudios.com/" TargetMode="External"/><Relationship Id="rId239" Type="http://schemas.openxmlformats.org/officeDocument/2006/relationships/hyperlink" Target="https://www.sunberaindia.in/" TargetMode="External"/><Relationship Id="rId390" Type="http://schemas.openxmlformats.org/officeDocument/2006/relationships/hyperlink" Target="https://shobhashringar.com/mobile-home/" TargetMode="External"/><Relationship Id="rId404" Type="http://schemas.openxmlformats.org/officeDocument/2006/relationships/hyperlink" Target="https://www.joyalukkas.in/" TargetMode="External"/><Relationship Id="rId425" Type="http://schemas.openxmlformats.org/officeDocument/2006/relationships/hyperlink" Target="https://www.ejindia.com/" TargetMode="External"/><Relationship Id="rId446" Type="http://schemas.openxmlformats.org/officeDocument/2006/relationships/hyperlink" Target="http://www.vkbavisi.com/index.html" TargetMode="External"/><Relationship Id="rId250" Type="http://schemas.openxmlformats.org/officeDocument/2006/relationships/hyperlink" Target="https://maps.app.goo.gl/h9KJuTWt2umM4T518" TargetMode="External"/><Relationship Id="rId271" Type="http://schemas.openxmlformats.org/officeDocument/2006/relationships/hyperlink" Target="https://www.bajajcapital.com/" TargetMode="External"/><Relationship Id="rId292" Type="http://schemas.openxmlformats.org/officeDocument/2006/relationships/hyperlink" Target="https://www.bajajcapital.com/" TargetMode="External"/><Relationship Id="rId306" Type="http://schemas.openxmlformats.org/officeDocument/2006/relationships/hyperlink" Target="https://www.abjewels.com/" TargetMode="External"/><Relationship Id="rId24" Type="http://schemas.openxmlformats.org/officeDocument/2006/relationships/hyperlink" Target="https://pdsltd.com/" TargetMode="External"/><Relationship Id="rId45" Type="http://schemas.openxmlformats.org/officeDocument/2006/relationships/hyperlink" Target="https://www.healhelpinglives.com/" TargetMode="External"/><Relationship Id="rId66" Type="http://schemas.openxmlformats.org/officeDocument/2006/relationships/hyperlink" Target="https://www.seventeenevents.com/" TargetMode="External"/><Relationship Id="rId87" Type="http://schemas.openxmlformats.org/officeDocument/2006/relationships/hyperlink" Target="https://www.iflynow.in/" TargetMode="External"/><Relationship Id="rId110" Type="http://schemas.openxmlformats.org/officeDocument/2006/relationships/hyperlink" Target="https://www.tahaanpestsolutions.com/" TargetMode="External"/><Relationship Id="rId131" Type="http://schemas.openxmlformats.org/officeDocument/2006/relationships/hyperlink" Target="https://www.grasi.in/" TargetMode="External"/><Relationship Id="rId327" Type="http://schemas.openxmlformats.org/officeDocument/2006/relationships/hyperlink" Target="http://www.sonachandis.com/" TargetMode="External"/><Relationship Id="rId348" Type="http://schemas.openxmlformats.org/officeDocument/2006/relationships/hyperlink" Target="https://jugalkishorejewellers.com/" TargetMode="External"/><Relationship Id="rId369" Type="http://schemas.openxmlformats.org/officeDocument/2006/relationships/hyperlink" Target="https://www.kalyanjewellers.net/" TargetMode="External"/><Relationship Id="rId152" Type="http://schemas.openxmlformats.org/officeDocument/2006/relationships/hyperlink" Target="https://www.grasi.in/" TargetMode="External"/><Relationship Id="rId173" Type="http://schemas.openxmlformats.org/officeDocument/2006/relationships/hyperlink" Target="https://www.grasi.in/" TargetMode="External"/><Relationship Id="rId194" Type="http://schemas.openxmlformats.org/officeDocument/2006/relationships/hyperlink" Target="https://www.grasi.in/" TargetMode="External"/><Relationship Id="rId208" Type="http://schemas.openxmlformats.org/officeDocument/2006/relationships/hyperlink" Target="http://www.giftingaffair.com/" TargetMode="External"/><Relationship Id="rId229" Type="http://schemas.openxmlformats.org/officeDocument/2006/relationships/hyperlink" Target="https://maps.app.goo.gl/qsNNEHysorzvYgLEA" TargetMode="External"/><Relationship Id="rId380" Type="http://schemas.openxmlformats.org/officeDocument/2006/relationships/hyperlink" Target="https://www.manoharlaljewellers.in/" TargetMode="External"/><Relationship Id="rId415" Type="http://schemas.openxmlformats.org/officeDocument/2006/relationships/hyperlink" Target="https://www.pngjewellers.com/" TargetMode="External"/><Relationship Id="rId436" Type="http://schemas.openxmlformats.org/officeDocument/2006/relationships/hyperlink" Target="https://biopole.in/" TargetMode="External"/><Relationship Id="rId457" Type="http://schemas.openxmlformats.org/officeDocument/2006/relationships/hyperlink" Target="https://maps.app.goo.gl/w6s6AjPvPgwaeqCNA" TargetMode="External"/><Relationship Id="rId240" Type="http://schemas.openxmlformats.org/officeDocument/2006/relationships/hyperlink" Target="https://www.google.com/maps/dir/19.2249856,72.8563712/rk+vacations/@19.2188624,72.8288994,14z/data=!3m1!4b1!4m9!4m8!1m1!4e1!1m5!1m1!1s0x3be7b6d237880865:0xbf19b7bd0d29a0a1!2m2!1d72.8410535!2d19.2141697?entry=ttu&amp;g_ep=EgoyMDI0MTAwMS4wIKXMDSoASAFQAw%3D%3D" TargetMode="External"/><Relationship Id="rId261" Type="http://schemas.openxmlformats.org/officeDocument/2006/relationships/hyperlink" Target="https://sagarpoojary.com/digitalmarketingservices" TargetMode="External"/><Relationship Id="rId14" Type="http://schemas.openxmlformats.org/officeDocument/2006/relationships/hyperlink" Target="https://www.vasupati.com/" TargetMode="External"/><Relationship Id="rId35" Type="http://schemas.openxmlformats.org/officeDocument/2006/relationships/hyperlink" Target="https://www.vchic.in/" TargetMode="External"/><Relationship Id="rId56" Type="http://schemas.openxmlformats.org/officeDocument/2006/relationships/hyperlink" Target="https://bento.me/jamilur-rahaman-" TargetMode="External"/><Relationship Id="rId77" Type="http://schemas.openxmlformats.org/officeDocument/2006/relationships/hyperlink" Target="http://card.tap-savvy.com/" TargetMode="External"/><Relationship Id="rId100" Type="http://schemas.openxmlformats.org/officeDocument/2006/relationships/hyperlink" Target="https://www.askkonsultancy.com/" TargetMode="External"/><Relationship Id="rId282" Type="http://schemas.openxmlformats.org/officeDocument/2006/relationships/hyperlink" Target="https://www.bajajcapital.com/" TargetMode="External"/><Relationship Id="rId317" Type="http://schemas.openxmlformats.org/officeDocument/2006/relationships/hyperlink" Target="https://www.dpjewellers.com/" TargetMode="External"/><Relationship Id="rId338" Type="http://schemas.openxmlformats.org/officeDocument/2006/relationships/hyperlink" Target="https://www.dassjewellers.com/" TargetMode="External"/><Relationship Id="rId359" Type="http://schemas.openxmlformats.org/officeDocument/2006/relationships/hyperlink" Target="https://kamajewelry.com/" TargetMode="External"/><Relationship Id="rId8" Type="http://schemas.openxmlformats.org/officeDocument/2006/relationships/hyperlink" Target="https://www.shaktiacryplast.com/" TargetMode="External"/><Relationship Id="rId98" Type="http://schemas.openxmlformats.org/officeDocument/2006/relationships/hyperlink" Target="https://www.askkonsultancy.com/" TargetMode="External"/><Relationship Id="rId121" Type="http://schemas.openxmlformats.org/officeDocument/2006/relationships/hyperlink" Target="https://dyt.co.in/" TargetMode="External"/><Relationship Id="rId142" Type="http://schemas.openxmlformats.org/officeDocument/2006/relationships/hyperlink" Target="https://www.grasi.in/" TargetMode="External"/><Relationship Id="rId163" Type="http://schemas.openxmlformats.org/officeDocument/2006/relationships/hyperlink" Target="https://www.grasi.in/" TargetMode="External"/><Relationship Id="rId184" Type="http://schemas.openxmlformats.org/officeDocument/2006/relationships/hyperlink" Target="https://www.grasi.in/" TargetMode="External"/><Relationship Id="rId219" Type="http://schemas.openxmlformats.org/officeDocument/2006/relationships/hyperlink" Target="http://www.thesilverstar.in/" TargetMode="External"/><Relationship Id="rId370" Type="http://schemas.openxmlformats.org/officeDocument/2006/relationships/hyperlink" Target="https://zaveriandco.com/" TargetMode="External"/><Relationship Id="rId391" Type="http://schemas.openxmlformats.org/officeDocument/2006/relationships/hyperlink" Target="https://www.jawharajewellery.com/" TargetMode="External"/><Relationship Id="rId405" Type="http://schemas.openxmlformats.org/officeDocument/2006/relationships/hyperlink" Target="https://www.joyalukkas.in/" TargetMode="External"/><Relationship Id="rId426" Type="http://schemas.openxmlformats.org/officeDocument/2006/relationships/hyperlink" Target="https://www.ejindia.com/" TargetMode="External"/><Relationship Id="rId447" Type="http://schemas.openxmlformats.org/officeDocument/2006/relationships/hyperlink" Target="https://www.opc.co.in/" TargetMode="External"/><Relationship Id="rId230" Type="http://schemas.openxmlformats.org/officeDocument/2006/relationships/hyperlink" Target="http://www.winshine.in/" TargetMode="External"/><Relationship Id="rId251" Type="http://schemas.openxmlformats.org/officeDocument/2006/relationships/hyperlink" Target="https://www.webinsight.in/" TargetMode="External"/><Relationship Id="rId25" Type="http://schemas.openxmlformats.org/officeDocument/2006/relationships/hyperlink" Target="https://www.gatewayabroad.com/" TargetMode="External"/><Relationship Id="rId46" Type="http://schemas.openxmlformats.org/officeDocument/2006/relationships/hyperlink" Target="https://www.evenbetter.co.in/" TargetMode="External"/><Relationship Id="rId67" Type="http://schemas.openxmlformats.org/officeDocument/2006/relationships/hyperlink" Target="https://www.seventeenevents.com/" TargetMode="External"/><Relationship Id="rId272" Type="http://schemas.openxmlformats.org/officeDocument/2006/relationships/hyperlink" Target="https://www.bajajcapital.com/" TargetMode="External"/><Relationship Id="rId293" Type="http://schemas.openxmlformats.org/officeDocument/2006/relationships/hyperlink" Target="https://www.bajajcapital.com/" TargetMode="External"/><Relationship Id="rId307" Type="http://schemas.openxmlformats.org/officeDocument/2006/relationships/hyperlink" Target="https://www.abjewels.com/" TargetMode="External"/><Relationship Id="rId328" Type="http://schemas.openxmlformats.org/officeDocument/2006/relationships/hyperlink" Target="http://www.sonachandis.com/" TargetMode="External"/><Relationship Id="rId349" Type="http://schemas.openxmlformats.org/officeDocument/2006/relationships/hyperlink" Target="https://www.ckcjewellers.com/" TargetMode="External"/><Relationship Id="rId88" Type="http://schemas.openxmlformats.org/officeDocument/2006/relationships/hyperlink" Target="https://www.turtledownunder.com.au/" TargetMode="External"/><Relationship Id="rId111" Type="http://schemas.openxmlformats.org/officeDocument/2006/relationships/hyperlink" Target="https://shantanukude.fundexpert.net/" TargetMode="External"/><Relationship Id="rId132" Type="http://schemas.openxmlformats.org/officeDocument/2006/relationships/hyperlink" Target="https://www.grasi.in/" TargetMode="External"/><Relationship Id="rId153" Type="http://schemas.openxmlformats.org/officeDocument/2006/relationships/hyperlink" Target="https://www.grasi.in/" TargetMode="External"/><Relationship Id="rId174" Type="http://schemas.openxmlformats.org/officeDocument/2006/relationships/hyperlink" Target="https://www.grasi.in/" TargetMode="External"/><Relationship Id="rId195" Type="http://schemas.openxmlformats.org/officeDocument/2006/relationships/hyperlink" Target="https://www.grasi.in/" TargetMode="External"/><Relationship Id="rId209" Type="http://schemas.openxmlformats.org/officeDocument/2006/relationships/hyperlink" Target="https://www.mondialmmx.com/" TargetMode="External"/><Relationship Id="rId360" Type="http://schemas.openxmlformats.org/officeDocument/2006/relationships/hyperlink" Target="https://kamajewelry.com/" TargetMode="External"/><Relationship Id="rId381" Type="http://schemas.openxmlformats.org/officeDocument/2006/relationships/hyperlink" Target="https://www.hsj.co.in/" TargetMode="External"/><Relationship Id="rId416" Type="http://schemas.openxmlformats.org/officeDocument/2006/relationships/hyperlink" Target="https://www.pngjewellers.com/" TargetMode="External"/><Relationship Id="rId220" Type="http://schemas.openxmlformats.org/officeDocument/2006/relationships/hyperlink" Target="https://www.pinetreepictures.in/" TargetMode="External"/><Relationship Id="rId241" Type="http://schemas.openxmlformats.org/officeDocument/2006/relationships/hyperlink" Target="http://www.rkvacations.live/" TargetMode="External"/><Relationship Id="rId437" Type="http://schemas.openxmlformats.org/officeDocument/2006/relationships/hyperlink" Target="http://www.biopole.in/" TargetMode="External"/><Relationship Id="rId458" Type="http://schemas.openxmlformats.org/officeDocument/2006/relationships/hyperlink" Target="http://www.gnanoworld.com/" TargetMode="External"/><Relationship Id="rId15" Type="http://schemas.openxmlformats.org/officeDocument/2006/relationships/hyperlink" Target="https://www.vasupati.com/" TargetMode="External"/><Relationship Id="rId36" Type="http://schemas.openxmlformats.org/officeDocument/2006/relationships/hyperlink" Target="https://www.vchic.in/" TargetMode="External"/><Relationship Id="rId57" Type="http://schemas.openxmlformats.org/officeDocument/2006/relationships/hyperlink" Target="https://www.chaitalicreation.com/" TargetMode="External"/><Relationship Id="rId262" Type="http://schemas.openxmlformats.org/officeDocument/2006/relationships/hyperlink" Target="https://g.co/kgs/QN8pcKD" TargetMode="External"/><Relationship Id="rId283" Type="http://schemas.openxmlformats.org/officeDocument/2006/relationships/hyperlink" Target="https://www.bajajcapital.com/" TargetMode="External"/><Relationship Id="rId318" Type="http://schemas.openxmlformats.org/officeDocument/2006/relationships/hyperlink" Target="https://www.dpjewellers.com/" TargetMode="External"/><Relationship Id="rId339" Type="http://schemas.openxmlformats.org/officeDocument/2006/relationships/hyperlink" Target="http://www.manoharlal.com/" TargetMode="External"/><Relationship Id="rId78" Type="http://schemas.openxmlformats.org/officeDocument/2006/relationships/hyperlink" Target="https://www.ashishlifescience.com/" TargetMode="External"/><Relationship Id="rId99" Type="http://schemas.openxmlformats.org/officeDocument/2006/relationships/hyperlink" Target="https://www.askkonsultancy.com/" TargetMode="External"/><Relationship Id="rId101" Type="http://schemas.openxmlformats.org/officeDocument/2006/relationships/hyperlink" Target="https://www.neelsdivinesoul.com/" TargetMode="External"/><Relationship Id="rId122" Type="http://schemas.openxmlformats.org/officeDocument/2006/relationships/hyperlink" Target="https://goo.gl/maps/5f4U2rFq2ARt1WVC8" TargetMode="External"/><Relationship Id="rId143" Type="http://schemas.openxmlformats.org/officeDocument/2006/relationships/hyperlink" Target="https://www.grasi.in/" TargetMode="External"/><Relationship Id="rId164" Type="http://schemas.openxmlformats.org/officeDocument/2006/relationships/hyperlink" Target="https://www.grasi.in/" TargetMode="External"/><Relationship Id="rId185" Type="http://schemas.openxmlformats.org/officeDocument/2006/relationships/hyperlink" Target="https://www.grasi.in/" TargetMode="External"/><Relationship Id="rId350" Type="http://schemas.openxmlformats.org/officeDocument/2006/relationships/hyperlink" Target="https://www.khuranajewellers.com/" TargetMode="External"/><Relationship Id="rId371" Type="http://schemas.openxmlformats.org/officeDocument/2006/relationships/hyperlink" Target="https://zaveriandco.com/" TargetMode="External"/><Relationship Id="rId406" Type="http://schemas.openxmlformats.org/officeDocument/2006/relationships/hyperlink" Target="https://www.gold.org/" TargetMode="External"/><Relationship Id="rId9" Type="http://schemas.openxmlformats.org/officeDocument/2006/relationships/hyperlink" Target="https://www.scsindustrialsolutions.com/" TargetMode="External"/><Relationship Id="rId210" Type="http://schemas.openxmlformats.org/officeDocument/2006/relationships/hyperlink" Target="http://www.navkarfurnishing.in/" TargetMode="External"/><Relationship Id="rId392" Type="http://schemas.openxmlformats.org/officeDocument/2006/relationships/hyperlink" Target="https://www.jawharajewellery.com/" TargetMode="External"/><Relationship Id="rId427" Type="http://schemas.openxmlformats.org/officeDocument/2006/relationships/hyperlink" Target="https://www.ejindia.com/" TargetMode="External"/><Relationship Id="rId448" Type="http://schemas.openxmlformats.org/officeDocument/2006/relationships/hyperlink" Target="https://www.opc.co.in/" TargetMode="External"/><Relationship Id="rId26" Type="http://schemas.openxmlformats.org/officeDocument/2006/relationships/hyperlink" Target="https://njdigit.com/" TargetMode="External"/><Relationship Id="rId231" Type="http://schemas.openxmlformats.org/officeDocument/2006/relationships/hyperlink" Target="https://cskrishnap.com/" TargetMode="External"/><Relationship Id="rId252" Type="http://schemas.openxmlformats.org/officeDocument/2006/relationships/hyperlink" Target="https://khushhnmkkaranjia.com/" TargetMode="External"/><Relationship Id="rId273" Type="http://schemas.openxmlformats.org/officeDocument/2006/relationships/hyperlink" Target="https://www.bajajcapital.com/" TargetMode="External"/><Relationship Id="rId294" Type="http://schemas.openxmlformats.org/officeDocument/2006/relationships/hyperlink" Target="https://www.bajajcapital.com/" TargetMode="External"/><Relationship Id="rId308" Type="http://schemas.openxmlformats.org/officeDocument/2006/relationships/hyperlink" Target="https://www.abjewels.com/" TargetMode="External"/><Relationship Id="rId329" Type="http://schemas.openxmlformats.org/officeDocument/2006/relationships/hyperlink" Target="https://chosen.co.in/" TargetMode="External"/><Relationship Id="rId47" Type="http://schemas.openxmlformats.org/officeDocument/2006/relationships/hyperlink" Target="https://www.piparasancheti.com/" TargetMode="External"/><Relationship Id="rId68" Type="http://schemas.openxmlformats.org/officeDocument/2006/relationships/hyperlink" Target="https://getsetplayevents.com/" TargetMode="External"/><Relationship Id="rId89" Type="http://schemas.openxmlformats.org/officeDocument/2006/relationships/hyperlink" Target="https://turtledownunder.com.au/" TargetMode="External"/><Relationship Id="rId112" Type="http://schemas.openxmlformats.org/officeDocument/2006/relationships/hyperlink" Target="https://www.kothariinvestments.com/" TargetMode="External"/><Relationship Id="rId133" Type="http://schemas.openxmlformats.org/officeDocument/2006/relationships/hyperlink" Target="https://www.grasi.in/" TargetMode="External"/><Relationship Id="rId154" Type="http://schemas.openxmlformats.org/officeDocument/2006/relationships/hyperlink" Target="https://www.grasi.in/" TargetMode="External"/><Relationship Id="rId175" Type="http://schemas.openxmlformats.org/officeDocument/2006/relationships/hyperlink" Target="https://www.grasi.in/" TargetMode="External"/><Relationship Id="rId340" Type="http://schemas.openxmlformats.org/officeDocument/2006/relationships/hyperlink" Target="http://www.manoharlal.com/" TargetMode="External"/><Relationship Id="rId361" Type="http://schemas.openxmlformats.org/officeDocument/2006/relationships/hyperlink" Target="https://kamajewelry.com/" TargetMode="External"/><Relationship Id="rId196" Type="http://schemas.openxmlformats.org/officeDocument/2006/relationships/hyperlink" Target="https://www.grasi.in/" TargetMode="External"/><Relationship Id="rId200" Type="http://schemas.openxmlformats.org/officeDocument/2006/relationships/hyperlink" Target="https://www.grasi.in/" TargetMode="External"/><Relationship Id="rId382" Type="http://schemas.openxmlformats.org/officeDocument/2006/relationships/hyperlink" Target="https://www.hsj.co.in/" TargetMode="External"/><Relationship Id="rId417" Type="http://schemas.openxmlformats.org/officeDocument/2006/relationships/hyperlink" Target="https://www.pngjewellers.com/" TargetMode="External"/><Relationship Id="rId438" Type="http://schemas.openxmlformats.org/officeDocument/2006/relationships/hyperlink" Target="https://just-feel-555523.framer.app/" TargetMode="External"/><Relationship Id="rId459" Type="http://schemas.openxmlformats.org/officeDocument/2006/relationships/hyperlink" Target="https://madhavbaug.org/" TargetMode="External"/><Relationship Id="rId16" Type="http://schemas.openxmlformats.org/officeDocument/2006/relationships/hyperlink" Target="https://www.vasupati.com/" TargetMode="External"/><Relationship Id="rId221" Type="http://schemas.openxmlformats.org/officeDocument/2006/relationships/hyperlink" Target="https://www.critontech.com/" TargetMode="External"/><Relationship Id="rId242" Type="http://schemas.openxmlformats.org/officeDocument/2006/relationships/hyperlink" Target="http://www.jmbrand.in/" TargetMode="External"/><Relationship Id="rId263" Type="http://schemas.openxmlformats.org/officeDocument/2006/relationships/hyperlink" Target="https://simonesalon.in/" TargetMode="External"/><Relationship Id="rId284" Type="http://schemas.openxmlformats.org/officeDocument/2006/relationships/hyperlink" Target="https://www.bajajcapital.com/" TargetMode="External"/><Relationship Id="rId319" Type="http://schemas.openxmlformats.org/officeDocument/2006/relationships/hyperlink" Target="https://www.dpjewellers.com/" TargetMode="External"/><Relationship Id="rId37" Type="http://schemas.openxmlformats.org/officeDocument/2006/relationships/hyperlink" Target="https://chandorkarandassociates.in/" TargetMode="External"/><Relationship Id="rId58" Type="http://schemas.openxmlformats.org/officeDocument/2006/relationships/hyperlink" Target="https://www.cosmichealings.in/" TargetMode="External"/><Relationship Id="rId79" Type="http://schemas.openxmlformats.org/officeDocument/2006/relationships/hyperlink" Target="https://www.ashishlifescience.com/" TargetMode="External"/><Relationship Id="rId102" Type="http://schemas.openxmlformats.org/officeDocument/2006/relationships/hyperlink" Target="https://www.thetapegaasi.com/" TargetMode="External"/><Relationship Id="rId123" Type="http://schemas.openxmlformats.org/officeDocument/2006/relationships/hyperlink" Target="https://corduroy.in/" TargetMode="External"/><Relationship Id="rId144" Type="http://schemas.openxmlformats.org/officeDocument/2006/relationships/hyperlink" Target="https://www.grasi.in/" TargetMode="External"/><Relationship Id="rId330" Type="http://schemas.openxmlformats.org/officeDocument/2006/relationships/hyperlink" Target="https://chosen.co.in/" TargetMode="External"/><Relationship Id="rId90" Type="http://schemas.openxmlformats.org/officeDocument/2006/relationships/hyperlink" Target="https://turtledownunder.com.au/" TargetMode="External"/><Relationship Id="rId165" Type="http://schemas.openxmlformats.org/officeDocument/2006/relationships/hyperlink" Target="https://www.grasi.in/" TargetMode="External"/><Relationship Id="rId186" Type="http://schemas.openxmlformats.org/officeDocument/2006/relationships/hyperlink" Target="https://www.grasi.in/" TargetMode="External"/><Relationship Id="rId351" Type="http://schemas.openxmlformats.org/officeDocument/2006/relationships/hyperlink" Target="https://www.khuranajewellers.com/" TargetMode="External"/><Relationship Id="rId372" Type="http://schemas.openxmlformats.org/officeDocument/2006/relationships/hyperlink" Target="https://zaveriandco.com/" TargetMode="External"/><Relationship Id="rId393" Type="http://schemas.openxmlformats.org/officeDocument/2006/relationships/hyperlink" Target="https://www.jawharajewellery.com/" TargetMode="External"/><Relationship Id="rId407" Type="http://schemas.openxmlformats.org/officeDocument/2006/relationships/hyperlink" Target="https://www.gold.org/" TargetMode="External"/><Relationship Id="rId428" Type="http://schemas.openxmlformats.org/officeDocument/2006/relationships/hyperlink" Target="https://www.ejindia.com/" TargetMode="External"/><Relationship Id="rId449" Type="http://schemas.openxmlformats.org/officeDocument/2006/relationships/hyperlink" Target="https://atozservices.info/" TargetMode="External"/><Relationship Id="rId211" Type="http://schemas.openxmlformats.org/officeDocument/2006/relationships/hyperlink" Target="http://www.kanchbazaar.com/" TargetMode="External"/><Relationship Id="rId232" Type="http://schemas.openxmlformats.org/officeDocument/2006/relationships/hyperlink" Target="https://maps.app.goo.gl/ZJc7QALyDCkDhMH76" TargetMode="External"/><Relationship Id="rId253" Type="http://schemas.openxmlformats.org/officeDocument/2006/relationships/hyperlink" Target="https://tap-savvy.com/" TargetMode="External"/><Relationship Id="rId274" Type="http://schemas.openxmlformats.org/officeDocument/2006/relationships/hyperlink" Target="https://www.bajajcapital.com/" TargetMode="External"/><Relationship Id="rId295" Type="http://schemas.openxmlformats.org/officeDocument/2006/relationships/hyperlink" Target="https://www.bajajcapital.com/" TargetMode="External"/><Relationship Id="rId309" Type="http://schemas.openxmlformats.org/officeDocument/2006/relationships/hyperlink" Target="https://www.bholasons.com/" TargetMode="External"/><Relationship Id="rId460" Type="http://schemas.openxmlformats.org/officeDocument/2006/relationships/hyperlink" Target="https://goo.gl/maps/5f4U2rFq2ARt1WVC8" TargetMode="External"/><Relationship Id="rId27" Type="http://schemas.openxmlformats.org/officeDocument/2006/relationships/hyperlink" Target="https://www.saviesahome.com/" TargetMode="External"/><Relationship Id="rId48" Type="http://schemas.openxmlformats.org/officeDocument/2006/relationships/hyperlink" Target="https://papercurrency.in/" TargetMode="External"/><Relationship Id="rId69" Type="http://schemas.openxmlformats.org/officeDocument/2006/relationships/hyperlink" Target="https://www.giftam.com/" TargetMode="External"/><Relationship Id="rId113" Type="http://schemas.openxmlformats.org/officeDocument/2006/relationships/hyperlink" Target="https://www.esstyle.in/" TargetMode="External"/><Relationship Id="rId134" Type="http://schemas.openxmlformats.org/officeDocument/2006/relationships/hyperlink" Target="https://www.grasi.in/" TargetMode="External"/><Relationship Id="rId320" Type="http://schemas.openxmlformats.org/officeDocument/2006/relationships/hyperlink" Target="https://www.dpjewellers.com/" TargetMode="External"/><Relationship Id="rId80" Type="http://schemas.openxmlformats.org/officeDocument/2006/relationships/hyperlink" Target="https://www.ashishlifescience.com/" TargetMode="External"/><Relationship Id="rId155" Type="http://schemas.openxmlformats.org/officeDocument/2006/relationships/hyperlink" Target="https://www.grasi.in/" TargetMode="External"/><Relationship Id="rId176" Type="http://schemas.openxmlformats.org/officeDocument/2006/relationships/hyperlink" Target="https://www.grasi.in/" TargetMode="External"/><Relationship Id="rId197" Type="http://schemas.openxmlformats.org/officeDocument/2006/relationships/hyperlink" Target="https://www.grasi.in/" TargetMode="External"/><Relationship Id="rId341" Type="http://schemas.openxmlformats.org/officeDocument/2006/relationships/hyperlink" Target="http://www.manoharlal.com/" TargetMode="External"/><Relationship Id="rId362" Type="http://schemas.openxmlformats.org/officeDocument/2006/relationships/hyperlink" Target="https://www.batukbhai.com/" TargetMode="External"/><Relationship Id="rId383" Type="http://schemas.openxmlformats.org/officeDocument/2006/relationships/hyperlink" Target="https://www.tbztheoriginal.com/" TargetMode="External"/><Relationship Id="rId418" Type="http://schemas.openxmlformats.org/officeDocument/2006/relationships/hyperlink" Target="https://www.pngjewellers.com/" TargetMode="External"/><Relationship Id="rId439" Type="http://schemas.openxmlformats.org/officeDocument/2006/relationships/hyperlink" Target="https://www.google.com/maps/place/Kanchi+%2F+Vibologist/@18.9934854,72.8510766,20.56z/data=!4m6!3m5!1s0x3be7ceffad2203e7:0xfa4f02b4a5ffd4bd!8m2!3d18.9934925!4d72.8511314!16s%2Fg%2F1tcyq9b9?entry=ttu&amp;g_ep=EgoyMDI1MDEwOC4wIKXMDSoASAFQAw%3D%3D" TargetMode="External"/><Relationship Id="rId201" Type="http://schemas.openxmlformats.org/officeDocument/2006/relationships/hyperlink" Target="https://www.smileworlddental.in/" TargetMode="External"/><Relationship Id="rId222" Type="http://schemas.openxmlformats.org/officeDocument/2006/relationships/hyperlink" Target="https://g.co/kgs/hQRPkUa" TargetMode="External"/><Relationship Id="rId243" Type="http://schemas.openxmlformats.org/officeDocument/2006/relationships/hyperlink" Target="http://maps.app.goo.gl/yApka6dRTpWdanPG9?g_st=ic" TargetMode="External"/><Relationship Id="rId264" Type="http://schemas.openxmlformats.org/officeDocument/2006/relationships/hyperlink" Target="https://3cheersads.com/index.php" TargetMode="External"/><Relationship Id="rId285" Type="http://schemas.openxmlformats.org/officeDocument/2006/relationships/hyperlink" Target="https://www.bajajcapital.com/" TargetMode="External"/><Relationship Id="rId450" Type="http://schemas.openxmlformats.org/officeDocument/2006/relationships/hyperlink" Target="https://salonikothari.in/" TargetMode="External"/><Relationship Id="rId17" Type="http://schemas.openxmlformats.org/officeDocument/2006/relationships/hyperlink" Target="https://cosmosaircon.com/" TargetMode="External"/><Relationship Id="rId38" Type="http://schemas.openxmlformats.org/officeDocument/2006/relationships/hyperlink" Target="https://www.sheetalmouthfreshners.in/" TargetMode="External"/><Relationship Id="rId59" Type="http://schemas.openxmlformats.org/officeDocument/2006/relationships/hyperlink" Target="https://www.nikitaasearthborn.com/" TargetMode="External"/><Relationship Id="rId103" Type="http://schemas.openxmlformats.org/officeDocument/2006/relationships/hyperlink" Target="https://www.lizardsskintattoos.com/" TargetMode="External"/><Relationship Id="rId124" Type="http://schemas.openxmlformats.org/officeDocument/2006/relationships/hyperlink" Target="https://www.syntheticmolecules.com/" TargetMode="External"/><Relationship Id="rId310" Type="http://schemas.openxmlformats.org/officeDocument/2006/relationships/hyperlink" Target="https://www.blhissaria.com/" TargetMode="External"/><Relationship Id="rId70" Type="http://schemas.openxmlformats.org/officeDocument/2006/relationships/hyperlink" Target="https://www.ashishlifescience.com/" TargetMode="External"/><Relationship Id="rId91" Type="http://schemas.openxmlformats.org/officeDocument/2006/relationships/hyperlink" Target="https://turtledownunder.com.au/" TargetMode="External"/><Relationship Id="rId145" Type="http://schemas.openxmlformats.org/officeDocument/2006/relationships/hyperlink" Target="https://www.grasi.in/" TargetMode="External"/><Relationship Id="rId166" Type="http://schemas.openxmlformats.org/officeDocument/2006/relationships/hyperlink" Target="https://www.grasi.in/" TargetMode="External"/><Relationship Id="rId187" Type="http://schemas.openxmlformats.org/officeDocument/2006/relationships/hyperlink" Target="https://www.grasi.in/" TargetMode="External"/><Relationship Id="rId331" Type="http://schemas.openxmlformats.org/officeDocument/2006/relationships/hyperlink" Target="https://rankajewellers.in/" TargetMode="External"/><Relationship Id="rId352" Type="http://schemas.openxmlformats.org/officeDocument/2006/relationships/hyperlink" Target="https://www.khuranajewellers.com/" TargetMode="External"/><Relationship Id="rId373" Type="http://schemas.openxmlformats.org/officeDocument/2006/relationships/hyperlink" Target="https://zaveriandco.com/" TargetMode="External"/><Relationship Id="rId394" Type="http://schemas.openxmlformats.org/officeDocument/2006/relationships/hyperlink" Target="https://www.jawharajewellery.com/" TargetMode="External"/><Relationship Id="rId408" Type="http://schemas.openxmlformats.org/officeDocument/2006/relationships/hyperlink" Target="https://www.gold.org/" TargetMode="External"/><Relationship Id="rId429" Type="http://schemas.openxmlformats.org/officeDocument/2006/relationships/hyperlink" Target="https://www.thebhimajewellery.com/index.php" TargetMode="External"/><Relationship Id="rId1" Type="http://schemas.openxmlformats.org/officeDocument/2006/relationships/hyperlink" Target="http://sr.no/" TargetMode="External"/><Relationship Id="rId212" Type="http://schemas.openxmlformats.org/officeDocument/2006/relationships/hyperlink" Target="http://www.swastikindustries.org/" TargetMode="External"/><Relationship Id="rId233" Type="http://schemas.openxmlformats.org/officeDocument/2006/relationships/hyperlink" Target="http://tryskinthirst.com/" TargetMode="External"/><Relationship Id="rId254" Type="http://schemas.openxmlformats.org/officeDocument/2006/relationships/hyperlink" Target="https://www.google.com/maps/place/Citi+Mall/@19.1386235,72.8314387,15z/data=!4m6!3m5!1s0x3be7b63cd0ce884f:0x5a3f9df6a2063fc5!8m2!3d19.1386235!4d72.8314387!16s%2Fg%2F11bz_0d2_n?entry=ttu&amp;g_ep=EgoyMDI0MTAxNi4wIKXMDSoASAFQAw%3D%3D" TargetMode="External"/><Relationship Id="rId440" Type="http://schemas.openxmlformats.org/officeDocument/2006/relationships/hyperlink" Target="https://www.kvar.design/" TargetMode="External"/><Relationship Id="rId28" Type="http://schemas.openxmlformats.org/officeDocument/2006/relationships/hyperlink" Target="https://pestreliefservices.com/" TargetMode="External"/><Relationship Id="rId49" Type="http://schemas.openxmlformats.org/officeDocument/2006/relationships/hyperlink" Target="https://goo.gl/maps/5f4U2rFq2ARt1WVC8" TargetMode="External"/><Relationship Id="rId114" Type="http://schemas.openxmlformats.org/officeDocument/2006/relationships/hyperlink" Target="https://www.creativellp.com/" TargetMode="External"/><Relationship Id="rId275" Type="http://schemas.openxmlformats.org/officeDocument/2006/relationships/hyperlink" Target="https://www.bajajcapital.com/" TargetMode="External"/><Relationship Id="rId296" Type="http://schemas.openxmlformats.org/officeDocument/2006/relationships/hyperlink" Target="https://www.bajajcapital.com/" TargetMode="External"/><Relationship Id="rId300" Type="http://schemas.openxmlformats.org/officeDocument/2006/relationships/hyperlink" Target="https://www.bajajcapital.com/" TargetMode="External"/><Relationship Id="rId461" Type="http://schemas.openxmlformats.org/officeDocument/2006/relationships/hyperlink" Target="https://corduroy.in/" TargetMode="External"/><Relationship Id="rId60" Type="http://schemas.openxmlformats.org/officeDocument/2006/relationships/hyperlink" Target="https://www.datamatics.com/" TargetMode="External"/><Relationship Id="rId81" Type="http://schemas.openxmlformats.org/officeDocument/2006/relationships/hyperlink" Target="https://www.ashishlifescience.com/" TargetMode="External"/><Relationship Id="rId135" Type="http://schemas.openxmlformats.org/officeDocument/2006/relationships/hyperlink" Target="https://www.grasi.in/" TargetMode="External"/><Relationship Id="rId156" Type="http://schemas.openxmlformats.org/officeDocument/2006/relationships/hyperlink" Target="https://www.grasi.in/" TargetMode="External"/><Relationship Id="rId177" Type="http://schemas.openxmlformats.org/officeDocument/2006/relationships/hyperlink" Target="https://www.grasi.in/" TargetMode="External"/><Relationship Id="rId198" Type="http://schemas.openxmlformats.org/officeDocument/2006/relationships/hyperlink" Target="https://www.grasi.in/" TargetMode="External"/><Relationship Id="rId321" Type="http://schemas.openxmlformats.org/officeDocument/2006/relationships/hyperlink" Target="https://www.motisonsjewellers.com/" TargetMode="External"/><Relationship Id="rId342" Type="http://schemas.openxmlformats.org/officeDocument/2006/relationships/hyperlink" Target="https://www.rokdejeweller.com/" TargetMode="External"/><Relationship Id="rId363" Type="http://schemas.openxmlformats.org/officeDocument/2006/relationships/hyperlink" Target="https://www.batukbhai.com/" TargetMode="External"/><Relationship Id="rId384" Type="http://schemas.openxmlformats.org/officeDocument/2006/relationships/hyperlink" Target="https://www.tbztheoriginal.com/" TargetMode="External"/><Relationship Id="rId419" Type="http://schemas.openxmlformats.org/officeDocument/2006/relationships/hyperlink" Target="https://navrathan.com/" TargetMode="External"/><Relationship Id="rId202" Type="http://schemas.openxmlformats.org/officeDocument/2006/relationships/hyperlink" Target="http://www.saffronhr.com/" TargetMode="External"/><Relationship Id="rId223" Type="http://schemas.openxmlformats.org/officeDocument/2006/relationships/hyperlink" Target="https://dentocares.com/" TargetMode="External"/><Relationship Id="rId244" Type="http://schemas.openxmlformats.org/officeDocument/2006/relationships/hyperlink" Target="http://www.mockingbird.co.in/" TargetMode="External"/><Relationship Id="rId430" Type="http://schemas.openxmlformats.org/officeDocument/2006/relationships/hyperlink" Target="https://www.bholasons.com/" TargetMode="External"/><Relationship Id="rId18" Type="http://schemas.openxmlformats.org/officeDocument/2006/relationships/hyperlink" Target="https://www.primeindiainternational.com/" TargetMode="External"/><Relationship Id="rId39" Type="http://schemas.openxmlformats.org/officeDocument/2006/relationships/hyperlink" Target="https://www.davandco.com/" TargetMode="External"/><Relationship Id="rId265" Type="http://schemas.openxmlformats.org/officeDocument/2006/relationships/hyperlink" Target="https://pestreliefservices.com/" TargetMode="External"/><Relationship Id="rId286" Type="http://schemas.openxmlformats.org/officeDocument/2006/relationships/hyperlink" Target="https://www.bajajcapital.com/" TargetMode="External"/><Relationship Id="rId451" Type="http://schemas.openxmlformats.org/officeDocument/2006/relationships/hyperlink" Target="https://g.co/kgs/HJfFXcs" TargetMode="External"/><Relationship Id="rId50" Type="http://schemas.openxmlformats.org/officeDocument/2006/relationships/hyperlink" Target="https://corduroy.in/" TargetMode="External"/><Relationship Id="rId104" Type="http://schemas.openxmlformats.org/officeDocument/2006/relationships/hyperlink" Target="https://sucharita.in/" TargetMode="External"/><Relationship Id="rId125" Type="http://schemas.openxmlformats.org/officeDocument/2006/relationships/hyperlink" Target="https://g.co/kgs/6rtQjNp" TargetMode="External"/><Relationship Id="rId146" Type="http://schemas.openxmlformats.org/officeDocument/2006/relationships/hyperlink" Target="https://www.grasi.in/" TargetMode="External"/><Relationship Id="rId167" Type="http://schemas.openxmlformats.org/officeDocument/2006/relationships/hyperlink" Target="https://www.grasi.in/" TargetMode="External"/><Relationship Id="rId188" Type="http://schemas.openxmlformats.org/officeDocument/2006/relationships/hyperlink" Target="https://www.grasi.in/" TargetMode="External"/><Relationship Id="rId311" Type="http://schemas.openxmlformats.org/officeDocument/2006/relationships/hyperlink" Target="https://www.blhissaria.com/" TargetMode="External"/><Relationship Id="rId332" Type="http://schemas.openxmlformats.org/officeDocument/2006/relationships/hyperlink" Target="http://www.manikchandjewellers.com/" TargetMode="External"/><Relationship Id="rId353" Type="http://schemas.openxmlformats.org/officeDocument/2006/relationships/hyperlink" Target="https://www.josalukkasonline.com/" TargetMode="External"/><Relationship Id="rId374" Type="http://schemas.openxmlformats.org/officeDocument/2006/relationships/hyperlink" Target="https://rankajewellers.in/" TargetMode="External"/><Relationship Id="rId395" Type="http://schemas.openxmlformats.org/officeDocument/2006/relationships/hyperlink" Target="https://www.jawharajewellery.com/" TargetMode="External"/><Relationship Id="rId409" Type="http://schemas.openxmlformats.org/officeDocument/2006/relationships/hyperlink" Target="https://www.debeers.co.uk/en-gb/home" TargetMode="External"/><Relationship Id="rId71" Type="http://schemas.openxmlformats.org/officeDocument/2006/relationships/hyperlink" Target="https://www.ashishlifescience.com/" TargetMode="External"/><Relationship Id="rId92" Type="http://schemas.openxmlformats.org/officeDocument/2006/relationships/hyperlink" Target="https://www.stalwartplugnplay.com/" TargetMode="External"/><Relationship Id="rId213" Type="http://schemas.openxmlformats.org/officeDocument/2006/relationships/hyperlink" Target="https://wa.me/c/917977239342" TargetMode="External"/><Relationship Id="rId234" Type="http://schemas.openxmlformats.org/officeDocument/2006/relationships/hyperlink" Target="https://www.monaliscouture.com/" TargetMode="External"/><Relationship Id="rId420" Type="http://schemas.openxmlformats.org/officeDocument/2006/relationships/hyperlink" Target="https://navrathan.com/" TargetMode="External"/><Relationship Id="rId2" Type="http://schemas.openxmlformats.org/officeDocument/2006/relationships/hyperlink" Target="https://www.azbpartners.com/" TargetMode="External"/><Relationship Id="rId29" Type="http://schemas.openxmlformats.org/officeDocument/2006/relationships/hyperlink" Target="https://www.chemtronicsindia.com/" TargetMode="External"/><Relationship Id="rId255" Type="http://schemas.openxmlformats.org/officeDocument/2006/relationships/hyperlink" Target="http://www.samrutholidays.com/" TargetMode="External"/><Relationship Id="rId276" Type="http://schemas.openxmlformats.org/officeDocument/2006/relationships/hyperlink" Target="https://www.bajajcapital.com/" TargetMode="External"/><Relationship Id="rId297" Type="http://schemas.openxmlformats.org/officeDocument/2006/relationships/hyperlink" Target="https://www.bajajcapital.com/" TargetMode="External"/><Relationship Id="rId441" Type="http://schemas.openxmlformats.org/officeDocument/2006/relationships/hyperlink" Target="https://www.google.com/maps/place/Kanchi+by+Shobhna+and+Kunal+Mehta+%7C+Interior+Stylist+%26+Furnishing/@19.146372,73.0079412,19.04z/data=!4m6!3m5!1s0x3be7c0aaffffffff:0xc118683b4a463229!8m2!3d19.1464003!4d73.0080869!16s%2Fg%2F1tfzqcvb?entry=ttu&amp;g_ep=Egoy" TargetMode="External"/><Relationship Id="rId462" Type="http://schemas.openxmlformats.org/officeDocument/2006/relationships/table" Target="../tables/table31.xml"/><Relationship Id="rId40" Type="http://schemas.openxmlformats.org/officeDocument/2006/relationships/hyperlink" Target="https://mockingbird.co.in/" TargetMode="External"/><Relationship Id="rId115" Type="http://schemas.openxmlformats.org/officeDocument/2006/relationships/hyperlink" Target="https://www.creativellp.com/" TargetMode="External"/><Relationship Id="rId136" Type="http://schemas.openxmlformats.org/officeDocument/2006/relationships/hyperlink" Target="https://www.grasi.in/" TargetMode="External"/><Relationship Id="rId157" Type="http://schemas.openxmlformats.org/officeDocument/2006/relationships/hyperlink" Target="https://www.grasi.in/" TargetMode="External"/><Relationship Id="rId178" Type="http://schemas.openxmlformats.org/officeDocument/2006/relationships/hyperlink" Target="https://www.grasi.in/" TargetMode="External"/><Relationship Id="rId301" Type="http://schemas.openxmlformats.org/officeDocument/2006/relationships/hyperlink" Target="https://www.bajajcapital.com/" TargetMode="External"/><Relationship Id="rId322" Type="http://schemas.openxmlformats.org/officeDocument/2006/relationships/hyperlink" Target="https://www.motisonsjewellers.com/" TargetMode="External"/><Relationship Id="rId343" Type="http://schemas.openxmlformats.org/officeDocument/2006/relationships/hyperlink" Target="https://www.rokdejeweller.com/" TargetMode="External"/><Relationship Id="rId364" Type="http://schemas.openxmlformats.org/officeDocument/2006/relationships/hyperlink" Target="https://www.batukbhai.com/" TargetMode="External"/><Relationship Id="rId61" Type="http://schemas.openxmlformats.org/officeDocument/2006/relationships/hyperlink" Target="https://www.seventeenevents.com/" TargetMode="External"/><Relationship Id="rId82" Type="http://schemas.openxmlformats.org/officeDocument/2006/relationships/hyperlink" Target="https://www.ashishlifescience.com/" TargetMode="External"/><Relationship Id="rId199" Type="http://schemas.openxmlformats.org/officeDocument/2006/relationships/hyperlink" Target="https://www.grasi.in/" TargetMode="External"/><Relationship Id="rId203" Type="http://schemas.openxmlformats.org/officeDocument/2006/relationships/hyperlink" Target="https://www.yellowdot.in/" TargetMode="External"/><Relationship Id="rId385" Type="http://schemas.openxmlformats.org/officeDocument/2006/relationships/hyperlink" Target="https://www.tbztheoriginal.com/" TargetMode="External"/><Relationship Id="rId19" Type="http://schemas.openxmlformats.org/officeDocument/2006/relationships/hyperlink" Target="https://corduroy.in/" TargetMode="External"/><Relationship Id="rId224" Type="http://schemas.openxmlformats.org/officeDocument/2006/relationships/hyperlink" Target="http://www.innexus.in/" TargetMode="External"/><Relationship Id="rId245" Type="http://schemas.openxmlformats.org/officeDocument/2006/relationships/hyperlink" Target="https://maps.app.goo.gl/UuaXdAPah7B4FRKE9?g_st=com.google.maps.preview.copy" TargetMode="External"/><Relationship Id="rId266" Type="http://schemas.openxmlformats.org/officeDocument/2006/relationships/hyperlink" Target="https://www.google.com/maps/dir/Shinde+Building,+Shop+No+:1,+Senapati+Bapat+Marg,+Lower+Parel,+Mumbai,+Maharashtra+400013,+India/@18.9974636,72.7445351,12z/data=!3m1!4b1!4m8!4m7!1m0!1m5!1m1!1s0x3be7cef38d80694d:0x6e701b3f3f2d9777!2m2!1d72.8269368!2d18.99" TargetMode="External"/><Relationship Id="rId287" Type="http://schemas.openxmlformats.org/officeDocument/2006/relationships/hyperlink" Target="https://www.bajajcapital.com/" TargetMode="External"/><Relationship Id="rId410" Type="http://schemas.openxmlformats.org/officeDocument/2006/relationships/hyperlink" Target="https://meenajewellers.com/" TargetMode="External"/><Relationship Id="rId431" Type="http://schemas.openxmlformats.org/officeDocument/2006/relationships/hyperlink" Target="https://omjewellers.com/" TargetMode="External"/><Relationship Id="rId452" Type="http://schemas.openxmlformats.org/officeDocument/2006/relationships/hyperlink" Target="https://licindia.in/" TargetMode="External"/><Relationship Id="rId30" Type="http://schemas.openxmlformats.org/officeDocument/2006/relationships/hyperlink" Target="https://propertyservices.net.in/" TargetMode="External"/><Relationship Id="rId105" Type="http://schemas.openxmlformats.org/officeDocument/2006/relationships/hyperlink" Target="https://www.avanstrate.com/english/" TargetMode="External"/><Relationship Id="rId126" Type="http://schemas.openxmlformats.org/officeDocument/2006/relationships/hyperlink" Target="https://www.doshidental.in/" TargetMode="External"/><Relationship Id="rId147" Type="http://schemas.openxmlformats.org/officeDocument/2006/relationships/hyperlink" Target="https://www.grasi.in/" TargetMode="External"/><Relationship Id="rId168" Type="http://schemas.openxmlformats.org/officeDocument/2006/relationships/hyperlink" Target="https://www.grasi.in/" TargetMode="External"/><Relationship Id="rId312" Type="http://schemas.openxmlformats.org/officeDocument/2006/relationships/hyperlink" Target="https://avrswarnamahal.com/" TargetMode="External"/><Relationship Id="rId333" Type="http://schemas.openxmlformats.org/officeDocument/2006/relationships/hyperlink" Target="https://www.hirapannajewellers.com/" TargetMode="External"/><Relationship Id="rId354" Type="http://schemas.openxmlformats.org/officeDocument/2006/relationships/hyperlink" Target="https://www.josalukkasonline.com/" TargetMode="External"/><Relationship Id="rId51" Type="http://schemas.openxmlformats.org/officeDocument/2006/relationships/hyperlink" Target="https://www.thegamedrive.com/" TargetMode="External"/><Relationship Id="rId72" Type="http://schemas.openxmlformats.org/officeDocument/2006/relationships/hyperlink" Target="https://www.ashishlifescience.com/" TargetMode="External"/><Relationship Id="rId93" Type="http://schemas.openxmlformats.org/officeDocument/2006/relationships/hyperlink" Target="https://www.stalwartmanagement.com/" TargetMode="External"/><Relationship Id="rId189" Type="http://schemas.openxmlformats.org/officeDocument/2006/relationships/hyperlink" Target="https://www.grasi.in/" TargetMode="External"/><Relationship Id="rId375" Type="http://schemas.openxmlformats.org/officeDocument/2006/relationships/hyperlink" Target="https://rankajewellers.in/" TargetMode="External"/><Relationship Id="rId396" Type="http://schemas.openxmlformats.org/officeDocument/2006/relationships/hyperlink" Target="https://navrathan.com/" TargetMode="External"/><Relationship Id="rId3" Type="http://schemas.openxmlformats.org/officeDocument/2006/relationships/hyperlink" Target="https://www.azbpartners.com/" TargetMode="External"/><Relationship Id="rId214" Type="http://schemas.openxmlformats.org/officeDocument/2006/relationships/hyperlink" Target="http://www.pearltravels.in/" TargetMode="External"/><Relationship Id="rId235" Type="http://schemas.openxmlformats.org/officeDocument/2006/relationships/hyperlink" Target="http://www.innoventaircon.com/" TargetMode="External"/><Relationship Id="rId256" Type="http://schemas.openxmlformats.org/officeDocument/2006/relationships/hyperlink" Target="https://eskayconstruction.in/" TargetMode="External"/><Relationship Id="rId277" Type="http://schemas.openxmlformats.org/officeDocument/2006/relationships/hyperlink" Target="https://www.bajajcapital.com/" TargetMode="External"/><Relationship Id="rId298" Type="http://schemas.openxmlformats.org/officeDocument/2006/relationships/hyperlink" Target="https://www.bajajcapital.com/" TargetMode="External"/><Relationship Id="rId400" Type="http://schemas.openxmlformats.org/officeDocument/2006/relationships/hyperlink" Target="https://www.malabargoldanddiamonds.com/" TargetMode="External"/><Relationship Id="rId421" Type="http://schemas.openxmlformats.org/officeDocument/2006/relationships/hyperlink" Target="https://aisshpra.com/" TargetMode="External"/><Relationship Id="rId442" Type="http://schemas.openxmlformats.org/officeDocument/2006/relationships/hyperlink" Target="https://kanchidesigns.com/" TargetMode="External"/><Relationship Id="rId116" Type="http://schemas.openxmlformats.org/officeDocument/2006/relationships/hyperlink" Target="https://www.jmbrand.in/" TargetMode="External"/><Relationship Id="rId137" Type="http://schemas.openxmlformats.org/officeDocument/2006/relationships/hyperlink" Target="https://www.grasi.in/" TargetMode="External"/><Relationship Id="rId158" Type="http://schemas.openxmlformats.org/officeDocument/2006/relationships/hyperlink" Target="https://www.grasi.in/" TargetMode="External"/><Relationship Id="rId302" Type="http://schemas.openxmlformats.org/officeDocument/2006/relationships/hyperlink" Target="https://www.bajajcapital.com/" TargetMode="External"/><Relationship Id="rId323" Type="http://schemas.openxmlformats.org/officeDocument/2006/relationships/hyperlink" Target="https://omjewellers.com/" TargetMode="External"/><Relationship Id="rId344" Type="http://schemas.openxmlformats.org/officeDocument/2006/relationships/hyperlink" Target="https://www.rankajewellers.store/" TargetMode="External"/><Relationship Id="rId20" Type="http://schemas.openxmlformats.org/officeDocument/2006/relationships/hyperlink" Target="https://corduroy.in/" TargetMode="External"/><Relationship Id="rId41" Type="http://schemas.openxmlformats.org/officeDocument/2006/relationships/hyperlink" Target="https://webinsight.in/" TargetMode="External"/><Relationship Id="rId62" Type="http://schemas.openxmlformats.org/officeDocument/2006/relationships/hyperlink" Target="https://www.seventeenevents.com/" TargetMode="External"/><Relationship Id="rId83" Type="http://schemas.openxmlformats.org/officeDocument/2006/relationships/hyperlink" Target="https://www.ashishlifescience.com/" TargetMode="External"/><Relationship Id="rId179" Type="http://schemas.openxmlformats.org/officeDocument/2006/relationships/hyperlink" Target="https://www.grasi.in/" TargetMode="External"/><Relationship Id="rId365" Type="http://schemas.openxmlformats.org/officeDocument/2006/relationships/hyperlink" Target="https://www.batukbhai.com/" TargetMode="External"/><Relationship Id="rId386" Type="http://schemas.openxmlformats.org/officeDocument/2006/relationships/hyperlink" Target="https://talwarsons.com/" TargetMode="External"/><Relationship Id="rId190" Type="http://schemas.openxmlformats.org/officeDocument/2006/relationships/hyperlink" Target="https://www.grasi.in/" TargetMode="External"/><Relationship Id="rId204" Type="http://schemas.openxmlformats.org/officeDocument/2006/relationships/hyperlink" Target="https://instabizfilings.com/" TargetMode="External"/><Relationship Id="rId225" Type="http://schemas.openxmlformats.org/officeDocument/2006/relationships/hyperlink" Target="https://http/www.bluearch.in" TargetMode="External"/><Relationship Id="rId246" Type="http://schemas.openxmlformats.org/officeDocument/2006/relationships/hyperlink" Target="http://www.snhydraulics.in/" TargetMode="External"/><Relationship Id="rId267" Type="http://schemas.openxmlformats.org/officeDocument/2006/relationships/hyperlink" Target="https://sceniccomm.in/" TargetMode="External"/><Relationship Id="rId288" Type="http://schemas.openxmlformats.org/officeDocument/2006/relationships/hyperlink" Target="https://www.bajajcapital.com/" TargetMode="External"/><Relationship Id="rId411" Type="http://schemas.openxmlformats.org/officeDocument/2006/relationships/hyperlink" Target="https://meenajewellers.com/" TargetMode="External"/><Relationship Id="rId432" Type="http://schemas.openxmlformats.org/officeDocument/2006/relationships/hyperlink" Target="https://omjewellers.com/" TargetMode="External"/><Relationship Id="rId453" Type="http://schemas.openxmlformats.org/officeDocument/2006/relationships/hyperlink" Target="https://g.co/kgs/p7tLn4b" TargetMode="External"/><Relationship Id="rId106" Type="http://schemas.openxmlformats.org/officeDocument/2006/relationships/hyperlink" Target="https://www.fundzbazar.com/customisedlinkregistration/7c7723/2364257c7723246c3c7c77235e6d3a246c3c21713d3f6326" TargetMode="External"/><Relationship Id="rId127" Type="http://schemas.openxmlformats.org/officeDocument/2006/relationships/hyperlink" Target="https://leadershipwithdeepa.com/" TargetMode="External"/><Relationship Id="rId313" Type="http://schemas.openxmlformats.org/officeDocument/2006/relationships/hyperlink" Target="https://avrswarnamahal.com/" TargetMode="External"/><Relationship Id="rId10" Type="http://schemas.openxmlformats.org/officeDocument/2006/relationships/hyperlink" Target="https://www.vlitefurnitech.com/" TargetMode="External"/><Relationship Id="rId31" Type="http://schemas.openxmlformats.org/officeDocument/2006/relationships/hyperlink" Target="https://www.nectartreatss.com/" TargetMode="External"/><Relationship Id="rId52" Type="http://schemas.openxmlformats.org/officeDocument/2006/relationships/hyperlink" Target="https://simonesalon.in/" TargetMode="External"/><Relationship Id="rId73" Type="http://schemas.openxmlformats.org/officeDocument/2006/relationships/hyperlink" Target="https://www.ashishlifescience.com/" TargetMode="External"/><Relationship Id="rId94" Type="http://schemas.openxmlformats.org/officeDocument/2006/relationships/hyperlink" Target="https://www.aisshpra.com/" TargetMode="External"/><Relationship Id="rId148" Type="http://schemas.openxmlformats.org/officeDocument/2006/relationships/hyperlink" Target="https://www.grasi.in/" TargetMode="External"/><Relationship Id="rId169" Type="http://schemas.openxmlformats.org/officeDocument/2006/relationships/hyperlink" Target="https://www.grasi.in/" TargetMode="External"/><Relationship Id="rId334" Type="http://schemas.openxmlformats.org/officeDocument/2006/relationships/hyperlink" Target="https://tallajewellers.in/" TargetMode="External"/><Relationship Id="rId355" Type="http://schemas.openxmlformats.org/officeDocument/2006/relationships/hyperlink" Target="https://www.josalukkasonline.com/" TargetMode="External"/><Relationship Id="rId376" Type="http://schemas.openxmlformats.org/officeDocument/2006/relationships/hyperlink" Target="https://rankajewellers.in/" TargetMode="External"/><Relationship Id="rId397" Type="http://schemas.openxmlformats.org/officeDocument/2006/relationships/hyperlink" Target="https://www.malabargoldanddiamonds.com/" TargetMode="External"/><Relationship Id="rId4" Type="http://schemas.openxmlformats.org/officeDocument/2006/relationships/hyperlink" Target="https://atozservices.info/" TargetMode="External"/><Relationship Id="rId180" Type="http://schemas.openxmlformats.org/officeDocument/2006/relationships/hyperlink" Target="https://www.grasi.in/" TargetMode="External"/><Relationship Id="rId215" Type="http://schemas.openxmlformats.org/officeDocument/2006/relationships/hyperlink" Target="https://www.citrines.online/" TargetMode="External"/><Relationship Id="rId236" Type="http://schemas.openxmlformats.org/officeDocument/2006/relationships/hyperlink" Target="https://g.co/kgs/35X9waj" TargetMode="External"/><Relationship Id="rId257" Type="http://schemas.openxmlformats.org/officeDocument/2006/relationships/hyperlink" Target="http://www.piparasancheti.com/" TargetMode="External"/><Relationship Id="rId278" Type="http://schemas.openxmlformats.org/officeDocument/2006/relationships/hyperlink" Target="https://www.bajajcapital.com/" TargetMode="External"/><Relationship Id="rId401" Type="http://schemas.openxmlformats.org/officeDocument/2006/relationships/hyperlink" Target="https://www.malabargoldanddiamonds.com/" TargetMode="External"/><Relationship Id="rId422" Type="http://schemas.openxmlformats.org/officeDocument/2006/relationships/hyperlink" Target="https://aisshpra.com/" TargetMode="External"/><Relationship Id="rId443" Type="http://schemas.openxmlformats.org/officeDocument/2006/relationships/hyperlink" Target="https://www.grasi.in/" TargetMode="External"/><Relationship Id="rId303" Type="http://schemas.openxmlformats.org/officeDocument/2006/relationships/hyperlink" Target="https://www.bajajcapital.com/" TargetMode="External"/><Relationship Id="rId42" Type="http://schemas.openxmlformats.org/officeDocument/2006/relationships/hyperlink" Target="https://nsrm.ae/" TargetMode="External"/><Relationship Id="rId84" Type="http://schemas.openxmlformats.org/officeDocument/2006/relationships/hyperlink" Target="https://www.ashishlifescience.com/" TargetMode="External"/><Relationship Id="rId138" Type="http://schemas.openxmlformats.org/officeDocument/2006/relationships/hyperlink" Target="https://www.grasi.in/" TargetMode="External"/><Relationship Id="rId345" Type="http://schemas.openxmlformats.org/officeDocument/2006/relationships/hyperlink" Target="https://www.metalsfocus.com/" TargetMode="External"/><Relationship Id="rId387" Type="http://schemas.openxmlformats.org/officeDocument/2006/relationships/hyperlink" Target="https://talwarsons.com/" TargetMode="External"/><Relationship Id="rId191" Type="http://schemas.openxmlformats.org/officeDocument/2006/relationships/hyperlink" Target="https://www.grasi.in/" TargetMode="External"/><Relationship Id="rId205" Type="http://schemas.openxmlformats.org/officeDocument/2006/relationships/hyperlink" Target="http://www.kmspakwan.com/" TargetMode="External"/><Relationship Id="rId247" Type="http://schemas.openxmlformats.org/officeDocument/2006/relationships/hyperlink" Target="https://maps.app.goo.gl/ZAmypAvEQMPeEFGL9?g_st=iwb" TargetMode="External"/><Relationship Id="rId412" Type="http://schemas.openxmlformats.org/officeDocument/2006/relationships/hyperlink" Target="https://www.thangamjewel.com/" TargetMode="External"/><Relationship Id="rId107" Type="http://schemas.openxmlformats.org/officeDocument/2006/relationships/hyperlink" Target="https://www.travezy.in/" TargetMode="External"/><Relationship Id="rId289" Type="http://schemas.openxmlformats.org/officeDocument/2006/relationships/hyperlink" Target="https://www.bajajcapital.com/" TargetMode="External"/><Relationship Id="rId454" Type="http://schemas.openxmlformats.org/officeDocument/2006/relationships/hyperlink" Target="http://www.socialoutstrech.com/" TargetMode="External"/><Relationship Id="rId11" Type="http://schemas.openxmlformats.org/officeDocument/2006/relationships/hyperlink" Target="https://chopsticktshirt.com/" TargetMode="External"/><Relationship Id="rId53" Type="http://schemas.openxmlformats.org/officeDocument/2006/relationships/hyperlink" Target="https://www.thegamedrive.com/" TargetMode="External"/><Relationship Id="rId149" Type="http://schemas.openxmlformats.org/officeDocument/2006/relationships/hyperlink" Target="https://www.grasi.in/" TargetMode="External"/><Relationship Id="rId314" Type="http://schemas.openxmlformats.org/officeDocument/2006/relationships/hyperlink" Target="https://avrswarnamahal.com/" TargetMode="External"/><Relationship Id="rId356" Type="http://schemas.openxmlformats.org/officeDocument/2006/relationships/hyperlink" Target="https://www.thebhimajewellery.com/" TargetMode="External"/><Relationship Id="rId398" Type="http://schemas.openxmlformats.org/officeDocument/2006/relationships/hyperlink" Target="https://www.malabargoldanddiamonds.com/" TargetMode="External"/><Relationship Id="rId95" Type="http://schemas.openxmlformats.org/officeDocument/2006/relationships/hyperlink" Target="https://insyncanalytics.com/" TargetMode="External"/><Relationship Id="rId160" Type="http://schemas.openxmlformats.org/officeDocument/2006/relationships/hyperlink" Target="https://www.grasi.in/" TargetMode="External"/><Relationship Id="rId216" Type="http://schemas.openxmlformats.org/officeDocument/2006/relationships/hyperlink" Target="https://www.mondialmmx.com/" TargetMode="External"/><Relationship Id="rId423" Type="http://schemas.openxmlformats.org/officeDocument/2006/relationships/hyperlink" Target="https://aisshpra.com/" TargetMode="External"/><Relationship Id="rId258" Type="http://schemas.openxmlformats.org/officeDocument/2006/relationships/hyperlink" Target="https://g.co/kgs/NPxpWo" TargetMode="External"/><Relationship Id="rId22" Type="http://schemas.openxmlformats.org/officeDocument/2006/relationships/hyperlink" Target="http://www.samrutholidays.com/" TargetMode="External"/><Relationship Id="rId64" Type="http://schemas.openxmlformats.org/officeDocument/2006/relationships/hyperlink" Target="https://www.seventeenevents.com/" TargetMode="External"/><Relationship Id="rId118" Type="http://schemas.openxmlformats.org/officeDocument/2006/relationships/hyperlink" Target="https://footfuel.in/" TargetMode="External"/><Relationship Id="rId325" Type="http://schemas.openxmlformats.org/officeDocument/2006/relationships/hyperlink" Target="https://ppjeweller.com/" TargetMode="External"/><Relationship Id="rId367" Type="http://schemas.openxmlformats.org/officeDocument/2006/relationships/hyperlink" Target="https://www.kalyanjewellers.net/" TargetMode="External"/><Relationship Id="rId171" Type="http://schemas.openxmlformats.org/officeDocument/2006/relationships/hyperlink" Target="https://www.grasi.in/" TargetMode="External"/><Relationship Id="rId227" Type="http://schemas.openxmlformats.org/officeDocument/2006/relationships/hyperlink" Target="https://g.co/kgs/2yioa5k" TargetMode="External"/><Relationship Id="rId269" Type="http://schemas.openxmlformats.org/officeDocument/2006/relationships/hyperlink" Target="https://www.bajajcapital.com/" TargetMode="External"/><Relationship Id="rId434" Type="http://schemas.openxmlformats.org/officeDocument/2006/relationships/hyperlink" Target="https://shobhashringar.com/mobile-home/" TargetMode="External"/><Relationship Id="rId33" Type="http://schemas.openxmlformats.org/officeDocument/2006/relationships/hyperlink" Target="https://3mindsdigital.com/" TargetMode="External"/><Relationship Id="rId129" Type="http://schemas.openxmlformats.org/officeDocument/2006/relationships/hyperlink" Target="https://www.1click.co.in/" TargetMode="External"/><Relationship Id="rId280" Type="http://schemas.openxmlformats.org/officeDocument/2006/relationships/hyperlink" Target="https://www.bajajcapital.com/" TargetMode="External"/><Relationship Id="rId336" Type="http://schemas.openxmlformats.org/officeDocument/2006/relationships/hyperlink" Target="https://www.dassjewellers.com/" TargetMode="External"/><Relationship Id="rId75" Type="http://schemas.openxmlformats.org/officeDocument/2006/relationships/hyperlink" Target="https://www.ashishlifescience.com/" TargetMode="External"/><Relationship Id="rId140" Type="http://schemas.openxmlformats.org/officeDocument/2006/relationships/hyperlink" Target="https://www.grasi.in/" TargetMode="External"/><Relationship Id="rId182" Type="http://schemas.openxmlformats.org/officeDocument/2006/relationships/hyperlink" Target="https://www.grasi.in/" TargetMode="External"/><Relationship Id="rId378" Type="http://schemas.openxmlformats.org/officeDocument/2006/relationships/hyperlink" Target="https://www.manoharlaljewellers.in/" TargetMode="External"/><Relationship Id="rId403" Type="http://schemas.openxmlformats.org/officeDocument/2006/relationships/hyperlink" Target="https://www.joyalukkas.in/" TargetMode="External"/><Relationship Id="rId6" Type="http://schemas.openxmlformats.org/officeDocument/2006/relationships/hyperlink" Target="https://setuzsales.com/" TargetMode="External"/><Relationship Id="rId238" Type="http://schemas.openxmlformats.org/officeDocument/2006/relationships/hyperlink" Target="https://www.google.co.in/maps/dir/M.J+Market,+15%2F16,+Galli,+opp.+TBZ,+Zaveri+Bazaar,+Kalbadevi,+Navi+Mumbai,+Mumbai,+Maharashtra+400002/@18.9496831,72.7491913,12z/data=!4m8!4m7!1m0!1m5!1m1!1s0x3be7cf4f7c3176fd:0xea28e7386664fefb!2m2!1d72.831593!2d18.94" TargetMode="External"/><Relationship Id="rId445" Type="http://schemas.openxmlformats.org/officeDocument/2006/relationships/hyperlink" Target="https://evenbetter.co.in/"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www.thegamedrive.com/" TargetMode="External"/><Relationship Id="rId3" Type="http://schemas.openxmlformats.org/officeDocument/2006/relationships/hyperlink" Target="https://card.tap-savvy.com/The-Game-Drive_Dipti-Thorat/936" TargetMode="External"/><Relationship Id="rId7" Type="http://schemas.openxmlformats.org/officeDocument/2006/relationships/hyperlink" Target="mailto:marketing@thegamedrive.in" TargetMode="External"/><Relationship Id="rId2" Type="http://schemas.openxmlformats.org/officeDocument/2006/relationships/hyperlink" Target="https://www.thegamedrive.com/" TargetMode="External"/><Relationship Id="rId1" Type="http://schemas.openxmlformats.org/officeDocument/2006/relationships/hyperlink" Target="https://card.tap-savvy.com/TheGameDrive_Anosh-Koppikar/933" TargetMode="External"/><Relationship Id="rId6" Type="http://schemas.openxmlformats.org/officeDocument/2006/relationships/hyperlink" Target="https://card.tap-savvy.com/The-Game-Drive_Aaina-Chavan/935" TargetMode="External"/><Relationship Id="rId11" Type="http://schemas.openxmlformats.org/officeDocument/2006/relationships/hyperlink" Target="https://www.thegamedrive.com/" TargetMode="External"/><Relationship Id="rId5" Type="http://schemas.openxmlformats.org/officeDocument/2006/relationships/hyperlink" Target="https://www.thegamedrive.com/" TargetMode="External"/><Relationship Id="rId10" Type="http://schemas.openxmlformats.org/officeDocument/2006/relationships/hyperlink" Target="mailto:Operations@thegamedrive.in" TargetMode="External"/><Relationship Id="rId4" Type="http://schemas.openxmlformats.org/officeDocument/2006/relationships/hyperlink" Target="mailto:dipti@thegamedrive.in" TargetMode="External"/><Relationship Id="rId9" Type="http://schemas.openxmlformats.org/officeDocument/2006/relationships/hyperlink" Target="https://card.tap-savvy.com/The-Game-Drive-Amita-Matkar/938"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ravi@kashishfurnishing.com" TargetMode="External"/><Relationship Id="rId7" Type="http://schemas.openxmlformats.org/officeDocument/2006/relationships/hyperlink" Target="https://card.tap-savvy.com/KASHISH-ENTERPRISE_RAVI-JAIN/451" TargetMode="External"/><Relationship Id="rId2" Type="http://schemas.openxmlformats.org/officeDocument/2006/relationships/hyperlink" Target="mailto:info@kashishfurnishing.com" TargetMode="External"/><Relationship Id="rId1" Type="http://schemas.openxmlformats.org/officeDocument/2006/relationships/hyperlink" Target="mailto:manishhingarh49@gmail.com" TargetMode="External"/><Relationship Id="rId6" Type="http://schemas.openxmlformats.org/officeDocument/2006/relationships/hyperlink" Target="https://card.tap-savvy.com/KASHISH-FURNISHING/450" TargetMode="External"/><Relationship Id="rId5" Type="http://schemas.openxmlformats.org/officeDocument/2006/relationships/hyperlink" Target="https://card.tap-savvy.com/KASHISH-FURNISHINGS_MANISH-JAIN/449" TargetMode="External"/><Relationship Id="rId4" Type="http://schemas.openxmlformats.org/officeDocument/2006/relationships/hyperlink" Target="https://card.tap-savvy.com/KASHISH-FURNISHING_VISHAL-JAIN/448"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instagram.com/vasupati_jewellers" TargetMode="External"/><Relationship Id="rId13" Type="http://schemas.openxmlformats.org/officeDocument/2006/relationships/hyperlink" Target="mailto:vasupatijewellers@gmail.com" TargetMode="External"/><Relationship Id="rId18" Type="http://schemas.openxmlformats.org/officeDocument/2006/relationships/hyperlink" Target="https://www.vasupati.com/" TargetMode="External"/><Relationship Id="rId3" Type="http://schemas.openxmlformats.org/officeDocument/2006/relationships/hyperlink" Target="https://www.facebook.com/Vasupati-Jewellers-Pvt-Ltd-101381961634917/" TargetMode="External"/><Relationship Id="rId7" Type="http://schemas.openxmlformats.org/officeDocument/2006/relationships/hyperlink" Target="https://www.facebook.com/Vasupati-Jewellers-Pvt-Ltd-101381961634917/" TargetMode="External"/><Relationship Id="rId12" Type="http://schemas.openxmlformats.org/officeDocument/2006/relationships/hyperlink" Target="https://www.instagram.com/vasupati_jewellers" TargetMode="External"/><Relationship Id="rId17" Type="http://schemas.openxmlformats.org/officeDocument/2006/relationships/hyperlink" Target="mailto:vasupatijewellers@gmail.com" TargetMode="External"/><Relationship Id="rId2" Type="http://schemas.openxmlformats.org/officeDocument/2006/relationships/hyperlink" Target="https://www.vasupati.com/" TargetMode="External"/><Relationship Id="rId16" Type="http://schemas.openxmlformats.org/officeDocument/2006/relationships/hyperlink" Target="https://www.instagram.com/vasupati_jewellers" TargetMode="External"/><Relationship Id="rId20" Type="http://schemas.openxmlformats.org/officeDocument/2006/relationships/hyperlink" Target="https://www.instagram.com/vasupati_jewellers" TargetMode="External"/><Relationship Id="rId1" Type="http://schemas.openxmlformats.org/officeDocument/2006/relationships/hyperlink" Target="mailto:srishti.kothari14@gmail.com" TargetMode="External"/><Relationship Id="rId6" Type="http://schemas.openxmlformats.org/officeDocument/2006/relationships/hyperlink" Target="https://www.vasupati.com/" TargetMode="External"/><Relationship Id="rId11" Type="http://schemas.openxmlformats.org/officeDocument/2006/relationships/hyperlink" Target="https://www.facebook.com/Vasupati-Jewellers-Pvt-Ltd-101381961634917/" TargetMode="External"/><Relationship Id="rId5" Type="http://schemas.openxmlformats.org/officeDocument/2006/relationships/hyperlink" Target="mailto:vasupatijewellers@gmail.com" TargetMode="External"/><Relationship Id="rId15" Type="http://schemas.openxmlformats.org/officeDocument/2006/relationships/hyperlink" Target="https://www.facebook.com/Vasupati-Jewellers-Pvt-Ltd-101381961634917/" TargetMode="External"/><Relationship Id="rId10" Type="http://schemas.openxmlformats.org/officeDocument/2006/relationships/hyperlink" Target="https://www.vasupati.com/" TargetMode="External"/><Relationship Id="rId19" Type="http://schemas.openxmlformats.org/officeDocument/2006/relationships/hyperlink" Target="https://www.facebook.com/Vasupati-Jewellers-Pvt-Ltd-101381961634917/" TargetMode="External"/><Relationship Id="rId4" Type="http://schemas.openxmlformats.org/officeDocument/2006/relationships/hyperlink" Target="https://www.instagram.com/vasupati_jewellers" TargetMode="External"/><Relationship Id="rId9" Type="http://schemas.openxmlformats.org/officeDocument/2006/relationships/hyperlink" Target="mailto:vasupatijewellers@gmail.com" TargetMode="External"/><Relationship Id="rId14" Type="http://schemas.openxmlformats.org/officeDocument/2006/relationships/hyperlink" Target="https://www.vasupati.com/"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card.tap-savvy.com/BAJAJ-CAPITAL_JINESH-NAIR/1396" TargetMode="External"/><Relationship Id="rId117" Type="http://schemas.openxmlformats.org/officeDocument/2006/relationships/table" Target="../tables/table36.xml"/><Relationship Id="rId21" Type="http://schemas.openxmlformats.org/officeDocument/2006/relationships/hyperlink" Target="https://www.bajajcapital.com/" TargetMode="External"/><Relationship Id="rId42" Type="http://schemas.openxmlformats.org/officeDocument/2006/relationships/hyperlink" Target="mailto:moushumi.roy@bajajcapital.com" TargetMode="External"/><Relationship Id="rId47" Type="http://schemas.openxmlformats.org/officeDocument/2006/relationships/hyperlink" Target="https://www.bajajcapital.com/" TargetMode="External"/><Relationship Id="rId63" Type="http://schemas.openxmlformats.org/officeDocument/2006/relationships/hyperlink" Target="https://www.bajajcapital.com/" TargetMode="External"/><Relationship Id="rId68" Type="http://schemas.openxmlformats.org/officeDocument/2006/relationships/hyperlink" Target="https://card.tap-savvy.com/BAJAJ-CAPITAL_SANDEEP-ANANT-AMBEKAR/1409" TargetMode="External"/><Relationship Id="rId84" Type="http://schemas.openxmlformats.org/officeDocument/2006/relationships/hyperlink" Target="https://www.linkedin.com/in/saurabh-bhargava-cfp%C2%AE-164545b/" TargetMode="External"/><Relationship Id="rId89" Type="http://schemas.openxmlformats.org/officeDocument/2006/relationships/hyperlink" Target="mailto:shikha.goyal@bajajcapital.com" TargetMode="External"/><Relationship Id="rId112" Type="http://schemas.openxmlformats.org/officeDocument/2006/relationships/hyperlink" Target="https://www.bajajcapital.com/" TargetMode="External"/><Relationship Id="rId16" Type="http://schemas.openxmlformats.org/officeDocument/2006/relationships/hyperlink" Target="mailto:hanumantha.rao@bajajcapital.com" TargetMode="External"/><Relationship Id="rId107" Type="http://schemas.openxmlformats.org/officeDocument/2006/relationships/hyperlink" Target="https://www.bajajcapital.com/" TargetMode="External"/><Relationship Id="rId11" Type="http://schemas.openxmlformats.org/officeDocument/2006/relationships/hyperlink" Target="https://www.bajajcapital.com/" TargetMode="External"/><Relationship Id="rId24" Type="http://schemas.openxmlformats.org/officeDocument/2006/relationships/hyperlink" Target="https://www.bajajcapital.com/" TargetMode="External"/><Relationship Id="rId32" Type="http://schemas.openxmlformats.org/officeDocument/2006/relationships/hyperlink" Target="https://www.linkedin.com/in/kalpeshdave-domainexpert-investments/" TargetMode="External"/><Relationship Id="rId37" Type="http://schemas.openxmlformats.org/officeDocument/2006/relationships/hyperlink" Target="https://card.tap-savvy.com/BAJAJ-CAPITAL_KARAN-RAJGARHIA/1399" TargetMode="External"/><Relationship Id="rId40" Type="http://schemas.openxmlformats.org/officeDocument/2006/relationships/hyperlink" Target="https://www.bajajcapital.com/" TargetMode="External"/><Relationship Id="rId45" Type="http://schemas.openxmlformats.org/officeDocument/2006/relationships/hyperlink" Target="https://card.tap-savvy.com/BAJAJ-CAPITAL_MOUSHUMI-TIWARY/1402" TargetMode="External"/><Relationship Id="rId53" Type="http://schemas.openxmlformats.org/officeDocument/2006/relationships/hyperlink" Target="https://www.linkedin.com/in/neha-talwar-317632125?utm_source=share&amp;utm_campaign=share_via&amp;utm_content=profile&amp;utm_medium=ios_app" TargetMode="External"/><Relationship Id="rId58" Type="http://schemas.openxmlformats.org/officeDocument/2006/relationships/hyperlink" Target="https://card.tap-savvy.com/BAJAJ-CAPITAL_NITIN-KALE/1406" TargetMode="External"/><Relationship Id="rId66" Type="http://schemas.openxmlformats.org/officeDocument/2006/relationships/hyperlink" Target="https://www.bajajcapital.com/" TargetMode="External"/><Relationship Id="rId74" Type="http://schemas.openxmlformats.org/officeDocument/2006/relationships/hyperlink" Target="https://www.linkedin.com/in/sangram-mohanty-88461239?utm_source=share&amp;utm_campaign=share_via&amp;utm_content=profile&amp;utm_medium=android_app" TargetMode="External"/><Relationship Id="rId79" Type="http://schemas.openxmlformats.org/officeDocument/2006/relationships/hyperlink" Target="https://www.linkedin.com/in/sanjeev-maheshwari-44189553?utm_source=share&amp;utm_campaign=share_via&amp;utm_content=profile&amp;utm_medium=android_app" TargetMode="External"/><Relationship Id="rId87" Type="http://schemas.openxmlformats.org/officeDocument/2006/relationships/hyperlink" Target="https://www.linkedin.com/in/sharad-kumar-78a3515?utm_source=share&amp;utm_campaign=share_via&amp;utm_content=profile&amp;utm_medium=android_app" TargetMode="External"/><Relationship Id="rId102" Type="http://schemas.openxmlformats.org/officeDocument/2006/relationships/hyperlink" Target="https://card.tap-savvy.com/BAJAJ-CAPITAL_TAUFEEQ-MIRZA-BEG/1420" TargetMode="External"/><Relationship Id="rId110" Type="http://schemas.openxmlformats.org/officeDocument/2006/relationships/hyperlink" Target="https://www.bajajcapital.com/" TargetMode="External"/><Relationship Id="rId115" Type="http://schemas.openxmlformats.org/officeDocument/2006/relationships/table" Target="../tables/table34.xml"/><Relationship Id="rId5" Type="http://schemas.openxmlformats.org/officeDocument/2006/relationships/hyperlink" Target="https://card.tap-savvy.com/BAJAJ-CAPITAL_AVRO-MUKERJI/1389" TargetMode="External"/><Relationship Id="rId61" Type="http://schemas.openxmlformats.org/officeDocument/2006/relationships/hyperlink" Target="https://card.tap-savvy.com/BAJAJ-CAPITAL_NIZAMUDDIN-QUTUBUDDIN/1407" TargetMode="External"/><Relationship Id="rId82" Type="http://schemas.openxmlformats.org/officeDocument/2006/relationships/hyperlink" Target="https://card.tap-savvy.com/BAJAJ-CAPITAL_SAURABH-BHARGAVA/1414" TargetMode="External"/><Relationship Id="rId90" Type="http://schemas.openxmlformats.org/officeDocument/2006/relationships/hyperlink" Target="https://www.bajajcapital.com/" TargetMode="External"/><Relationship Id="rId95" Type="http://schemas.openxmlformats.org/officeDocument/2006/relationships/hyperlink" Target="https://card.tap-savvy.com/BAJAJ-CAPITAL_SIDDHARTH-CHAUHAN/1418" TargetMode="External"/><Relationship Id="rId19" Type="http://schemas.openxmlformats.org/officeDocument/2006/relationships/hyperlink" Target="https://card.tap-savvy.com/BAJAJ-CAPITAL_HIMANSHU-SAXENA/1394" TargetMode="External"/><Relationship Id="rId14" Type="http://schemas.openxmlformats.org/officeDocument/2006/relationships/hyperlink" Target="https://www.bajajcapital.com/" TargetMode="External"/><Relationship Id="rId22" Type="http://schemas.openxmlformats.org/officeDocument/2006/relationships/hyperlink" Target="https://www.linkedin.com/in/himanshu-saxena-b01571118/" TargetMode="External"/><Relationship Id="rId27" Type="http://schemas.openxmlformats.org/officeDocument/2006/relationships/hyperlink" Target="mailto:jinesh.nair@bajajcapital.com" TargetMode="External"/><Relationship Id="rId30" Type="http://schemas.openxmlformats.org/officeDocument/2006/relationships/hyperlink" Target="https://card.tap-savvy.com/BAJAJ-CAPITAL_KALPESH-DAVE/1397" TargetMode="External"/><Relationship Id="rId35" Type="http://schemas.openxmlformats.org/officeDocument/2006/relationships/hyperlink" Target="https://www.bajajcapital.com/" TargetMode="External"/><Relationship Id="rId43" Type="http://schemas.openxmlformats.org/officeDocument/2006/relationships/hyperlink" Target="https://www.bajajcapital.com/" TargetMode="External"/><Relationship Id="rId48" Type="http://schemas.openxmlformats.org/officeDocument/2006/relationships/hyperlink" Target="https://www.linkedin.com/in/moushumi-tiwary-91b671bb?utm_source=share&amp;utm_campaign=share_via&amp;utm_content=profile&amp;utm_medium=android_app" TargetMode="External"/><Relationship Id="rId56" Type="http://schemas.openxmlformats.org/officeDocument/2006/relationships/hyperlink" Target="https://www.bajajcapital.com/" TargetMode="External"/><Relationship Id="rId64" Type="http://schemas.openxmlformats.org/officeDocument/2006/relationships/hyperlink" Target="https://www.linkedin.com/in/nizamuddin-qutubuddin-6a15725b?utm_source=share&amp;utm_campaign=share_via&amp;utm_content=profile&amp;utm_medium=android_app" TargetMode="External"/><Relationship Id="rId69" Type="http://schemas.openxmlformats.org/officeDocument/2006/relationships/hyperlink" Target="https://www.bajajcapital.com/" TargetMode="External"/><Relationship Id="rId77" Type="http://schemas.openxmlformats.org/officeDocument/2006/relationships/hyperlink" Target="https://card.tap-savvy.com/BAJAJ-CAPITAL_SANJEEV-MAHESHWARI/1412" TargetMode="External"/><Relationship Id="rId100" Type="http://schemas.openxmlformats.org/officeDocument/2006/relationships/hyperlink" Target="https://www.bajajcapital.com/" TargetMode="External"/><Relationship Id="rId105" Type="http://schemas.openxmlformats.org/officeDocument/2006/relationships/hyperlink" Target="https://card.tap-savvy.com/BAJAJ-CAPITAL_VIJAY-KUMAR-DEVAKATH/1421" TargetMode="External"/><Relationship Id="rId113" Type="http://schemas.openxmlformats.org/officeDocument/2006/relationships/table" Target="../tables/table32.xml"/><Relationship Id="rId118" Type="http://schemas.openxmlformats.org/officeDocument/2006/relationships/table" Target="../tables/table37.xml"/><Relationship Id="rId8" Type="http://schemas.openxmlformats.org/officeDocument/2006/relationships/hyperlink" Target="https://card.tap-savvy.com/BAJAJ-CAPITAL_BULBUL-AGRAWAL/1390" TargetMode="External"/><Relationship Id="rId51" Type="http://schemas.openxmlformats.org/officeDocument/2006/relationships/hyperlink" Target="https://card.tap-savvy.com/BAJAJ-CAPITAL_NEHA-TALWAR/1404" TargetMode="External"/><Relationship Id="rId72" Type="http://schemas.openxmlformats.org/officeDocument/2006/relationships/hyperlink" Target="mailto:sangram.mohanty@bajajcapital.com" TargetMode="External"/><Relationship Id="rId80" Type="http://schemas.openxmlformats.org/officeDocument/2006/relationships/hyperlink" Target="https://card.tap-savvy.com/BAJAJ-CAPITAL_SATIS-MONGA/1413" TargetMode="External"/><Relationship Id="rId85" Type="http://schemas.openxmlformats.org/officeDocument/2006/relationships/hyperlink" Target="https://card.tap-savvy.com/BAJAJ-CAPITAL_SHARAD-MITTAL/1415" TargetMode="External"/><Relationship Id="rId93" Type="http://schemas.openxmlformats.org/officeDocument/2006/relationships/hyperlink" Target="https://www.bajajcapital.com/" TargetMode="External"/><Relationship Id="rId98" Type="http://schemas.openxmlformats.org/officeDocument/2006/relationships/hyperlink" Target="https://card.tap-savvy.com/BAJAJ-CAPITAL_SUNIL-S/1419" TargetMode="External"/><Relationship Id="rId3" Type="http://schemas.openxmlformats.org/officeDocument/2006/relationships/hyperlink" Target="https://www.bajajcapital.com/" TargetMode="External"/><Relationship Id="rId12" Type="http://schemas.openxmlformats.org/officeDocument/2006/relationships/hyperlink" Target="http://www.linkedin.com/in/dhaval-vasavada-30859a19" TargetMode="External"/><Relationship Id="rId17" Type="http://schemas.openxmlformats.org/officeDocument/2006/relationships/hyperlink" Target="https://www.bajajcapital.com/" TargetMode="External"/><Relationship Id="rId25" Type="http://schemas.openxmlformats.org/officeDocument/2006/relationships/hyperlink" Target="https://www.linkedin.com/in/jayant-ganguly-17466251?trk=contact-info" TargetMode="External"/><Relationship Id="rId33" Type="http://schemas.openxmlformats.org/officeDocument/2006/relationships/hyperlink" Target="https://card.tap-savvy.com/BAJAJ-CAPITAL_KARAN-CHETRY/1398" TargetMode="External"/><Relationship Id="rId38" Type="http://schemas.openxmlformats.org/officeDocument/2006/relationships/hyperlink" Target="https://www.bajajcapital.com/" TargetMode="External"/><Relationship Id="rId46" Type="http://schemas.openxmlformats.org/officeDocument/2006/relationships/hyperlink" Target="mailto:moushumi.tiwary@bajajcapital.com" TargetMode="External"/><Relationship Id="rId59" Type="http://schemas.openxmlformats.org/officeDocument/2006/relationships/hyperlink" Target="https://www.bajajcapital.com/" TargetMode="External"/><Relationship Id="rId67" Type="http://schemas.openxmlformats.org/officeDocument/2006/relationships/hyperlink" Target="https://www.linkedin.com/in/prerakdipakdesaii" TargetMode="External"/><Relationship Id="rId103" Type="http://schemas.openxmlformats.org/officeDocument/2006/relationships/hyperlink" Target="https://www.bajajcapital.com/" TargetMode="External"/><Relationship Id="rId108" Type="http://schemas.openxmlformats.org/officeDocument/2006/relationships/hyperlink" Target="https://www.linkedin.com/in/vijay-kumar-devakath-60551915?utm_source=share&amp;utm_campaign=share_via&amp;utm_content=profile&amp;utm_medium=android_app" TargetMode="External"/><Relationship Id="rId116" Type="http://schemas.openxmlformats.org/officeDocument/2006/relationships/table" Target="../tables/table35.xml"/><Relationship Id="rId20" Type="http://schemas.openxmlformats.org/officeDocument/2006/relationships/hyperlink" Target="mailto:himanshu.saxena@bajajcapital.com" TargetMode="External"/><Relationship Id="rId41" Type="http://schemas.openxmlformats.org/officeDocument/2006/relationships/hyperlink" Target="https://card.tap-savvy.com/BAJAJ-CAPITAL_MOUSHUMI-ROY/1401" TargetMode="External"/><Relationship Id="rId54" Type="http://schemas.openxmlformats.org/officeDocument/2006/relationships/hyperlink" Target="https://card.tap-savvy.com/BAJAJ-CAPITAL_NIRAJ-KUMAR/1405" TargetMode="External"/><Relationship Id="rId62" Type="http://schemas.openxmlformats.org/officeDocument/2006/relationships/hyperlink" Target="mailto:nizamuddin.qutubuddin@bajajcapital.com" TargetMode="External"/><Relationship Id="rId70" Type="http://schemas.openxmlformats.org/officeDocument/2006/relationships/hyperlink" Target="https://www.linkedin.com/in/sandeep-ambekar-106831210/" TargetMode="External"/><Relationship Id="rId75" Type="http://schemas.openxmlformats.org/officeDocument/2006/relationships/hyperlink" Target="https://card.tap-savvy.com/BAJAJ-CAPITAL_SANJAY-MISHRA/1411" TargetMode="External"/><Relationship Id="rId83" Type="http://schemas.openxmlformats.org/officeDocument/2006/relationships/hyperlink" Target="https://www.bajajcapital.com/" TargetMode="External"/><Relationship Id="rId88" Type="http://schemas.openxmlformats.org/officeDocument/2006/relationships/hyperlink" Target="https://card.tap-savvy.com/BAJAJ-CAPITAL_SHIKHA-GOYAL/1416" TargetMode="External"/><Relationship Id="rId91" Type="http://schemas.openxmlformats.org/officeDocument/2006/relationships/hyperlink" Target="https://www.linkedin.com/in/shikha-goyal-18923058?utm_source=share&amp;utm_campaign=share_via&amp;utm_content=profile&amp;utm_medium=android_app" TargetMode="External"/><Relationship Id="rId96" Type="http://schemas.openxmlformats.org/officeDocument/2006/relationships/hyperlink" Target="https://www.bajajcapital.com/" TargetMode="External"/><Relationship Id="rId111" Type="http://schemas.openxmlformats.org/officeDocument/2006/relationships/hyperlink" Target="https://card.tap-savvy.com/BAJAJ-CAPITAL_VIPIN-ANAND/1423" TargetMode="External"/><Relationship Id="rId1" Type="http://schemas.openxmlformats.org/officeDocument/2006/relationships/hyperlink" Target="https://card.tap-savvy.com/BAJAJ-CAPITAL_AJAY-PARMAR/1388" TargetMode="External"/><Relationship Id="rId6" Type="http://schemas.openxmlformats.org/officeDocument/2006/relationships/hyperlink" Target="https://www.bajajcapital.com/" TargetMode="External"/><Relationship Id="rId15" Type="http://schemas.openxmlformats.org/officeDocument/2006/relationships/hyperlink" Target="https://card.tap-savvy.com/BAJAJ-CAPITAL_HANUMANTHA-RAO/1393" TargetMode="External"/><Relationship Id="rId23" Type="http://schemas.openxmlformats.org/officeDocument/2006/relationships/hyperlink" Target="https://card.tap-savvy.com/BAJAJ-CAPITAL_JAYANT-GANGULY/1395" TargetMode="External"/><Relationship Id="rId28" Type="http://schemas.openxmlformats.org/officeDocument/2006/relationships/hyperlink" Target="https://www.bajajcapital.com/" TargetMode="External"/><Relationship Id="rId36" Type="http://schemas.openxmlformats.org/officeDocument/2006/relationships/hyperlink" Target="https://www.linkedin.com/in/karan-chetry-83891194" TargetMode="External"/><Relationship Id="rId49" Type="http://schemas.openxmlformats.org/officeDocument/2006/relationships/hyperlink" Target="https://card.tap-savvy.com/BAJAJ-CAPITAL_NAGESH-TIWARI/1403" TargetMode="External"/><Relationship Id="rId57" Type="http://schemas.openxmlformats.org/officeDocument/2006/relationships/hyperlink" Target="http://www.linkedin.com/in/niraj-kumar-%E0%A4%A8%E0%A5%80%E0%A4%B0%E0%A4%9C-%E0%A4%95%E0%A5%81%E0%A4%AE%E0%A4%B0-49793230" TargetMode="External"/><Relationship Id="rId106" Type="http://schemas.openxmlformats.org/officeDocument/2006/relationships/hyperlink" Target="mailto:vijay.devakath@bajajcapital.com" TargetMode="External"/><Relationship Id="rId114" Type="http://schemas.openxmlformats.org/officeDocument/2006/relationships/table" Target="../tables/table33.xml"/><Relationship Id="rId119" Type="http://schemas.openxmlformats.org/officeDocument/2006/relationships/table" Target="../tables/table38.xml"/><Relationship Id="rId10" Type="http://schemas.openxmlformats.org/officeDocument/2006/relationships/hyperlink" Target="https://card.tap-savvy.com/BAJAJ-CAPITAL_DHAVAL-VASAVADA/1391" TargetMode="External"/><Relationship Id="rId31" Type="http://schemas.openxmlformats.org/officeDocument/2006/relationships/hyperlink" Target="https://www.bajajcapital.com/" TargetMode="External"/><Relationship Id="rId44" Type="http://schemas.openxmlformats.org/officeDocument/2006/relationships/hyperlink" Target="http://www.linkedin.com/in/moushumiroy2712" TargetMode="External"/><Relationship Id="rId52" Type="http://schemas.openxmlformats.org/officeDocument/2006/relationships/hyperlink" Target="https://www.bajajcapital.com/" TargetMode="External"/><Relationship Id="rId60" Type="http://schemas.openxmlformats.org/officeDocument/2006/relationships/hyperlink" Target="https://www.linkedin.com/in/nitin-kale-b70614250?utm_source=share&amp;utm_campaign=share_via&amp;utm_content=profile&amp;utm_medium=android_app" TargetMode="External"/><Relationship Id="rId65" Type="http://schemas.openxmlformats.org/officeDocument/2006/relationships/hyperlink" Target="https://card.tap-savvy.com/BAJAJ-CAPITAL_PRERAK-DESAI/1408" TargetMode="External"/><Relationship Id="rId73" Type="http://schemas.openxmlformats.org/officeDocument/2006/relationships/hyperlink" Target="https://www.bajajcapital.com/" TargetMode="External"/><Relationship Id="rId78" Type="http://schemas.openxmlformats.org/officeDocument/2006/relationships/hyperlink" Target="https://www.bajajcapital.com/" TargetMode="External"/><Relationship Id="rId81" Type="http://schemas.openxmlformats.org/officeDocument/2006/relationships/hyperlink" Target="https://www.bajajcapital.com/" TargetMode="External"/><Relationship Id="rId86" Type="http://schemas.openxmlformats.org/officeDocument/2006/relationships/hyperlink" Target="https://www.bajajcapital.com/" TargetMode="External"/><Relationship Id="rId94" Type="http://schemas.openxmlformats.org/officeDocument/2006/relationships/hyperlink" Target="https://www.linkedin.com/in/shubham-saxena-4a18b62a?utm_source=share&amp;utm_campaign=share_via&amp;utm_content=profile&amp;utm_medium=android_app" TargetMode="External"/><Relationship Id="rId99" Type="http://schemas.openxmlformats.org/officeDocument/2006/relationships/hyperlink" Target="mailto:sunil.s@bajajcapital.com" TargetMode="External"/><Relationship Id="rId101" Type="http://schemas.openxmlformats.org/officeDocument/2006/relationships/hyperlink" Target="https://www.linkedin.com/in/sunil-s-72b94923b?utm_source=share&amp;utm_campaign=share_via&amp;utm_content=profile&amp;utm_medium=android_app" TargetMode="External"/><Relationship Id="rId4" Type="http://schemas.openxmlformats.org/officeDocument/2006/relationships/hyperlink" Target="https://www.linkedin.com/in/ajay-parmar-b424829?utm_source=share&amp;utm_campaign=share_via&amp;utm_content=profile&amp;utm_medium=android_app" TargetMode="External"/><Relationship Id="rId9" Type="http://schemas.openxmlformats.org/officeDocument/2006/relationships/hyperlink" Target="https://www.bajajcapital.com/" TargetMode="External"/><Relationship Id="rId13" Type="http://schemas.openxmlformats.org/officeDocument/2006/relationships/hyperlink" Target="https://card.tap-savvy.com/BAJAJ-CAPITAL_GAURAV-SINGH/1392" TargetMode="External"/><Relationship Id="rId18" Type="http://schemas.openxmlformats.org/officeDocument/2006/relationships/hyperlink" Target="https://www.linkedin.com/in/hanumantha-rao-n-cpwm%E2%84%A2-ciwm%E2%84%A2-59397643/" TargetMode="External"/><Relationship Id="rId39" Type="http://schemas.openxmlformats.org/officeDocument/2006/relationships/hyperlink" Target="https://card.tap-savvy.com/BAJAJ-CAPITAL_MEGHA-UPADHYAY/1400" TargetMode="External"/><Relationship Id="rId109" Type="http://schemas.openxmlformats.org/officeDocument/2006/relationships/hyperlink" Target="https://card.tap-savvy.com/BAJAJ-CAPITAL_VIJAYENDRA-CHOPRA/1422" TargetMode="External"/><Relationship Id="rId34" Type="http://schemas.openxmlformats.org/officeDocument/2006/relationships/hyperlink" Target="mailto:karan.chetry@bajajcapital.com" TargetMode="External"/><Relationship Id="rId50" Type="http://schemas.openxmlformats.org/officeDocument/2006/relationships/hyperlink" Target="https://www.bajajcapital.com/" TargetMode="External"/><Relationship Id="rId55" Type="http://schemas.openxmlformats.org/officeDocument/2006/relationships/hyperlink" Target="mailto:niraj.kumar@bajajcapital.com" TargetMode="External"/><Relationship Id="rId76" Type="http://schemas.openxmlformats.org/officeDocument/2006/relationships/hyperlink" Target="https://www.bajajcapital.com/" TargetMode="External"/><Relationship Id="rId97" Type="http://schemas.openxmlformats.org/officeDocument/2006/relationships/hyperlink" Target="https://www.linkedin.com/in/siddharth-chauhan-0844554a?utm_source=share&amp;utm_campaign=share_via&amp;utm_content=profile&amp;utm_medium=ios_app" TargetMode="External"/><Relationship Id="rId104" Type="http://schemas.openxmlformats.org/officeDocument/2006/relationships/hyperlink" Target="https://www.linkedin.com/in/taufeeq-mirza-201698aa" TargetMode="External"/><Relationship Id="rId7" Type="http://schemas.openxmlformats.org/officeDocument/2006/relationships/hyperlink" Target="https://www.linkedin.com/in/avro-mukerji-48557421/" TargetMode="External"/><Relationship Id="rId71" Type="http://schemas.openxmlformats.org/officeDocument/2006/relationships/hyperlink" Target="https://card.tap-savvy.com/BAJAJ-CAPITAL_SANGRAM-MOHANTY/1410" TargetMode="External"/><Relationship Id="rId92" Type="http://schemas.openxmlformats.org/officeDocument/2006/relationships/hyperlink" Target="https://card.tap-savvy.com/BAJAJ-CAPITAL_SHUBHAM-SAXENA/1417" TargetMode="External"/><Relationship Id="rId2" Type="http://schemas.openxmlformats.org/officeDocument/2006/relationships/hyperlink" Target="mailto:ajay.parmar@bajajcapital.com" TargetMode="External"/><Relationship Id="rId29" Type="http://schemas.openxmlformats.org/officeDocument/2006/relationships/hyperlink" Target="https://www.linkedin.com/in/jinesh-nair-498750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997"/>
  <sheetViews>
    <sheetView topLeftCell="A17" workbookViewId="0">
      <selection activeCell="S18" sqref="S18:V28"/>
    </sheetView>
  </sheetViews>
  <sheetFormatPr defaultColWidth="12.6640625" defaultRowHeight="15.75" customHeight="1"/>
  <cols>
    <col min="1" max="1" width="20.109375" bestFit="1" customWidth="1"/>
    <col min="2" max="2" width="81.21875" customWidth="1"/>
    <col min="3" max="3" width="9" customWidth="1"/>
    <col min="4" max="4" width="51.6640625" bestFit="1" customWidth="1"/>
    <col min="5" max="5" width="12.44140625" bestFit="1" customWidth="1"/>
    <col min="6" max="6" width="31.5546875" bestFit="1" customWidth="1"/>
    <col min="7" max="7" width="21" bestFit="1" customWidth="1"/>
    <col min="8" max="8" width="13.5546875" customWidth="1"/>
    <col min="9" max="9" width="28.44140625" bestFit="1" customWidth="1"/>
    <col min="10" max="10" width="31.109375" bestFit="1" customWidth="1"/>
    <col min="11" max="11" width="39" bestFit="1" customWidth="1"/>
    <col min="12" max="12" width="13.88671875" customWidth="1"/>
    <col min="13" max="13" width="12.6640625" bestFit="1" customWidth="1"/>
    <col min="14" max="14" width="22.77734375" bestFit="1" customWidth="1"/>
    <col min="15" max="15" width="13.109375" customWidth="1"/>
    <col min="16" max="16" width="32.77734375" bestFit="1" customWidth="1"/>
    <col min="17" max="17" width="92.21875" bestFit="1" customWidth="1"/>
    <col min="18" max="18" width="12.21875" customWidth="1"/>
    <col min="19" max="20" width="8" bestFit="1" customWidth="1"/>
    <col min="21" max="21" width="12" customWidth="1"/>
    <col min="22" max="22" width="16.5546875" bestFit="1" customWidth="1"/>
    <col min="23" max="23" width="21.21875" bestFit="1" customWidth="1"/>
    <col min="24" max="24" width="19.77734375" bestFit="1" customWidth="1"/>
    <col min="25" max="25" width="12.88671875" customWidth="1"/>
    <col min="26" max="26" width="13.33203125" customWidth="1"/>
    <col min="27" max="27" width="11.21875" customWidth="1"/>
    <col min="28" max="28" width="11.33203125" customWidth="1"/>
    <col min="29" max="29" width="11.44140625" bestFit="1" customWidth="1"/>
    <col min="31" max="31" width="8.6640625" bestFit="1" customWidth="1"/>
    <col min="33" max="33" width="8.6640625" bestFit="1" customWidth="1"/>
    <col min="35" max="35" width="8.6640625" bestFit="1" customWidth="1"/>
    <col min="37" max="37" width="8.6640625" bestFit="1" customWidth="1"/>
    <col min="39" max="39" width="8.6640625" bestFit="1" customWidth="1"/>
    <col min="41" max="41" width="8.6640625" bestFit="1" customWidth="1"/>
  </cols>
  <sheetData>
    <row r="1" spans="1:42" ht="13.8">
      <c r="A1" s="2" t="s">
        <v>0</v>
      </c>
      <c r="B1" s="2" t="s">
        <v>639</v>
      </c>
      <c r="C1" s="2" t="s">
        <v>1</v>
      </c>
      <c r="D1" s="367" t="s">
        <v>8286</v>
      </c>
      <c r="E1" s="367" t="s">
        <v>8285</v>
      </c>
      <c r="F1" s="367" t="s">
        <v>10704</v>
      </c>
      <c r="G1" s="2" t="s">
        <v>5</v>
      </c>
      <c r="H1" s="2" t="s">
        <v>6</v>
      </c>
      <c r="I1" s="2" t="s">
        <v>7</v>
      </c>
      <c r="J1" s="2" t="s">
        <v>8292</v>
      </c>
      <c r="K1" s="2" t="s">
        <v>9</v>
      </c>
      <c r="L1" s="367" t="s">
        <v>8287</v>
      </c>
      <c r="M1" s="367" t="s">
        <v>10703</v>
      </c>
      <c r="N1" s="1" t="s">
        <v>8288</v>
      </c>
      <c r="O1" s="367" t="s">
        <v>8289</v>
      </c>
      <c r="P1" s="2" t="s">
        <v>14</v>
      </c>
      <c r="Q1" s="367" t="s">
        <v>8301</v>
      </c>
      <c r="R1" s="2" t="s">
        <v>16</v>
      </c>
      <c r="S1" s="3" t="s">
        <v>8303</v>
      </c>
      <c r="T1" s="3" t="s">
        <v>8304</v>
      </c>
      <c r="U1" s="384" t="s">
        <v>8305</v>
      </c>
      <c r="V1" s="384" t="s">
        <v>8306</v>
      </c>
      <c r="W1" s="4" t="s">
        <v>8335</v>
      </c>
      <c r="X1" s="4" t="s">
        <v>8336</v>
      </c>
      <c r="Y1" s="5" t="s">
        <v>23</v>
      </c>
      <c r="Z1" s="5" t="s">
        <v>24</v>
      </c>
      <c r="AA1" s="5" t="s">
        <v>25</v>
      </c>
      <c r="AB1" s="5" t="s">
        <v>26</v>
      </c>
      <c r="AC1" s="5" t="s">
        <v>27</v>
      </c>
      <c r="AD1" s="5"/>
      <c r="AE1" s="5" t="s">
        <v>28</v>
      </c>
      <c r="AF1" s="5"/>
      <c r="AG1" s="5" t="s">
        <v>29</v>
      </c>
      <c r="AH1" s="5"/>
      <c r="AI1" s="5" t="s">
        <v>30</v>
      </c>
      <c r="AJ1" s="5"/>
      <c r="AK1" s="5" t="s">
        <v>31</v>
      </c>
      <c r="AL1" s="5"/>
      <c r="AM1" s="5" t="s">
        <v>32</v>
      </c>
      <c r="AN1" s="5"/>
      <c r="AO1" s="5" t="s">
        <v>33</v>
      </c>
      <c r="AP1" s="5"/>
    </row>
    <row r="2" spans="1:42" ht="15.6">
      <c r="A2" s="6" t="s">
        <v>34</v>
      </c>
      <c r="B2" s="7" t="s">
        <v>35</v>
      </c>
      <c r="C2" s="1">
        <v>1</v>
      </c>
      <c r="D2" s="8" t="s">
        <v>36</v>
      </c>
      <c r="E2" s="8">
        <v>149</v>
      </c>
      <c r="F2" s="9" t="s">
        <v>37</v>
      </c>
      <c r="G2" s="10" t="s">
        <v>38</v>
      </c>
      <c r="H2" s="9" t="s">
        <v>39</v>
      </c>
      <c r="I2" s="10" t="s">
        <v>40</v>
      </c>
      <c r="J2" s="10" t="s">
        <v>41</v>
      </c>
      <c r="K2" s="11" t="s">
        <v>42</v>
      </c>
      <c r="L2" s="10" t="s">
        <v>43</v>
      </c>
      <c r="M2" s="10">
        <v>9892891823</v>
      </c>
      <c r="N2" s="9" t="s">
        <v>44</v>
      </c>
      <c r="O2" s="10">
        <v>9892891823</v>
      </c>
      <c r="P2" s="12" t="s">
        <v>45</v>
      </c>
      <c r="Q2" s="9" t="s">
        <v>46</v>
      </c>
      <c r="R2" s="1" t="s">
        <v>47</v>
      </c>
      <c r="S2" s="13" t="s">
        <v>48</v>
      </c>
      <c r="T2" s="13" t="s">
        <v>49</v>
      </c>
      <c r="U2" s="13" t="s">
        <v>50</v>
      </c>
      <c r="V2" s="13" t="s">
        <v>51</v>
      </c>
      <c r="W2" s="14" t="s">
        <v>52</v>
      </c>
      <c r="X2" s="14" t="s">
        <v>52</v>
      </c>
      <c r="Y2" s="1"/>
      <c r="Z2" s="1"/>
      <c r="AA2" s="1"/>
      <c r="AB2" s="1"/>
      <c r="AC2" s="1"/>
      <c r="AD2" s="1"/>
      <c r="AE2" s="1"/>
      <c r="AF2" s="1"/>
      <c r="AG2" s="1"/>
      <c r="AH2" s="1"/>
      <c r="AI2" s="1"/>
      <c r="AJ2" s="1"/>
      <c r="AK2" s="1"/>
      <c r="AL2" s="1"/>
      <c r="AM2" s="1"/>
      <c r="AN2" s="1"/>
      <c r="AO2" s="1"/>
      <c r="AP2" s="1"/>
    </row>
    <row r="3" spans="1:42" ht="21.75" customHeight="1">
      <c r="A3" s="6" t="s">
        <v>34</v>
      </c>
      <c r="B3" s="15" t="s">
        <v>53</v>
      </c>
      <c r="C3" s="6">
        <v>2</v>
      </c>
      <c r="D3" s="16" t="s">
        <v>54</v>
      </c>
      <c r="E3" s="17">
        <v>150</v>
      </c>
      <c r="F3" s="18" t="s">
        <v>55</v>
      </c>
      <c r="G3" s="19" t="s">
        <v>56</v>
      </c>
      <c r="H3" s="18" t="s">
        <v>39</v>
      </c>
      <c r="I3" s="19" t="s">
        <v>40</v>
      </c>
      <c r="J3" s="19" t="s">
        <v>57</v>
      </c>
      <c r="K3" s="20" t="s">
        <v>58</v>
      </c>
      <c r="L3" s="21" t="s">
        <v>59</v>
      </c>
      <c r="M3" s="19">
        <v>9845520982</v>
      </c>
      <c r="N3" s="18" t="s">
        <v>44</v>
      </c>
      <c r="O3" s="19">
        <v>9845520982</v>
      </c>
      <c r="P3" s="22" t="s">
        <v>45</v>
      </c>
      <c r="Q3" s="23" t="s">
        <v>61</v>
      </c>
      <c r="R3" s="6" t="s">
        <v>47</v>
      </c>
      <c r="S3" s="24" t="s">
        <v>48</v>
      </c>
      <c r="T3" s="24" t="s">
        <v>49</v>
      </c>
      <c r="U3" s="24" t="s">
        <v>50</v>
      </c>
      <c r="V3" s="24" t="s">
        <v>51</v>
      </c>
      <c r="W3" s="17" t="s">
        <v>62</v>
      </c>
      <c r="X3" s="17" t="s">
        <v>52</v>
      </c>
      <c r="Y3" s="6"/>
      <c r="Z3" s="6"/>
      <c r="AA3" s="6"/>
      <c r="AB3" s="6"/>
      <c r="AC3" s="6"/>
      <c r="AD3" s="6"/>
      <c r="AE3" s="6"/>
      <c r="AF3" s="6"/>
      <c r="AG3" s="6"/>
      <c r="AH3" s="6"/>
      <c r="AI3" s="6"/>
      <c r="AJ3" s="6"/>
      <c r="AK3" s="6"/>
      <c r="AL3" s="6"/>
      <c r="AM3" s="6"/>
      <c r="AN3" s="6"/>
      <c r="AO3" s="6"/>
      <c r="AP3" s="6"/>
    </row>
    <row r="4" spans="1:42" ht="21.75" customHeight="1">
      <c r="A4" s="25" t="s">
        <v>34</v>
      </c>
      <c r="B4" s="26" t="s">
        <v>63</v>
      </c>
      <c r="C4" s="25">
        <v>3</v>
      </c>
      <c r="D4" s="27" t="s">
        <v>64</v>
      </c>
      <c r="E4" s="28">
        <v>157</v>
      </c>
      <c r="F4" s="29" t="s">
        <v>65</v>
      </c>
      <c r="G4" s="30" t="s">
        <v>64</v>
      </c>
      <c r="H4" s="29" t="s">
        <v>39</v>
      </c>
      <c r="I4" s="30" t="s">
        <v>66</v>
      </c>
      <c r="J4" s="30" t="s">
        <v>67</v>
      </c>
      <c r="K4" s="31" t="s">
        <v>68</v>
      </c>
      <c r="L4" s="30" t="s">
        <v>44</v>
      </c>
      <c r="M4" s="30">
        <v>7506194091</v>
      </c>
      <c r="N4" s="29" t="s">
        <v>44</v>
      </c>
      <c r="O4" s="30">
        <v>7506194091</v>
      </c>
      <c r="P4" s="30" t="s">
        <v>44</v>
      </c>
      <c r="Q4" s="30" t="s">
        <v>44</v>
      </c>
      <c r="R4" s="25" t="s">
        <v>47</v>
      </c>
      <c r="S4" s="32" t="s">
        <v>69</v>
      </c>
      <c r="T4" s="32" t="s">
        <v>49</v>
      </c>
      <c r="U4" s="32" t="s">
        <v>70</v>
      </c>
      <c r="V4" s="32" t="s">
        <v>49</v>
      </c>
      <c r="W4" s="28" t="s">
        <v>71</v>
      </c>
      <c r="X4" s="28" t="s">
        <v>71</v>
      </c>
      <c r="Y4" s="25"/>
      <c r="Z4" s="25"/>
      <c r="AA4" s="25"/>
      <c r="AB4" s="25"/>
      <c r="AC4" s="25"/>
      <c r="AD4" s="25"/>
      <c r="AE4" s="25"/>
      <c r="AF4" s="25"/>
      <c r="AG4" s="25"/>
      <c r="AH4" s="25"/>
      <c r="AI4" s="25"/>
      <c r="AJ4" s="25"/>
      <c r="AK4" s="25"/>
      <c r="AL4" s="25"/>
      <c r="AM4" s="25"/>
      <c r="AN4" s="25"/>
      <c r="AO4" s="25"/>
      <c r="AP4" s="25"/>
    </row>
    <row r="5" spans="1:42" ht="13.8">
      <c r="A5" s="25" t="s">
        <v>34</v>
      </c>
      <c r="B5" s="26" t="s">
        <v>72</v>
      </c>
      <c r="C5" s="25">
        <v>4</v>
      </c>
      <c r="D5" s="28" t="s">
        <v>73</v>
      </c>
      <c r="E5" s="28">
        <v>158</v>
      </c>
      <c r="F5" s="29" t="s">
        <v>74</v>
      </c>
      <c r="G5" s="30" t="s">
        <v>75</v>
      </c>
      <c r="H5" s="29" t="s">
        <v>39</v>
      </c>
      <c r="I5" s="30" t="s">
        <v>76</v>
      </c>
      <c r="J5" s="30" t="s">
        <v>77</v>
      </c>
      <c r="K5" s="30" t="s">
        <v>78</v>
      </c>
      <c r="L5" s="30" t="s">
        <v>79</v>
      </c>
      <c r="M5" s="30">
        <v>9930141714</v>
      </c>
      <c r="N5" s="29">
        <v>8433939393</v>
      </c>
      <c r="O5" s="30">
        <v>9930141714</v>
      </c>
      <c r="P5" s="33" t="s">
        <v>80</v>
      </c>
      <c r="Q5" s="29" t="s">
        <v>81</v>
      </c>
      <c r="R5" s="25" t="s">
        <v>47</v>
      </c>
      <c r="S5" s="32" t="s">
        <v>48</v>
      </c>
      <c r="T5" s="32" t="s">
        <v>49</v>
      </c>
      <c r="U5" s="32" t="s">
        <v>82</v>
      </c>
      <c r="V5" s="29" t="s">
        <v>49</v>
      </c>
      <c r="W5" s="28" t="s">
        <v>83</v>
      </c>
      <c r="X5" s="28" t="s">
        <v>83</v>
      </c>
      <c r="Y5" s="25"/>
      <c r="Z5" s="25"/>
      <c r="AA5" s="25"/>
      <c r="AB5" s="25"/>
      <c r="AC5" s="25"/>
      <c r="AD5" s="25"/>
      <c r="AE5" s="25"/>
      <c r="AF5" s="25"/>
      <c r="AG5" s="25"/>
      <c r="AH5" s="25"/>
      <c r="AI5" s="25"/>
      <c r="AJ5" s="25"/>
      <c r="AK5" s="25"/>
      <c r="AL5" s="25"/>
      <c r="AM5" s="25"/>
      <c r="AN5" s="25"/>
      <c r="AO5" s="25"/>
      <c r="AP5" s="25"/>
    </row>
    <row r="6" spans="1:42" ht="13.8">
      <c r="A6" s="34" t="s">
        <v>84</v>
      </c>
      <c r="B6" s="35" t="s">
        <v>85</v>
      </c>
      <c r="C6" s="34">
        <v>5</v>
      </c>
      <c r="D6" s="36" t="s">
        <v>86</v>
      </c>
      <c r="E6" s="37">
        <v>161</v>
      </c>
      <c r="F6" s="38" t="s">
        <v>87</v>
      </c>
      <c r="G6" s="39" t="s">
        <v>88</v>
      </c>
      <c r="H6" s="40" t="s">
        <v>39</v>
      </c>
      <c r="I6" s="39" t="s">
        <v>89</v>
      </c>
      <c r="J6" s="39" t="s">
        <v>90</v>
      </c>
      <c r="K6" s="39" t="s">
        <v>91</v>
      </c>
      <c r="L6" s="39" t="s">
        <v>44</v>
      </c>
      <c r="M6" s="40">
        <v>9769401691</v>
      </c>
      <c r="N6" s="40" t="s">
        <v>44</v>
      </c>
      <c r="O6" s="40">
        <v>9769401691</v>
      </c>
      <c r="P6" s="39" t="s">
        <v>44</v>
      </c>
      <c r="Q6" s="39" t="s">
        <v>44</v>
      </c>
      <c r="R6" s="34" t="s">
        <v>47</v>
      </c>
      <c r="S6" s="41" t="s">
        <v>48</v>
      </c>
      <c r="T6" s="41" t="s">
        <v>49</v>
      </c>
      <c r="U6" s="41" t="s">
        <v>92</v>
      </c>
      <c r="V6" s="41" t="s">
        <v>93</v>
      </c>
      <c r="W6" s="37" t="s">
        <v>94</v>
      </c>
      <c r="X6" s="37" t="s">
        <v>94</v>
      </c>
      <c r="Y6" s="34"/>
      <c r="Z6" s="34"/>
      <c r="AA6" s="34"/>
      <c r="AB6" s="34"/>
      <c r="AC6" s="34"/>
      <c r="AD6" s="34"/>
      <c r="AE6" s="34"/>
      <c r="AF6" s="34"/>
      <c r="AG6" s="34"/>
      <c r="AH6" s="34"/>
      <c r="AI6" s="34"/>
      <c r="AJ6" s="34"/>
      <c r="AK6" s="34"/>
      <c r="AL6" s="34"/>
      <c r="AM6" s="34"/>
      <c r="AN6" s="34"/>
      <c r="AO6" s="34"/>
      <c r="AP6" s="34"/>
    </row>
    <row r="7" spans="1:42" ht="15.6">
      <c r="A7" s="34" t="s">
        <v>84</v>
      </c>
      <c r="B7" s="35" t="s">
        <v>95</v>
      </c>
      <c r="C7" s="34">
        <v>6</v>
      </c>
      <c r="D7" s="37" t="s">
        <v>96</v>
      </c>
      <c r="E7" s="37">
        <v>211</v>
      </c>
      <c r="F7" s="40" t="s">
        <v>97</v>
      </c>
      <c r="G7" s="39" t="s">
        <v>98</v>
      </c>
      <c r="H7" s="40" t="s">
        <v>39</v>
      </c>
      <c r="I7" s="42" t="s">
        <v>40</v>
      </c>
      <c r="J7" s="39" t="s">
        <v>99</v>
      </c>
      <c r="K7" s="39" t="s">
        <v>100</v>
      </c>
      <c r="L7" s="39" t="s">
        <v>101</v>
      </c>
      <c r="M7" s="39">
        <v>9324545101</v>
      </c>
      <c r="N7" s="40" t="s">
        <v>44</v>
      </c>
      <c r="O7" s="39">
        <v>9324545101</v>
      </c>
      <c r="P7" s="39" t="s">
        <v>44</v>
      </c>
      <c r="Q7" s="39" t="s">
        <v>44</v>
      </c>
      <c r="R7" s="34" t="s">
        <v>47</v>
      </c>
      <c r="S7" s="41" t="s">
        <v>48</v>
      </c>
      <c r="T7" s="41" t="s">
        <v>49</v>
      </c>
      <c r="U7" s="41" t="s">
        <v>50</v>
      </c>
      <c r="V7" s="41" t="s">
        <v>51</v>
      </c>
      <c r="W7" s="37" t="s">
        <v>102</v>
      </c>
      <c r="X7" s="37" t="s">
        <v>52</v>
      </c>
      <c r="Y7" s="34"/>
      <c r="Z7" s="34"/>
      <c r="AA7" s="34"/>
      <c r="AB7" s="34"/>
      <c r="AC7" s="34"/>
      <c r="AD7" s="34"/>
      <c r="AE7" s="34"/>
      <c r="AF7" s="34"/>
      <c r="AG7" s="34"/>
      <c r="AH7" s="34"/>
      <c r="AI7" s="34"/>
      <c r="AJ7" s="34"/>
      <c r="AK7" s="34"/>
      <c r="AL7" s="34"/>
      <c r="AM7" s="34"/>
      <c r="AN7" s="34"/>
      <c r="AO7" s="34"/>
      <c r="AP7" s="34"/>
    </row>
    <row r="8" spans="1:42" ht="15" customHeight="1">
      <c r="A8" s="25" t="s">
        <v>34</v>
      </c>
      <c r="B8" s="26" t="s">
        <v>103</v>
      </c>
      <c r="C8" s="25">
        <v>7</v>
      </c>
      <c r="D8" s="27" t="s">
        <v>104</v>
      </c>
      <c r="E8" s="28">
        <v>233</v>
      </c>
      <c r="F8" s="29" t="s">
        <v>105</v>
      </c>
      <c r="G8" s="30" t="s">
        <v>106</v>
      </c>
      <c r="H8" s="29" t="s">
        <v>39</v>
      </c>
      <c r="I8" s="30" t="s">
        <v>44</v>
      </c>
      <c r="J8" s="30" t="s">
        <v>107</v>
      </c>
      <c r="K8" s="31" t="s">
        <v>108</v>
      </c>
      <c r="L8" s="30" t="s">
        <v>109</v>
      </c>
      <c r="M8" s="30">
        <v>7208186169</v>
      </c>
      <c r="N8" s="29" t="s">
        <v>44</v>
      </c>
      <c r="O8" s="30">
        <v>7208186169</v>
      </c>
      <c r="P8" s="30" t="s">
        <v>44</v>
      </c>
      <c r="Q8" s="30" t="s">
        <v>44</v>
      </c>
      <c r="R8" s="25" t="s">
        <v>47</v>
      </c>
      <c r="S8" s="32" t="s">
        <v>69</v>
      </c>
      <c r="T8" s="32" t="s">
        <v>49</v>
      </c>
      <c r="U8" s="32" t="s">
        <v>70</v>
      </c>
      <c r="V8" s="32" t="s">
        <v>49</v>
      </c>
      <c r="W8" s="28" t="s">
        <v>71</v>
      </c>
      <c r="X8" s="28" t="s">
        <v>71</v>
      </c>
      <c r="Y8" s="25"/>
      <c r="Z8" s="25"/>
      <c r="AA8" s="25"/>
      <c r="AB8" s="25"/>
      <c r="AC8" s="25"/>
      <c r="AD8" s="25"/>
      <c r="AE8" s="25"/>
      <c r="AF8" s="25"/>
      <c r="AG8" s="25"/>
      <c r="AH8" s="25"/>
      <c r="AI8" s="25"/>
      <c r="AJ8" s="25"/>
      <c r="AK8" s="25"/>
      <c r="AL8" s="25"/>
      <c r="AM8" s="25"/>
      <c r="AN8" s="25"/>
      <c r="AO8" s="25"/>
      <c r="AP8" s="25"/>
    </row>
    <row r="9" spans="1:42" ht="16.8">
      <c r="A9" s="25" t="s">
        <v>34</v>
      </c>
      <c r="B9" s="26" t="s">
        <v>110</v>
      </c>
      <c r="C9" s="25">
        <v>8</v>
      </c>
      <c r="D9" s="28" t="s">
        <v>111</v>
      </c>
      <c r="E9" s="28">
        <v>238</v>
      </c>
      <c r="F9" s="29" t="s">
        <v>112</v>
      </c>
      <c r="G9" s="30" t="s">
        <v>113</v>
      </c>
      <c r="H9" s="29" t="s">
        <v>39</v>
      </c>
      <c r="I9" s="30" t="s">
        <v>114</v>
      </c>
      <c r="J9" s="31" t="s">
        <v>115</v>
      </c>
      <c r="K9" s="31" t="s">
        <v>116</v>
      </c>
      <c r="L9" s="30" t="s">
        <v>117</v>
      </c>
      <c r="M9" s="30">
        <v>9820160166</v>
      </c>
      <c r="N9" s="29">
        <v>9869050179</v>
      </c>
      <c r="O9" s="30">
        <v>9820160166</v>
      </c>
      <c r="P9" s="30" t="s">
        <v>44</v>
      </c>
      <c r="Q9" s="30" t="s">
        <v>44</v>
      </c>
      <c r="R9" s="25" t="s">
        <v>47</v>
      </c>
      <c r="S9" s="32" t="s">
        <v>69</v>
      </c>
      <c r="T9" s="32" t="s">
        <v>49</v>
      </c>
      <c r="U9" s="32" t="s">
        <v>70</v>
      </c>
      <c r="V9" s="32" t="s">
        <v>49</v>
      </c>
      <c r="W9" s="28" t="s">
        <v>118</v>
      </c>
      <c r="X9" s="28" t="s">
        <v>118</v>
      </c>
      <c r="Y9" s="25"/>
      <c r="Z9" s="25"/>
      <c r="AA9" s="25"/>
      <c r="AB9" s="25"/>
      <c r="AC9" s="25"/>
      <c r="AD9" s="25"/>
      <c r="AE9" s="25"/>
      <c r="AF9" s="25"/>
      <c r="AG9" s="25"/>
      <c r="AH9" s="25"/>
      <c r="AI9" s="25"/>
      <c r="AJ9" s="25"/>
      <c r="AK9" s="25"/>
      <c r="AL9" s="25"/>
      <c r="AM9" s="25"/>
      <c r="AN9" s="25"/>
      <c r="AO9" s="25"/>
      <c r="AP9" s="25"/>
    </row>
    <row r="10" spans="1:42" ht="18" customHeight="1">
      <c r="A10" s="25" t="s">
        <v>34</v>
      </c>
      <c r="B10" s="26" t="s">
        <v>119</v>
      </c>
      <c r="C10" s="25">
        <v>9</v>
      </c>
      <c r="D10" s="28" t="s">
        <v>120</v>
      </c>
      <c r="E10" s="28">
        <v>270</v>
      </c>
      <c r="F10" s="29" t="s">
        <v>121</v>
      </c>
      <c r="G10" s="30" t="s">
        <v>122</v>
      </c>
      <c r="H10" s="29" t="s">
        <v>39</v>
      </c>
      <c r="I10" s="30" t="s">
        <v>123</v>
      </c>
      <c r="J10" s="30" t="s">
        <v>124</v>
      </c>
      <c r="K10" s="31" t="s">
        <v>116</v>
      </c>
      <c r="L10" s="30" t="s">
        <v>125</v>
      </c>
      <c r="M10" s="30">
        <v>9146534013</v>
      </c>
      <c r="N10" s="29" t="s">
        <v>44</v>
      </c>
      <c r="O10" s="30">
        <v>9146534013</v>
      </c>
      <c r="P10" s="30" t="s">
        <v>44</v>
      </c>
      <c r="Q10" s="29" t="s">
        <v>126</v>
      </c>
      <c r="R10" s="25" t="s">
        <v>47</v>
      </c>
      <c r="S10" s="32" t="s">
        <v>48</v>
      </c>
      <c r="T10" s="32" t="s">
        <v>49</v>
      </c>
      <c r="U10" s="32" t="s">
        <v>127</v>
      </c>
      <c r="V10" s="32" t="s">
        <v>128</v>
      </c>
      <c r="W10" s="28" t="s">
        <v>71</v>
      </c>
      <c r="X10" s="28" t="s">
        <v>129</v>
      </c>
      <c r="Y10" s="25"/>
      <c r="Z10" s="25"/>
      <c r="AA10" s="25"/>
      <c r="AB10" s="25"/>
      <c r="AC10" s="25"/>
      <c r="AD10" s="25"/>
      <c r="AE10" s="25"/>
      <c r="AF10" s="25"/>
      <c r="AG10" s="25"/>
      <c r="AH10" s="25"/>
      <c r="AI10" s="25"/>
      <c r="AJ10" s="25"/>
      <c r="AK10" s="25"/>
      <c r="AL10" s="25"/>
      <c r="AM10" s="25"/>
      <c r="AN10" s="25"/>
      <c r="AO10" s="25"/>
      <c r="AP10" s="25"/>
    </row>
    <row r="11" spans="1:42" ht="16.8">
      <c r="A11" s="25" t="s">
        <v>145</v>
      </c>
      <c r="B11" s="26" t="s">
        <v>146</v>
      </c>
      <c r="C11" s="25">
        <v>10</v>
      </c>
      <c r="D11" s="28" t="s">
        <v>147</v>
      </c>
      <c r="E11" s="28">
        <v>278</v>
      </c>
      <c r="F11" s="29" t="s">
        <v>148</v>
      </c>
      <c r="G11" s="30" t="s">
        <v>149</v>
      </c>
      <c r="H11" s="29" t="s">
        <v>39</v>
      </c>
      <c r="I11" s="30" t="s">
        <v>150</v>
      </c>
      <c r="J11" s="30" t="s">
        <v>151</v>
      </c>
      <c r="K11" s="31" t="s">
        <v>78</v>
      </c>
      <c r="L11" s="30" t="s">
        <v>152</v>
      </c>
      <c r="M11" s="30">
        <v>9323280709</v>
      </c>
      <c r="N11" s="29" t="s">
        <v>44</v>
      </c>
      <c r="O11" s="30">
        <v>9323280709</v>
      </c>
      <c r="P11" s="33" t="s">
        <v>153</v>
      </c>
      <c r="Q11" s="29" t="s">
        <v>154</v>
      </c>
      <c r="R11" s="25" t="s">
        <v>47</v>
      </c>
      <c r="S11" s="32" t="s">
        <v>155</v>
      </c>
      <c r="T11" s="32" t="s">
        <v>156</v>
      </c>
      <c r="U11" s="32" t="s">
        <v>157</v>
      </c>
      <c r="V11" s="32" t="s">
        <v>158</v>
      </c>
      <c r="W11" s="28" t="s">
        <v>71</v>
      </c>
      <c r="X11" s="28" t="s">
        <v>159</v>
      </c>
      <c r="Y11" s="25"/>
      <c r="Z11" s="25"/>
      <c r="AA11" s="25"/>
      <c r="AB11" s="25"/>
      <c r="AC11" s="25"/>
      <c r="AD11" s="6"/>
      <c r="AE11" s="6"/>
      <c r="AF11" s="6"/>
      <c r="AG11" s="6"/>
      <c r="AH11" s="6"/>
      <c r="AI11" s="6"/>
      <c r="AJ11" s="6"/>
      <c r="AK11" s="6"/>
      <c r="AL11" s="6"/>
      <c r="AM11" s="6"/>
      <c r="AN11" s="6"/>
      <c r="AO11" s="6"/>
      <c r="AP11" s="6"/>
    </row>
    <row r="12" spans="1:42" ht="16.5" customHeight="1">
      <c r="A12" s="6" t="s">
        <v>130</v>
      </c>
      <c r="B12" s="7" t="s">
        <v>160</v>
      </c>
      <c r="C12" s="6">
        <v>11</v>
      </c>
      <c r="D12" s="17" t="s">
        <v>161</v>
      </c>
      <c r="E12" s="17">
        <v>279</v>
      </c>
      <c r="F12" s="18" t="s">
        <v>162</v>
      </c>
      <c r="G12" s="19" t="s">
        <v>163</v>
      </c>
      <c r="H12" s="18" t="s">
        <v>39</v>
      </c>
      <c r="I12" s="20" t="s">
        <v>164</v>
      </c>
      <c r="J12" s="19" t="s">
        <v>165</v>
      </c>
      <c r="K12" s="19" t="s">
        <v>166</v>
      </c>
      <c r="L12" s="19" t="s">
        <v>167</v>
      </c>
      <c r="M12" s="19">
        <v>8452040352</v>
      </c>
      <c r="N12" s="18" t="s">
        <v>44</v>
      </c>
      <c r="O12" s="19">
        <v>8452040352</v>
      </c>
      <c r="P12" s="44" t="s">
        <v>168</v>
      </c>
      <c r="Q12" s="18" t="s">
        <v>169</v>
      </c>
      <c r="R12" s="6" t="s">
        <v>47</v>
      </c>
      <c r="S12" s="24" t="s">
        <v>170</v>
      </c>
      <c r="T12" s="24" t="s">
        <v>49</v>
      </c>
      <c r="U12" s="24" t="s">
        <v>171</v>
      </c>
      <c r="V12" s="24" t="s">
        <v>172</v>
      </c>
      <c r="W12" s="17" t="s">
        <v>71</v>
      </c>
      <c r="X12" s="17" t="s">
        <v>71</v>
      </c>
      <c r="Y12" s="6"/>
      <c r="Z12" s="6"/>
      <c r="AA12" s="6"/>
      <c r="AB12" s="6"/>
      <c r="AC12" s="6"/>
      <c r="AD12" s="25"/>
      <c r="AE12" s="25"/>
      <c r="AF12" s="25"/>
      <c r="AG12" s="25"/>
      <c r="AH12" s="25"/>
      <c r="AI12" s="25"/>
      <c r="AJ12" s="25"/>
      <c r="AK12" s="25"/>
      <c r="AL12" s="25"/>
      <c r="AM12" s="25"/>
      <c r="AN12" s="25"/>
      <c r="AO12" s="25"/>
      <c r="AP12" s="25"/>
    </row>
    <row r="13" spans="1:42" ht="19.5" customHeight="1">
      <c r="A13" s="25" t="s">
        <v>130</v>
      </c>
      <c r="B13" s="26" t="s">
        <v>173</v>
      </c>
      <c r="C13" s="25">
        <v>12</v>
      </c>
      <c r="D13" s="28" t="s">
        <v>174</v>
      </c>
      <c r="E13" s="28">
        <v>300</v>
      </c>
      <c r="F13" s="29" t="s">
        <v>175</v>
      </c>
      <c r="G13" s="30" t="s">
        <v>176</v>
      </c>
      <c r="H13" s="29" t="s">
        <v>39</v>
      </c>
      <c r="I13" s="30" t="s">
        <v>177</v>
      </c>
      <c r="J13" s="30" t="s">
        <v>178</v>
      </c>
      <c r="K13" s="30" t="s">
        <v>44</v>
      </c>
      <c r="L13" s="30" t="s">
        <v>179</v>
      </c>
      <c r="M13" s="30">
        <v>9930589029</v>
      </c>
      <c r="N13" s="29" t="s">
        <v>44</v>
      </c>
      <c r="O13" s="30">
        <v>9930589029</v>
      </c>
      <c r="P13" s="33" t="s">
        <v>180</v>
      </c>
      <c r="Q13" s="29" t="s">
        <v>181</v>
      </c>
      <c r="R13" s="25" t="s">
        <v>47</v>
      </c>
      <c r="S13" s="32" t="s">
        <v>170</v>
      </c>
      <c r="T13" s="32" t="s">
        <v>49</v>
      </c>
      <c r="U13" s="32" t="s">
        <v>182</v>
      </c>
      <c r="V13" s="29" t="s">
        <v>183</v>
      </c>
      <c r="W13" s="28" t="s">
        <v>71</v>
      </c>
      <c r="X13" s="28" t="s">
        <v>184</v>
      </c>
      <c r="Y13" s="25"/>
      <c r="Z13" s="25"/>
      <c r="AA13" s="25"/>
      <c r="AB13" s="25"/>
      <c r="AC13" s="25"/>
      <c r="AD13" s="6"/>
      <c r="AE13" s="6"/>
      <c r="AF13" s="6"/>
      <c r="AG13" s="6"/>
      <c r="AH13" s="6"/>
      <c r="AI13" s="6"/>
      <c r="AJ13" s="6"/>
      <c r="AK13" s="6"/>
      <c r="AL13" s="6"/>
      <c r="AM13" s="6"/>
      <c r="AN13" s="6"/>
      <c r="AO13" s="6"/>
      <c r="AP13" s="6"/>
    </row>
    <row r="14" spans="1:42" ht="18" customHeight="1">
      <c r="A14" s="6" t="s">
        <v>130</v>
      </c>
      <c r="B14" s="15" t="s">
        <v>185</v>
      </c>
      <c r="C14" s="6">
        <v>13</v>
      </c>
      <c r="D14" s="17" t="s">
        <v>186</v>
      </c>
      <c r="E14" s="17">
        <v>301</v>
      </c>
      <c r="F14" s="18" t="s">
        <v>187</v>
      </c>
      <c r="G14" s="19" t="s">
        <v>188</v>
      </c>
      <c r="H14" s="18" t="s">
        <v>39</v>
      </c>
      <c r="I14" s="19" t="s">
        <v>189</v>
      </c>
      <c r="J14" s="19" t="s">
        <v>190</v>
      </c>
      <c r="K14" s="19" t="s">
        <v>191</v>
      </c>
      <c r="L14" s="19" t="s">
        <v>192</v>
      </c>
      <c r="M14" s="19">
        <v>9821300401</v>
      </c>
      <c r="N14" s="18">
        <v>8369034659</v>
      </c>
      <c r="O14" s="19">
        <v>9821300401</v>
      </c>
      <c r="P14" s="22" t="s">
        <v>193</v>
      </c>
      <c r="Q14" s="18" t="s">
        <v>194</v>
      </c>
      <c r="R14" s="6" t="s">
        <v>47</v>
      </c>
      <c r="S14" s="45" t="s">
        <v>195</v>
      </c>
      <c r="T14" s="45" t="s">
        <v>196</v>
      </c>
      <c r="U14" s="45" t="s">
        <v>197</v>
      </c>
      <c r="V14" s="45" t="s">
        <v>198</v>
      </c>
      <c r="W14" s="17" t="s">
        <v>71</v>
      </c>
      <c r="X14" s="17" t="s">
        <v>199</v>
      </c>
      <c r="Y14" s="6"/>
      <c r="Z14" s="6"/>
      <c r="AA14" s="6"/>
      <c r="AB14" s="6"/>
      <c r="AC14" s="6"/>
      <c r="AD14" s="25"/>
      <c r="AE14" s="25"/>
      <c r="AF14" s="25"/>
      <c r="AG14" s="25"/>
      <c r="AH14" s="25"/>
      <c r="AI14" s="25"/>
      <c r="AJ14" s="25"/>
      <c r="AK14" s="25"/>
      <c r="AL14" s="25"/>
      <c r="AM14" s="25"/>
      <c r="AN14" s="25"/>
      <c r="AO14" s="25"/>
      <c r="AP14" s="25"/>
    </row>
    <row r="15" spans="1:42" ht="13.8">
      <c r="A15" s="34" t="s">
        <v>200</v>
      </c>
      <c r="B15" s="15" t="s">
        <v>201</v>
      </c>
      <c r="C15" s="34">
        <v>14</v>
      </c>
      <c r="D15" s="16" t="s">
        <v>202</v>
      </c>
      <c r="E15" s="17">
        <v>302</v>
      </c>
      <c r="F15" s="18" t="s">
        <v>203</v>
      </c>
      <c r="G15" s="19" t="s">
        <v>204</v>
      </c>
      <c r="H15" s="18" t="s">
        <v>39</v>
      </c>
      <c r="I15" s="19" t="s">
        <v>205</v>
      </c>
      <c r="J15" s="19" t="s">
        <v>206</v>
      </c>
      <c r="K15" s="19" t="s">
        <v>207</v>
      </c>
      <c r="L15" s="19" t="s">
        <v>208</v>
      </c>
      <c r="M15" s="19">
        <v>9702255504</v>
      </c>
      <c r="N15" s="18" t="s">
        <v>44</v>
      </c>
      <c r="O15" s="19">
        <v>9702255504</v>
      </c>
      <c r="P15" s="22" t="s">
        <v>209</v>
      </c>
      <c r="Q15" s="18" t="s">
        <v>210</v>
      </c>
      <c r="R15" s="6" t="s">
        <v>47</v>
      </c>
      <c r="S15" s="45" t="s">
        <v>170</v>
      </c>
      <c r="T15" s="45" t="s">
        <v>49</v>
      </c>
      <c r="U15" s="45" t="s">
        <v>211</v>
      </c>
      <c r="V15" s="45" t="s">
        <v>212</v>
      </c>
      <c r="W15" s="17" t="s">
        <v>71</v>
      </c>
      <c r="X15" s="17" t="s">
        <v>213</v>
      </c>
      <c r="Y15" s="6"/>
      <c r="Z15" s="6"/>
      <c r="AA15" s="6"/>
      <c r="AB15" s="34"/>
      <c r="AC15" s="34"/>
      <c r="AD15" s="6"/>
      <c r="AE15" s="6"/>
      <c r="AF15" s="6"/>
      <c r="AG15" s="6"/>
      <c r="AH15" s="6"/>
      <c r="AI15" s="6"/>
      <c r="AJ15" s="6"/>
      <c r="AK15" s="6"/>
      <c r="AL15" s="6"/>
      <c r="AM15" s="6"/>
      <c r="AN15" s="6"/>
      <c r="AO15" s="6"/>
      <c r="AP15" s="6"/>
    </row>
    <row r="16" spans="1:42" ht="13.8">
      <c r="A16" s="6" t="s">
        <v>130</v>
      </c>
      <c r="B16" s="46" t="s">
        <v>214</v>
      </c>
      <c r="C16" s="6">
        <v>15</v>
      </c>
      <c r="D16" s="37" t="s">
        <v>215</v>
      </c>
      <c r="E16" s="37">
        <v>306</v>
      </c>
      <c r="F16" s="40" t="s">
        <v>216</v>
      </c>
      <c r="G16" s="39" t="s">
        <v>217</v>
      </c>
      <c r="H16" s="40" t="s">
        <v>39</v>
      </c>
      <c r="I16" s="39" t="s">
        <v>218</v>
      </c>
      <c r="J16" s="39" t="s">
        <v>219</v>
      </c>
      <c r="K16" s="39" t="s">
        <v>44</v>
      </c>
      <c r="L16" s="39" t="s">
        <v>44</v>
      </c>
      <c r="M16" s="39">
        <v>9833178484</v>
      </c>
      <c r="N16" s="40" t="s">
        <v>44</v>
      </c>
      <c r="O16" s="39">
        <v>9833178484</v>
      </c>
      <c r="P16" s="47" t="s">
        <v>220</v>
      </c>
      <c r="Q16" s="40" t="s">
        <v>221</v>
      </c>
      <c r="R16" s="34" t="s">
        <v>47</v>
      </c>
      <c r="S16" s="48" t="s">
        <v>222</v>
      </c>
      <c r="T16" s="48" t="s">
        <v>48</v>
      </c>
      <c r="U16" s="48" t="s">
        <v>223</v>
      </c>
      <c r="V16" s="48" t="s">
        <v>224</v>
      </c>
      <c r="W16" s="37" t="s">
        <v>71</v>
      </c>
      <c r="X16" s="37" t="s">
        <v>225</v>
      </c>
      <c r="Y16" s="6"/>
      <c r="Z16" s="6"/>
      <c r="AA16" s="6"/>
      <c r="AB16" s="6"/>
      <c r="AC16" s="6"/>
      <c r="AD16" s="34"/>
      <c r="AE16" s="34"/>
      <c r="AF16" s="34"/>
      <c r="AG16" s="34"/>
      <c r="AH16" s="34"/>
      <c r="AI16" s="34"/>
      <c r="AJ16" s="34"/>
      <c r="AK16" s="34"/>
      <c r="AL16" s="34"/>
      <c r="AM16" s="34"/>
      <c r="AN16" s="34"/>
      <c r="AO16" s="34"/>
      <c r="AP16" s="34"/>
    </row>
    <row r="17" spans="1:42" ht="19.5" customHeight="1">
      <c r="A17" s="6" t="s">
        <v>130</v>
      </c>
      <c r="B17" s="15" t="s">
        <v>131</v>
      </c>
      <c r="C17" s="6">
        <v>16</v>
      </c>
      <c r="D17" s="17" t="s">
        <v>132</v>
      </c>
      <c r="E17" s="17">
        <v>326</v>
      </c>
      <c r="F17" s="22" t="s">
        <v>133</v>
      </c>
      <c r="G17" s="19" t="s">
        <v>134</v>
      </c>
      <c r="H17" s="18" t="s">
        <v>39</v>
      </c>
      <c r="I17" s="19" t="s">
        <v>135</v>
      </c>
      <c r="J17" s="43" t="s">
        <v>136</v>
      </c>
      <c r="K17" s="43" t="s">
        <v>137</v>
      </c>
      <c r="L17" s="19" t="s">
        <v>138</v>
      </c>
      <c r="M17" s="19">
        <v>9167372039</v>
      </c>
      <c r="N17" s="18" t="s">
        <v>44</v>
      </c>
      <c r="O17" s="19">
        <v>9167372039</v>
      </c>
      <c r="P17" s="22" t="s">
        <v>139</v>
      </c>
      <c r="Q17" s="18" t="s">
        <v>140</v>
      </c>
      <c r="R17" s="6" t="s">
        <v>47</v>
      </c>
      <c r="S17" s="24" t="s">
        <v>141</v>
      </c>
      <c r="T17" s="24" t="s">
        <v>49</v>
      </c>
      <c r="U17" s="24" t="s">
        <v>142</v>
      </c>
      <c r="V17" s="24" t="s">
        <v>143</v>
      </c>
      <c r="W17" s="17" t="s">
        <v>71</v>
      </c>
      <c r="X17" s="17" t="s">
        <v>144</v>
      </c>
      <c r="Y17" s="6"/>
      <c r="Z17" s="6"/>
      <c r="AA17" s="6"/>
      <c r="AB17" s="6"/>
      <c r="AC17" s="6"/>
      <c r="AD17" s="6"/>
      <c r="AE17" s="6"/>
      <c r="AF17" s="6"/>
      <c r="AG17" s="6"/>
      <c r="AH17" s="6"/>
      <c r="AI17" s="6"/>
      <c r="AJ17" s="6"/>
      <c r="AK17" s="6"/>
      <c r="AL17" s="6"/>
      <c r="AM17" s="6"/>
      <c r="AN17" s="6"/>
      <c r="AO17" s="6"/>
      <c r="AP17" s="6"/>
    </row>
    <row r="18" spans="1:42" ht="18" customHeight="1">
      <c r="A18" s="25" t="s">
        <v>130</v>
      </c>
      <c r="B18" s="26" t="s">
        <v>226</v>
      </c>
      <c r="C18" s="25">
        <v>17</v>
      </c>
      <c r="D18" s="28" t="s">
        <v>227</v>
      </c>
      <c r="E18" s="28">
        <v>387</v>
      </c>
      <c r="F18" s="29" t="s">
        <v>228</v>
      </c>
      <c r="G18" s="30" t="s">
        <v>229</v>
      </c>
      <c r="H18" s="29" t="s">
        <v>39</v>
      </c>
      <c r="I18" s="30" t="s">
        <v>230</v>
      </c>
      <c r="J18" s="30" t="s">
        <v>231</v>
      </c>
      <c r="K18" s="30" t="s">
        <v>232</v>
      </c>
      <c r="L18" s="30" t="s">
        <v>233</v>
      </c>
      <c r="M18" s="30">
        <v>8879950624</v>
      </c>
      <c r="N18" s="29" t="s">
        <v>44</v>
      </c>
      <c r="O18" s="30">
        <v>8879950624</v>
      </c>
      <c r="P18" s="30" t="s">
        <v>44</v>
      </c>
      <c r="Q18" s="29" t="s">
        <v>234</v>
      </c>
      <c r="R18" s="25" t="s">
        <v>47</v>
      </c>
      <c r="S18" s="32" t="s">
        <v>235</v>
      </c>
      <c r="T18" s="32" t="s">
        <v>236</v>
      </c>
      <c r="U18" s="32" t="s">
        <v>237</v>
      </c>
      <c r="V18" s="32" t="s">
        <v>238</v>
      </c>
      <c r="W18" s="28" t="s">
        <v>71</v>
      </c>
      <c r="X18" s="28" t="s">
        <v>239</v>
      </c>
      <c r="Y18" s="25"/>
      <c r="Z18" s="25"/>
      <c r="AA18" s="25"/>
      <c r="AB18" s="25"/>
      <c r="AC18" s="25"/>
      <c r="AD18" s="25"/>
      <c r="AE18" s="25"/>
      <c r="AF18" s="25"/>
      <c r="AG18" s="25"/>
      <c r="AH18" s="25"/>
      <c r="AI18" s="25"/>
      <c r="AJ18" s="25"/>
      <c r="AK18" s="25"/>
      <c r="AL18" s="25"/>
      <c r="AM18" s="25"/>
      <c r="AN18" s="25"/>
      <c r="AO18" s="25"/>
      <c r="AP18" s="25"/>
    </row>
    <row r="19" spans="1:42" ht="13.8">
      <c r="A19" s="25" t="s">
        <v>130</v>
      </c>
      <c r="B19" s="26" t="s">
        <v>240</v>
      </c>
      <c r="C19" s="25">
        <v>18</v>
      </c>
      <c r="D19" s="28" t="s">
        <v>241</v>
      </c>
      <c r="E19" s="28">
        <v>402</v>
      </c>
      <c r="F19" s="29" t="s">
        <v>228</v>
      </c>
      <c r="G19" s="30" t="s">
        <v>242</v>
      </c>
      <c r="H19" s="29" t="s">
        <v>39</v>
      </c>
      <c r="I19" s="30" t="s">
        <v>243</v>
      </c>
      <c r="J19" s="30" t="s">
        <v>244</v>
      </c>
      <c r="K19" s="30" t="s">
        <v>58</v>
      </c>
      <c r="L19" s="30" t="s">
        <v>245</v>
      </c>
      <c r="M19" s="30">
        <v>9869804124</v>
      </c>
      <c r="N19" s="29" t="s">
        <v>44</v>
      </c>
      <c r="O19" s="30">
        <v>9869804124</v>
      </c>
      <c r="P19" s="30" t="s">
        <v>44</v>
      </c>
      <c r="Q19" s="29" t="s">
        <v>234</v>
      </c>
      <c r="R19" s="25" t="s">
        <v>47</v>
      </c>
      <c r="S19" s="32" t="s">
        <v>235</v>
      </c>
      <c r="T19" s="32" t="s">
        <v>236</v>
      </c>
      <c r="U19" s="32" t="s">
        <v>246</v>
      </c>
      <c r="V19" s="32" t="s">
        <v>247</v>
      </c>
      <c r="W19" s="28" t="s">
        <v>71</v>
      </c>
      <c r="X19" s="28" t="s">
        <v>239</v>
      </c>
      <c r="Y19" s="25"/>
      <c r="Z19" s="25"/>
      <c r="AA19" s="25"/>
      <c r="AB19" s="25"/>
      <c r="AC19" s="25"/>
      <c r="AD19" s="25"/>
      <c r="AE19" s="25"/>
      <c r="AF19" s="25"/>
      <c r="AG19" s="25"/>
      <c r="AH19" s="25"/>
      <c r="AI19" s="25"/>
      <c r="AJ19" s="25"/>
      <c r="AK19" s="25"/>
      <c r="AL19" s="25"/>
      <c r="AM19" s="25"/>
      <c r="AN19" s="25"/>
      <c r="AO19" s="25"/>
      <c r="AP19" s="25"/>
    </row>
    <row r="20" spans="1:42" ht="16.8">
      <c r="A20" s="6" t="s">
        <v>130</v>
      </c>
      <c r="B20" s="15" t="s">
        <v>248</v>
      </c>
      <c r="C20" s="6">
        <v>19</v>
      </c>
      <c r="D20" s="17" t="s">
        <v>249</v>
      </c>
      <c r="E20" s="17">
        <v>403</v>
      </c>
      <c r="F20" s="22" t="s">
        <v>250</v>
      </c>
      <c r="G20" s="19" t="s">
        <v>251</v>
      </c>
      <c r="H20" s="18" t="s">
        <v>39</v>
      </c>
      <c r="I20" s="19" t="s">
        <v>135</v>
      </c>
      <c r="J20" s="20" t="s">
        <v>252</v>
      </c>
      <c r="K20" s="20" t="s">
        <v>253</v>
      </c>
      <c r="L20" s="19" t="s">
        <v>138</v>
      </c>
      <c r="M20" s="19">
        <v>9662336578</v>
      </c>
      <c r="N20" s="18" t="s">
        <v>44</v>
      </c>
      <c r="O20" s="19">
        <v>9662336578</v>
      </c>
      <c r="P20" s="22" t="s">
        <v>139</v>
      </c>
      <c r="Q20" s="18" t="s">
        <v>254</v>
      </c>
      <c r="R20" s="6" t="s">
        <v>47</v>
      </c>
      <c r="S20" s="24" t="s">
        <v>141</v>
      </c>
      <c r="T20" s="24" t="s">
        <v>49</v>
      </c>
      <c r="U20" s="24" t="s">
        <v>142</v>
      </c>
      <c r="V20" s="24" t="s">
        <v>143</v>
      </c>
      <c r="W20" s="17" t="s">
        <v>71</v>
      </c>
      <c r="X20" s="17" t="s">
        <v>144</v>
      </c>
      <c r="Y20" s="6"/>
      <c r="Z20" s="6"/>
      <c r="AA20" s="6"/>
      <c r="AB20" s="6"/>
      <c r="AC20" s="6"/>
      <c r="AD20" s="6"/>
      <c r="AE20" s="6"/>
      <c r="AF20" s="6"/>
      <c r="AG20" s="6"/>
      <c r="AH20" s="6"/>
      <c r="AI20" s="6"/>
      <c r="AJ20" s="6"/>
      <c r="AK20" s="6"/>
      <c r="AL20" s="6"/>
      <c r="AM20" s="6"/>
      <c r="AN20" s="6"/>
      <c r="AO20" s="6"/>
      <c r="AP20" s="6"/>
    </row>
    <row r="21" spans="1:42" ht="16.8">
      <c r="A21" s="6" t="s">
        <v>130</v>
      </c>
      <c r="B21" s="15" t="s">
        <v>255</v>
      </c>
      <c r="C21" s="6">
        <v>20</v>
      </c>
      <c r="D21" s="17" t="s">
        <v>256</v>
      </c>
      <c r="E21" s="17">
        <v>404</v>
      </c>
      <c r="F21" s="22" t="s">
        <v>257</v>
      </c>
      <c r="G21" s="19" t="s">
        <v>258</v>
      </c>
      <c r="H21" s="18" t="s">
        <v>39</v>
      </c>
      <c r="I21" s="19" t="s">
        <v>135</v>
      </c>
      <c r="J21" s="20" t="s">
        <v>259</v>
      </c>
      <c r="K21" s="20" t="s">
        <v>260</v>
      </c>
      <c r="L21" s="19" t="s">
        <v>138</v>
      </c>
      <c r="M21" s="19">
        <v>9324226442</v>
      </c>
      <c r="N21" s="18" t="s">
        <v>44</v>
      </c>
      <c r="O21" s="19">
        <v>9324226442</v>
      </c>
      <c r="P21" s="22" t="s">
        <v>139</v>
      </c>
      <c r="Q21" s="18" t="s">
        <v>254</v>
      </c>
      <c r="R21" s="6" t="s">
        <v>47</v>
      </c>
      <c r="S21" s="24" t="s">
        <v>141</v>
      </c>
      <c r="T21" s="24" t="s">
        <v>49</v>
      </c>
      <c r="U21" s="24" t="s">
        <v>142</v>
      </c>
      <c r="V21" s="24" t="s">
        <v>143</v>
      </c>
      <c r="W21" s="17" t="s">
        <v>71</v>
      </c>
      <c r="X21" s="17" t="s">
        <v>144</v>
      </c>
      <c r="Y21" s="6"/>
      <c r="Z21" s="6"/>
      <c r="AA21" s="6"/>
      <c r="AB21" s="6"/>
      <c r="AC21" s="6"/>
      <c r="AD21" s="6"/>
      <c r="AE21" s="6"/>
      <c r="AF21" s="6"/>
      <c r="AG21" s="6"/>
      <c r="AH21" s="6"/>
      <c r="AI21" s="6"/>
      <c r="AJ21" s="6"/>
      <c r="AK21" s="6"/>
      <c r="AL21" s="6"/>
      <c r="AM21" s="6"/>
      <c r="AN21" s="6"/>
      <c r="AO21" s="6"/>
      <c r="AP21" s="6"/>
    </row>
    <row r="22" spans="1:42" ht="16.8">
      <c r="A22" s="6" t="s">
        <v>130</v>
      </c>
      <c r="B22" s="15" t="s">
        <v>261</v>
      </c>
      <c r="C22" s="6">
        <v>21</v>
      </c>
      <c r="D22" s="17" t="s">
        <v>262</v>
      </c>
      <c r="E22" s="17">
        <v>405</v>
      </c>
      <c r="F22" s="22" t="s">
        <v>263</v>
      </c>
      <c r="G22" s="19" t="s">
        <v>264</v>
      </c>
      <c r="H22" s="18" t="s">
        <v>39</v>
      </c>
      <c r="I22" s="19" t="s">
        <v>135</v>
      </c>
      <c r="J22" s="43" t="s">
        <v>265</v>
      </c>
      <c r="K22" s="20" t="s">
        <v>260</v>
      </c>
      <c r="L22" s="19" t="s">
        <v>138</v>
      </c>
      <c r="M22" s="19">
        <v>9821004738</v>
      </c>
      <c r="N22" s="18" t="s">
        <v>44</v>
      </c>
      <c r="O22" s="19">
        <v>9821004738</v>
      </c>
      <c r="P22" s="22" t="s">
        <v>139</v>
      </c>
      <c r="Q22" s="18" t="s">
        <v>254</v>
      </c>
      <c r="R22" s="6" t="s">
        <v>47</v>
      </c>
      <c r="S22" s="24" t="s">
        <v>141</v>
      </c>
      <c r="T22" s="24" t="s">
        <v>49</v>
      </c>
      <c r="U22" s="24" t="s">
        <v>142</v>
      </c>
      <c r="V22" s="24" t="s">
        <v>143</v>
      </c>
      <c r="W22" s="17" t="s">
        <v>71</v>
      </c>
      <c r="X22" s="17" t="s">
        <v>144</v>
      </c>
      <c r="Y22" s="6"/>
      <c r="Z22" s="6"/>
      <c r="AA22" s="6"/>
      <c r="AB22" s="6"/>
      <c r="AC22" s="6"/>
      <c r="AD22" s="6"/>
      <c r="AE22" s="6"/>
      <c r="AF22" s="6"/>
      <c r="AG22" s="6"/>
      <c r="AH22" s="6"/>
      <c r="AI22" s="6"/>
      <c r="AJ22" s="6"/>
      <c r="AK22" s="6"/>
      <c r="AL22" s="6"/>
      <c r="AM22" s="6"/>
      <c r="AN22" s="6"/>
      <c r="AO22" s="6"/>
      <c r="AP22" s="6"/>
    </row>
    <row r="23" spans="1:42" ht="16.8">
      <c r="A23" s="6" t="s">
        <v>130</v>
      </c>
      <c r="B23" s="15" t="s">
        <v>266</v>
      </c>
      <c r="C23" s="6">
        <v>22</v>
      </c>
      <c r="D23" s="16" t="s">
        <v>267</v>
      </c>
      <c r="E23" s="17">
        <v>406</v>
      </c>
      <c r="F23" s="22" t="s">
        <v>268</v>
      </c>
      <c r="G23" s="19" t="s">
        <v>269</v>
      </c>
      <c r="H23" s="18" t="s">
        <v>39</v>
      </c>
      <c r="I23" s="19" t="s">
        <v>135</v>
      </c>
      <c r="J23" s="20" t="s">
        <v>270</v>
      </c>
      <c r="K23" s="20" t="s">
        <v>271</v>
      </c>
      <c r="L23" s="19" t="s">
        <v>138</v>
      </c>
      <c r="M23" s="19">
        <v>7738294928</v>
      </c>
      <c r="N23" s="18" t="s">
        <v>44</v>
      </c>
      <c r="O23" s="19">
        <v>7738294928</v>
      </c>
      <c r="P23" s="22" t="s">
        <v>139</v>
      </c>
      <c r="Q23" s="18" t="s">
        <v>254</v>
      </c>
      <c r="R23" s="6" t="s">
        <v>47</v>
      </c>
      <c r="S23" s="24" t="s">
        <v>141</v>
      </c>
      <c r="T23" s="24" t="s">
        <v>49</v>
      </c>
      <c r="U23" s="24" t="s">
        <v>142</v>
      </c>
      <c r="V23" s="24" t="s">
        <v>143</v>
      </c>
      <c r="W23" s="17" t="s">
        <v>71</v>
      </c>
      <c r="X23" s="17" t="s">
        <v>144</v>
      </c>
      <c r="Y23" s="6"/>
      <c r="Z23" s="6"/>
      <c r="AA23" s="6"/>
      <c r="AB23" s="6"/>
      <c r="AC23" s="6"/>
      <c r="AD23" s="6"/>
      <c r="AE23" s="6"/>
      <c r="AF23" s="6"/>
      <c r="AG23" s="6"/>
      <c r="AH23" s="6"/>
      <c r="AI23" s="6"/>
      <c r="AJ23" s="6"/>
      <c r="AK23" s="6"/>
      <c r="AL23" s="6"/>
      <c r="AM23" s="6"/>
      <c r="AN23" s="6"/>
      <c r="AO23" s="6"/>
      <c r="AP23" s="6"/>
    </row>
    <row r="24" spans="1:42" ht="13.8">
      <c r="A24" s="25" t="s">
        <v>130</v>
      </c>
      <c r="B24" s="26" t="s">
        <v>272</v>
      </c>
      <c r="C24" s="25">
        <v>23</v>
      </c>
      <c r="D24" s="27" t="s">
        <v>273</v>
      </c>
      <c r="E24" s="28">
        <v>424</v>
      </c>
      <c r="F24" s="29" t="s">
        <v>274</v>
      </c>
      <c r="G24" s="30" t="s">
        <v>275</v>
      </c>
      <c r="H24" s="29" t="s">
        <v>39</v>
      </c>
      <c r="I24" s="49" t="s">
        <v>276</v>
      </c>
      <c r="J24" s="30" t="s">
        <v>277</v>
      </c>
      <c r="K24" s="49" t="s">
        <v>278</v>
      </c>
      <c r="L24" s="50" t="s">
        <v>279</v>
      </c>
      <c r="M24" s="30">
        <v>9867770001</v>
      </c>
      <c r="N24" s="29" t="s">
        <v>44</v>
      </c>
      <c r="O24" s="30">
        <v>9867770001</v>
      </c>
      <c r="P24" s="30" t="s">
        <v>44</v>
      </c>
      <c r="Q24" s="29" t="s">
        <v>280</v>
      </c>
      <c r="R24" s="25" t="s">
        <v>47</v>
      </c>
      <c r="S24" s="51" t="s">
        <v>170</v>
      </c>
      <c r="T24" s="51" t="s">
        <v>49</v>
      </c>
      <c r="U24" s="51" t="s">
        <v>281</v>
      </c>
      <c r="V24" s="51" t="s">
        <v>282</v>
      </c>
      <c r="W24" s="28" t="s">
        <v>71</v>
      </c>
      <c r="X24" s="28" t="s">
        <v>283</v>
      </c>
      <c r="Y24" s="25"/>
      <c r="Z24" s="25"/>
      <c r="AA24" s="25"/>
      <c r="AB24" s="25"/>
      <c r="AC24" s="25"/>
      <c r="AD24" s="25"/>
      <c r="AE24" s="25"/>
      <c r="AF24" s="25"/>
      <c r="AG24" s="25"/>
      <c r="AH24" s="25"/>
      <c r="AI24" s="25"/>
      <c r="AJ24" s="25"/>
      <c r="AK24" s="25"/>
      <c r="AL24" s="25"/>
      <c r="AM24" s="25"/>
      <c r="AN24" s="25"/>
      <c r="AO24" s="25"/>
      <c r="AP24" s="25"/>
    </row>
    <row r="25" spans="1:42" ht="16.8">
      <c r="A25" s="6" t="s">
        <v>130</v>
      </c>
      <c r="B25" s="15" t="s">
        <v>284</v>
      </c>
      <c r="C25" s="6">
        <v>24</v>
      </c>
      <c r="D25" s="16" t="s">
        <v>285</v>
      </c>
      <c r="E25" s="17">
        <v>448</v>
      </c>
      <c r="F25" s="18" t="s">
        <v>286</v>
      </c>
      <c r="G25" s="19" t="s">
        <v>287</v>
      </c>
      <c r="H25" s="18" t="s">
        <v>39</v>
      </c>
      <c r="I25" s="20" t="s">
        <v>288</v>
      </c>
      <c r="J25" s="20" t="s">
        <v>289</v>
      </c>
      <c r="K25" s="18"/>
      <c r="L25" s="21" t="s">
        <v>290</v>
      </c>
      <c r="M25" s="19">
        <v>9867308841</v>
      </c>
      <c r="N25" s="18" t="s">
        <v>44</v>
      </c>
      <c r="O25" s="19">
        <v>9867308841</v>
      </c>
      <c r="P25" s="19" t="s">
        <v>44</v>
      </c>
      <c r="Q25" s="19" t="s">
        <v>44</v>
      </c>
      <c r="R25" s="6" t="s">
        <v>47</v>
      </c>
      <c r="S25" s="24" t="s">
        <v>170</v>
      </c>
      <c r="T25" s="24" t="s">
        <v>49</v>
      </c>
      <c r="U25" s="24" t="s">
        <v>291</v>
      </c>
      <c r="V25" s="24" t="s">
        <v>292</v>
      </c>
      <c r="W25" s="17" t="s">
        <v>71</v>
      </c>
      <c r="X25" s="17" t="s">
        <v>293</v>
      </c>
      <c r="Y25" s="6"/>
      <c r="Z25" s="6"/>
      <c r="AA25" s="6"/>
      <c r="AB25" s="6"/>
      <c r="AC25" s="6"/>
      <c r="AD25" s="6"/>
      <c r="AE25" s="6"/>
      <c r="AF25" s="6"/>
      <c r="AG25" s="6"/>
      <c r="AH25" s="6"/>
      <c r="AI25" s="6"/>
      <c r="AJ25" s="6"/>
      <c r="AK25" s="6"/>
      <c r="AL25" s="6"/>
      <c r="AM25" s="6"/>
      <c r="AN25" s="6"/>
      <c r="AO25" s="6"/>
      <c r="AP25" s="6"/>
    </row>
    <row r="26" spans="1:42" ht="16.8">
      <c r="A26" s="6" t="s">
        <v>130</v>
      </c>
      <c r="B26" s="15" t="s">
        <v>294</v>
      </c>
      <c r="C26" s="6">
        <v>25</v>
      </c>
      <c r="D26" s="16" t="s">
        <v>295</v>
      </c>
      <c r="E26" s="17">
        <v>449</v>
      </c>
      <c r="F26" s="22" t="s">
        <v>296</v>
      </c>
      <c r="G26" s="19" t="s">
        <v>297</v>
      </c>
      <c r="H26" s="18" t="s">
        <v>39</v>
      </c>
      <c r="I26" s="20" t="s">
        <v>288</v>
      </c>
      <c r="J26" s="20" t="s">
        <v>298</v>
      </c>
      <c r="K26" s="18"/>
      <c r="L26" s="21" t="s">
        <v>299</v>
      </c>
      <c r="M26" s="19">
        <v>8850703667</v>
      </c>
      <c r="N26" s="18" t="s">
        <v>44</v>
      </c>
      <c r="O26" s="19">
        <v>8850703667</v>
      </c>
      <c r="P26" s="19" t="s">
        <v>44</v>
      </c>
      <c r="Q26" s="19" t="s">
        <v>44</v>
      </c>
      <c r="R26" s="6" t="s">
        <v>47</v>
      </c>
      <c r="S26" s="24" t="s">
        <v>300</v>
      </c>
      <c r="T26" s="24" t="s">
        <v>301</v>
      </c>
      <c r="U26" s="24" t="s">
        <v>302</v>
      </c>
      <c r="V26" s="24" t="s">
        <v>303</v>
      </c>
      <c r="W26" s="17" t="s">
        <v>71</v>
      </c>
      <c r="X26" s="17" t="s">
        <v>293</v>
      </c>
      <c r="Y26" s="6"/>
      <c r="Z26" s="6"/>
      <c r="AA26" s="6"/>
      <c r="AB26" s="6"/>
      <c r="AC26" s="6"/>
      <c r="AD26" s="6"/>
      <c r="AE26" s="6"/>
      <c r="AF26" s="6"/>
      <c r="AG26" s="6"/>
      <c r="AH26" s="6"/>
      <c r="AI26" s="6"/>
      <c r="AJ26" s="6"/>
      <c r="AK26" s="6"/>
      <c r="AL26" s="6"/>
      <c r="AM26" s="6"/>
      <c r="AN26" s="6"/>
      <c r="AO26" s="6"/>
      <c r="AP26" s="6"/>
    </row>
    <row r="27" spans="1:42" ht="16.8">
      <c r="A27" s="6" t="s">
        <v>130</v>
      </c>
      <c r="B27" s="15" t="s">
        <v>304</v>
      </c>
      <c r="C27" s="6">
        <v>26</v>
      </c>
      <c r="D27" s="16" t="s">
        <v>305</v>
      </c>
      <c r="E27" s="17">
        <v>450</v>
      </c>
      <c r="F27" s="22" t="s">
        <v>306</v>
      </c>
      <c r="G27" s="20" t="s">
        <v>307</v>
      </c>
      <c r="H27" s="18" t="s">
        <v>39</v>
      </c>
      <c r="I27" s="20" t="s">
        <v>288</v>
      </c>
      <c r="J27" s="20" t="s">
        <v>308</v>
      </c>
      <c r="K27" s="20" t="s">
        <v>309</v>
      </c>
      <c r="L27" s="21" t="s">
        <v>310</v>
      </c>
      <c r="M27" s="19">
        <v>8850703667</v>
      </c>
      <c r="N27" s="18" t="s">
        <v>44</v>
      </c>
      <c r="O27" s="19">
        <v>8850703667</v>
      </c>
      <c r="P27" s="19" t="s">
        <v>44</v>
      </c>
      <c r="Q27" s="19" t="s">
        <v>44</v>
      </c>
      <c r="R27" s="6" t="s">
        <v>47</v>
      </c>
      <c r="S27" s="24" t="s">
        <v>311</v>
      </c>
      <c r="T27" s="24" t="s">
        <v>312</v>
      </c>
      <c r="U27" s="24" t="s">
        <v>313</v>
      </c>
      <c r="V27" s="24" t="s">
        <v>314</v>
      </c>
      <c r="W27" s="17" t="s">
        <v>71</v>
      </c>
      <c r="X27" s="17" t="s">
        <v>293</v>
      </c>
      <c r="Y27" s="6"/>
      <c r="Z27" s="6"/>
      <c r="AA27" s="6"/>
      <c r="AB27" s="6"/>
      <c r="AC27" s="6"/>
      <c r="AD27" s="6"/>
      <c r="AE27" s="6"/>
      <c r="AF27" s="6"/>
      <c r="AG27" s="6"/>
      <c r="AH27" s="6"/>
      <c r="AI27" s="6"/>
      <c r="AJ27" s="6"/>
      <c r="AK27" s="6"/>
      <c r="AL27" s="6"/>
      <c r="AM27" s="6"/>
      <c r="AN27" s="6"/>
      <c r="AO27" s="6"/>
      <c r="AP27" s="6"/>
    </row>
    <row r="28" spans="1:42" ht="16.8">
      <c r="A28" s="6" t="s">
        <v>130</v>
      </c>
      <c r="B28" s="15" t="s">
        <v>315</v>
      </c>
      <c r="C28" s="6">
        <v>27</v>
      </c>
      <c r="D28" s="16" t="s">
        <v>316</v>
      </c>
      <c r="E28" s="17">
        <v>451</v>
      </c>
      <c r="F28" s="22" t="s">
        <v>317</v>
      </c>
      <c r="G28" s="19" t="s">
        <v>318</v>
      </c>
      <c r="H28" s="18" t="s">
        <v>39</v>
      </c>
      <c r="I28" s="20" t="s">
        <v>288</v>
      </c>
      <c r="J28" s="20" t="s">
        <v>319</v>
      </c>
      <c r="K28" s="18"/>
      <c r="L28" s="21" t="s">
        <v>320</v>
      </c>
      <c r="M28" s="19">
        <v>9819042381</v>
      </c>
      <c r="N28" s="18" t="s">
        <v>44</v>
      </c>
      <c r="O28" s="19">
        <v>9819042381</v>
      </c>
      <c r="P28" s="19" t="s">
        <v>44</v>
      </c>
      <c r="Q28" s="19" t="s">
        <v>44</v>
      </c>
      <c r="R28" s="6" t="s">
        <v>47</v>
      </c>
      <c r="S28" s="24" t="s">
        <v>321</v>
      </c>
      <c r="T28" s="24" t="s">
        <v>322</v>
      </c>
      <c r="U28" s="24" t="s">
        <v>323</v>
      </c>
      <c r="V28" s="24" t="s">
        <v>324</v>
      </c>
      <c r="W28" s="17" t="s">
        <v>71</v>
      </c>
      <c r="X28" s="17" t="s">
        <v>293</v>
      </c>
      <c r="Y28" s="6"/>
      <c r="Z28" s="6"/>
      <c r="AA28" s="6"/>
      <c r="AB28" s="6"/>
      <c r="AC28" s="6"/>
      <c r="AD28" s="6"/>
      <c r="AE28" s="6"/>
      <c r="AF28" s="6"/>
      <c r="AG28" s="6"/>
      <c r="AH28" s="6"/>
      <c r="AI28" s="6"/>
      <c r="AJ28" s="6"/>
      <c r="AK28" s="6"/>
      <c r="AL28" s="6"/>
      <c r="AM28" s="6"/>
      <c r="AN28" s="6"/>
      <c r="AO28" s="6"/>
      <c r="AP28" s="6"/>
    </row>
    <row r="29" spans="1:42" ht="13.2">
      <c r="A29" s="1" t="s">
        <v>325</v>
      </c>
      <c r="B29" s="1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row>
    <row r="30" spans="1:42" ht="13.2">
      <c r="N30" s="1"/>
    </row>
    <row r="31" spans="1:42" ht="13.2">
      <c r="N31" s="1"/>
    </row>
    <row r="32" spans="1:42" ht="13.2">
      <c r="N32" s="1"/>
    </row>
    <row r="33" spans="14:14" ht="13.2">
      <c r="N33" s="1"/>
    </row>
    <row r="34" spans="14:14" ht="13.2">
      <c r="N34" s="1"/>
    </row>
    <row r="35" spans="14:14" ht="13.2">
      <c r="N35" s="1"/>
    </row>
    <row r="36" spans="14:14" ht="13.2">
      <c r="N36" s="1"/>
    </row>
    <row r="37" spans="14:14" ht="13.2">
      <c r="N37" s="1"/>
    </row>
    <row r="38" spans="14:14" ht="13.2">
      <c r="N38" s="1"/>
    </row>
    <row r="39" spans="14:14" ht="13.2">
      <c r="N39" s="1"/>
    </row>
    <row r="40" spans="14:14" ht="13.2">
      <c r="N40" s="1"/>
    </row>
    <row r="41" spans="14:14" ht="13.2">
      <c r="N41" s="1"/>
    </row>
    <row r="42" spans="14:14" ht="13.2">
      <c r="N42" s="1"/>
    </row>
    <row r="43" spans="14:14" ht="13.2">
      <c r="N43" s="1"/>
    </row>
    <row r="44" spans="14:14" ht="13.2">
      <c r="N44" s="1"/>
    </row>
    <row r="45" spans="14:14" ht="13.2">
      <c r="N45" s="1"/>
    </row>
    <row r="46" spans="14:14" ht="13.2">
      <c r="N46" s="1"/>
    </row>
    <row r="47" spans="14:14" ht="13.2">
      <c r="N47" s="1"/>
    </row>
    <row r="48" spans="14:14" ht="13.2">
      <c r="N48" s="1"/>
    </row>
    <row r="49" spans="14:14" ht="13.2">
      <c r="N49" s="1"/>
    </row>
    <row r="50" spans="14:14" ht="13.2">
      <c r="N50" s="1"/>
    </row>
    <row r="51" spans="14:14" ht="13.2">
      <c r="N51" s="1"/>
    </row>
    <row r="52" spans="14:14" ht="13.2">
      <c r="N52" s="1"/>
    </row>
    <row r="53" spans="14:14" ht="13.2">
      <c r="N53" s="1"/>
    </row>
    <row r="54" spans="14:14" ht="13.2">
      <c r="N54" s="1"/>
    </row>
    <row r="55" spans="14:14" ht="13.2">
      <c r="N55" s="1"/>
    </row>
    <row r="56" spans="14:14" ht="13.2">
      <c r="N56" s="1"/>
    </row>
    <row r="57" spans="14:14" ht="13.2">
      <c r="N57" s="1"/>
    </row>
    <row r="58" spans="14:14" ht="13.2">
      <c r="N58" s="1"/>
    </row>
    <row r="59" spans="14:14" ht="13.2">
      <c r="N59" s="1"/>
    </row>
    <row r="60" spans="14:14" ht="13.2">
      <c r="N60" s="1"/>
    </row>
    <row r="61" spans="14:14" ht="13.2">
      <c r="N61" s="1"/>
    </row>
    <row r="62" spans="14:14" ht="13.2">
      <c r="N62" s="1"/>
    </row>
    <row r="63" spans="14:14" ht="13.2">
      <c r="N63" s="1"/>
    </row>
    <row r="64" spans="14:14" ht="13.2">
      <c r="N64" s="1"/>
    </row>
    <row r="65" spans="14:14" ht="13.2">
      <c r="N65" s="1"/>
    </row>
    <row r="66" spans="14:14" ht="13.2">
      <c r="N66" s="1"/>
    </row>
    <row r="67" spans="14:14" ht="13.2">
      <c r="N67" s="1"/>
    </row>
    <row r="68" spans="14:14" ht="13.2">
      <c r="N68" s="1"/>
    </row>
    <row r="69" spans="14:14" ht="13.2">
      <c r="N69" s="1"/>
    </row>
    <row r="70" spans="14:14" ht="13.2">
      <c r="N70" s="1"/>
    </row>
    <row r="71" spans="14:14" ht="13.2">
      <c r="N71" s="1"/>
    </row>
    <row r="72" spans="14:14" ht="13.2">
      <c r="N72" s="1"/>
    </row>
    <row r="73" spans="14:14" ht="13.2">
      <c r="N73" s="1"/>
    </row>
    <row r="74" spans="14:14" ht="13.2">
      <c r="N74" s="1"/>
    </row>
    <row r="75" spans="14:14" ht="13.2">
      <c r="N75" s="1"/>
    </row>
    <row r="76" spans="14:14" ht="13.2">
      <c r="N76" s="1"/>
    </row>
    <row r="77" spans="14:14" ht="13.2">
      <c r="N77" s="1"/>
    </row>
    <row r="78" spans="14:14" ht="13.2">
      <c r="N78" s="1"/>
    </row>
    <row r="79" spans="14:14" ht="13.2">
      <c r="N79" s="1"/>
    </row>
    <row r="80" spans="14:14" ht="13.2">
      <c r="N80" s="1"/>
    </row>
    <row r="81" spans="14:14" ht="13.2">
      <c r="N81" s="1"/>
    </row>
    <row r="82" spans="14:14" ht="13.2">
      <c r="N82" s="1"/>
    </row>
    <row r="83" spans="14:14" ht="13.2">
      <c r="N83" s="1"/>
    </row>
    <row r="84" spans="14:14" ht="13.2">
      <c r="N84" s="1"/>
    </row>
    <row r="85" spans="14:14" ht="13.2">
      <c r="N85" s="1"/>
    </row>
    <row r="86" spans="14:14" ht="13.2">
      <c r="N86" s="1"/>
    </row>
    <row r="87" spans="14:14" ht="13.2">
      <c r="N87" s="1"/>
    </row>
    <row r="88" spans="14:14" ht="13.2">
      <c r="N88" s="1"/>
    </row>
    <row r="89" spans="14:14" ht="13.2">
      <c r="N89" s="1"/>
    </row>
    <row r="90" spans="14:14" ht="13.2">
      <c r="N90" s="1"/>
    </row>
    <row r="91" spans="14:14" ht="13.2">
      <c r="N91" s="1"/>
    </row>
    <row r="92" spans="14:14" ht="13.2">
      <c r="N92" s="1"/>
    </row>
    <row r="93" spans="14:14" ht="13.2">
      <c r="N93" s="1"/>
    </row>
    <row r="94" spans="14:14" ht="13.2">
      <c r="N94" s="1"/>
    </row>
    <row r="95" spans="14:14" ht="13.2">
      <c r="N95" s="1"/>
    </row>
    <row r="96" spans="14:14" ht="13.2">
      <c r="N96" s="1"/>
    </row>
    <row r="97" spans="14:14" ht="13.2">
      <c r="N97" s="1"/>
    </row>
    <row r="98" spans="14:14" ht="13.2">
      <c r="N98" s="1"/>
    </row>
    <row r="99" spans="14:14" ht="13.2">
      <c r="N99" s="1"/>
    </row>
    <row r="100" spans="14:14" ht="13.2">
      <c r="N100" s="1"/>
    </row>
    <row r="101" spans="14:14" ht="13.2">
      <c r="N101" s="1"/>
    </row>
    <row r="102" spans="14:14" ht="13.2">
      <c r="N102" s="1"/>
    </row>
    <row r="103" spans="14:14" ht="13.2">
      <c r="N103" s="1"/>
    </row>
    <row r="104" spans="14:14" ht="13.2">
      <c r="N104" s="1"/>
    </row>
    <row r="105" spans="14:14" ht="13.2">
      <c r="N105" s="1"/>
    </row>
    <row r="106" spans="14:14" ht="13.2">
      <c r="N106" s="1"/>
    </row>
    <row r="107" spans="14:14" ht="13.2">
      <c r="N107" s="1"/>
    </row>
    <row r="108" spans="14:14" ht="13.2">
      <c r="N108" s="1"/>
    </row>
    <row r="109" spans="14:14" ht="13.2">
      <c r="N109" s="1"/>
    </row>
    <row r="110" spans="14:14" ht="13.2">
      <c r="N110" s="1"/>
    </row>
    <row r="111" spans="14:14" ht="13.2">
      <c r="N111" s="1"/>
    </row>
    <row r="112" spans="14:14" ht="13.2">
      <c r="N112" s="1"/>
    </row>
    <row r="113" spans="14:14" ht="13.2">
      <c r="N113" s="1"/>
    </row>
    <row r="114" spans="14:14" ht="13.2">
      <c r="N114" s="1"/>
    </row>
    <row r="115" spans="14:14" ht="13.2">
      <c r="N115" s="1"/>
    </row>
    <row r="116" spans="14:14" ht="13.2">
      <c r="N116" s="1"/>
    </row>
    <row r="117" spans="14:14" ht="13.2">
      <c r="N117" s="1"/>
    </row>
    <row r="118" spans="14:14" ht="13.2">
      <c r="N118" s="1"/>
    </row>
    <row r="119" spans="14:14" ht="13.2">
      <c r="N119" s="1"/>
    </row>
    <row r="120" spans="14:14" ht="13.2">
      <c r="N120" s="1"/>
    </row>
    <row r="121" spans="14:14" ht="13.2">
      <c r="N121" s="1"/>
    </row>
    <row r="122" spans="14:14" ht="13.2">
      <c r="N122" s="1"/>
    </row>
    <row r="123" spans="14:14" ht="13.2">
      <c r="N123" s="1"/>
    </row>
    <row r="124" spans="14:14" ht="13.2">
      <c r="N124" s="1"/>
    </row>
    <row r="125" spans="14:14" ht="13.2">
      <c r="N125" s="1"/>
    </row>
    <row r="126" spans="14:14" ht="13.2">
      <c r="N126" s="1"/>
    </row>
    <row r="127" spans="14:14" ht="13.2">
      <c r="N127" s="1"/>
    </row>
    <row r="128" spans="14:14" ht="13.2">
      <c r="N128" s="1"/>
    </row>
    <row r="129" spans="14:14" ht="13.2">
      <c r="N129" s="1"/>
    </row>
    <row r="130" spans="14:14" ht="13.2">
      <c r="N130" s="1"/>
    </row>
    <row r="131" spans="14:14" ht="13.2">
      <c r="N131" s="1"/>
    </row>
    <row r="132" spans="14:14" ht="13.2">
      <c r="N132" s="1"/>
    </row>
    <row r="133" spans="14:14" ht="13.2">
      <c r="N133" s="1"/>
    </row>
    <row r="134" spans="14:14" ht="13.2">
      <c r="N134" s="1"/>
    </row>
    <row r="135" spans="14:14" ht="13.2">
      <c r="N135" s="1"/>
    </row>
    <row r="136" spans="14:14" ht="13.2">
      <c r="N136" s="1"/>
    </row>
    <row r="137" spans="14:14" ht="13.2">
      <c r="N137" s="1"/>
    </row>
    <row r="138" spans="14:14" ht="13.2">
      <c r="N138" s="1"/>
    </row>
    <row r="139" spans="14:14" ht="13.2">
      <c r="N139" s="1"/>
    </row>
    <row r="140" spans="14:14" ht="13.2">
      <c r="N140" s="1"/>
    </row>
    <row r="141" spans="14:14" ht="13.2">
      <c r="N141" s="1"/>
    </row>
    <row r="142" spans="14:14" ht="13.2">
      <c r="N142" s="1"/>
    </row>
    <row r="143" spans="14:14" ht="13.2">
      <c r="N143" s="1"/>
    </row>
    <row r="144" spans="14:14" ht="13.2">
      <c r="N144" s="1"/>
    </row>
    <row r="145" spans="14:14" ht="13.2">
      <c r="N145" s="1"/>
    </row>
    <row r="146" spans="14:14" ht="13.2">
      <c r="N146" s="1"/>
    </row>
    <row r="147" spans="14:14" ht="13.2">
      <c r="N147" s="1"/>
    </row>
    <row r="148" spans="14:14" ht="13.2">
      <c r="N148" s="1"/>
    </row>
    <row r="149" spans="14:14" ht="13.2">
      <c r="N149" s="1"/>
    </row>
    <row r="150" spans="14:14" ht="13.2">
      <c r="N150" s="1"/>
    </row>
    <row r="151" spans="14:14" ht="13.2">
      <c r="N151" s="1"/>
    </row>
    <row r="152" spans="14:14" ht="13.2">
      <c r="N152" s="1"/>
    </row>
    <row r="153" spans="14:14" ht="13.2">
      <c r="N153" s="1"/>
    </row>
    <row r="154" spans="14:14" ht="13.2">
      <c r="N154" s="1"/>
    </row>
    <row r="155" spans="14:14" ht="13.2">
      <c r="N155" s="1"/>
    </row>
    <row r="156" spans="14:14" ht="13.2">
      <c r="N156" s="1"/>
    </row>
    <row r="157" spans="14:14" ht="13.2">
      <c r="N157" s="1"/>
    </row>
    <row r="158" spans="14:14" ht="13.2">
      <c r="N158" s="1"/>
    </row>
    <row r="159" spans="14:14" ht="13.2">
      <c r="N159" s="1"/>
    </row>
    <row r="160" spans="14:14" ht="13.2">
      <c r="N160" s="1"/>
    </row>
    <row r="161" spans="14:14" ht="13.2">
      <c r="N161" s="1"/>
    </row>
    <row r="162" spans="14:14" ht="13.2">
      <c r="N162" s="1"/>
    </row>
    <row r="163" spans="14:14" ht="13.2">
      <c r="N163" s="1"/>
    </row>
    <row r="164" spans="14:14" ht="13.2">
      <c r="N164" s="1"/>
    </row>
    <row r="165" spans="14:14" ht="13.2">
      <c r="N165" s="1"/>
    </row>
    <row r="166" spans="14:14" ht="13.2">
      <c r="N166" s="1"/>
    </row>
    <row r="167" spans="14:14" ht="13.2">
      <c r="N167" s="1"/>
    </row>
    <row r="168" spans="14:14" ht="13.2">
      <c r="N168" s="1"/>
    </row>
    <row r="169" spans="14:14" ht="13.2">
      <c r="N169" s="1"/>
    </row>
    <row r="170" spans="14:14" ht="13.2">
      <c r="N170" s="1"/>
    </row>
    <row r="171" spans="14:14" ht="13.2">
      <c r="N171" s="1"/>
    </row>
    <row r="172" spans="14:14" ht="13.2">
      <c r="N172" s="1"/>
    </row>
    <row r="173" spans="14:14" ht="13.2">
      <c r="N173" s="1"/>
    </row>
    <row r="174" spans="14:14" ht="13.2">
      <c r="N174" s="1"/>
    </row>
    <row r="175" spans="14:14" ht="13.2">
      <c r="N175" s="1"/>
    </row>
    <row r="176" spans="14:14" ht="13.2">
      <c r="N176" s="1"/>
    </row>
    <row r="177" spans="14:14" ht="13.2">
      <c r="N177" s="1"/>
    </row>
    <row r="178" spans="14:14" ht="13.2">
      <c r="N178" s="1"/>
    </row>
    <row r="179" spans="14:14" ht="13.2">
      <c r="N179" s="1"/>
    </row>
    <row r="180" spans="14:14" ht="13.2">
      <c r="N180" s="1"/>
    </row>
    <row r="181" spans="14:14" ht="13.2">
      <c r="N181" s="1"/>
    </row>
    <row r="182" spans="14:14" ht="13.2">
      <c r="N182" s="1"/>
    </row>
    <row r="183" spans="14:14" ht="13.2">
      <c r="N183" s="1"/>
    </row>
    <row r="184" spans="14:14" ht="13.2">
      <c r="N184" s="1"/>
    </row>
    <row r="185" spans="14:14" ht="13.2">
      <c r="N185" s="1"/>
    </row>
    <row r="186" spans="14:14" ht="13.2">
      <c r="N186" s="1"/>
    </row>
    <row r="187" spans="14:14" ht="13.2">
      <c r="N187" s="1"/>
    </row>
    <row r="188" spans="14:14" ht="13.2">
      <c r="N188" s="1"/>
    </row>
    <row r="189" spans="14:14" ht="13.2">
      <c r="N189" s="1"/>
    </row>
    <row r="190" spans="14:14" ht="13.2">
      <c r="N190" s="1"/>
    </row>
    <row r="191" spans="14:14" ht="13.2">
      <c r="N191" s="1"/>
    </row>
    <row r="192" spans="14:14" ht="13.2">
      <c r="N192" s="1"/>
    </row>
    <row r="193" spans="14:14" ht="13.2">
      <c r="N193" s="1"/>
    </row>
    <row r="194" spans="14:14" ht="13.2">
      <c r="N194" s="1"/>
    </row>
    <row r="195" spans="14:14" ht="13.2">
      <c r="N195" s="1"/>
    </row>
    <row r="196" spans="14:14" ht="13.2">
      <c r="N196" s="1"/>
    </row>
    <row r="197" spans="14:14" ht="13.2">
      <c r="N197" s="1"/>
    </row>
    <row r="198" spans="14:14" ht="13.2">
      <c r="N198" s="1"/>
    </row>
    <row r="199" spans="14:14" ht="13.2">
      <c r="N199" s="1"/>
    </row>
    <row r="200" spans="14:14" ht="13.2">
      <c r="N200" s="1"/>
    </row>
    <row r="201" spans="14:14" ht="13.2">
      <c r="N201" s="1"/>
    </row>
    <row r="202" spans="14:14" ht="13.2">
      <c r="N202" s="1"/>
    </row>
    <row r="203" spans="14:14" ht="13.2">
      <c r="N203" s="1"/>
    </row>
    <row r="204" spans="14:14" ht="13.2">
      <c r="N204" s="1"/>
    </row>
    <row r="205" spans="14:14" ht="13.2">
      <c r="N205" s="1"/>
    </row>
    <row r="206" spans="14:14" ht="13.2">
      <c r="N206" s="1"/>
    </row>
    <row r="207" spans="14:14" ht="13.2">
      <c r="N207" s="1"/>
    </row>
    <row r="208" spans="14:14" ht="13.2">
      <c r="N208" s="1"/>
    </row>
    <row r="209" spans="14:14" ht="13.2">
      <c r="N209" s="1"/>
    </row>
    <row r="210" spans="14:14" ht="13.2">
      <c r="N210" s="1"/>
    </row>
    <row r="211" spans="14:14" ht="13.2">
      <c r="N211" s="1"/>
    </row>
    <row r="212" spans="14:14" ht="13.2">
      <c r="N212" s="1"/>
    </row>
    <row r="213" spans="14:14" ht="13.2">
      <c r="N213" s="1"/>
    </row>
    <row r="214" spans="14:14" ht="13.2">
      <c r="N214" s="1"/>
    </row>
    <row r="215" spans="14:14" ht="13.2">
      <c r="N215" s="1"/>
    </row>
    <row r="216" spans="14:14" ht="13.2">
      <c r="N216" s="1"/>
    </row>
    <row r="217" spans="14:14" ht="13.2">
      <c r="N217" s="1"/>
    </row>
    <row r="218" spans="14:14" ht="13.2">
      <c r="N218" s="1"/>
    </row>
    <row r="219" spans="14:14" ht="13.2">
      <c r="N219" s="1"/>
    </row>
    <row r="220" spans="14:14" ht="13.2">
      <c r="N220" s="1"/>
    </row>
    <row r="221" spans="14:14" ht="13.2">
      <c r="N221" s="1"/>
    </row>
    <row r="222" spans="14:14" ht="13.2">
      <c r="N222" s="1"/>
    </row>
    <row r="223" spans="14:14" ht="13.2">
      <c r="N223" s="1"/>
    </row>
    <row r="224" spans="14:14" ht="13.2">
      <c r="N224" s="1"/>
    </row>
    <row r="225" spans="14:14" ht="13.2">
      <c r="N225" s="1"/>
    </row>
    <row r="226" spans="14:14" ht="13.2">
      <c r="N226" s="1"/>
    </row>
    <row r="227" spans="14:14" ht="13.2">
      <c r="N227" s="1"/>
    </row>
    <row r="228" spans="14:14" ht="13.2">
      <c r="N228" s="1"/>
    </row>
    <row r="229" spans="14:14" ht="13.2">
      <c r="N229" s="1"/>
    </row>
    <row r="230" spans="14:14" ht="13.2">
      <c r="N230" s="1"/>
    </row>
    <row r="231" spans="14:14" ht="13.2">
      <c r="N231" s="1"/>
    </row>
    <row r="232" spans="14:14" ht="13.2">
      <c r="N232" s="1"/>
    </row>
    <row r="233" spans="14:14" ht="13.2">
      <c r="N233" s="1"/>
    </row>
    <row r="234" spans="14:14" ht="13.2">
      <c r="N234" s="1"/>
    </row>
    <row r="235" spans="14:14" ht="13.2">
      <c r="N235" s="1"/>
    </row>
    <row r="236" spans="14:14" ht="13.2">
      <c r="N236" s="1"/>
    </row>
    <row r="237" spans="14:14" ht="13.2">
      <c r="N237" s="1"/>
    </row>
    <row r="238" spans="14:14" ht="13.2">
      <c r="N238" s="1"/>
    </row>
    <row r="239" spans="14:14" ht="13.2">
      <c r="N239" s="1"/>
    </row>
    <row r="240" spans="14:14" ht="13.2">
      <c r="N240" s="1"/>
    </row>
    <row r="241" spans="14:14" ht="13.2">
      <c r="N241" s="1"/>
    </row>
    <row r="242" spans="14:14" ht="13.2">
      <c r="N242" s="1"/>
    </row>
    <row r="243" spans="14:14" ht="13.2">
      <c r="N243" s="1"/>
    </row>
    <row r="244" spans="14:14" ht="13.2">
      <c r="N244" s="1"/>
    </row>
    <row r="245" spans="14:14" ht="13.2">
      <c r="N245" s="1"/>
    </row>
    <row r="246" spans="14:14" ht="13.2">
      <c r="N246" s="1"/>
    </row>
    <row r="247" spans="14:14" ht="13.2">
      <c r="N247" s="1"/>
    </row>
    <row r="248" spans="14:14" ht="13.2">
      <c r="N248" s="1"/>
    </row>
    <row r="249" spans="14:14" ht="13.2">
      <c r="N249" s="1"/>
    </row>
    <row r="250" spans="14:14" ht="13.2">
      <c r="N250" s="1"/>
    </row>
    <row r="251" spans="14:14" ht="13.2">
      <c r="N251" s="1"/>
    </row>
    <row r="252" spans="14:14" ht="13.2">
      <c r="N252" s="1"/>
    </row>
    <row r="253" spans="14:14" ht="13.2">
      <c r="N253" s="1"/>
    </row>
    <row r="254" spans="14:14" ht="13.2">
      <c r="N254" s="1"/>
    </row>
    <row r="255" spans="14:14" ht="13.2">
      <c r="N255" s="1"/>
    </row>
    <row r="256" spans="14:14" ht="13.2">
      <c r="N256" s="1"/>
    </row>
    <row r="257" spans="14:14" ht="13.2">
      <c r="N257" s="1"/>
    </row>
    <row r="258" spans="14:14" ht="13.2">
      <c r="N258" s="1"/>
    </row>
    <row r="259" spans="14:14" ht="13.2">
      <c r="N259" s="1"/>
    </row>
    <row r="260" spans="14:14" ht="13.2">
      <c r="N260" s="1"/>
    </row>
    <row r="261" spans="14:14" ht="13.2">
      <c r="N261" s="1"/>
    </row>
    <row r="262" spans="14:14" ht="13.2">
      <c r="N262" s="1"/>
    </row>
    <row r="263" spans="14:14" ht="13.2">
      <c r="N263" s="1"/>
    </row>
    <row r="264" spans="14:14" ht="13.2">
      <c r="N264" s="1"/>
    </row>
    <row r="265" spans="14:14" ht="13.2">
      <c r="N265" s="1"/>
    </row>
    <row r="266" spans="14:14" ht="13.2">
      <c r="N266" s="1"/>
    </row>
    <row r="267" spans="14:14" ht="13.2">
      <c r="N267" s="1"/>
    </row>
    <row r="268" spans="14:14" ht="13.2">
      <c r="N268" s="1"/>
    </row>
    <row r="269" spans="14:14" ht="13.2">
      <c r="N269" s="1"/>
    </row>
    <row r="270" spans="14:14" ht="13.2">
      <c r="N270" s="1"/>
    </row>
    <row r="271" spans="14:14" ht="13.2">
      <c r="N271" s="1"/>
    </row>
    <row r="272" spans="14:14" ht="13.2">
      <c r="N272" s="1"/>
    </row>
    <row r="273" spans="14:14" ht="13.2">
      <c r="N273" s="1"/>
    </row>
    <row r="274" spans="14:14" ht="13.2">
      <c r="N274" s="1"/>
    </row>
    <row r="275" spans="14:14" ht="13.2">
      <c r="N275" s="1"/>
    </row>
    <row r="276" spans="14:14" ht="13.2">
      <c r="N276" s="1"/>
    </row>
    <row r="277" spans="14:14" ht="13.2">
      <c r="N277" s="1"/>
    </row>
    <row r="278" spans="14:14" ht="13.2">
      <c r="N278" s="1"/>
    </row>
    <row r="279" spans="14:14" ht="13.2">
      <c r="N279" s="1"/>
    </row>
    <row r="280" spans="14:14" ht="13.2">
      <c r="N280" s="1"/>
    </row>
    <row r="281" spans="14:14" ht="13.2">
      <c r="N281" s="1"/>
    </row>
    <row r="282" spans="14:14" ht="13.2">
      <c r="N282" s="1"/>
    </row>
    <row r="283" spans="14:14" ht="13.2">
      <c r="N283" s="1"/>
    </row>
    <row r="284" spans="14:14" ht="13.2">
      <c r="N284" s="1"/>
    </row>
    <row r="285" spans="14:14" ht="13.2">
      <c r="N285" s="1"/>
    </row>
    <row r="286" spans="14:14" ht="13.2">
      <c r="N286" s="1"/>
    </row>
    <row r="287" spans="14:14" ht="13.2">
      <c r="N287" s="1"/>
    </row>
    <row r="288" spans="14:14" ht="13.2">
      <c r="N288" s="1"/>
    </row>
    <row r="289" spans="14:14" ht="13.2">
      <c r="N289" s="1"/>
    </row>
    <row r="290" spans="14:14" ht="13.2">
      <c r="N290" s="1"/>
    </row>
    <row r="291" spans="14:14" ht="13.2">
      <c r="N291" s="1"/>
    </row>
    <row r="292" spans="14:14" ht="13.2">
      <c r="N292" s="1"/>
    </row>
    <row r="293" spans="14:14" ht="13.2">
      <c r="N293" s="1"/>
    </row>
    <row r="294" spans="14:14" ht="13.2">
      <c r="N294" s="1"/>
    </row>
    <row r="295" spans="14:14" ht="13.2">
      <c r="N295" s="1"/>
    </row>
    <row r="296" spans="14:14" ht="13.2">
      <c r="N296" s="1"/>
    </row>
    <row r="297" spans="14:14" ht="13.2">
      <c r="N297" s="1"/>
    </row>
    <row r="298" spans="14:14" ht="13.2">
      <c r="N298" s="1"/>
    </row>
    <row r="299" spans="14:14" ht="13.2">
      <c r="N299" s="1"/>
    </row>
    <row r="300" spans="14:14" ht="13.2">
      <c r="N300" s="1"/>
    </row>
    <row r="301" spans="14:14" ht="13.2">
      <c r="N301" s="1"/>
    </row>
    <row r="302" spans="14:14" ht="13.2">
      <c r="N302" s="1"/>
    </row>
    <row r="303" spans="14:14" ht="13.2">
      <c r="N303" s="1"/>
    </row>
    <row r="304" spans="14:14" ht="13.2">
      <c r="N304" s="1"/>
    </row>
    <row r="305" spans="14:14" ht="13.2">
      <c r="N305" s="1"/>
    </row>
    <row r="306" spans="14:14" ht="13.2">
      <c r="N306" s="1"/>
    </row>
    <row r="307" spans="14:14" ht="13.2">
      <c r="N307" s="1"/>
    </row>
    <row r="308" spans="14:14" ht="13.2">
      <c r="N308" s="1"/>
    </row>
    <row r="309" spans="14:14" ht="13.2">
      <c r="N309" s="1"/>
    </row>
    <row r="310" spans="14:14" ht="13.2">
      <c r="N310" s="1"/>
    </row>
    <row r="311" spans="14:14" ht="13.2">
      <c r="N311" s="1"/>
    </row>
    <row r="312" spans="14:14" ht="13.2">
      <c r="N312" s="1"/>
    </row>
    <row r="313" spans="14:14" ht="13.2">
      <c r="N313" s="1"/>
    </row>
    <row r="314" spans="14:14" ht="13.2">
      <c r="N314" s="1"/>
    </row>
    <row r="315" spans="14:14" ht="13.2">
      <c r="N315" s="1"/>
    </row>
    <row r="316" spans="14:14" ht="13.2">
      <c r="N316" s="1"/>
    </row>
    <row r="317" spans="14:14" ht="13.2">
      <c r="N317" s="1"/>
    </row>
    <row r="318" spans="14:14" ht="13.2">
      <c r="N318" s="1"/>
    </row>
    <row r="319" spans="14:14" ht="13.2">
      <c r="N319" s="1"/>
    </row>
    <row r="320" spans="14:14" ht="13.2">
      <c r="N320" s="1"/>
    </row>
    <row r="321" spans="14:14" ht="13.2">
      <c r="N321" s="1"/>
    </row>
    <row r="322" spans="14:14" ht="13.2">
      <c r="N322" s="1"/>
    </row>
    <row r="323" spans="14:14" ht="13.2">
      <c r="N323" s="1"/>
    </row>
    <row r="324" spans="14:14" ht="13.2">
      <c r="N324" s="1"/>
    </row>
    <row r="325" spans="14:14" ht="13.2">
      <c r="N325" s="1"/>
    </row>
    <row r="326" spans="14:14" ht="13.2">
      <c r="N326" s="1"/>
    </row>
    <row r="327" spans="14:14" ht="13.2">
      <c r="N327" s="1"/>
    </row>
    <row r="328" spans="14:14" ht="13.2">
      <c r="N328" s="1"/>
    </row>
    <row r="329" spans="14:14" ht="13.2">
      <c r="N329" s="1"/>
    </row>
    <row r="330" spans="14:14" ht="13.2">
      <c r="N330" s="1"/>
    </row>
    <row r="331" spans="14:14" ht="13.2">
      <c r="N331" s="1"/>
    </row>
    <row r="332" spans="14:14" ht="13.2">
      <c r="N332" s="1"/>
    </row>
    <row r="333" spans="14:14" ht="13.2">
      <c r="N333" s="1"/>
    </row>
    <row r="334" spans="14:14" ht="13.2">
      <c r="N334" s="1"/>
    </row>
    <row r="335" spans="14:14" ht="13.2">
      <c r="N335" s="1"/>
    </row>
    <row r="336" spans="14:14" ht="13.2">
      <c r="N336" s="1"/>
    </row>
    <row r="337" spans="14:14" ht="13.2">
      <c r="N337" s="1"/>
    </row>
    <row r="338" spans="14:14" ht="13.2">
      <c r="N338" s="1"/>
    </row>
    <row r="339" spans="14:14" ht="13.2">
      <c r="N339" s="1"/>
    </row>
    <row r="340" spans="14:14" ht="13.2">
      <c r="N340" s="1"/>
    </row>
    <row r="341" spans="14:14" ht="13.2">
      <c r="N341" s="1"/>
    </row>
    <row r="342" spans="14:14" ht="13.2">
      <c r="N342" s="1"/>
    </row>
    <row r="343" spans="14:14" ht="13.2">
      <c r="N343" s="1"/>
    </row>
    <row r="344" spans="14:14" ht="13.2">
      <c r="N344" s="1"/>
    </row>
    <row r="345" spans="14:14" ht="13.2">
      <c r="N345" s="1"/>
    </row>
    <row r="346" spans="14:14" ht="13.2">
      <c r="N346" s="1"/>
    </row>
    <row r="347" spans="14:14" ht="13.2">
      <c r="N347" s="1"/>
    </row>
    <row r="348" spans="14:14" ht="13.2">
      <c r="N348" s="1"/>
    </row>
    <row r="349" spans="14:14" ht="13.2">
      <c r="N349" s="1"/>
    </row>
    <row r="350" spans="14:14" ht="13.2">
      <c r="N350" s="1"/>
    </row>
    <row r="351" spans="14:14" ht="13.2">
      <c r="N351" s="1"/>
    </row>
    <row r="352" spans="14:14" ht="13.2">
      <c r="N352" s="1"/>
    </row>
    <row r="353" spans="14:14" ht="13.2">
      <c r="N353" s="1"/>
    </row>
    <row r="354" spans="14:14" ht="13.2">
      <c r="N354" s="1"/>
    </row>
    <row r="355" spans="14:14" ht="13.2">
      <c r="N355" s="1"/>
    </row>
    <row r="356" spans="14:14" ht="13.2">
      <c r="N356" s="1"/>
    </row>
    <row r="357" spans="14:14" ht="13.2">
      <c r="N357" s="1"/>
    </row>
    <row r="358" spans="14:14" ht="13.2">
      <c r="N358" s="1"/>
    </row>
    <row r="359" spans="14:14" ht="13.2">
      <c r="N359" s="1"/>
    </row>
    <row r="360" spans="14:14" ht="13.2">
      <c r="N360" s="1"/>
    </row>
    <row r="361" spans="14:14" ht="13.2">
      <c r="N361" s="1"/>
    </row>
    <row r="362" spans="14:14" ht="13.2">
      <c r="N362" s="1"/>
    </row>
    <row r="363" spans="14:14" ht="13.2">
      <c r="N363" s="1"/>
    </row>
    <row r="364" spans="14:14" ht="13.2">
      <c r="N364" s="1"/>
    </row>
    <row r="365" spans="14:14" ht="13.2">
      <c r="N365" s="1"/>
    </row>
    <row r="366" spans="14:14" ht="13.2">
      <c r="N366" s="1"/>
    </row>
    <row r="367" spans="14:14" ht="13.2">
      <c r="N367" s="1"/>
    </row>
    <row r="368" spans="14:14" ht="13.2">
      <c r="N368" s="1"/>
    </row>
    <row r="369" spans="14:14" ht="13.2">
      <c r="N369" s="1"/>
    </row>
    <row r="370" spans="14:14" ht="13.2">
      <c r="N370" s="1"/>
    </row>
    <row r="371" spans="14:14" ht="13.2">
      <c r="N371" s="1"/>
    </row>
    <row r="372" spans="14:14" ht="13.2">
      <c r="N372" s="1"/>
    </row>
    <row r="373" spans="14:14" ht="13.2">
      <c r="N373" s="1"/>
    </row>
    <row r="374" spans="14:14" ht="13.2">
      <c r="N374" s="1"/>
    </row>
    <row r="375" spans="14:14" ht="13.2">
      <c r="N375" s="1"/>
    </row>
    <row r="376" spans="14:14" ht="13.2">
      <c r="N376" s="1"/>
    </row>
    <row r="377" spans="14:14" ht="13.2">
      <c r="N377" s="1"/>
    </row>
    <row r="378" spans="14:14" ht="13.2">
      <c r="N378" s="1"/>
    </row>
    <row r="379" spans="14:14" ht="13.2">
      <c r="N379" s="1"/>
    </row>
    <row r="380" spans="14:14" ht="13.2">
      <c r="N380" s="1"/>
    </row>
    <row r="381" spans="14:14" ht="13.2">
      <c r="N381" s="1"/>
    </row>
    <row r="382" spans="14:14" ht="13.2">
      <c r="N382" s="1"/>
    </row>
    <row r="383" spans="14:14" ht="13.2">
      <c r="N383" s="1"/>
    </row>
    <row r="384" spans="14:14" ht="13.2">
      <c r="N384" s="1"/>
    </row>
    <row r="385" spans="14:14" ht="13.2">
      <c r="N385" s="1"/>
    </row>
    <row r="386" spans="14:14" ht="13.2">
      <c r="N386" s="1"/>
    </row>
    <row r="387" spans="14:14" ht="13.2">
      <c r="N387" s="1"/>
    </row>
    <row r="388" spans="14:14" ht="13.2">
      <c r="N388" s="1"/>
    </row>
    <row r="389" spans="14:14" ht="13.2">
      <c r="N389" s="1"/>
    </row>
    <row r="390" spans="14:14" ht="13.2">
      <c r="N390" s="1"/>
    </row>
    <row r="391" spans="14:14" ht="13.2">
      <c r="N391" s="1"/>
    </row>
    <row r="392" spans="14:14" ht="13.2">
      <c r="N392" s="1"/>
    </row>
    <row r="393" spans="14:14" ht="13.2">
      <c r="N393" s="1"/>
    </row>
    <row r="394" spans="14:14" ht="13.2">
      <c r="N394" s="1"/>
    </row>
    <row r="395" spans="14:14" ht="13.2">
      <c r="N395" s="1"/>
    </row>
    <row r="396" spans="14:14" ht="13.2">
      <c r="N396" s="1"/>
    </row>
    <row r="397" spans="14:14" ht="13.2">
      <c r="N397" s="1"/>
    </row>
    <row r="398" spans="14:14" ht="13.2">
      <c r="N398" s="1"/>
    </row>
    <row r="399" spans="14:14" ht="13.2">
      <c r="N399" s="1"/>
    </row>
    <row r="400" spans="14:14" ht="13.2">
      <c r="N400" s="1"/>
    </row>
    <row r="401" spans="14:14" ht="13.2">
      <c r="N401" s="1"/>
    </row>
    <row r="402" spans="14:14" ht="13.2">
      <c r="N402" s="1"/>
    </row>
    <row r="403" spans="14:14" ht="13.2">
      <c r="N403" s="1"/>
    </row>
    <row r="404" spans="14:14" ht="13.2">
      <c r="N404" s="1"/>
    </row>
    <row r="405" spans="14:14" ht="13.2">
      <c r="N405" s="1"/>
    </row>
    <row r="406" spans="14:14" ht="13.2">
      <c r="N406" s="1"/>
    </row>
    <row r="407" spans="14:14" ht="13.2">
      <c r="N407" s="1"/>
    </row>
    <row r="408" spans="14:14" ht="13.2">
      <c r="N408" s="1"/>
    </row>
    <row r="409" spans="14:14" ht="13.2">
      <c r="N409" s="1"/>
    </row>
    <row r="410" spans="14:14" ht="13.2">
      <c r="N410" s="1"/>
    </row>
    <row r="411" spans="14:14" ht="13.2">
      <c r="N411" s="1"/>
    </row>
    <row r="412" spans="14:14" ht="13.2">
      <c r="N412" s="1"/>
    </row>
    <row r="413" spans="14:14" ht="13.2">
      <c r="N413" s="1"/>
    </row>
    <row r="414" spans="14:14" ht="13.2">
      <c r="N414" s="1"/>
    </row>
    <row r="415" spans="14:14" ht="13.2">
      <c r="N415" s="1"/>
    </row>
    <row r="416" spans="14:14" ht="13.2">
      <c r="N416" s="1"/>
    </row>
    <row r="417" spans="14:14" ht="13.2">
      <c r="N417" s="1"/>
    </row>
    <row r="418" spans="14:14" ht="13.2">
      <c r="N418" s="1"/>
    </row>
    <row r="419" spans="14:14" ht="13.2">
      <c r="N419" s="1"/>
    </row>
    <row r="420" spans="14:14" ht="13.2">
      <c r="N420" s="1"/>
    </row>
    <row r="421" spans="14:14" ht="13.2">
      <c r="N421" s="1"/>
    </row>
    <row r="422" spans="14:14" ht="13.2">
      <c r="N422" s="1"/>
    </row>
    <row r="423" spans="14:14" ht="13.2">
      <c r="N423" s="1"/>
    </row>
    <row r="424" spans="14:14" ht="13.2">
      <c r="N424" s="1"/>
    </row>
    <row r="425" spans="14:14" ht="13.2">
      <c r="N425" s="1"/>
    </row>
    <row r="426" spans="14:14" ht="13.2">
      <c r="N426" s="1"/>
    </row>
    <row r="427" spans="14:14" ht="13.2">
      <c r="N427" s="1"/>
    </row>
    <row r="428" spans="14:14" ht="13.2">
      <c r="N428" s="1"/>
    </row>
    <row r="429" spans="14:14" ht="13.2">
      <c r="N429" s="1"/>
    </row>
    <row r="430" spans="14:14" ht="13.2">
      <c r="N430" s="1"/>
    </row>
    <row r="431" spans="14:14" ht="13.2">
      <c r="N431" s="1"/>
    </row>
    <row r="432" spans="14:14" ht="13.2">
      <c r="N432" s="1"/>
    </row>
    <row r="433" spans="14:14" ht="13.2">
      <c r="N433" s="1"/>
    </row>
    <row r="434" spans="14:14" ht="13.2">
      <c r="N434" s="1"/>
    </row>
    <row r="435" spans="14:14" ht="13.2">
      <c r="N435" s="1"/>
    </row>
    <row r="436" spans="14:14" ht="13.2">
      <c r="N436" s="1"/>
    </row>
    <row r="437" spans="14:14" ht="13.2">
      <c r="N437" s="1"/>
    </row>
    <row r="438" spans="14:14" ht="13.2">
      <c r="N438" s="1"/>
    </row>
    <row r="439" spans="14:14" ht="13.2">
      <c r="N439" s="1"/>
    </row>
    <row r="440" spans="14:14" ht="13.2">
      <c r="N440" s="1"/>
    </row>
    <row r="441" spans="14:14" ht="13.2">
      <c r="N441" s="1"/>
    </row>
    <row r="442" spans="14:14" ht="13.2">
      <c r="N442" s="1"/>
    </row>
    <row r="443" spans="14:14" ht="13.2">
      <c r="N443" s="1"/>
    </row>
    <row r="444" spans="14:14" ht="13.2">
      <c r="N444" s="1"/>
    </row>
    <row r="445" spans="14:14" ht="13.2">
      <c r="N445" s="1"/>
    </row>
    <row r="446" spans="14:14" ht="13.2">
      <c r="N446" s="1"/>
    </row>
    <row r="447" spans="14:14" ht="13.2">
      <c r="N447" s="1"/>
    </row>
    <row r="448" spans="14:14" ht="13.2">
      <c r="N448" s="1"/>
    </row>
    <row r="449" spans="14:14" ht="13.2">
      <c r="N449" s="1"/>
    </row>
    <row r="450" spans="14:14" ht="13.2">
      <c r="N450" s="1"/>
    </row>
    <row r="451" spans="14:14" ht="13.2">
      <c r="N451" s="1"/>
    </row>
    <row r="452" spans="14:14" ht="13.2">
      <c r="N452" s="1"/>
    </row>
    <row r="453" spans="14:14" ht="13.2">
      <c r="N453" s="1"/>
    </row>
    <row r="454" spans="14:14" ht="13.2">
      <c r="N454" s="1"/>
    </row>
    <row r="455" spans="14:14" ht="13.2">
      <c r="N455" s="1"/>
    </row>
    <row r="456" spans="14:14" ht="13.2">
      <c r="N456" s="1"/>
    </row>
    <row r="457" spans="14:14" ht="13.2">
      <c r="N457" s="1"/>
    </row>
    <row r="458" spans="14:14" ht="13.2">
      <c r="N458" s="1"/>
    </row>
    <row r="459" spans="14:14" ht="13.2">
      <c r="N459" s="1"/>
    </row>
    <row r="460" spans="14:14" ht="13.2">
      <c r="N460" s="1"/>
    </row>
    <row r="461" spans="14:14" ht="13.2">
      <c r="N461" s="1"/>
    </row>
    <row r="462" spans="14:14" ht="13.2">
      <c r="N462" s="1"/>
    </row>
    <row r="463" spans="14:14" ht="13.2">
      <c r="N463" s="1"/>
    </row>
    <row r="464" spans="14:14" ht="13.2">
      <c r="N464" s="1"/>
    </row>
    <row r="465" spans="14:14" ht="13.2">
      <c r="N465" s="1"/>
    </row>
    <row r="466" spans="14:14" ht="13.2">
      <c r="N466" s="1"/>
    </row>
    <row r="467" spans="14:14" ht="13.2">
      <c r="N467" s="1"/>
    </row>
    <row r="468" spans="14:14" ht="13.2">
      <c r="N468" s="1"/>
    </row>
    <row r="469" spans="14:14" ht="13.2">
      <c r="N469" s="1"/>
    </row>
    <row r="470" spans="14:14" ht="13.2">
      <c r="N470" s="1"/>
    </row>
    <row r="471" spans="14:14" ht="13.2">
      <c r="N471" s="1"/>
    </row>
    <row r="472" spans="14:14" ht="13.2">
      <c r="N472" s="1"/>
    </row>
    <row r="473" spans="14:14" ht="13.2">
      <c r="N473" s="1"/>
    </row>
    <row r="474" spans="14:14" ht="13.2">
      <c r="N474" s="1"/>
    </row>
    <row r="475" spans="14:14" ht="13.2">
      <c r="N475" s="1"/>
    </row>
    <row r="476" spans="14:14" ht="13.2">
      <c r="N476" s="1"/>
    </row>
    <row r="477" spans="14:14" ht="13.2">
      <c r="N477" s="1"/>
    </row>
    <row r="478" spans="14:14" ht="13.2">
      <c r="N478" s="1"/>
    </row>
    <row r="479" spans="14:14" ht="13.2">
      <c r="N479" s="1"/>
    </row>
    <row r="480" spans="14:14" ht="13.2">
      <c r="N480" s="1"/>
    </row>
    <row r="481" spans="14:14" ht="13.2">
      <c r="N481" s="1"/>
    </row>
    <row r="482" spans="14:14" ht="13.2">
      <c r="N482" s="1"/>
    </row>
    <row r="483" spans="14:14" ht="13.2">
      <c r="N483" s="1"/>
    </row>
    <row r="484" spans="14:14" ht="13.2">
      <c r="N484" s="1"/>
    </row>
    <row r="485" spans="14:14" ht="13.2">
      <c r="N485" s="1"/>
    </row>
    <row r="486" spans="14:14" ht="13.2">
      <c r="N486" s="1"/>
    </row>
    <row r="487" spans="14:14" ht="13.2">
      <c r="N487" s="1"/>
    </row>
    <row r="488" spans="14:14" ht="13.2">
      <c r="N488" s="1"/>
    </row>
    <row r="489" spans="14:14" ht="13.2">
      <c r="N489" s="1"/>
    </row>
    <row r="490" spans="14:14" ht="13.2">
      <c r="N490" s="1"/>
    </row>
    <row r="491" spans="14:14" ht="13.2">
      <c r="N491" s="1"/>
    </row>
    <row r="492" spans="14:14" ht="13.2">
      <c r="N492" s="1"/>
    </row>
    <row r="493" spans="14:14" ht="13.2">
      <c r="N493" s="1"/>
    </row>
    <row r="494" spans="14:14" ht="13.2">
      <c r="N494" s="1"/>
    </row>
    <row r="495" spans="14:14" ht="13.2">
      <c r="N495" s="1"/>
    </row>
    <row r="496" spans="14:14" ht="13.2">
      <c r="N496" s="1"/>
    </row>
    <row r="497" spans="14:14" ht="13.2">
      <c r="N497" s="1"/>
    </row>
    <row r="498" spans="14:14" ht="13.2">
      <c r="N498" s="1"/>
    </row>
    <row r="499" spans="14:14" ht="13.2">
      <c r="N499" s="1"/>
    </row>
    <row r="500" spans="14:14" ht="13.2">
      <c r="N500" s="1"/>
    </row>
    <row r="501" spans="14:14" ht="13.2">
      <c r="N501" s="1"/>
    </row>
    <row r="502" spans="14:14" ht="13.2">
      <c r="N502" s="1"/>
    </row>
    <row r="503" spans="14:14" ht="13.2">
      <c r="N503" s="1"/>
    </row>
    <row r="504" spans="14:14" ht="13.2">
      <c r="N504" s="1"/>
    </row>
    <row r="505" spans="14:14" ht="13.2">
      <c r="N505" s="1"/>
    </row>
    <row r="506" spans="14:14" ht="13.2">
      <c r="N506" s="1"/>
    </row>
    <row r="507" spans="14:14" ht="13.2">
      <c r="N507" s="1"/>
    </row>
    <row r="508" spans="14:14" ht="13.2">
      <c r="N508" s="1"/>
    </row>
    <row r="509" spans="14:14" ht="13.2">
      <c r="N509" s="1"/>
    </row>
    <row r="510" spans="14:14" ht="13.2">
      <c r="N510" s="1"/>
    </row>
    <row r="511" spans="14:14" ht="13.2">
      <c r="N511" s="1"/>
    </row>
    <row r="512" spans="14:14" ht="13.2">
      <c r="N512" s="1"/>
    </row>
    <row r="513" spans="14:14" ht="13.2">
      <c r="N513" s="1"/>
    </row>
    <row r="514" spans="14:14" ht="13.2">
      <c r="N514" s="1"/>
    </row>
    <row r="515" spans="14:14" ht="13.2">
      <c r="N515" s="1"/>
    </row>
    <row r="516" spans="14:14" ht="13.2">
      <c r="N516" s="1"/>
    </row>
    <row r="517" spans="14:14" ht="13.2">
      <c r="N517" s="1"/>
    </row>
    <row r="518" spans="14:14" ht="13.2">
      <c r="N518" s="1"/>
    </row>
    <row r="519" spans="14:14" ht="13.2">
      <c r="N519" s="1"/>
    </row>
    <row r="520" spans="14:14" ht="13.2">
      <c r="N520" s="1"/>
    </row>
    <row r="521" spans="14:14" ht="13.2">
      <c r="N521" s="1"/>
    </row>
    <row r="522" spans="14:14" ht="13.2">
      <c r="N522" s="1"/>
    </row>
    <row r="523" spans="14:14" ht="13.2">
      <c r="N523" s="1"/>
    </row>
    <row r="524" spans="14:14" ht="13.2">
      <c r="N524" s="1"/>
    </row>
    <row r="525" spans="14:14" ht="13.2">
      <c r="N525" s="1"/>
    </row>
    <row r="526" spans="14:14" ht="13.2">
      <c r="N526" s="1"/>
    </row>
    <row r="527" spans="14:14" ht="13.2">
      <c r="N527" s="1"/>
    </row>
    <row r="528" spans="14:14" ht="13.2">
      <c r="N528" s="1"/>
    </row>
    <row r="529" spans="14:14" ht="13.2">
      <c r="N529" s="1"/>
    </row>
    <row r="530" spans="14:14" ht="13.2">
      <c r="N530" s="1"/>
    </row>
    <row r="531" spans="14:14" ht="13.2">
      <c r="N531" s="1"/>
    </row>
    <row r="532" spans="14:14" ht="13.2">
      <c r="N532" s="1"/>
    </row>
    <row r="533" spans="14:14" ht="13.2">
      <c r="N533" s="1"/>
    </row>
    <row r="534" spans="14:14" ht="13.2">
      <c r="N534" s="1"/>
    </row>
    <row r="535" spans="14:14" ht="13.2">
      <c r="N535" s="1"/>
    </row>
    <row r="536" spans="14:14" ht="13.2">
      <c r="N536" s="1"/>
    </row>
    <row r="537" spans="14:14" ht="13.2">
      <c r="N537" s="1"/>
    </row>
    <row r="538" spans="14:14" ht="13.2">
      <c r="N538" s="1"/>
    </row>
    <row r="539" spans="14:14" ht="13.2">
      <c r="N539" s="1"/>
    </row>
    <row r="540" spans="14:14" ht="13.2">
      <c r="N540" s="1"/>
    </row>
    <row r="541" spans="14:14" ht="13.2">
      <c r="N541" s="1"/>
    </row>
    <row r="542" spans="14:14" ht="13.2">
      <c r="N542" s="1"/>
    </row>
    <row r="543" spans="14:14" ht="13.2">
      <c r="N543" s="1"/>
    </row>
    <row r="544" spans="14:14" ht="13.2">
      <c r="N544" s="1"/>
    </row>
    <row r="545" spans="14:14" ht="13.2">
      <c r="N545" s="1"/>
    </row>
    <row r="546" spans="14:14" ht="13.2">
      <c r="N546" s="1"/>
    </row>
    <row r="547" spans="14:14" ht="13.2">
      <c r="N547" s="1"/>
    </row>
    <row r="548" spans="14:14" ht="13.2">
      <c r="N548" s="1"/>
    </row>
    <row r="549" spans="14:14" ht="13.2">
      <c r="N549" s="1"/>
    </row>
    <row r="550" spans="14:14" ht="13.2">
      <c r="N550" s="1"/>
    </row>
    <row r="551" spans="14:14" ht="13.2">
      <c r="N551" s="1"/>
    </row>
    <row r="552" spans="14:14" ht="13.2">
      <c r="N552" s="1"/>
    </row>
    <row r="553" spans="14:14" ht="13.2">
      <c r="N553" s="1"/>
    </row>
    <row r="554" spans="14:14" ht="13.2">
      <c r="N554" s="1"/>
    </row>
    <row r="555" spans="14:14" ht="13.2">
      <c r="N555" s="1"/>
    </row>
    <row r="556" spans="14:14" ht="13.2">
      <c r="N556" s="1"/>
    </row>
    <row r="557" spans="14:14" ht="13.2">
      <c r="N557" s="1"/>
    </row>
    <row r="558" spans="14:14" ht="13.2">
      <c r="N558" s="1"/>
    </row>
    <row r="559" spans="14:14" ht="13.2">
      <c r="N559" s="1"/>
    </row>
    <row r="560" spans="14:14" ht="13.2">
      <c r="N560" s="1"/>
    </row>
    <row r="561" spans="14:14" ht="13.2">
      <c r="N561" s="1"/>
    </row>
    <row r="562" spans="14:14" ht="13.2">
      <c r="N562" s="1"/>
    </row>
    <row r="563" spans="14:14" ht="13.2">
      <c r="N563" s="1"/>
    </row>
    <row r="564" spans="14:14" ht="13.2">
      <c r="N564" s="1"/>
    </row>
    <row r="565" spans="14:14" ht="13.2">
      <c r="N565" s="1"/>
    </row>
    <row r="566" spans="14:14" ht="13.2">
      <c r="N566" s="1"/>
    </row>
    <row r="567" spans="14:14" ht="13.2">
      <c r="N567" s="1"/>
    </row>
    <row r="568" spans="14:14" ht="13.2">
      <c r="N568" s="1"/>
    </row>
    <row r="569" spans="14:14" ht="13.2">
      <c r="N569" s="1"/>
    </row>
    <row r="570" spans="14:14" ht="13.2">
      <c r="N570" s="1"/>
    </row>
    <row r="571" spans="14:14" ht="13.2">
      <c r="N571" s="1"/>
    </row>
    <row r="572" spans="14:14" ht="13.2">
      <c r="N572" s="1"/>
    </row>
    <row r="573" spans="14:14" ht="13.2">
      <c r="N573" s="1"/>
    </row>
    <row r="574" spans="14:14" ht="13.2">
      <c r="N574" s="1"/>
    </row>
    <row r="575" spans="14:14" ht="13.2">
      <c r="N575" s="1"/>
    </row>
    <row r="576" spans="14:14" ht="13.2">
      <c r="N576" s="1"/>
    </row>
    <row r="577" spans="14:14" ht="13.2">
      <c r="N577" s="1"/>
    </row>
    <row r="578" spans="14:14" ht="13.2">
      <c r="N578" s="1"/>
    </row>
    <row r="579" spans="14:14" ht="13.2">
      <c r="N579" s="1"/>
    </row>
    <row r="580" spans="14:14" ht="13.2">
      <c r="N580" s="1"/>
    </row>
    <row r="581" spans="14:14" ht="13.2">
      <c r="N581" s="1"/>
    </row>
    <row r="582" spans="14:14" ht="13.2">
      <c r="N582" s="1"/>
    </row>
    <row r="583" spans="14:14" ht="13.2">
      <c r="N583" s="1"/>
    </row>
    <row r="584" spans="14:14" ht="13.2">
      <c r="N584" s="1"/>
    </row>
    <row r="585" spans="14:14" ht="13.2">
      <c r="N585" s="1"/>
    </row>
    <row r="586" spans="14:14" ht="13.2">
      <c r="N586" s="1"/>
    </row>
    <row r="587" spans="14:14" ht="13.2">
      <c r="N587" s="1"/>
    </row>
    <row r="588" spans="14:14" ht="13.2">
      <c r="N588" s="1"/>
    </row>
    <row r="589" spans="14:14" ht="13.2">
      <c r="N589" s="1"/>
    </row>
    <row r="590" spans="14:14" ht="13.2">
      <c r="N590" s="1"/>
    </row>
    <row r="591" spans="14:14" ht="13.2">
      <c r="N591" s="1"/>
    </row>
    <row r="592" spans="14:14" ht="13.2">
      <c r="N592" s="1"/>
    </row>
    <row r="593" spans="14:14" ht="13.2">
      <c r="N593" s="1"/>
    </row>
    <row r="594" spans="14:14" ht="13.2">
      <c r="N594" s="1"/>
    </row>
    <row r="595" spans="14:14" ht="13.2">
      <c r="N595" s="1"/>
    </row>
    <row r="596" spans="14:14" ht="13.2">
      <c r="N596" s="1"/>
    </row>
    <row r="597" spans="14:14" ht="13.2">
      <c r="N597" s="1"/>
    </row>
    <row r="598" spans="14:14" ht="13.2">
      <c r="N598" s="1"/>
    </row>
    <row r="599" spans="14:14" ht="13.2">
      <c r="N599" s="1"/>
    </row>
    <row r="600" spans="14:14" ht="13.2">
      <c r="N600" s="1"/>
    </row>
    <row r="601" spans="14:14" ht="13.2">
      <c r="N601" s="1"/>
    </row>
    <row r="602" spans="14:14" ht="13.2">
      <c r="N602" s="1"/>
    </row>
    <row r="603" spans="14:14" ht="13.2">
      <c r="N603" s="1"/>
    </row>
    <row r="604" spans="14:14" ht="13.2">
      <c r="N604" s="1"/>
    </row>
    <row r="605" spans="14:14" ht="13.2">
      <c r="N605" s="1"/>
    </row>
    <row r="606" spans="14:14" ht="13.2">
      <c r="N606" s="1"/>
    </row>
    <row r="607" spans="14:14" ht="13.2">
      <c r="N607" s="1"/>
    </row>
    <row r="608" spans="14:14" ht="13.2">
      <c r="N608" s="1"/>
    </row>
    <row r="609" spans="14:14" ht="13.2">
      <c r="N609" s="1"/>
    </row>
    <row r="610" spans="14:14" ht="13.2">
      <c r="N610" s="1"/>
    </row>
    <row r="611" spans="14:14" ht="13.2">
      <c r="N611" s="1"/>
    </row>
    <row r="612" spans="14:14" ht="13.2">
      <c r="N612" s="1"/>
    </row>
    <row r="613" spans="14:14" ht="13.2">
      <c r="N613" s="1"/>
    </row>
    <row r="614" spans="14:14" ht="13.2">
      <c r="N614" s="1"/>
    </row>
    <row r="615" spans="14:14" ht="13.2">
      <c r="N615" s="1"/>
    </row>
    <row r="616" spans="14:14" ht="13.2">
      <c r="N616" s="1"/>
    </row>
    <row r="617" spans="14:14" ht="13.2">
      <c r="N617" s="1"/>
    </row>
    <row r="618" spans="14:14" ht="13.2">
      <c r="N618" s="1"/>
    </row>
    <row r="619" spans="14:14" ht="13.2">
      <c r="N619" s="1"/>
    </row>
    <row r="620" spans="14:14" ht="13.2">
      <c r="N620" s="1"/>
    </row>
    <row r="621" spans="14:14" ht="13.2">
      <c r="N621" s="1"/>
    </row>
    <row r="622" spans="14:14" ht="13.2">
      <c r="N622" s="1"/>
    </row>
    <row r="623" spans="14:14" ht="13.2">
      <c r="N623" s="1"/>
    </row>
    <row r="624" spans="14:14" ht="13.2">
      <c r="N624" s="1"/>
    </row>
    <row r="625" spans="14:14" ht="13.2">
      <c r="N625" s="1"/>
    </row>
    <row r="626" spans="14:14" ht="13.2">
      <c r="N626" s="1"/>
    </row>
    <row r="627" spans="14:14" ht="13.2">
      <c r="N627" s="1"/>
    </row>
    <row r="628" spans="14:14" ht="13.2">
      <c r="N628" s="1"/>
    </row>
    <row r="629" spans="14:14" ht="13.2">
      <c r="N629" s="1"/>
    </row>
    <row r="630" spans="14:14" ht="13.2">
      <c r="N630" s="1"/>
    </row>
    <row r="631" spans="14:14" ht="13.2">
      <c r="N631" s="1"/>
    </row>
    <row r="632" spans="14:14" ht="13.2">
      <c r="N632" s="1"/>
    </row>
    <row r="633" spans="14:14" ht="13.2">
      <c r="N633" s="1"/>
    </row>
    <row r="634" spans="14:14" ht="13.2">
      <c r="N634" s="1"/>
    </row>
    <row r="635" spans="14:14" ht="13.2">
      <c r="N635" s="1"/>
    </row>
    <row r="636" spans="14:14" ht="13.2">
      <c r="N636" s="1"/>
    </row>
    <row r="637" spans="14:14" ht="13.2">
      <c r="N637" s="1"/>
    </row>
    <row r="638" spans="14:14" ht="13.2">
      <c r="N638" s="1"/>
    </row>
    <row r="639" spans="14:14" ht="13.2">
      <c r="N639" s="1"/>
    </row>
    <row r="640" spans="14:14" ht="13.2">
      <c r="N640" s="1"/>
    </row>
    <row r="641" spans="14:14" ht="13.2">
      <c r="N641" s="1"/>
    </row>
    <row r="642" spans="14:14" ht="13.2">
      <c r="N642" s="1"/>
    </row>
    <row r="643" spans="14:14" ht="13.2">
      <c r="N643" s="1"/>
    </row>
    <row r="644" spans="14:14" ht="13.2">
      <c r="N644" s="1"/>
    </row>
    <row r="645" spans="14:14" ht="13.2">
      <c r="N645" s="1"/>
    </row>
    <row r="646" spans="14:14" ht="13.2">
      <c r="N646" s="1"/>
    </row>
    <row r="647" spans="14:14" ht="13.2">
      <c r="N647" s="1"/>
    </row>
    <row r="648" spans="14:14" ht="13.2">
      <c r="N648" s="1"/>
    </row>
    <row r="649" spans="14:14" ht="13.2">
      <c r="N649" s="1"/>
    </row>
    <row r="650" spans="14:14" ht="13.2">
      <c r="N650" s="1"/>
    </row>
    <row r="651" spans="14:14" ht="13.2">
      <c r="N651" s="1"/>
    </row>
    <row r="652" spans="14:14" ht="13.2">
      <c r="N652" s="1"/>
    </row>
    <row r="653" spans="14:14" ht="13.2">
      <c r="N653" s="1"/>
    </row>
    <row r="654" spans="14:14" ht="13.2">
      <c r="N654" s="1"/>
    </row>
    <row r="655" spans="14:14" ht="13.2">
      <c r="N655" s="1"/>
    </row>
    <row r="656" spans="14:14" ht="13.2">
      <c r="N656" s="1"/>
    </row>
    <row r="657" spans="14:14" ht="13.2">
      <c r="N657" s="1"/>
    </row>
    <row r="658" spans="14:14" ht="13.2">
      <c r="N658" s="1"/>
    </row>
    <row r="659" spans="14:14" ht="13.2">
      <c r="N659" s="1"/>
    </row>
    <row r="660" spans="14:14" ht="13.2">
      <c r="N660" s="1"/>
    </row>
    <row r="661" spans="14:14" ht="13.2">
      <c r="N661" s="1"/>
    </row>
    <row r="662" spans="14:14" ht="13.2">
      <c r="N662" s="1"/>
    </row>
    <row r="663" spans="14:14" ht="13.2">
      <c r="N663" s="1"/>
    </row>
    <row r="664" spans="14:14" ht="13.2">
      <c r="N664" s="1"/>
    </row>
    <row r="665" spans="14:14" ht="13.2">
      <c r="N665" s="1"/>
    </row>
    <row r="666" spans="14:14" ht="13.2">
      <c r="N666" s="1"/>
    </row>
    <row r="667" spans="14:14" ht="13.2">
      <c r="N667" s="1"/>
    </row>
    <row r="668" spans="14:14" ht="13.2">
      <c r="N668" s="1"/>
    </row>
    <row r="669" spans="14:14" ht="13.2">
      <c r="N669" s="1"/>
    </row>
    <row r="670" spans="14:14" ht="13.2">
      <c r="N670" s="1"/>
    </row>
    <row r="671" spans="14:14" ht="13.2">
      <c r="N671" s="1"/>
    </row>
    <row r="672" spans="14:14" ht="13.2">
      <c r="N672" s="1"/>
    </row>
    <row r="673" spans="14:14" ht="13.2">
      <c r="N673" s="1"/>
    </row>
    <row r="674" spans="14:14" ht="13.2">
      <c r="N674" s="1"/>
    </row>
    <row r="675" spans="14:14" ht="13.2">
      <c r="N675" s="1"/>
    </row>
    <row r="676" spans="14:14" ht="13.2">
      <c r="N676" s="1"/>
    </row>
    <row r="677" spans="14:14" ht="13.2">
      <c r="N677" s="1"/>
    </row>
    <row r="678" spans="14:14" ht="13.2">
      <c r="N678" s="1"/>
    </row>
    <row r="679" spans="14:14" ht="13.2">
      <c r="N679" s="1"/>
    </row>
    <row r="680" spans="14:14" ht="13.2">
      <c r="N680" s="1"/>
    </row>
    <row r="681" spans="14:14" ht="13.2">
      <c r="N681" s="1"/>
    </row>
    <row r="682" spans="14:14" ht="13.2">
      <c r="N682" s="1"/>
    </row>
    <row r="683" spans="14:14" ht="13.2">
      <c r="N683" s="1"/>
    </row>
    <row r="684" spans="14:14" ht="13.2">
      <c r="N684" s="1"/>
    </row>
    <row r="685" spans="14:14" ht="13.2">
      <c r="N685" s="1"/>
    </row>
    <row r="686" spans="14:14" ht="13.2">
      <c r="N686" s="1"/>
    </row>
    <row r="687" spans="14:14" ht="13.2">
      <c r="N687" s="1"/>
    </row>
    <row r="688" spans="14:14" ht="13.2">
      <c r="N688" s="1"/>
    </row>
    <row r="689" spans="14:14" ht="13.2">
      <c r="N689" s="1"/>
    </row>
    <row r="690" spans="14:14" ht="13.2">
      <c r="N690" s="1"/>
    </row>
    <row r="691" spans="14:14" ht="13.2">
      <c r="N691" s="1"/>
    </row>
    <row r="692" spans="14:14" ht="13.2">
      <c r="N692" s="1"/>
    </row>
    <row r="693" spans="14:14" ht="13.2">
      <c r="N693" s="1"/>
    </row>
    <row r="694" spans="14:14" ht="13.2">
      <c r="N694" s="1"/>
    </row>
    <row r="695" spans="14:14" ht="13.2">
      <c r="N695" s="1"/>
    </row>
    <row r="696" spans="14:14" ht="13.2">
      <c r="N696" s="1"/>
    </row>
    <row r="697" spans="14:14" ht="13.2">
      <c r="N697" s="1"/>
    </row>
    <row r="698" spans="14:14" ht="13.2">
      <c r="N698" s="1"/>
    </row>
    <row r="699" spans="14:14" ht="13.2">
      <c r="N699" s="1"/>
    </row>
    <row r="700" spans="14:14" ht="13.2">
      <c r="N700" s="1"/>
    </row>
    <row r="701" spans="14:14" ht="13.2">
      <c r="N701" s="1"/>
    </row>
    <row r="702" spans="14:14" ht="13.2">
      <c r="N702" s="1"/>
    </row>
    <row r="703" spans="14:14" ht="13.2">
      <c r="N703" s="1"/>
    </row>
    <row r="704" spans="14:14" ht="13.2">
      <c r="N704" s="1"/>
    </row>
    <row r="705" spans="14:14" ht="13.2">
      <c r="N705" s="1"/>
    </row>
    <row r="706" spans="14:14" ht="13.2">
      <c r="N706" s="1"/>
    </row>
    <row r="707" spans="14:14" ht="13.2">
      <c r="N707" s="1"/>
    </row>
    <row r="708" spans="14:14" ht="13.2">
      <c r="N708" s="1"/>
    </row>
    <row r="709" spans="14:14" ht="13.2">
      <c r="N709" s="1"/>
    </row>
    <row r="710" spans="14:14" ht="13.2">
      <c r="N710" s="1"/>
    </row>
    <row r="711" spans="14:14" ht="13.2">
      <c r="N711" s="1"/>
    </row>
    <row r="712" spans="14:14" ht="13.2">
      <c r="N712" s="1"/>
    </row>
    <row r="713" spans="14:14" ht="13.2">
      <c r="N713" s="1"/>
    </row>
    <row r="714" spans="14:14" ht="13.2">
      <c r="N714" s="1"/>
    </row>
    <row r="715" spans="14:14" ht="13.2">
      <c r="N715" s="1"/>
    </row>
    <row r="716" spans="14:14" ht="13.2">
      <c r="N716" s="1"/>
    </row>
    <row r="717" spans="14:14" ht="13.2">
      <c r="N717" s="1"/>
    </row>
    <row r="718" spans="14:14" ht="13.2">
      <c r="N718" s="1"/>
    </row>
    <row r="719" spans="14:14" ht="13.2">
      <c r="N719" s="1"/>
    </row>
    <row r="720" spans="14:14" ht="13.2">
      <c r="N720" s="1"/>
    </row>
    <row r="721" spans="14:14" ht="13.2">
      <c r="N721" s="1"/>
    </row>
    <row r="722" spans="14:14" ht="13.2">
      <c r="N722" s="1"/>
    </row>
    <row r="723" spans="14:14" ht="13.2">
      <c r="N723" s="1"/>
    </row>
    <row r="724" spans="14:14" ht="13.2">
      <c r="N724" s="1"/>
    </row>
    <row r="725" spans="14:14" ht="13.2">
      <c r="N725" s="1"/>
    </row>
    <row r="726" spans="14:14" ht="13.2">
      <c r="N726" s="1"/>
    </row>
    <row r="727" spans="14:14" ht="13.2">
      <c r="N727" s="1"/>
    </row>
    <row r="728" spans="14:14" ht="13.2">
      <c r="N728" s="1"/>
    </row>
    <row r="729" spans="14:14" ht="13.2">
      <c r="N729" s="1"/>
    </row>
    <row r="730" spans="14:14" ht="13.2">
      <c r="N730" s="1"/>
    </row>
    <row r="731" spans="14:14" ht="13.2">
      <c r="N731" s="1"/>
    </row>
    <row r="732" spans="14:14" ht="13.2">
      <c r="N732" s="1"/>
    </row>
    <row r="733" spans="14:14" ht="13.2">
      <c r="N733" s="1"/>
    </row>
    <row r="734" spans="14:14" ht="13.2">
      <c r="N734" s="1"/>
    </row>
    <row r="735" spans="14:14" ht="13.2">
      <c r="N735" s="1"/>
    </row>
    <row r="736" spans="14:14" ht="13.2">
      <c r="N736" s="1"/>
    </row>
    <row r="737" spans="14:14" ht="13.2">
      <c r="N737" s="1"/>
    </row>
    <row r="738" spans="14:14" ht="13.2">
      <c r="N738" s="1"/>
    </row>
    <row r="739" spans="14:14" ht="13.2">
      <c r="N739" s="1"/>
    </row>
    <row r="740" spans="14:14" ht="13.2">
      <c r="N740" s="1"/>
    </row>
    <row r="741" spans="14:14" ht="13.2">
      <c r="N741" s="1"/>
    </row>
    <row r="742" spans="14:14" ht="13.2">
      <c r="N742" s="1"/>
    </row>
    <row r="743" spans="14:14" ht="13.2">
      <c r="N743" s="1"/>
    </row>
    <row r="744" spans="14:14" ht="13.2">
      <c r="N744" s="1"/>
    </row>
    <row r="745" spans="14:14" ht="13.2">
      <c r="N745" s="1"/>
    </row>
    <row r="746" spans="14:14" ht="13.2">
      <c r="N746" s="1"/>
    </row>
    <row r="747" spans="14:14" ht="13.2">
      <c r="N747" s="1"/>
    </row>
    <row r="748" spans="14:14" ht="13.2">
      <c r="N748" s="1"/>
    </row>
    <row r="749" spans="14:14" ht="13.2">
      <c r="N749" s="1"/>
    </row>
    <row r="750" spans="14:14" ht="13.2">
      <c r="N750" s="1"/>
    </row>
    <row r="751" spans="14:14" ht="13.2">
      <c r="N751" s="1"/>
    </row>
    <row r="752" spans="14:14" ht="13.2">
      <c r="N752" s="1"/>
    </row>
    <row r="753" spans="14:14" ht="13.2">
      <c r="N753" s="1"/>
    </row>
    <row r="754" spans="14:14" ht="13.2">
      <c r="N754" s="1"/>
    </row>
    <row r="755" spans="14:14" ht="13.2">
      <c r="N755" s="1"/>
    </row>
    <row r="756" spans="14:14" ht="13.2">
      <c r="N756" s="1"/>
    </row>
    <row r="757" spans="14:14" ht="13.2">
      <c r="N757" s="1"/>
    </row>
    <row r="758" spans="14:14" ht="13.2">
      <c r="N758" s="1"/>
    </row>
    <row r="759" spans="14:14" ht="13.2">
      <c r="N759" s="1"/>
    </row>
    <row r="760" spans="14:14" ht="13.2">
      <c r="N760" s="1"/>
    </row>
    <row r="761" spans="14:14" ht="13.2">
      <c r="N761" s="1"/>
    </row>
    <row r="762" spans="14:14" ht="13.2">
      <c r="N762" s="1"/>
    </row>
    <row r="763" spans="14:14" ht="13.2">
      <c r="N763" s="1"/>
    </row>
    <row r="764" spans="14:14" ht="13.2">
      <c r="N764" s="1"/>
    </row>
    <row r="765" spans="14:14" ht="13.2">
      <c r="N765" s="1"/>
    </row>
    <row r="766" spans="14:14" ht="13.2">
      <c r="N766" s="1"/>
    </row>
    <row r="767" spans="14:14" ht="13.2">
      <c r="N767" s="1"/>
    </row>
    <row r="768" spans="14:14" ht="13.2">
      <c r="N768" s="1"/>
    </row>
    <row r="769" spans="14:14" ht="13.2">
      <c r="N769" s="1"/>
    </row>
    <row r="770" spans="14:14" ht="13.2">
      <c r="N770" s="1"/>
    </row>
    <row r="771" spans="14:14" ht="13.2">
      <c r="N771" s="1"/>
    </row>
    <row r="772" spans="14:14" ht="13.2">
      <c r="N772" s="1"/>
    </row>
    <row r="773" spans="14:14" ht="13.2">
      <c r="N773" s="1"/>
    </row>
    <row r="774" spans="14:14" ht="13.2">
      <c r="N774" s="1"/>
    </row>
    <row r="775" spans="14:14" ht="13.2">
      <c r="N775" s="1"/>
    </row>
    <row r="776" spans="14:14" ht="13.2">
      <c r="N776" s="1"/>
    </row>
    <row r="777" spans="14:14" ht="13.2">
      <c r="N777" s="1"/>
    </row>
    <row r="778" spans="14:14" ht="13.2">
      <c r="N778" s="1"/>
    </row>
    <row r="779" spans="14:14" ht="13.2">
      <c r="N779" s="1"/>
    </row>
    <row r="780" spans="14:14" ht="13.2">
      <c r="N780" s="1"/>
    </row>
    <row r="781" spans="14:14" ht="13.2">
      <c r="N781" s="1"/>
    </row>
    <row r="782" spans="14:14" ht="13.2">
      <c r="N782" s="1"/>
    </row>
    <row r="783" spans="14:14" ht="13.2">
      <c r="N783" s="1"/>
    </row>
    <row r="784" spans="14:14" ht="13.2">
      <c r="N784" s="1"/>
    </row>
    <row r="785" spans="14:14" ht="13.2">
      <c r="N785" s="1"/>
    </row>
    <row r="786" spans="14:14" ht="13.2">
      <c r="N786" s="1"/>
    </row>
    <row r="787" spans="14:14" ht="13.2">
      <c r="N787" s="1"/>
    </row>
    <row r="788" spans="14:14" ht="13.2">
      <c r="N788" s="1"/>
    </row>
    <row r="789" spans="14:14" ht="13.2">
      <c r="N789" s="1"/>
    </row>
    <row r="790" spans="14:14" ht="13.2">
      <c r="N790" s="1"/>
    </row>
    <row r="791" spans="14:14" ht="13.2">
      <c r="N791" s="1"/>
    </row>
    <row r="792" spans="14:14" ht="13.2">
      <c r="N792" s="1"/>
    </row>
    <row r="793" spans="14:14" ht="13.2">
      <c r="N793" s="1"/>
    </row>
    <row r="794" spans="14:14" ht="13.2">
      <c r="N794" s="1"/>
    </row>
    <row r="795" spans="14:14" ht="13.2">
      <c r="N795" s="1"/>
    </row>
    <row r="796" spans="14:14" ht="13.2">
      <c r="N796" s="1"/>
    </row>
    <row r="797" spans="14:14" ht="13.2">
      <c r="N797" s="1"/>
    </row>
    <row r="798" spans="14:14" ht="13.2">
      <c r="N798" s="1"/>
    </row>
    <row r="799" spans="14:14" ht="13.2">
      <c r="N799" s="1"/>
    </row>
    <row r="800" spans="14:14" ht="13.2">
      <c r="N800" s="1"/>
    </row>
    <row r="801" spans="14:14" ht="13.2">
      <c r="N801" s="1"/>
    </row>
    <row r="802" spans="14:14" ht="13.2">
      <c r="N802" s="1"/>
    </row>
    <row r="803" spans="14:14" ht="13.2">
      <c r="N803" s="1"/>
    </row>
    <row r="804" spans="14:14" ht="13.2">
      <c r="N804" s="1"/>
    </row>
    <row r="805" spans="14:14" ht="13.2">
      <c r="N805" s="1"/>
    </row>
    <row r="806" spans="14:14" ht="13.2">
      <c r="N806" s="1"/>
    </row>
    <row r="807" spans="14:14" ht="13.2">
      <c r="N807" s="1"/>
    </row>
    <row r="808" spans="14:14" ht="13.2">
      <c r="N808" s="1"/>
    </row>
    <row r="809" spans="14:14" ht="13.2">
      <c r="N809" s="1"/>
    </row>
    <row r="810" spans="14:14" ht="13.2">
      <c r="N810" s="1"/>
    </row>
    <row r="811" spans="14:14" ht="13.2">
      <c r="N811" s="1"/>
    </row>
    <row r="812" spans="14:14" ht="13.2">
      <c r="N812" s="1"/>
    </row>
    <row r="813" spans="14:14" ht="13.2">
      <c r="N813" s="1"/>
    </row>
    <row r="814" spans="14:14" ht="13.2">
      <c r="N814" s="1"/>
    </row>
    <row r="815" spans="14:14" ht="13.2">
      <c r="N815" s="1"/>
    </row>
    <row r="816" spans="14:14" ht="13.2">
      <c r="N816" s="1"/>
    </row>
    <row r="817" spans="14:14" ht="13.2">
      <c r="N817" s="1"/>
    </row>
    <row r="818" spans="14:14" ht="13.2">
      <c r="N818" s="1"/>
    </row>
    <row r="819" spans="14:14" ht="13.2">
      <c r="N819" s="1"/>
    </row>
    <row r="820" spans="14:14" ht="13.2">
      <c r="N820" s="1"/>
    </row>
    <row r="821" spans="14:14" ht="13.2">
      <c r="N821" s="1"/>
    </row>
    <row r="822" spans="14:14" ht="13.2">
      <c r="N822" s="1"/>
    </row>
    <row r="823" spans="14:14" ht="13.2">
      <c r="N823" s="1"/>
    </row>
    <row r="824" spans="14:14" ht="13.2">
      <c r="N824" s="1"/>
    </row>
    <row r="825" spans="14:14" ht="13.2">
      <c r="N825" s="1"/>
    </row>
    <row r="826" spans="14:14" ht="13.2">
      <c r="N826" s="1"/>
    </row>
    <row r="827" spans="14:14" ht="13.2">
      <c r="N827" s="1"/>
    </row>
    <row r="828" spans="14:14" ht="13.2">
      <c r="N828" s="1"/>
    </row>
    <row r="829" spans="14:14" ht="13.2">
      <c r="N829" s="1"/>
    </row>
    <row r="830" spans="14:14" ht="13.2">
      <c r="N830" s="1"/>
    </row>
    <row r="831" spans="14:14" ht="13.2">
      <c r="N831" s="1"/>
    </row>
    <row r="832" spans="14:14" ht="13.2">
      <c r="N832" s="1"/>
    </row>
    <row r="833" spans="14:14" ht="13.2">
      <c r="N833" s="1"/>
    </row>
    <row r="834" spans="14:14" ht="13.2">
      <c r="N834" s="1"/>
    </row>
    <row r="835" spans="14:14" ht="13.2">
      <c r="N835" s="1"/>
    </row>
    <row r="836" spans="14:14" ht="13.2">
      <c r="N836" s="1"/>
    </row>
    <row r="837" spans="14:14" ht="13.2">
      <c r="N837" s="1"/>
    </row>
    <row r="838" spans="14:14" ht="13.2">
      <c r="N838" s="1"/>
    </row>
    <row r="839" spans="14:14" ht="13.2">
      <c r="N839" s="1"/>
    </row>
    <row r="840" spans="14:14" ht="13.2">
      <c r="N840" s="1"/>
    </row>
    <row r="841" spans="14:14" ht="13.2">
      <c r="N841" s="1"/>
    </row>
    <row r="842" spans="14:14" ht="13.2">
      <c r="N842" s="1"/>
    </row>
    <row r="843" spans="14:14" ht="13.2">
      <c r="N843" s="1"/>
    </row>
    <row r="844" spans="14:14" ht="13.2">
      <c r="N844" s="1"/>
    </row>
    <row r="845" spans="14:14" ht="13.2">
      <c r="N845" s="1"/>
    </row>
    <row r="846" spans="14:14" ht="13.2">
      <c r="N846" s="1"/>
    </row>
    <row r="847" spans="14:14" ht="13.2">
      <c r="N847" s="1"/>
    </row>
    <row r="848" spans="14:14" ht="13.2">
      <c r="N848" s="1"/>
    </row>
    <row r="849" spans="14:14" ht="13.2">
      <c r="N849" s="1"/>
    </row>
    <row r="850" spans="14:14" ht="13.2">
      <c r="N850" s="1"/>
    </row>
    <row r="851" spans="14:14" ht="13.2">
      <c r="N851" s="1"/>
    </row>
    <row r="852" spans="14:14" ht="13.2">
      <c r="N852" s="1"/>
    </row>
    <row r="853" spans="14:14" ht="13.2">
      <c r="N853" s="1"/>
    </row>
    <row r="854" spans="14:14" ht="13.2">
      <c r="N854" s="1"/>
    </row>
    <row r="855" spans="14:14" ht="13.2">
      <c r="N855" s="1"/>
    </row>
    <row r="856" spans="14:14" ht="13.2">
      <c r="N856" s="1"/>
    </row>
    <row r="857" spans="14:14" ht="13.2">
      <c r="N857" s="1"/>
    </row>
    <row r="858" spans="14:14" ht="13.2">
      <c r="N858" s="1"/>
    </row>
    <row r="859" spans="14:14" ht="13.2">
      <c r="N859" s="1"/>
    </row>
    <row r="860" spans="14:14" ht="13.2">
      <c r="N860" s="1"/>
    </row>
    <row r="861" spans="14:14" ht="13.2">
      <c r="N861" s="1"/>
    </row>
    <row r="862" spans="14:14" ht="13.2">
      <c r="N862" s="1"/>
    </row>
    <row r="863" spans="14:14" ht="13.2">
      <c r="N863" s="1"/>
    </row>
    <row r="864" spans="14:14" ht="13.2">
      <c r="N864" s="1"/>
    </row>
    <row r="865" spans="14:14" ht="13.2">
      <c r="N865" s="1"/>
    </row>
    <row r="866" spans="14:14" ht="13.2">
      <c r="N866" s="1"/>
    </row>
    <row r="867" spans="14:14" ht="13.2">
      <c r="N867" s="1"/>
    </row>
    <row r="868" spans="14:14" ht="13.2">
      <c r="N868" s="1"/>
    </row>
    <row r="869" spans="14:14" ht="13.2">
      <c r="N869" s="1"/>
    </row>
    <row r="870" spans="14:14" ht="13.2">
      <c r="N870" s="1"/>
    </row>
    <row r="871" spans="14:14" ht="13.2">
      <c r="N871" s="1"/>
    </row>
    <row r="872" spans="14:14" ht="13.2">
      <c r="N872" s="1"/>
    </row>
    <row r="873" spans="14:14" ht="13.2">
      <c r="N873" s="1"/>
    </row>
    <row r="874" spans="14:14" ht="13.2">
      <c r="N874" s="1"/>
    </row>
    <row r="875" spans="14:14" ht="13.2">
      <c r="N875" s="1"/>
    </row>
    <row r="876" spans="14:14" ht="13.2">
      <c r="N876" s="1"/>
    </row>
    <row r="877" spans="14:14" ht="13.2">
      <c r="N877" s="1"/>
    </row>
    <row r="878" spans="14:14" ht="13.2">
      <c r="N878" s="1"/>
    </row>
    <row r="879" spans="14:14" ht="13.2">
      <c r="N879" s="1"/>
    </row>
    <row r="880" spans="14:14" ht="13.2">
      <c r="N880" s="1"/>
    </row>
    <row r="881" spans="14:14" ht="13.2">
      <c r="N881" s="1"/>
    </row>
    <row r="882" spans="14:14" ht="13.2">
      <c r="N882" s="1"/>
    </row>
    <row r="883" spans="14:14" ht="13.2">
      <c r="N883" s="1"/>
    </row>
    <row r="884" spans="14:14" ht="13.2">
      <c r="N884" s="1"/>
    </row>
    <row r="885" spans="14:14" ht="13.2">
      <c r="N885" s="1"/>
    </row>
    <row r="886" spans="14:14" ht="13.2">
      <c r="N886" s="1"/>
    </row>
    <row r="887" spans="14:14" ht="13.2">
      <c r="N887" s="1"/>
    </row>
    <row r="888" spans="14:14" ht="13.2">
      <c r="N888" s="1"/>
    </row>
    <row r="889" spans="14:14" ht="13.2">
      <c r="N889" s="1"/>
    </row>
    <row r="890" spans="14:14" ht="13.2">
      <c r="N890" s="1"/>
    </row>
    <row r="891" spans="14:14" ht="13.2">
      <c r="N891" s="1"/>
    </row>
    <row r="892" spans="14:14" ht="13.2">
      <c r="N892" s="1"/>
    </row>
    <row r="893" spans="14:14" ht="13.2">
      <c r="N893" s="1"/>
    </row>
    <row r="894" spans="14:14" ht="13.2">
      <c r="N894" s="1"/>
    </row>
    <row r="895" spans="14:14" ht="13.2">
      <c r="N895" s="1"/>
    </row>
    <row r="896" spans="14:14" ht="13.2">
      <c r="N896" s="1"/>
    </row>
    <row r="897" spans="14:14" ht="13.2">
      <c r="N897" s="1"/>
    </row>
    <row r="898" spans="14:14" ht="13.2">
      <c r="N898" s="1"/>
    </row>
    <row r="899" spans="14:14" ht="13.2">
      <c r="N899" s="1"/>
    </row>
    <row r="900" spans="14:14" ht="13.2">
      <c r="N900" s="1"/>
    </row>
    <row r="901" spans="14:14" ht="13.2">
      <c r="N901" s="1"/>
    </row>
    <row r="902" spans="14:14" ht="13.2">
      <c r="N902" s="1"/>
    </row>
    <row r="903" spans="14:14" ht="13.2">
      <c r="N903" s="1"/>
    </row>
    <row r="904" spans="14:14" ht="13.2">
      <c r="N904" s="1"/>
    </row>
    <row r="905" spans="14:14" ht="13.2">
      <c r="N905" s="1"/>
    </row>
    <row r="906" spans="14:14" ht="13.2">
      <c r="N906" s="1"/>
    </row>
    <row r="907" spans="14:14" ht="13.2">
      <c r="N907" s="1"/>
    </row>
    <row r="908" spans="14:14" ht="13.2">
      <c r="N908" s="1"/>
    </row>
    <row r="909" spans="14:14" ht="13.2">
      <c r="N909" s="1"/>
    </row>
    <row r="910" spans="14:14" ht="13.2">
      <c r="N910" s="1"/>
    </row>
    <row r="911" spans="14:14" ht="13.2">
      <c r="N911" s="1"/>
    </row>
    <row r="912" spans="14:14" ht="13.2">
      <c r="N912" s="1"/>
    </row>
    <row r="913" spans="14:14" ht="13.2">
      <c r="N913" s="1"/>
    </row>
    <row r="914" spans="14:14" ht="13.2">
      <c r="N914" s="1"/>
    </row>
    <row r="915" spans="14:14" ht="13.2">
      <c r="N915" s="1"/>
    </row>
    <row r="916" spans="14:14" ht="13.2">
      <c r="N916" s="1"/>
    </row>
    <row r="917" spans="14:14" ht="13.2">
      <c r="N917" s="1"/>
    </row>
    <row r="918" spans="14:14" ht="13.2">
      <c r="N918" s="1"/>
    </row>
    <row r="919" spans="14:14" ht="13.2">
      <c r="N919" s="1"/>
    </row>
    <row r="920" spans="14:14" ht="13.2">
      <c r="N920" s="1"/>
    </row>
    <row r="921" spans="14:14" ht="13.2">
      <c r="N921" s="1"/>
    </row>
    <row r="922" spans="14:14" ht="13.2">
      <c r="N922" s="1"/>
    </row>
    <row r="923" spans="14:14" ht="13.2">
      <c r="N923" s="1"/>
    </row>
    <row r="924" spans="14:14" ht="13.2">
      <c r="N924" s="1"/>
    </row>
    <row r="925" spans="14:14" ht="13.2">
      <c r="N925" s="1"/>
    </row>
    <row r="926" spans="14:14" ht="13.2">
      <c r="N926" s="1"/>
    </row>
    <row r="927" spans="14:14" ht="13.2">
      <c r="N927" s="1"/>
    </row>
    <row r="928" spans="14:14" ht="13.2">
      <c r="N928" s="1"/>
    </row>
    <row r="929" spans="14:14" ht="13.2">
      <c r="N929" s="1"/>
    </row>
    <row r="930" spans="14:14" ht="13.2">
      <c r="N930" s="1"/>
    </row>
    <row r="931" spans="14:14" ht="13.2">
      <c r="N931" s="1"/>
    </row>
    <row r="932" spans="14:14" ht="13.2">
      <c r="N932" s="1"/>
    </row>
    <row r="933" spans="14:14" ht="13.2">
      <c r="N933" s="1"/>
    </row>
    <row r="934" spans="14:14" ht="13.2">
      <c r="N934" s="1"/>
    </row>
    <row r="935" spans="14:14" ht="13.2">
      <c r="N935" s="1"/>
    </row>
    <row r="936" spans="14:14" ht="13.2">
      <c r="N936" s="1"/>
    </row>
    <row r="937" spans="14:14" ht="13.2">
      <c r="N937" s="1"/>
    </row>
    <row r="938" spans="14:14" ht="13.2">
      <c r="N938" s="1"/>
    </row>
    <row r="939" spans="14:14" ht="13.2">
      <c r="N939" s="1"/>
    </row>
    <row r="940" spans="14:14" ht="13.2">
      <c r="N940" s="1"/>
    </row>
    <row r="941" spans="14:14" ht="13.2">
      <c r="N941" s="1"/>
    </row>
    <row r="942" spans="14:14" ht="13.2">
      <c r="N942" s="1"/>
    </row>
    <row r="943" spans="14:14" ht="13.2">
      <c r="N943" s="1"/>
    </row>
    <row r="944" spans="14:14" ht="13.2">
      <c r="N944" s="1"/>
    </row>
    <row r="945" spans="14:14" ht="13.2">
      <c r="N945" s="1"/>
    </row>
    <row r="946" spans="14:14" ht="13.2">
      <c r="N946" s="1"/>
    </row>
    <row r="947" spans="14:14" ht="13.2">
      <c r="N947" s="1"/>
    </row>
    <row r="948" spans="14:14" ht="13.2">
      <c r="N948" s="1"/>
    </row>
    <row r="949" spans="14:14" ht="13.2">
      <c r="N949" s="1"/>
    </row>
    <row r="950" spans="14:14" ht="13.2">
      <c r="N950" s="1"/>
    </row>
    <row r="951" spans="14:14" ht="13.2">
      <c r="N951" s="1"/>
    </row>
    <row r="952" spans="14:14" ht="13.2">
      <c r="N952" s="1"/>
    </row>
    <row r="953" spans="14:14" ht="13.2">
      <c r="N953" s="1"/>
    </row>
    <row r="954" spans="14:14" ht="13.2">
      <c r="N954" s="1"/>
    </row>
    <row r="955" spans="14:14" ht="13.2">
      <c r="N955" s="1"/>
    </row>
    <row r="956" spans="14:14" ht="13.2">
      <c r="N956" s="1"/>
    </row>
    <row r="957" spans="14:14" ht="13.2">
      <c r="N957" s="1"/>
    </row>
    <row r="958" spans="14:14" ht="13.2">
      <c r="N958" s="1"/>
    </row>
    <row r="959" spans="14:14" ht="13.2">
      <c r="N959" s="1"/>
    </row>
    <row r="960" spans="14:14" ht="13.2">
      <c r="N960" s="1"/>
    </row>
    <row r="961" spans="14:14" ht="13.2">
      <c r="N961" s="1"/>
    </row>
    <row r="962" spans="14:14" ht="13.2">
      <c r="N962" s="1"/>
    </row>
    <row r="963" spans="14:14" ht="13.2">
      <c r="N963" s="1"/>
    </row>
    <row r="964" spans="14:14" ht="13.2">
      <c r="N964" s="1"/>
    </row>
    <row r="965" spans="14:14" ht="13.2">
      <c r="N965" s="1"/>
    </row>
    <row r="966" spans="14:14" ht="13.2">
      <c r="N966" s="1"/>
    </row>
    <row r="967" spans="14:14" ht="13.2">
      <c r="N967" s="1"/>
    </row>
    <row r="968" spans="14:14" ht="13.2">
      <c r="N968" s="1"/>
    </row>
    <row r="969" spans="14:14" ht="13.2">
      <c r="N969" s="1"/>
    </row>
    <row r="970" spans="14:14" ht="13.2">
      <c r="N970" s="1"/>
    </row>
    <row r="971" spans="14:14" ht="13.2">
      <c r="N971" s="1"/>
    </row>
    <row r="972" spans="14:14" ht="13.2">
      <c r="N972" s="1"/>
    </row>
    <row r="973" spans="14:14" ht="13.2">
      <c r="N973" s="1"/>
    </row>
    <row r="974" spans="14:14" ht="13.2">
      <c r="N974" s="1"/>
    </row>
    <row r="975" spans="14:14" ht="13.2">
      <c r="N975" s="1"/>
    </row>
    <row r="976" spans="14:14" ht="13.2">
      <c r="N976" s="1"/>
    </row>
    <row r="977" spans="14:14" ht="13.2">
      <c r="N977" s="1"/>
    </row>
    <row r="978" spans="14:14" ht="13.2">
      <c r="N978" s="1"/>
    </row>
    <row r="979" spans="14:14" ht="13.2">
      <c r="N979" s="1"/>
    </row>
    <row r="980" spans="14:14" ht="13.2">
      <c r="N980" s="1"/>
    </row>
    <row r="981" spans="14:14" ht="13.2">
      <c r="N981" s="1"/>
    </row>
    <row r="982" spans="14:14" ht="13.2">
      <c r="N982" s="1"/>
    </row>
    <row r="983" spans="14:14" ht="13.2">
      <c r="N983" s="1"/>
    </row>
    <row r="984" spans="14:14" ht="13.2">
      <c r="N984" s="1"/>
    </row>
    <row r="985" spans="14:14" ht="13.2">
      <c r="N985" s="1"/>
    </row>
    <row r="986" spans="14:14" ht="13.2">
      <c r="N986" s="1"/>
    </row>
    <row r="987" spans="14:14" ht="13.2">
      <c r="N987" s="1"/>
    </row>
    <row r="988" spans="14:14" ht="13.2">
      <c r="N988" s="1"/>
    </row>
    <row r="989" spans="14:14" ht="13.2">
      <c r="N989" s="1"/>
    </row>
    <row r="990" spans="14:14" ht="13.2">
      <c r="N990" s="1"/>
    </row>
    <row r="991" spans="14:14" ht="13.2">
      <c r="N991" s="1"/>
    </row>
    <row r="992" spans="14:14" ht="13.2">
      <c r="N992" s="1"/>
    </row>
    <row r="993" spans="14:14" ht="13.2">
      <c r="N993" s="1"/>
    </row>
    <row r="994" spans="14:14" ht="13.2">
      <c r="N994" s="1"/>
    </row>
    <row r="995" spans="14:14" ht="13.2">
      <c r="N995" s="1"/>
    </row>
    <row r="996" spans="14:14" ht="13.2">
      <c r="N996" s="1"/>
    </row>
    <row r="997" spans="14:14" ht="13.2">
      <c r="N997" s="1"/>
    </row>
  </sheetData>
  <hyperlinks>
    <hyperlink ref="B2" r:id="rId1" xr:uid="{00000000-0004-0000-0000-000000000000}"/>
    <hyperlink ref="P2" r:id="rId2" xr:uid="{00000000-0004-0000-0000-000001000000}"/>
    <hyperlink ref="B3" r:id="rId3" xr:uid="{00000000-0004-0000-0000-000002000000}"/>
    <hyperlink ref="P3" r:id="rId4" xr:uid="{00000000-0004-0000-0000-000003000000}"/>
    <hyperlink ref="Q3" r:id="rId5" xr:uid="{00000000-0004-0000-0000-000004000000}"/>
    <hyperlink ref="B4" r:id="rId6" xr:uid="{00000000-0004-0000-0000-000005000000}"/>
    <hyperlink ref="B5" r:id="rId7" xr:uid="{00000000-0004-0000-0000-000006000000}"/>
    <hyperlink ref="P5" r:id="rId8" xr:uid="{00000000-0004-0000-0000-000007000000}"/>
    <hyperlink ref="B6" r:id="rId9" xr:uid="{00000000-0004-0000-0000-000008000000}"/>
    <hyperlink ref="B7" r:id="rId10" xr:uid="{00000000-0004-0000-0000-000009000000}"/>
    <hyperlink ref="B8" r:id="rId11" xr:uid="{00000000-0004-0000-0000-00000A000000}"/>
    <hyperlink ref="B9" r:id="rId12" xr:uid="{00000000-0004-0000-0000-00000B000000}"/>
    <hyperlink ref="B10" r:id="rId13" xr:uid="{00000000-0004-0000-0000-00000C000000}"/>
    <hyperlink ref="B17" r:id="rId14" xr:uid="{00000000-0004-0000-0000-00000D000000}"/>
    <hyperlink ref="F17" r:id="rId15" xr:uid="{00000000-0004-0000-0000-00000E000000}"/>
    <hyperlink ref="P17" r:id="rId16" xr:uid="{00000000-0004-0000-0000-00000F000000}"/>
    <hyperlink ref="B11" r:id="rId17" xr:uid="{00000000-0004-0000-0000-000010000000}"/>
    <hyperlink ref="P11" r:id="rId18" xr:uid="{00000000-0004-0000-0000-000011000000}"/>
    <hyperlink ref="B12" r:id="rId19" xr:uid="{00000000-0004-0000-0000-000012000000}"/>
    <hyperlink ref="P12" r:id="rId20" xr:uid="{00000000-0004-0000-0000-000013000000}"/>
    <hyperlink ref="B13" r:id="rId21" xr:uid="{00000000-0004-0000-0000-000014000000}"/>
    <hyperlink ref="P13" r:id="rId22" xr:uid="{00000000-0004-0000-0000-000015000000}"/>
    <hyperlink ref="B14" r:id="rId23" xr:uid="{00000000-0004-0000-0000-000016000000}"/>
    <hyperlink ref="P14" r:id="rId24" xr:uid="{00000000-0004-0000-0000-000017000000}"/>
    <hyperlink ref="B15" r:id="rId25" xr:uid="{00000000-0004-0000-0000-000018000000}"/>
    <hyperlink ref="P15" r:id="rId26" xr:uid="{00000000-0004-0000-0000-000019000000}"/>
    <hyperlink ref="B16" r:id="rId27" xr:uid="{00000000-0004-0000-0000-00001A000000}"/>
    <hyperlink ref="P16" r:id="rId28" xr:uid="{00000000-0004-0000-0000-00001B000000}"/>
    <hyperlink ref="B18" r:id="rId29" xr:uid="{00000000-0004-0000-0000-00001C000000}"/>
    <hyperlink ref="B19" r:id="rId30" xr:uid="{00000000-0004-0000-0000-00001D000000}"/>
    <hyperlink ref="B20" r:id="rId31" xr:uid="{00000000-0004-0000-0000-00001E000000}"/>
    <hyperlink ref="F20" r:id="rId32" xr:uid="{00000000-0004-0000-0000-00001F000000}"/>
    <hyperlink ref="P20" r:id="rId33" xr:uid="{00000000-0004-0000-0000-000020000000}"/>
    <hyperlink ref="B21" r:id="rId34" xr:uid="{00000000-0004-0000-0000-000021000000}"/>
    <hyperlink ref="F21" r:id="rId35" xr:uid="{00000000-0004-0000-0000-000022000000}"/>
    <hyperlink ref="P21" r:id="rId36" xr:uid="{00000000-0004-0000-0000-000023000000}"/>
    <hyperlink ref="B22" r:id="rId37" xr:uid="{00000000-0004-0000-0000-000024000000}"/>
    <hyperlink ref="F22" r:id="rId38" xr:uid="{00000000-0004-0000-0000-000025000000}"/>
    <hyperlink ref="P22" r:id="rId39" xr:uid="{00000000-0004-0000-0000-000026000000}"/>
    <hyperlink ref="B23" r:id="rId40" xr:uid="{00000000-0004-0000-0000-000027000000}"/>
    <hyperlink ref="F23" r:id="rId41" xr:uid="{00000000-0004-0000-0000-000028000000}"/>
    <hyperlink ref="P23" r:id="rId42" xr:uid="{00000000-0004-0000-0000-000029000000}"/>
    <hyperlink ref="B24" r:id="rId43" xr:uid="{00000000-0004-0000-0000-00002A000000}"/>
    <hyperlink ref="B25" r:id="rId44" xr:uid="{00000000-0004-0000-0000-00002B000000}"/>
    <hyperlink ref="B26" r:id="rId45" xr:uid="{00000000-0004-0000-0000-00002C000000}"/>
    <hyperlink ref="F26" r:id="rId46" xr:uid="{00000000-0004-0000-0000-00002D000000}"/>
    <hyperlink ref="B27" r:id="rId47" xr:uid="{00000000-0004-0000-0000-00002E000000}"/>
    <hyperlink ref="F27" r:id="rId48" xr:uid="{00000000-0004-0000-0000-00002F000000}"/>
    <hyperlink ref="B28" r:id="rId49" xr:uid="{00000000-0004-0000-0000-000030000000}"/>
    <hyperlink ref="F28" r:id="rId50" xr:uid="{00000000-0004-0000-0000-000031000000}"/>
  </hyperlinks>
  <pageMargins left="0.7" right="0.7" top="0.75" bottom="0.75" header="0.3" footer="0.3"/>
  <tableParts count="1">
    <tablePart r:id="rId5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4:AP36"/>
  <sheetViews>
    <sheetView topLeftCell="A18" workbookViewId="0">
      <selection activeCell="S15" sqref="S15:V32"/>
    </sheetView>
  </sheetViews>
  <sheetFormatPr defaultColWidth="12.6640625" defaultRowHeight="15.75" customHeight="1"/>
  <cols>
    <col min="1" max="1" width="12.44140625" customWidth="1"/>
    <col min="2" max="2" width="8.77734375" customWidth="1"/>
    <col min="3" max="3" width="75.44140625" bestFit="1" customWidth="1"/>
    <col min="4" max="4" width="46.33203125" customWidth="1"/>
    <col min="6" max="6" width="27.21875" customWidth="1"/>
    <col min="7" max="7" width="18.88671875" customWidth="1"/>
    <col min="9" max="9" width="39.88671875" bestFit="1" customWidth="1"/>
    <col min="10" max="10" width="30.6640625" bestFit="1" customWidth="1"/>
    <col min="12" max="12" width="255.77734375" bestFit="1" customWidth="1"/>
    <col min="13" max="13" width="18.33203125" bestFit="1" customWidth="1"/>
    <col min="14" max="14" width="20.5546875" bestFit="1" customWidth="1"/>
    <col min="15" max="15" width="20.44140625" bestFit="1" customWidth="1"/>
    <col min="17" max="17" width="73.109375" bestFit="1" customWidth="1"/>
    <col min="23" max="23" width="40.44140625" bestFit="1" customWidth="1"/>
    <col min="24" max="24" width="40" bestFit="1" customWidth="1"/>
  </cols>
  <sheetData>
    <row r="4" spans="1:42" ht="13.8">
      <c r="A4" s="2"/>
      <c r="B4" s="2" t="s">
        <v>1</v>
      </c>
      <c r="C4" s="2" t="s">
        <v>639</v>
      </c>
      <c r="D4" s="2" t="s">
        <v>8286</v>
      </c>
      <c r="E4" s="2" t="s">
        <v>8285</v>
      </c>
      <c r="F4" s="2" t="s">
        <v>10539</v>
      </c>
      <c r="G4" s="2" t="s">
        <v>5</v>
      </c>
      <c r="H4" s="2" t="s">
        <v>6</v>
      </c>
      <c r="I4" s="2" t="s">
        <v>7</v>
      </c>
      <c r="J4" s="2" t="s">
        <v>8</v>
      </c>
      <c r="K4" s="2" t="s">
        <v>9</v>
      </c>
      <c r="L4" s="2" t="s">
        <v>8287</v>
      </c>
      <c r="M4" s="2" t="s">
        <v>8284</v>
      </c>
      <c r="N4" s="1" t="s">
        <v>8288</v>
      </c>
      <c r="O4" s="2" t="s">
        <v>8289</v>
      </c>
      <c r="P4" s="2" t="s">
        <v>14</v>
      </c>
      <c r="Q4" s="2" t="s">
        <v>8301</v>
      </c>
      <c r="R4" s="2" t="s">
        <v>16</v>
      </c>
      <c r="S4" s="3" t="s">
        <v>8303</v>
      </c>
      <c r="T4" s="3" t="s">
        <v>8304</v>
      </c>
      <c r="U4" s="3" t="s">
        <v>8305</v>
      </c>
      <c r="V4" s="3" t="s">
        <v>8306</v>
      </c>
      <c r="W4" s="4" t="s">
        <v>8335</v>
      </c>
      <c r="X4" s="4" t="s">
        <v>8336</v>
      </c>
      <c r="Y4" s="5" t="s">
        <v>23</v>
      </c>
      <c r="Z4" s="5" t="s">
        <v>24</v>
      </c>
      <c r="AA4" s="5" t="s">
        <v>25</v>
      </c>
      <c r="AB4" s="5" t="s">
        <v>26</v>
      </c>
      <c r="AC4" s="5" t="s">
        <v>27</v>
      </c>
      <c r="AD4" s="5"/>
      <c r="AE4" s="5" t="s">
        <v>28</v>
      </c>
      <c r="AF4" s="5"/>
      <c r="AG4" s="5" t="s">
        <v>29</v>
      </c>
      <c r="AH4" s="5"/>
      <c r="AI4" s="5" t="s">
        <v>30</v>
      </c>
      <c r="AJ4" s="5"/>
      <c r="AK4" s="5" t="s">
        <v>31</v>
      </c>
      <c r="AL4" s="5"/>
      <c r="AM4" s="5" t="s">
        <v>32</v>
      </c>
      <c r="AN4" s="5"/>
      <c r="AO4" s="5" t="s">
        <v>33</v>
      </c>
      <c r="AP4" s="5"/>
    </row>
    <row r="5" spans="1:42" ht="13.8">
      <c r="A5" s="34" t="s">
        <v>326</v>
      </c>
      <c r="B5" s="34">
        <v>28</v>
      </c>
      <c r="C5" s="350" t="s">
        <v>327</v>
      </c>
      <c r="D5" s="36" t="s">
        <v>328</v>
      </c>
      <c r="E5" s="36">
        <v>452</v>
      </c>
      <c r="F5" s="35" t="s">
        <v>329</v>
      </c>
      <c r="G5" s="39" t="s">
        <v>330</v>
      </c>
      <c r="H5" s="40" t="s">
        <v>39</v>
      </c>
      <c r="I5" s="52" t="s">
        <v>331</v>
      </c>
      <c r="J5" s="39" t="s">
        <v>332</v>
      </c>
      <c r="K5" s="52" t="s">
        <v>333</v>
      </c>
      <c r="L5" s="53" t="s">
        <v>334</v>
      </c>
      <c r="M5" s="40"/>
      <c r="N5" s="40" t="s">
        <v>44</v>
      </c>
      <c r="O5" s="40"/>
      <c r="P5" s="39" t="s">
        <v>44</v>
      </c>
      <c r="Q5" s="39" t="s">
        <v>44</v>
      </c>
      <c r="R5" s="34" t="s">
        <v>47</v>
      </c>
      <c r="S5" s="48" t="s">
        <v>170</v>
      </c>
      <c r="T5" s="48" t="s">
        <v>335</v>
      </c>
      <c r="U5" s="48" t="s">
        <v>336</v>
      </c>
      <c r="V5" s="48" t="s">
        <v>337</v>
      </c>
      <c r="W5" s="37" t="s">
        <v>71</v>
      </c>
      <c r="X5" s="37" t="s">
        <v>338</v>
      </c>
      <c r="Y5" s="34"/>
      <c r="Z5" s="34"/>
      <c r="AA5" s="34"/>
      <c r="AB5" s="34"/>
      <c r="AC5" s="34"/>
      <c r="AD5" s="34"/>
      <c r="AE5" s="34"/>
      <c r="AF5" s="34"/>
      <c r="AG5" s="34"/>
      <c r="AH5" s="34"/>
      <c r="AI5" s="34"/>
      <c r="AJ5" s="34"/>
      <c r="AK5" s="34"/>
      <c r="AL5" s="34"/>
      <c r="AM5" s="34"/>
      <c r="AN5" s="34"/>
      <c r="AO5" s="34"/>
      <c r="AP5" s="34"/>
    </row>
    <row r="6" spans="1:42" ht="16.8">
      <c r="A6" s="25" t="s">
        <v>130</v>
      </c>
      <c r="B6" s="25">
        <v>29</v>
      </c>
      <c r="C6" s="26" t="s">
        <v>339</v>
      </c>
      <c r="D6" s="27" t="s">
        <v>340</v>
      </c>
      <c r="E6" s="28">
        <v>458</v>
      </c>
      <c r="F6" s="29" t="s">
        <v>341</v>
      </c>
      <c r="G6" s="30" t="s">
        <v>342</v>
      </c>
      <c r="H6" s="29" t="s">
        <v>39</v>
      </c>
      <c r="I6" s="31" t="s">
        <v>343</v>
      </c>
      <c r="J6" s="31" t="s">
        <v>344</v>
      </c>
      <c r="K6" s="31" t="s">
        <v>345</v>
      </c>
      <c r="L6" s="30" t="s">
        <v>346</v>
      </c>
      <c r="M6" s="30">
        <v>8383059999</v>
      </c>
      <c r="N6" s="29">
        <v>9819701940</v>
      </c>
      <c r="O6" s="30">
        <v>8383059999</v>
      </c>
      <c r="P6" s="30" t="s">
        <v>44</v>
      </c>
      <c r="Q6" s="29" t="s">
        <v>347</v>
      </c>
      <c r="R6" s="25" t="s">
        <v>47</v>
      </c>
      <c r="S6" s="51" t="s">
        <v>348</v>
      </c>
      <c r="T6" s="51" t="s">
        <v>49</v>
      </c>
      <c r="U6" s="51" t="s">
        <v>349</v>
      </c>
      <c r="V6" s="51" t="s">
        <v>350</v>
      </c>
      <c r="W6" s="28" t="s">
        <v>71</v>
      </c>
      <c r="X6" s="28" t="s">
        <v>71</v>
      </c>
      <c r="Y6" s="25"/>
      <c r="Z6" s="25"/>
      <c r="AA6" s="25"/>
      <c r="AB6" s="25"/>
      <c r="AC6" s="25"/>
      <c r="AD6" s="25"/>
      <c r="AE6" s="25"/>
      <c r="AF6" s="25"/>
      <c r="AG6" s="25"/>
      <c r="AH6" s="25"/>
      <c r="AI6" s="25"/>
      <c r="AJ6" s="25"/>
      <c r="AK6" s="25"/>
      <c r="AL6" s="25"/>
      <c r="AM6" s="25"/>
      <c r="AN6" s="25"/>
      <c r="AO6" s="25"/>
      <c r="AP6" s="25"/>
    </row>
    <row r="7" spans="1:42" ht="16.8">
      <c r="A7" s="25" t="s">
        <v>130</v>
      </c>
      <c r="B7" s="25">
        <v>30</v>
      </c>
      <c r="C7" s="26" t="s">
        <v>351</v>
      </c>
      <c r="D7" s="27" t="s">
        <v>352</v>
      </c>
      <c r="E7" s="28">
        <v>459</v>
      </c>
      <c r="F7" s="33" t="s">
        <v>353</v>
      </c>
      <c r="G7" s="30" t="s">
        <v>354</v>
      </c>
      <c r="H7" s="29" t="s">
        <v>39</v>
      </c>
      <c r="I7" s="31" t="s">
        <v>343</v>
      </c>
      <c r="J7" s="30" t="s">
        <v>355</v>
      </c>
      <c r="K7" s="31" t="s">
        <v>356</v>
      </c>
      <c r="L7" s="30" t="s">
        <v>346</v>
      </c>
      <c r="M7" s="30">
        <v>9820888508</v>
      </c>
      <c r="N7" s="29">
        <v>9820888508</v>
      </c>
      <c r="O7" s="30">
        <v>9820888508</v>
      </c>
      <c r="P7" s="30" t="s">
        <v>44</v>
      </c>
      <c r="Q7" s="29" t="s">
        <v>347</v>
      </c>
      <c r="R7" s="25" t="s">
        <v>47</v>
      </c>
      <c r="S7" s="51" t="s">
        <v>170</v>
      </c>
      <c r="T7" s="51" t="s">
        <v>49</v>
      </c>
      <c r="U7" s="51" t="s">
        <v>197</v>
      </c>
      <c r="V7" s="51" t="s">
        <v>357</v>
      </c>
      <c r="W7" s="28" t="s">
        <v>71</v>
      </c>
      <c r="X7" s="28" t="s">
        <v>71</v>
      </c>
      <c r="Y7" s="25"/>
      <c r="Z7" s="25"/>
      <c r="AA7" s="25"/>
      <c r="AB7" s="25"/>
      <c r="AC7" s="25"/>
      <c r="AD7" s="25"/>
      <c r="AE7" s="25"/>
      <c r="AF7" s="25"/>
      <c r="AG7" s="25"/>
      <c r="AH7" s="25"/>
      <c r="AI7" s="25"/>
      <c r="AJ7" s="25"/>
      <c r="AK7" s="25"/>
      <c r="AL7" s="25"/>
      <c r="AM7" s="25"/>
      <c r="AN7" s="25"/>
      <c r="AO7" s="25"/>
      <c r="AP7" s="25"/>
    </row>
    <row r="8" spans="1:42" ht="16.8">
      <c r="A8" s="25" t="s">
        <v>130</v>
      </c>
      <c r="B8" s="25">
        <v>31</v>
      </c>
      <c r="C8" s="26" t="s">
        <v>358</v>
      </c>
      <c r="D8" s="27" t="s">
        <v>359</v>
      </c>
      <c r="E8" s="28">
        <v>460</v>
      </c>
      <c r="F8" s="33" t="s">
        <v>360</v>
      </c>
      <c r="G8" s="30" t="s">
        <v>361</v>
      </c>
      <c r="H8" s="29" t="s">
        <v>39</v>
      </c>
      <c r="I8" s="31" t="s">
        <v>343</v>
      </c>
      <c r="J8" s="30" t="s">
        <v>362</v>
      </c>
      <c r="K8" s="31" t="s">
        <v>345</v>
      </c>
      <c r="L8" s="30" t="s">
        <v>346</v>
      </c>
      <c r="M8" s="30">
        <v>9920449944</v>
      </c>
      <c r="N8" s="29" t="s">
        <v>44</v>
      </c>
      <c r="O8" s="30">
        <v>9920449944</v>
      </c>
      <c r="P8" s="30" t="s">
        <v>44</v>
      </c>
      <c r="Q8" s="29" t="s">
        <v>347</v>
      </c>
      <c r="R8" s="25" t="s">
        <v>47</v>
      </c>
      <c r="S8" s="51" t="s">
        <v>170</v>
      </c>
      <c r="T8" s="51" t="s">
        <v>363</v>
      </c>
      <c r="U8" s="51" t="s">
        <v>364</v>
      </c>
      <c r="V8" s="51" t="s">
        <v>365</v>
      </c>
      <c r="W8" s="28" t="s">
        <v>71</v>
      </c>
      <c r="X8" s="28" t="s">
        <v>71</v>
      </c>
      <c r="Y8" s="25"/>
      <c r="Z8" s="25"/>
      <c r="AA8" s="25"/>
      <c r="AB8" s="25"/>
      <c r="AC8" s="25"/>
      <c r="AD8" s="25"/>
      <c r="AE8" s="25"/>
      <c r="AF8" s="25"/>
      <c r="AG8" s="25"/>
      <c r="AH8" s="25"/>
      <c r="AI8" s="25"/>
      <c r="AJ8" s="25"/>
      <c r="AK8" s="25"/>
      <c r="AL8" s="25"/>
      <c r="AM8" s="25"/>
      <c r="AN8" s="25"/>
      <c r="AO8" s="25"/>
      <c r="AP8" s="25"/>
    </row>
    <row r="9" spans="1:42" ht="16.8">
      <c r="A9" s="25" t="s">
        <v>130</v>
      </c>
      <c r="B9" s="25">
        <v>32</v>
      </c>
      <c r="C9" s="26" t="s">
        <v>366</v>
      </c>
      <c r="D9" s="28" t="s">
        <v>367</v>
      </c>
      <c r="E9" s="28">
        <v>488</v>
      </c>
      <c r="F9" s="33" t="s">
        <v>368</v>
      </c>
      <c r="G9" s="30" t="s">
        <v>369</v>
      </c>
      <c r="H9" s="29" t="s">
        <v>39</v>
      </c>
      <c r="I9" s="31" t="s">
        <v>370</v>
      </c>
      <c r="J9" s="30" t="s">
        <v>371</v>
      </c>
      <c r="K9" s="29"/>
      <c r="L9" s="50" t="s">
        <v>372</v>
      </c>
      <c r="M9" s="30">
        <v>9820291283</v>
      </c>
      <c r="N9" s="29">
        <v>9322691333</v>
      </c>
      <c r="O9" s="30">
        <v>9820291283</v>
      </c>
      <c r="P9" s="30" t="s">
        <v>44</v>
      </c>
      <c r="Q9" s="29" t="s">
        <v>373</v>
      </c>
      <c r="R9" s="25" t="s">
        <v>47</v>
      </c>
      <c r="S9" s="51" t="s">
        <v>170</v>
      </c>
      <c r="T9" s="51" t="s">
        <v>374</v>
      </c>
      <c r="U9" s="51" t="s">
        <v>375</v>
      </c>
      <c r="V9" s="51" t="s">
        <v>376</v>
      </c>
      <c r="W9" s="28" t="s">
        <v>71</v>
      </c>
      <c r="X9" s="28" t="s">
        <v>377</v>
      </c>
      <c r="Y9" s="25"/>
      <c r="Z9" s="25"/>
      <c r="AA9" s="25"/>
      <c r="AB9" s="25"/>
      <c r="AC9" s="25"/>
      <c r="AD9" s="25"/>
      <c r="AE9" s="25"/>
      <c r="AF9" s="25"/>
      <c r="AG9" s="25"/>
      <c r="AH9" s="25"/>
      <c r="AI9" s="25"/>
      <c r="AJ9" s="25"/>
      <c r="AK9" s="25"/>
      <c r="AL9" s="25"/>
      <c r="AM9" s="25"/>
      <c r="AN9" s="25"/>
      <c r="AO9" s="25"/>
      <c r="AP9" s="25"/>
    </row>
    <row r="10" spans="1:42" ht="16.8">
      <c r="A10" s="25" t="s">
        <v>130</v>
      </c>
      <c r="B10" s="25">
        <v>33</v>
      </c>
      <c r="C10" s="26" t="s">
        <v>378</v>
      </c>
      <c r="D10" s="28" t="s">
        <v>379</v>
      </c>
      <c r="E10" s="28">
        <v>704</v>
      </c>
      <c r="F10" s="29" t="s">
        <v>380</v>
      </c>
      <c r="G10" s="31" t="s">
        <v>381</v>
      </c>
      <c r="H10" s="29" t="s">
        <v>39</v>
      </c>
      <c r="I10" s="31" t="s">
        <v>382</v>
      </c>
      <c r="J10" s="31" t="s">
        <v>381</v>
      </c>
      <c r="K10" s="31" t="s">
        <v>383</v>
      </c>
      <c r="L10" s="30" t="s">
        <v>384</v>
      </c>
      <c r="M10" s="31">
        <v>9819439878</v>
      </c>
      <c r="N10" s="54">
        <v>9819439878</v>
      </c>
      <c r="O10" s="31">
        <v>9819439878</v>
      </c>
      <c r="P10" s="30" t="s">
        <v>44</v>
      </c>
      <c r="Q10" s="30" t="s">
        <v>44</v>
      </c>
      <c r="R10" s="25" t="s">
        <v>47</v>
      </c>
      <c r="S10" s="51" t="s">
        <v>49</v>
      </c>
      <c r="T10" s="51" t="s">
        <v>385</v>
      </c>
      <c r="U10" s="51" t="s">
        <v>385</v>
      </c>
      <c r="V10" s="51" t="s">
        <v>49</v>
      </c>
      <c r="W10" s="28" t="s">
        <v>71</v>
      </c>
      <c r="X10" s="28" t="s">
        <v>386</v>
      </c>
      <c r="Y10" s="25"/>
      <c r="Z10" s="25"/>
      <c r="AA10" s="25"/>
      <c r="AB10" s="25"/>
      <c r="AC10" s="25"/>
      <c r="AD10" s="25"/>
      <c r="AE10" s="25"/>
      <c r="AF10" s="25"/>
      <c r="AG10" s="25"/>
      <c r="AH10" s="25"/>
      <c r="AI10" s="25"/>
      <c r="AJ10" s="25"/>
      <c r="AK10" s="25"/>
      <c r="AL10" s="25"/>
      <c r="AM10" s="25"/>
      <c r="AN10" s="25"/>
      <c r="AO10" s="25"/>
      <c r="AP10" s="25"/>
    </row>
    <row r="11" spans="1:42" ht="13.8">
      <c r="A11" s="25" t="s">
        <v>130</v>
      </c>
      <c r="B11" s="25">
        <v>34</v>
      </c>
      <c r="C11" s="26" t="s">
        <v>387</v>
      </c>
      <c r="D11" s="28" t="s">
        <v>388</v>
      </c>
      <c r="E11" s="28">
        <v>722</v>
      </c>
      <c r="F11" s="55" t="s">
        <v>389</v>
      </c>
      <c r="G11" s="30" t="s">
        <v>390</v>
      </c>
      <c r="H11" s="29" t="s">
        <v>39</v>
      </c>
      <c r="I11" s="30" t="s">
        <v>391</v>
      </c>
      <c r="J11" s="30" t="s">
        <v>392</v>
      </c>
      <c r="K11" s="30" t="s">
        <v>191</v>
      </c>
      <c r="L11" s="30" t="s">
        <v>393</v>
      </c>
      <c r="M11" s="56">
        <v>9227097100</v>
      </c>
      <c r="N11" s="57">
        <v>9227097100</v>
      </c>
      <c r="O11" s="56">
        <v>9227097100</v>
      </c>
      <c r="P11" s="30" t="s">
        <v>44</v>
      </c>
      <c r="Q11" s="29" t="s">
        <v>394</v>
      </c>
      <c r="R11" s="25" t="s">
        <v>47</v>
      </c>
      <c r="S11" s="29" t="s">
        <v>395</v>
      </c>
      <c r="T11" s="29" t="s">
        <v>395</v>
      </c>
      <c r="U11" s="29" t="s">
        <v>395</v>
      </c>
      <c r="V11" s="29" t="s">
        <v>395</v>
      </c>
      <c r="W11" s="28" t="s">
        <v>396</v>
      </c>
      <c r="X11" s="28" t="s">
        <v>397</v>
      </c>
      <c r="Y11" s="25"/>
      <c r="Z11" s="25"/>
      <c r="AA11" s="25"/>
      <c r="AB11" s="25"/>
      <c r="AC11" s="25"/>
      <c r="AD11" s="25"/>
      <c r="AE11" s="25"/>
      <c r="AF11" s="25"/>
      <c r="AG11" s="25"/>
      <c r="AH11" s="25"/>
      <c r="AI11" s="25"/>
      <c r="AJ11" s="25"/>
      <c r="AK11" s="25"/>
      <c r="AL11" s="25"/>
      <c r="AM11" s="25"/>
      <c r="AN11" s="25"/>
      <c r="AO11" s="25"/>
      <c r="AP11" s="25"/>
    </row>
    <row r="12" spans="1:42" ht="16.8">
      <c r="A12" s="25" t="s">
        <v>130</v>
      </c>
      <c r="B12" s="25">
        <v>35</v>
      </c>
      <c r="C12" s="26" t="s">
        <v>398</v>
      </c>
      <c r="D12" s="28" t="s">
        <v>399</v>
      </c>
      <c r="E12" s="28">
        <v>731</v>
      </c>
      <c r="F12" s="58" t="s">
        <v>400</v>
      </c>
      <c r="G12" s="31" t="s">
        <v>401</v>
      </c>
      <c r="H12" s="29" t="s">
        <v>39</v>
      </c>
      <c r="I12" s="31" t="s">
        <v>402</v>
      </c>
      <c r="J12" s="31" t="s">
        <v>403</v>
      </c>
      <c r="K12" s="31" t="s">
        <v>404</v>
      </c>
      <c r="L12" s="59" t="s">
        <v>405</v>
      </c>
      <c r="M12" s="31">
        <v>9833997796</v>
      </c>
      <c r="N12" s="29" t="s">
        <v>44</v>
      </c>
      <c r="O12" s="31">
        <v>9833997796</v>
      </c>
      <c r="P12" s="30" t="s">
        <v>44</v>
      </c>
      <c r="Q12" s="30" t="s">
        <v>44</v>
      </c>
      <c r="R12" s="25" t="s">
        <v>47</v>
      </c>
      <c r="S12" s="51" t="s">
        <v>170</v>
      </c>
      <c r="T12" s="51" t="s">
        <v>406</v>
      </c>
      <c r="U12" s="51" t="s">
        <v>407</v>
      </c>
      <c r="V12" s="51" t="s">
        <v>408</v>
      </c>
      <c r="W12" s="28" t="s">
        <v>71</v>
      </c>
      <c r="X12" s="28" t="s">
        <v>409</v>
      </c>
      <c r="Y12" s="25"/>
      <c r="Z12" s="25"/>
      <c r="AA12" s="25"/>
      <c r="AB12" s="25"/>
      <c r="AC12" s="25"/>
      <c r="AD12" s="25"/>
      <c r="AE12" s="25"/>
      <c r="AF12" s="25"/>
      <c r="AG12" s="25"/>
      <c r="AH12" s="25"/>
      <c r="AI12" s="25"/>
      <c r="AJ12" s="25"/>
      <c r="AK12" s="25"/>
      <c r="AL12" s="25"/>
      <c r="AM12" s="25"/>
      <c r="AN12" s="25"/>
      <c r="AO12" s="25"/>
      <c r="AP12" s="25"/>
    </row>
    <row r="13" spans="1:42" ht="16.8">
      <c r="A13" s="25" t="s">
        <v>130</v>
      </c>
      <c r="B13" s="25">
        <v>36</v>
      </c>
      <c r="C13" s="26" t="s">
        <v>410</v>
      </c>
      <c r="D13" s="28" t="s">
        <v>411</v>
      </c>
      <c r="E13" s="28">
        <v>744</v>
      </c>
      <c r="F13" s="60" t="s">
        <v>412</v>
      </c>
      <c r="G13" s="31" t="s">
        <v>413</v>
      </c>
      <c r="H13" s="29" t="s">
        <v>39</v>
      </c>
      <c r="I13" s="31" t="s">
        <v>414</v>
      </c>
      <c r="J13" s="31" t="s">
        <v>415</v>
      </c>
      <c r="K13" s="31" t="s">
        <v>416</v>
      </c>
      <c r="L13" s="29"/>
      <c r="M13" s="31">
        <v>9920031422</v>
      </c>
      <c r="N13" s="29" t="s">
        <v>44</v>
      </c>
      <c r="O13" s="31">
        <v>9920031422</v>
      </c>
      <c r="P13" s="30" t="s">
        <v>44</v>
      </c>
      <c r="Q13" s="29" t="s">
        <v>417</v>
      </c>
      <c r="R13" s="25" t="s">
        <v>47</v>
      </c>
      <c r="S13" s="51" t="s">
        <v>418</v>
      </c>
      <c r="T13" s="51" t="s">
        <v>419</v>
      </c>
      <c r="U13" s="51" t="s">
        <v>197</v>
      </c>
      <c r="V13" s="51" t="s">
        <v>420</v>
      </c>
      <c r="W13" s="28" t="s">
        <v>421</v>
      </c>
      <c r="X13" s="28" t="s">
        <v>421</v>
      </c>
      <c r="Y13" s="25"/>
      <c r="Z13" s="25"/>
      <c r="AA13" s="25"/>
      <c r="AB13" s="25"/>
      <c r="AC13" s="25"/>
      <c r="AD13" s="25"/>
      <c r="AE13" s="25"/>
      <c r="AF13" s="25"/>
      <c r="AG13" s="25"/>
      <c r="AH13" s="25"/>
      <c r="AI13" s="25"/>
      <c r="AJ13" s="25"/>
      <c r="AK13" s="25"/>
      <c r="AL13" s="25"/>
      <c r="AM13" s="25"/>
      <c r="AN13" s="25"/>
      <c r="AO13" s="25"/>
      <c r="AP13" s="25"/>
    </row>
    <row r="14" spans="1:42" ht="16.8">
      <c r="A14" s="6" t="s">
        <v>130</v>
      </c>
      <c r="B14" s="6">
        <v>37</v>
      </c>
      <c r="C14" s="7" t="s">
        <v>422</v>
      </c>
      <c r="D14" s="17" t="s">
        <v>423</v>
      </c>
      <c r="E14" s="17">
        <v>753</v>
      </c>
      <c r="F14" s="61" t="s">
        <v>424</v>
      </c>
      <c r="G14" s="20" t="s">
        <v>425</v>
      </c>
      <c r="H14" s="18" t="s">
        <v>39</v>
      </c>
      <c r="I14" s="20" t="s">
        <v>426</v>
      </c>
      <c r="J14" s="20" t="s">
        <v>427</v>
      </c>
      <c r="K14" s="19" t="s">
        <v>42</v>
      </c>
      <c r="L14" s="19" t="s">
        <v>428</v>
      </c>
      <c r="M14" s="20">
        <v>9322246670</v>
      </c>
      <c r="N14" s="61">
        <v>9321246670</v>
      </c>
      <c r="O14" s="20">
        <v>9322246670</v>
      </c>
      <c r="P14" s="22" t="s">
        <v>429</v>
      </c>
      <c r="Q14" s="18" t="s">
        <v>430</v>
      </c>
      <c r="R14" s="6" t="s">
        <v>47</v>
      </c>
      <c r="S14" s="45" t="s">
        <v>170</v>
      </c>
      <c r="T14" s="45" t="s">
        <v>49</v>
      </c>
      <c r="U14" s="45" t="s">
        <v>197</v>
      </c>
      <c r="V14" s="45" t="s">
        <v>49</v>
      </c>
      <c r="W14" s="17" t="s">
        <v>71</v>
      </c>
      <c r="X14" s="17" t="s">
        <v>431</v>
      </c>
      <c r="Y14" s="6"/>
      <c r="Z14" s="6"/>
      <c r="AA14" s="6"/>
      <c r="AB14" s="6"/>
      <c r="AC14" s="6"/>
      <c r="AD14" s="6"/>
      <c r="AE14" s="6"/>
      <c r="AF14" s="6"/>
      <c r="AG14" s="6"/>
      <c r="AH14" s="6"/>
      <c r="AI14" s="6"/>
      <c r="AJ14" s="6"/>
      <c r="AK14" s="6"/>
      <c r="AL14" s="6"/>
      <c r="AM14" s="6"/>
      <c r="AN14" s="6"/>
      <c r="AO14" s="6"/>
      <c r="AP14" s="6"/>
    </row>
    <row r="15" spans="1:42" ht="14.25" customHeight="1">
      <c r="A15" s="25" t="s">
        <v>130</v>
      </c>
      <c r="B15" s="25">
        <v>38</v>
      </c>
      <c r="C15" s="26" t="s">
        <v>432</v>
      </c>
      <c r="D15" s="28" t="s">
        <v>433</v>
      </c>
      <c r="E15" s="28">
        <v>759</v>
      </c>
      <c r="F15" s="29" t="s">
        <v>434</v>
      </c>
      <c r="G15" s="30" t="s">
        <v>435</v>
      </c>
      <c r="H15" s="29" t="s">
        <v>39</v>
      </c>
      <c r="I15" s="31" t="s">
        <v>436</v>
      </c>
      <c r="J15" s="30" t="s">
        <v>437</v>
      </c>
      <c r="K15" s="31" t="s">
        <v>438</v>
      </c>
      <c r="L15" s="30" t="s">
        <v>439</v>
      </c>
      <c r="M15" s="31">
        <v>9819656189</v>
      </c>
      <c r="N15" s="29" t="s">
        <v>44</v>
      </c>
      <c r="O15" s="31">
        <v>9819656189</v>
      </c>
      <c r="P15" s="30" t="s">
        <v>44</v>
      </c>
      <c r="Q15" s="62" t="s">
        <v>440</v>
      </c>
      <c r="R15" s="25" t="s">
        <v>47</v>
      </c>
      <c r="S15" s="32" t="s">
        <v>170</v>
      </c>
      <c r="T15" s="32" t="s">
        <v>49</v>
      </c>
      <c r="U15" s="32" t="s">
        <v>441</v>
      </c>
      <c r="V15" s="32" t="s">
        <v>51</v>
      </c>
      <c r="W15" s="28" t="s">
        <v>71</v>
      </c>
      <c r="X15" s="28" t="s">
        <v>442</v>
      </c>
      <c r="Y15" s="25"/>
      <c r="Z15" s="25"/>
      <c r="AA15" s="25"/>
      <c r="AB15" s="25"/>
      <c r="AC15" s="25"/>
      <c r="AD15" s="25"/>
      <c r="AE15" s="25"/>
      <c r="AF15" s="25"/>
      <c r="AG15" s="25"/>
      <c r="AH15" s="25"/>
      <c r="AI15" s="25"/>
      <c r="AJ15" s="25"/>
      <c r="AK15" s="25"/>
      <c r="AL15" s="25"/>
      <c r="AM15" s="25"/>
      <c r="AN15" s="25"/>
      <c r="AO15" s="25"/>
      <c r="AP15" s="25"/>
    </row>
    <row r="16" spans="1:42" ht="16.5" customHeight="1">
      <c r="A16" s="25" t="s">
        <v>130</v>
      </c>
      <c r="B16" s="25">
        <v>39</v>
      </c>
      <c r="C16" s="26" t="s">
        <v>443</v>
      </c>
      <c r="D16" s="28" t="s">
        <v>444</v>
      </c>
      <c r="E16" s="28">
        <v>760</v>
      </c>
      <c r="F16" s="29" t="s">
        <v>434</v>
      </c>
      <c r="G16" s="31" t="s">
        <v>445</v>
      </c>
      <c r="H16" s="29" t="s">
        <v>39</v>
      </c>
      <c r="I16" s="31" t="s">
        <v>436</v>
      </c>
      <c r="J16" s="31" t="s">
        <v>446</v>
      </c>
      <c r="K16" s="31" t="s">
        <v>438</v>
      </c>
      <c r="L16" s="30" t="s">
        <v>439</v>
      </c>
      <c r="M16" s="31">
        <v>9699087887</v>
      </c>
      <c r="N16" s="29" t="s">
        <v>44</v>
      </c>
      <c r="O16" s="31">
        <v>9699087887</v>
      </c>
      <c r="P16" s="30" t="s">
        <v>44</v>
      </c>
      <c r="Q16" s="62" t="s">
        <v>440</v>
      </c>
      <c r="R16" s="25" t="s">
        <v>47</v>
      </c>
      <c r="S16" s="32" t="s">
        <v>300</v>
      </c>
      <c r="T16" s="32" t="s">
        <v>301</v>
      </c>
      <c r="U16" s="32" t="s">
        <v>447</v>
      </c>
      <c r="V16" s="32" t="s">
        <v>448</v>
      </c>
      <c r="W16" s="28" t="s">
        <v>71</v>
      </c>
      <c r="X16" s="28" t="s">
        <v>442</v>
      </c>
      <c r="Y16" s="25"/>
      <c r="Z16" s="25"/>
      <c r="AA16" s="25"/>
      <c r="AB16" s="25"/>
      <c r="AC16" s="25"/>
      <c r="AD16" s="25"/>
      <c r="AE16" s="25"/>
      <c r="AF16" s="25"/>
      <c r="AG16" s="25"/>
      <c r="AH16" s="25"/>
      <c r="AI16" s="25"/>
      <c r="AJ16" s="25"/>
      <c r="AK16" s="25"/>
      <c r="AL16" s="25"/>
      <c r="AM16" s="25"/>
      <c r="AN16" s="25"/>
      <c r="AO16" s="25"/>
      <c r="AP16" s="25"/>
    </row>
    <row r="17" spans="1:42" ht="14.25" customHeight="1">
      <c r="A17" s="25" t="s">
        <v>130</v>
      </c>
      <c r="B17" s="25">
        <v>40</v>
      </c>
      <c r="C17" s="26" t="s">
        <v>449</v>
      </c>
      <c r="D17" s="28" t="s">
        <v>450</v>
      </c>
      <c r="E17" s="28">
        <v>761</v>
      </c>
      <c r="F17" s="29" t="s">
        <v>451</v>
      </c>
      <c r="G17" s="31" t="s">
        <v>452</v>
      </c>
      <c r="H17" s="29" t="s">
        <v>39</v>
      </c>
      <c r="I17" s="31" t="s">
        <v>436</v>
      </c>
      <c r="J17" s="31" t="s">
        <v>453</v>
      </c>
      <c r="K17" s="31" t="s">
        <v>438</v>
      </c>
      <c r="L17" s="30" t="s">
        <v>439</v>
      </c>
      <c r="M17" s="31">
        <v>9324625627</v>
      </c>
      <c r="N17" s="29" t="s">
        <v>44</v>
      </c>
      <c r="O17" s="31">
        <v>9324625627</v>
      </c>
      <c r="P17" s="30" t="s">
        <v>44</v>
      </c>
      <c r="Q17" s="62" t="s">
        <v>440</v>
      </c>
      <c r="R17" s="25" t="s">
        <v>47</v>
      </c>
      <c r="S17" s="32" t="s">
        <v>311</v>
      </c>
      <c r="T17" s="32" t="s">
        <v>312</v>
      </c>
      <c r="U17" s="32" t="s">
        <v>454</v>
      </c>
      <c r="V17" s="32" t="s">
        <v>455</v>
      </c>
      <c r="W17" s="28" t="s">
        <v>71</v>
      </c>
      <c r="X17" s="28" t="s">
        <v>442</v>
      </c>
      <c r="Y17" s="25"/>
      <c r="Z17" s="25"/>
      <c r="AA17" s="25"/>
      <c r="AB17" s="25"/>
      <c r="AC17" s="25"/>
      <c r="AD17" s="25"/>
      <c r="AE17" s="25"/>
      <c r="AF17" s="25"/>
      <c r="AG17" s="25"/>
      <c r="AH17" s="25"/>
      <c r="AI17" s="25"/>
      <c r="AJ17" s="25"/>
      <c r="AK17" s="25"/>
      <c r="AL17" s="25"/>
      <c r="AM17" s="25"/>
      <c r="AN17" s="25"/>
      <c r="AO17" s="25"/>
      <c r="AP17" s="25"/>
    </row>
    <row r="18" spans="1:42" ht="13.8">
      <c r="A18" s="25" t="s">
        <v>456</v>
      </c>
      <c r="B18" s="25">
        <v>41</v>
      </c>
      <c r="C18" s="26" t="s">
        <v>457</v>
      </c>
      <c r="D18" s="28" t="s">
        <v>458</v>
      </c>
      <c r="E18" s="28">
        <v>762</v>
      </c>
      <c r="F18" s="29" t="s">
        <v>459</v>
      </c>
      <c r="G18" s="30" t="s">
        <v>460</v>
      </c>
      <c r="H18" s="29" t="s">
        <v>39</v>
      </c>
      <c r="I18" s="63" t="s">
        <v>461</v>
      </c>
      <c r="J18" s="30" t="s">
        <v>462</v>
      </c>
      <c r="K18" s="63" t="s">
        <v>191</v>
      </c>
      <c r="L18" s="30" t="s">
        <v>44</v>
      </c>
      <c r="M18" s="63">
        <v>8104934764</v>
      </c>
      <c r="N18" s="29" t="s">
        <v>44</v>
      </c>
      <c r="O18" s="63">
        <v>8104934764</v>
      </c>
      <c r="P18" s="30" t="s">
        <v>44</v>
      </c>
      <c r="Q18" s="29" t="s">
        <v>463</v>
      </c>
      <c r="R18" s="25" t="s">
        <v>47</v>
      </c>
      <c r="S18" s="51" t="s">
        <v>464</v>
      </c>
      <c r="T18" s="51" t="s">
        <v>465</v>
      </c>
      <c r="U18" s="51" t="s">
        <v>466</v>
      </c>
      <c r="V18" s="51" t="s">
        <v>465</v>
      </c>
      <c r="W18" s="28" t="s">
        <v>71</v>
      </c>
      <c r="X18" s="28" t="s">
        <v>467</v>
      </c>
      <c r="Y18" s="25"/>
      <c r="Z18" s="25"/>
      <c r="AA18" s="25"/>
      <c r="AB18" s="25"/>
      <c r="AC18" s="25"/>
      <c r="AD18" s="25"/>
      <c r="AE18" s="25"/>
      <c r="AF18" s="25"/>
      <c r="AG18" s="25"/>
      <c r="AH18" s="25"/>
      <c r="AI18" s="25"/>
      <c r="AJ18" s="25"/>
      <c r="AK18" s="25"/>
      <c r="AL18" s="25"/>
      <c r="AM18" s="25"/>
      <c r="AN18" s="25"/>
      <c r="AO18" s="25"/>
      <c r="AP18" s="25"/>
    </row>
    <row r="19" spans="1:42" ht="13.8">
      <c r="A19" s="25" t="s">
        <v>456</v>
      </c>
      <c r="B19" s="25">
        <v>42</v>
      </c>
      <c r="C19" s="26" t="s">
        <v>468</v>
      </c>
      <c r="D19" s="28" t="s">
        <v>469</v>
      </c>
      <c r="E19" s="28">
        <v>763</v>
      </c>
      <c r="F19" s="64" t="s">
        <v>470</v>
      </c>
      <c r="G19" s="63" t="s">
        <v>471</v>
      </c>
      <c r="H19" s="29" t="s">
        <v>39</v>
      </c>
      <c r="I19" s="63" t="s">
        <v>461</v>
      </c>
      <c r="J19" s="63" t="s">
        <v>472</v>
      </c>
      <c r="K19" s="63" t="s">
        <v>473</v>
      </c>
      <c r="L19" s="30" t="s">
        <v>44</v>
      </c>
      <c r="M19" s="63">
        <v>9711247007</v>
      </c>
      <c r="N19" s="65">
        <v>8104934764</v>
      </c>
      <c r="O19" s="63">
        <v>9711247007</v>
      </c>
      <c r="P19" s="30" t="s">
        <v>44</v>
      </c>
      <c r="Q19" s="66" t="s">
        <v>474</v>
      </c>
      <c r="R19" s="25" t="s">
        <v>47</v>
      </c>
      <c r="S19" s="51" t="s">
        <v>475</v>
      </c>
      <c r="T19" s="51" t="s">
        <v>465</v>
      </c>
      <c r="U19" s="51" t="s">
        <v>476</v>
      </c>
      <c r="V19" s="51" t="s">
        <v>465</v>
      </c>
      <c r="W19" s="28" t="s">
        <v>477</v>
      </c>
      <c r="X19" s="28" t="s">
        <v>467</v>
      </c>
      <c r="Y19" s="25"/>
      <c r="Z19" s="25"/>
      <c r="AA19" s="25"/>
      <c r="AB19" s="25"/>
      <c r="AC19" s="25"/>
      <c r="AD19" s="25"/>
      <c r="AE19" s="25"/>
      <c r="AF19" s="25"/>
      <c r="AG19" s="25"/>
      <c r="AH19" s="25"/>
      <c r="AI19" s="25"/>
      <c r="AJ19" s="25"/>
      <c r="AK19" s="25"/>
      <c r="AL19" s="25"/>
      <c r="AM19" s="25"/>
      <c r="AN19" s="25"/>
      <c r="AO19" s="25"/>
      <c r="AP19" s="25"/>
    </row>
    <row r="20" spans="1:42" ht="13.8">
      <c r="A20" s="25" t="s">
        <v>130</v>
      </c>
      <c r="B20" s="25">
        <v>43</v>
      </c>
      <c r="C20" s="26" t="s">
        <v>478</v>
      </c>
      <c r="D20" s="28" t="s">
        <v>479</v>
      </c>
      <c r="E20" s="28">
        <v>765</v>
      </c>
      <c r="F20" s="29" t="s">
        <v>480</v>
      </c>
      <c r="G20" s="49" t="s">
        <v>481</v>
      </c>
      <c r="H20" s="29" t="s">
        <v>39</v>
      </c>
      <c r="I20" s="49" t="s">
        <v>482</v>
      </c>
      <c r="J20" s="49" t="s">
        <v>483</v>
      </c>
      <c r="K20" s="30" t="s">
        <v>116</v>
      </c>
      <c r="L20" s="30" t="s">
        <v>484</v>
      </c>
      <c r="M20" s="49">
        <v>7666368119</v>
      </c>
      <c r="N20" s="67">
        <v>9920043366</v>
      </c>
      <c r="O20" s="49">
        <v>7666368119</v>
      </c>
      <c r="P20" s="30" t="s">
        <v>44</v>
      </c>
      <c r="Q20" s="30" t="s">
        <v>44</v>
      </c>
      <c r="R20" s="25" t="s">
        <v>47</v>
      </c>
      <c r="S20" s="51" t="s">
        <v>170</v>
      </c>
      <c r="T20" s="51" t="s">
        <v>485</v>
      </c>
      <c r="U20" s="51" t="s">
        <v>486</v>
      </c>
      <c r="V20" s="51" t="s">
        <v>487</v>
      </c>
      <c r="W20" s="28" t="s">
        <v>488</v>
      </c>
      <c r="X20" s="28" t="s">
        <v>489</v>
      </c>
      <c r="Y20" s="25"/>
      <c r="Z20" s="25"/>
      <c r="AA20" s="25"/>
      <c r="AB20" s="25"/>
      <c r="AC20" s="28" t="s">
        <v>490</v>
      </c>
      <c r="AD20" s="28" t="s">
        <v>491</v>
      </c>
      <c r="AE20" s="28" t="s">
        <v>492</v>
      </c>
      <c r="AF20" s="28" t="s">
        <v>493</v>
      </c>
      <c r="AG20" s="28" t="s">
        <v>494</v>
      </c>
      <c r="AH20" s="28" t="s">
        <v>495</v>
      </c>
      <c r="AI20" s="28" t="s">
        <v>496</v>
      </c>
      <c r="AJ20" s="28" t="s">
        <v>497</v>
      </c>
      <c r="AK20" s="28" t="s">
        <v>498</v>
      </c>
      <c r="AL20" s="28" t="s">
        <v>499</v>
      </c>
      <c r="AM20" s="25"/>
      <c r="AN20" s="25"/>
      <c r="AO20" s="25"/>
      <c r="AP20" s="25"/>
    </row>
    <row r="21" spans="1:42" ht="16.8">
      <c r="A21" s="25" t="s">
        <v>500</v>
      </c>
      <c r="B21" s="25">
        <v>44</v>
      </c>
      <c r="C21" s="26" t="s">
        <v>501</v>
      </c>
      <c r="D21" s="28" t="s">
        <v>502</v>
      </c>
      <c r="E21" s="28">
        <v>769</v>
      </c>
      <c r="F21" s="29" t="s">
        <v>503</v>
      </c>
      <c r="G21" s="31" t="s">
        <v>504</v>
      </c>
      <c r="H21" s="29" t="s">
        <v>39</v>
      </c>
      <c r="I21" s="31" t="s">
        <v>505</v>
      </c>
      <c r="J21" s="31" t="s">
        <v>506</v>
      </c>
      <c r="K21" s="30" t="s">
        <v>507</v>
      </c>
      <c r="L21" s="30" t="s">
        <v>508</v>
      </c>
      <c r="M21" s="30">
        <v>9619098408</v>
      </c>
      <c r="N21" s="54">
        <v>9821019645</v>
      </c>
      <c r="O21" s="30">
        <v>9619098408</v>
      </c>
      <c r="P21" s="30" t="s">
        <v>44</v>
      </c>
      <c r="Q21" s="29" t="s">
        <v>509</v>
      </c>
      <c r="R21" s="25" t="s">
        <v>47</v>
      </c>
      <c r="S21" s="51" t="s">
        <v>510</v>
      </c>
      <c r="T21" s="51" t="s">
        <v>511</v>
      </c>
      <c r="U21" s="51" t="s">
        <v>512</v>
      </c>
      <c r="V21" s="51" t="s">
        <v>513</v>
      </c>
      <c r="W21" s="28" t="s">
        <v>514</v>
      </c>
      <c r="X21" s="28" t="s">
        <v>515</v>
      </c>
      <c r="Y21" s="25"/>
      <c r="Z21" s="25"/>
      <c r="AA21" s="25"/>
      <c r="AB21" s="25"/>
      <c r="AC21" s="25"/>
      <c r="AD21" s="25"/>
      <c r="AE21" s="25"/>
      <c r="AF21" s="25"/>
      <c r="AG21" s="25"/>
      <c r="AH21" s="25"/>
      <c r="AI21" s="25"/>
      <c r="AJ21" s="25"/>
      <c r="AK21" s="25"/>
      <c r="AL21" s="25"/>
      <c r="AM21" s="25"/>
      <c r="AN21" s="25"/>
      <c r="AO21" s="25"/>
      <c r="AP21" s="25"/>
    </row>
    <row r="22" spans="1:42" ht="16.8">
      <c r="A22" s="25" t="s">
        <v>130</v>
      </c>
      <c r="B22" s="25">
        <v>45</v>
      </c>
      <c r="C22" s="26" t="s">
        <v>516</v>
      </c>
      <c r="D22" s="28" t="s">
        <v>517</v>
      </c>
      <c r="E22" s="28">
        <v>774</v>
      </c>
      <c r="F22" s="29" t="s">
        <v>518</v>
      </c>
      <c r="G22" s="31" t="s">
        <v>519</v>
      </c>
      <c r="H22" s="29" t="s">
        <v>39</v>
      </c>
      <c r="I22" s="30" t="s">
        <v>520</v>
      </c>
      <c r="J22" s="31" t="s">
        <v>521</v>
      </c>
      <c r="K22" s="30" t="s">
        <v>44</v>
      </c>
      <c r="L22" s="30" t="s">
        <v>522</v>
      </c>
      <c r="M22" s="30">
        <v>9920979629</v>
      </c>
      <c r="N22" s="29" t="s">
        <v>44</v>
      </c>
      <c r="O22" s="30">
        <v>9920979629</v>
      </c>
      <c r="P22" s="30" t="s">
        <v>44</v>
      </c>
      <c r="Q22" s="62" t="s">
        <v>523</v>
      </c>
      <c r="R22" s="25" t="s">
        <v>47</v>
      </c>
      <c r="S22" s="51" t="s">
        <v>524</v>
      </c>
      <c r="T22" s="51" t="s">
        <v>49</v>
      </c>
      <c r="U22" s="51" t="s">
        <v>525</v>
      </c>
      <c r="V22" s="51" t="s">
        <v>526</v>
      </c>
      <c r="W22" s="28" t="s">
        <v>71</v>
      </c>
      <c r="X22" s="28" t="s">
        <v>527</v>
      </c>
      <c r="Y22" s="25"/>
      <c r="Z22" s="25"/>
      <c r="AA22" s="25"/>
      <c r="AB22" s="25"/>
      <c r="AC22" s="25"/>
      <c r="AD22" s="25"/>
      <c r="AE22" s="25"/>
      <c r="AF22" s="25"/>
      <c r="AG22" s="25"/>
      <c r="AH22" s="25"/>
      <c r="AI22" s="25"/>
      <c r="AJ22" s="25"/>
      <c r="AK22" s="25"/>
      <c r="AL22" s="25"/>
      <c r="AM22" s="25"/>
      <c r="AN22" s="25"/>
      <c r="AO22" s="25"/>
      <c r="AP22" s="25"/>
    </row>
    <row r="23" spans="1:42" ht="16.8">
      <c r="A23" s="25" t="s">
        <v>130</v>
      </c>
      <c r="B23" s="25">
        <v>46</v>
      </c>
      <c r="C23" s="26" t="s">
        <v>528</v>
      </c>
      <c r="D23" s="28" t="s">
        <v>529</v>
      </c>
      <c r="E23" s="28">
        <v>798</v>
      </c>
      <c r="F23" s="29" t="s">
        <v>530</v>
      </c>
      <c r="G23" s="30" t="s">
        <v>531</v>
      </c>
      <c r="H23" s="29" t="s">
        <v>39</v>
      </c>
      <c r="I23" s="30" t="s">
        <v>532</v>
      </c>
      <c r="J23" s="30" t="s">
        <v>533</v>
      </c>
      <c r="K23" s="31" t="s">
        <v>534</v>
      </c>
      <c r="L23" s="30" t="s">
        <v>535</v>
      </c>
      <c r="M23" s="31">
        <v>9820082259</v>
      </c>
      <c r="N23" s="29" t="s">
        <v>44</v>
      </c>
      <c r="O23" s="31">
        <v>9820082259</v>
      </c>
      <c r="P23" s="30" t="s">
        <v>44</v>
      </c>
      <c r="Q23" s="29" t="s">
        <v>536</v>
      </c>
      <c r="R23" s="25" t="s">
        <v>47</v>
      </c>
      <c r="S23" s="51" t="s">
        <v>170</v>
      </c>
      <c r="T23" s="51" t="s">
        <v>49</v>
      </c>
      <c r="U23" s="51" t="s">
        <v>537</v>
      </c>
      <c r="V23" s="51" t="s">
        <v>49</v>
      </c>
      <c r="W23" s="28" t="s">
        <v>71</v>
      </c>
      <c r="X23" s="28" t="s">
        <v>538</v>
      </c>
      <c r="Y23" s="25"/>
      <c r="Z23" s="25"/>
      <c r="AA23" s="25"/>
      <c r="AB23" s="25"/>
      <c r="AC23" s="25"/>
      <c r="AD23" s="25"/>
      <c r="AE23" s="25"/>
      <c r="AF23" s="25"/>
      <c r="AG23" s="25"/>
      <c r="AH23" s="25"/>
      <c r="AI23" s="25"/>
      <c r="AJ23" s="25"/>
      <c r="AK23" s="25"/>
      <c r="AL23" s="25"/>
      <c r="AM23" s="25"/>
      <c r="AN23" s="25"/>
      <c r="AO23" s="25"/>
      <c r="AP23" s="25"/>
    </row>
    <row r="24" spans="1:42" ht="16.8">
      <c r="A24" s="6" t="s">
        <v>130</v>
      </c>
      <c r="B24" s="6">
        <v>47</v>
      </c>
      <c r="C24" s="7" t="s">
        <v>539</v>
      </c>
      <c r="D24" s="17" t="s">
        <v>540</v>
      </c>
      <c r="E24" s="17">
        <v>803</v>
      </c>
      <c r="F24" s="68" t="s">
        <v>541</v>
      </c>
      <c r="G24" s="69" t="s">
        <v>542</v>
      </c>
      <c r="H24" s="18" t="s">
        <v>39</v>
      </c>
      <c r="I24" s="19" t="s">
        <v>543</v>
      </c>
      <c r="J24" s="69" t="s">
        <v>544</v>
      </c>
      <c r="K24" s="69" t="s">
        <v>545</v>
      </c>
      <c r="L24" s="19" t="s">
        <v>546</v>
      </c>
      <c r="M24" s="69">
        <f>8801325886772</f>
        <v>8801325886772</v>
      </c>
      <c r="N24" s="18" t="s">
        <v>44</v>
      </c>
      <c r="O24" s="69">
        <f>8801325886772</f>
        <v>8801325886772</v>
      </c>
      <c r="P24" s="22" t="s">
        <v>547</v>
      </c>
      <c r="Q24" s="19" t="s">
        <v>44</v>
      </c>
      <c r="R24" s="6" t="s">
        <v>47</v>
      </c>
      <c r="S24" s="45" t="s">
        <v>548</v>
      </c>
      <c r="T24" s="45" t="s">
        <v>48</v>
      </c>
      <c r="U24" s="45" t="s">
        <v>549</v>
      </c>
      <c r="V24" s="45" t="s">
        <v>550</v>
      </c>
      <c r="W24" s="17" t="s">
        <v>71</v>
      </c>
      <c r="X24" s="17" t="s">
        <v>551</v>
      </c>
      <c r="Y24" s="6"/>
      <c r="Z24" s="6"/>
      <c r="AA24" s="6"/>
      <c r="AB24" s="6"/>
      <c r="AC24" s="6"/>
      <c r="AD24" s="6"/>
      <c r="AE24" s="6"/>
      <c r="AF24" s="6"/>
      <c r="AG24" s="6"/>
      <c r="AH24" s="6"/>
      <c r="AI24" s="6"/>
      <c r="AJ24" s="6"/>
      <c r="AK24" s="6"/>
      <c r="AL24" s="6"/>
      <c r="AM24" s="6"/>
      <c r="AN24" s="6"/>
      <c r="AO24" s="6"/>
      <c r="AP24" s="6"/>
    </row>
    <row r="25" spans="1:42" ht="17.25" customHeight="1">
      <c r="A25" s="6" t="s">
        <v>130</v>
      </c>
      <c r="B25" s="6">
        <v>48</v>
      </c>
      <c r="C25" s="7" t="s">
        <v>552</v>
      </c>
      <c r="D25" s="17" t="s">
        <v>553</v>
      </c>
      <c r="E25" s="17">
        <v>804</v>
      </c>
      <c r="F25" s="18" t="s">
        <v>554</v>
      </c>
      <c r="G25" s="20" t="s">
        <v>555</v>
      </c>
      <c r="H25" s="18" t="s">
        <v>39</v>
      </c>
      <c r="I25" s="20" t="s">
        <v>556</v>
      </c>
      <c r="J25" s="20" t="s">
        <v>557</v>
      </c>
      <c r="K25" s="20" t="s">
        <v>191</v>
      </c>
      <c r="L25" s="19" t="s">
        <v>558</v>
      </c>
      <c r="M25" s="20">
        <v>9892103999</v>
      </c>
      <c r="N25" s="18" t="s">
        <v>44</v>
      </c>
      <c r="O25" s="20">
        <v>9892103999</v>
      </c>
      <c r="P25" s="22" t="s">
        <v>559</v>
      </c>
      <c r="Q25" s="18" t="s">
        <v>560</v>
      </c>
      <c r="R25" s="6" t="s">
        <v>47</v>
      </c>
      <c r="S25" s="45" t="s">
        <v>170</v>
      </c>
      <c r="T25" s="45" t="s">
        <v>49</v>
      </c>
      <c r="U25" s="45" t="s">
        <v>197</v>
      </c>
      <c r="V25" s="45" t="s">
        <v>49</v>
      </c>
      <c r="W25" s="17" t="s">
        <v>71</v>
      </c>
      <c r="X25" s="17" t="s">
        <v>561</v>
      </c>
      <c r="Y25" s="6"/>
      <c r="Z25" s="6"/>
      <c r="AA25" s="6"/>
      <c r="AB25" s="6"/>
      <c r="AC25" s="6"/>
      <c r="AD25" s="6"/>
      <c r="AE25" s="6"/>
      <c r="AF25" s="6"/>
      <c r="AG25" s="6"/>
      <c r="AH25" s="6"/>
      <c r="AI25" s="6"/>
      <c r="AJ25" s="6"/>
      <c r="AK25" s="6"/>
      <c r="AL25" s="6"/>
      <c r="AM25" s="6"/>
      <c r="AN25" s="6"/>
      <c r="AO25" s="6"/>
      <c r="AP25" s="6"/>
    </row>
    <row r="26" spans="1:42" ht="16.8">
      <c r="A26" s="25" t="s">
        <v>562</v>
      </c>
      <c r="B26" s="25">
        <v>49</v>
      </c>
      <c r="C26" s="26" t="s">
        <v>387</v>
      </c>
      <c r="D26" s="28" t="s">
        <v>563</v>
      </c>
      <c r="E26" s="28">
        <v>805</v>
      </c>
      <c r="F26" s="60" t="s">
        <v>564</v>
      </c>
      <c r="G26" s="31" t="s">
        <v>565</v>
      </c>
      <c r="H26" s="29" t="s">
        <v>39</v>
      </c>
      <c r="I26" s="31" t="s">
        <v>566</v>
      </c>
      <c r="J26" s="31" t="s">
        <v>567</v>
      </c>
      <c r="K26" s="30" t="s">
        <v>44</v>
      </c>
      <c r="L26" s="30" t="s">
        <v>44</v>
      </c>
      <c r="M26" s="31">
        <v>9930358990</v>
      </c>
      <c r="N26" s="54">
        <v>7977440315</v>
      </c>
      <c r="O26" s="31">
        <v>9930358990</v>
      </c>
      <c r="P26" s="30" t="s">
        <v>44</v>
      </c>
      <c r="Q26" s="30" t="s">
        <v>44</v>
      </c>
      <c r="R26" s="25" t="s">
        <v>47</v>
      </c>
      <c r="S26" s="29" t="s">
        <v>395</v>
      </c>
      <c r="T26" s="29" t="s">
        <v>395</v>
      </c>
      <c r="U26" s="29" t="s">
        <v>395</v>
      </c>
      <c r="V26" s="29" t="s">
        <v>395</v>
      </c>
      <c r="W26" s="28" t="s">
        <v>71</v>
      </c>
      <c r="X26" s="28" t="s">
        <v>71</v>
      </c>
      <c r="Y26" s="25"/>
      <c r="Z26" s="25"/>
      <c r="AA26" s="25"/>
      <c r="AB26" s="25"/>
      <c r="AC26" s="25"/>
      <c r="AD26" s="25"/>
      <c r="AE26" s="25"/>
      <c r="AF26" s="25"/>
      <c r="AG26" s="25"/>
      <c r="AH26" s="25"/>
      <c r="AI26" s="25"/>
      <c r="AJ26" s="25"/>
      <c r="AK26" s="25"/>
      <c r="AL26" s="25"/>
      <c r="AM26" s="25"/>
      <c r="AN26" s="25"/>
      <c r="AO26" s="25"/>
      <c r="AP26" s="25"/>
    </row>
    <row r="27" spans="1:42" ht="16.8">
      <c r="A27" s="25" t="s">
        <v>562</v>
      </c>
      <c r="B27" s="25">
        <v>50</v>
      </c>
      <c r="C27" s="26" t="s">
        <v>568</v>
      </c>
      <c r="D27" s="28" t="s">
        <v>569</v>
      </c>
      <c r="E27" s="28">
        <v>807</v>
      </c>
      <c r="F27" s="29" t="s">
        <v>570</v>
      </c>
      <c r="G27" s="30" t="s">
        <v>571</v>
      </c>
      <c r="H27" s="29" t="s">
        <v>39</v>
      </c>
      <c r="I27" s="31" t="s">
        <v>572</v>
      </c>
      <c r="J27" s="30" t="s">
        <v>573</v>
      </c>
      <c r="K27" s="30" t="s">
        <v>574</v>
      </c>
      <c r="L27" s="30" t="s">
        <v>575</v>
      </c>
      <c r="M27" s="31">
        <v>9819434975</v>
      </c>
      <c r="N27" s="29" t="s">
        <v>44</v>
      </c>
      <c r="O27" s="31">
        <v>9819434975</v>
      </c>
      <c r="P27" s="30" t="s">
        <v>44</v>
      </c>
      <c r="Q27" s="30" t="s">
        <v>44</v>
      </c>
      <c r="R27" s="25" t="s">
        <v>47</v>
      </c>
      <c r="S27" s="51" t="s">
        <v>170</v>
      </c>
      <c r="T27" s="51" t="s">
        <v>576</v>
      </c>
      <c r="U27" s="51" t="s">
        <v>197</v>
      </c>
      <c r="V27" s="51" t="s">
        <v>49</v>
      </c>
      <c r="W27" s="28" t="s">
        <v>577</v>
      </c>
      <c r="X27" s="28" t="s">
        <v>578</v>
      </c>
      <c r="Y27" s="25"/>
      <c r="Z27" s="25"/>
      <c r="AA27" s="25"/>
      <c r="AB27" s="25"/>
      <c r="AC27" s="25"/>
      <c r="AD27" s="25"/>
      <c r="AE27" s="25"/>
      <c r="AF27" s="25"/>
      <c r="AG27" s="25"/>
      <c r="AH27" s="25"/>
      <c r="AI27" s="25"/>
      <c r="AJ27" s="25"/>
      <c r="AK27" s="25"/>
      <c r="AL27" s="25"/>
      <c r="AM27" s="25"/>
      <c r="AN27" s="25"/>
      <c r="AO27" s="25"/>
      <c r="AP27" s="25"/>
    </row>
    <row r="28" spans="1:42" ht="16.8">
      <c r="A28" s="6" t="s">
        <v>130</v>
      </c>
      <c r="B28" s="6">
        <v>51</v>
      </c>
      <c r="C28" s="7" t="s">
        <v>579</v>
      </c>
      <c r="D28" s="17" t="s">
        <v>580</v>
      </c>
      <c r="E28" s="17">
        <v>808</v>
      </c>
      <c r="F28" s="18" t="s">
        <v>581</v>
      </c>
      <c r="G28" s="19" t="s">
        <v>582</v>
      </c>
      <c r="H28" s="18" t="s">
        <v>39</v>
      </c>
      <c r="I28" s="19" t="s">
        <v>583</v>
      </c>
      <c r="J28" s="19" t="s">
        <v>584</v>
      </c>
      <c r="K28" s="19" t="s">
        <v>44</v>
      </c>
      <c r="L28" s="19" t="s">
        <v>585</v>
      </c>
      <c r="M28" s="20">
        <v>7045557876</v>
      </c>
      <c r="N28" s="61">
        <v>9699994096</v>
      </c>
      <c r="O28" s="20">
        <v>7045557876</v>
      </c>
      <c r="P28" s="19" t="s">
        <v>44</v>
      </c>
      <c r="Q28" s="18" t="s">
        <v>586</v>
      </c>
      <c r="R28" s="6" t="s">
        <v>47</v>
      </c>
      <c r="S28" s="45" t="s">
        <v>587</v>
      </c>
      <c r="T28" s="45" t="s">
        <v>588</v>
      </c>
      <c r="U28" s="45" t="s">
        <v>589</v>
      </c>
      <c r="V28" s="45" t="s">
        <v>590</v>
      </c>
      <c r="W28" s="17" t="s">
        <v>71</v>
      </c>
      <c r="X28" s="17" t="s">
        <v>71</v>
      </c>
      <c r="Y28" s="6"/>
      <c r="Z28" s="6"/>
      <c r="AA28" s="6"/>
      <c r="AB28" s="6"/>
      <c r="AC28" s="6"/>
      <c r="AD28" s="6"/>
      <c r="AE28" s="6"/>
      <c r="AF28" s="6"/>
      <c r="AG28" s="6"/>
      <c r="AH28" s="6"/>
      <c r="AI28" s="6"/>
      <c r="AJ28" s="6"/>
      <c r="AK28" s="6"/>
      <c r="AL28" s="6"/>
      <c r="AM28" s="6"/>
      <c r="AN28" s="6"/>
      <c r="AO28" s="6"/>
      <c r="AP28" s="6"/>
    </row>
    <row r="29" spans="1:42" ht="18.75" customHeight="1">
      <c r="A29" s="25" t="s">
        <v>562</v>
      </c>
      <c r="B29" s="25">
        <v>52</v>
      </c>
      <c r="C29" s="26" t="s">
        <v>591</v>
      </c>
      <c r="D29" s="28" t="s">
        <v>592</v>
      </c>
      <c r="E29" s="28">
        <v>810</v>
      </c>
      <c r="F29" s="29" t="s">
        <v>593</v>
      </c>
      <c r="G29" s="30" t="s">
        <v>594</v>
      </c>
      <c r="H29" s="29" t="s">
        <v>39</v>
      </c>
      <c r="I29" s="31" t="s">
        <v>595</v>
      </c>
      <c r="J29" s="30" t="s">
        <v>596</v>
      </c>
      <c r="K29" s="30" t="s">
        <v>534</v>
      </c>
      <c r="L29" s="30" t="s">
        <v>597</v>
      </c>
      <c r="M29" s="30">
        <v>9082236396</v>
      </c>
      <c r="N29" s="54">
        <v>9222202016</v>
      </c>
      <c r="O29" s="30">
        <v>9082236396</v>
      </c>
      <c r="P29" s="30" t="s">
        <v>44</v>
      </c>
      <c r="Q29" s="30" t="s">
        <v>44</v>
      </c>
      <c r="R29" s="25" t="s">
        <v>47</v>
      </c>
      <c r="S29" s="29" t="s">
        <v>395</v>
      </c>
      <c r="T29" s="29" t="s">
        <v>395</v>
      </c>
      <c r="U29" s="29" t="s">
        <v>395</v>
      </c>
      <c r="V29" s="29" t="s">
        <v>395</v>
      </c>
      <c r="W29" s="28" t="s">
        <v>71</v>
      </c>
      <c r="X29" s="28" t="s">
        <v>71</v>
      </c>
      <c r="Y29" s="25"/>
      <c r="Z29" s="25"/>
      <c r="AA29" s="25"/>
      <c r="AB29" s="25"/>
      <c r="AC29" s="25"/>
      <c r="AD29" s="25"/>
      <c r="AE29" s="25"/>
      <c r="AF29" s="25"/>
      <c r="AG29" s="25"/>
      <c r="AH29" s="25"/>
      <c r="AI29" s="25"/>
      <c r="AJ29" s="25"/>
      <c r="AK29" s="25"/>
      <c r="AL29" s="25"/>
      <c r="AM29" s="25"/>
      <c r="AN29" s="25"/>
      <c r="AO29" s="25"/>
      <c r="AP29" s="25"/>
    </row>
    <row r="30" spans="1:42" ht="18" customHeight="1">
      <c r="A30" s="25" t="s">
        <v>562</v>
      </c>
      <c r="B30" s="25">
        <v>53</v>
      </c>
      <c r="C30" s="26" t="s">
        <v>598</v>
      </c>
      <c r="D30" s="28" t="s">
        <v>599</v>
      </c>
      <c r="E30" s="28">
        <v>811</v>
      </c>
      <c r="F30" s="29" t="s">
        <v>600</v>
      </c>
      <c r="G30" s="30" t="s">
        <v>601</v>
      </c>
      <c r="H30" s="29" t="s">
        <v>39</v>
      </c>
      <c r="I30" s="30" t="s">
        <v>602</v>
      </c>
      <c r="J30" s="30" t="s">
        <v>603</v>
      </c>
      <c r="K30" s="30" t="s">
        <v>604</v>
      </c>
      <c r="L30" s="30" t="s">
        <v>605</v>
      </c>
      <c r="M30" s="31">
        <v>9321614638</v>
      </c>
      <c r="N30" s="54">
        <v>9920337999</v>
      </c>
      <c r="O30" s="31">
        <v>9321614638</v>
      </c>
      <c r="P30" s="30" t="s">
        <v>44</v>
      </c>
      <c r="Q30" s="29" t="s">
        <v>606</v>
      </c>
      <c r="R30" s="25" t="s">
        <v>47</v>
      </c>
      <c r="S30" s="51" t="s">
        <v>607</v>
      </c>
      <c r="T30" s="51" t="s">
        <v>49</v>
      </c>
      <c r="U30" s="51" t="s">
        <v>608</v>
      </c>
      <c r="V30" s="51" t="s">
        <v>609</v>
      </c>
      <c r="W30" s="28" t="s">
        <v>71</v>
      </c>
      <c r="X30" s="28" t="s">
        <v>71</v>
      </c>
      <c r="Y30" s="25"/>
      <c r="Z30" s="25"/>
      <c r="AA30" s="25"/>
      <c r="AB30" s="25"/>
      <c r="AC30" s="25"/>
      <c r="AD30" s="25"/>
      <c r="AE30" s="25"/>
      <c r="AF30" s="25"/>
      <c r="AG30" s="25"/>
      <c r="AH30" s="25"/>
      <c r="AI30" s="25"/>
      <c r="AJ30" s="25"/>
      <c r="AK30" s="25"/>
      <c r="AL30" s="25"/>
      <c r="AM30" s="25"/>
      <c r="AN30" s="25"/>
      <c r="AO30" s="25"/>
      <c r="AP30" s="25"/>
    </row>
    <row r="31" spans="1:42" ht="16.8">
      <c r="A31" s="25" t="s">
        <v>562</v>
      </c>
      <c r="B31" s="25">
        <v>54</v>
      </c>
      <c r="C31" s="26" t="s">
        <v>610</v>
      </c>
      <c r="D31" s="28" t="s">
        <v>611</v>
      </c>
      <c r="E31" s="28">
        <v>817</v>
      </c>
      <c r="F31" s="29" t="s">
        <v>612</v>
      </c>
      <c r="G31" s="30" t="s">
        <v>613</v>
      </c>
      <c r="H31" s="29" t="s">
        <v>39</v>
      </c>
      <c r="I31" s="31" t="s">
        <v>614</v>
      </c>
      <c r="J31" s="30" t="s">
        <v>615</v>
      </c>
      <c r="K31" s="30" t="s">
        <v>78</v>
      </c>
      <c r="L31" s="30" t="s">
        <v>616</v>
      </c>
      <c r="M31" s="31">
        <v>9167993517</v>
      </c>
      <c r="N31" s="29" t="s">
        <v>44</v>
      </c>
      <c r="O31" s="31">
        <v>9167993517</v>
      </c>
      <c r="P31" s="33" t="s">
        <v>617</v>
      </c>
      <c r="Q31" s="29" t="s">
        <v>618</v>
      </c>
      <c r="R31" s="25" t="s">
        <v>47</v>
      </c>
      <c r="S31" s="51" t="s">
        <v>619</v>
      </c>
      <c r="T31" s="51" t="s">
        <v>620</v>
      </c>
      <c r="U31" s="51" t="s">
        <v>197</v>
      </c>
      <c r="V31" s="51" t="s">
        <v>621</v>
      </c>
      <c r="W31" s="28" t="s">
        <v>71</v>
      </c>
      <c r="X31" s="28" t="s">
        <v>622</v>
      </c>
      <c r="Y31" s="25"/>
      <c r="Z31" s="25"/>
      <c r="AA31" s="25"/>
      <c r="AB31" s="25"/>
      <c r="AC31" s="25"/>
      <c r="AD31" s="25"/>
      <c r="AE31" s="25"/>
      <c r="AF31" s="25"/>
      <c r="AG31" s="25"/>
      <c r="AH31" s="25"/>
      <c r="AI31" s="25"/>
      <c r="AJ31" s="25"/>
      <c r="AK31" s="25"/>
      <c r="AL31" s="25"/>
      <c r="AM31" s="25"/>
      <c r="AN31" s="25"/>
      <c r="AO31" s="25"/>
      <c r="AP31" s="25"/>
    </row>
    <row r="32" spans="1:42" ht="20.25" customHeight="1">
      <c r="A32" s="25" t="s">
        <v>562</v>
      </c>
      <c r="B32" s="25">
        <v>55</v>
      </c>
      <c r="C32" s="26" t="s">
        <v>623</v>
      </c>
      <c r="D32" s="28" t="s">
        <v>624</v>
      </c>
      <c r="E32" s="28">
        <v>819</v>
      </c>
      <c r="F32" s="29" t="s">
        <v>625</v>
      </c>
      <c r="G32" s="30" t="s">
        <v>626</v>
      </c>
      <c r="H32" s="29" t="s">
        <v>39</v>
      </c>
      <c r="I32" s="30" t="s">
        <v>627</v>
      </c>
      <c r="J32" s="30" t="s">
        <v>628</v>
      </c>
      <c r="K32" s="30" t="s">
        <v>191</v>
      </c>
      <c r="L32" s="30" t="s">
        <v>44</v>
      </c>
      <c r="M32" s="31">
        <v>8108693840</v>
      </c>
      <c r="N32" s="54">
        <v>9867103840</v>
      </c>
      <c r="O32" s="31">
        <v>8108693840</v>
      </c>
      <c r="P32" s="30" t="s">
        <v>44</v>
      </c>
      <c r="Q32" s="30" t="s">
        <v>44</v>
      </c>
      <c r="R32" s="25" t="s">
        <v>47</v>
      </c>
      <c r="S32" s="51" t="s">
        <v>629</v>
      </c>
      <c r="T32" s="51" t="s">
        <v>630</v>
      </c>
      <c r="U32" s="51" t="s">
        <v>197</v>
      </c>
      <c r="V32" s="51" t="s">
        <v>49</v>
      </c>
      <c r="W32" s="28" t="s">
        <v>631</v>
      </c>
      <c r="X32" s="28" t="s">
        <v>632</v>
      </c>
      <c r="Y32" s="25"/>
      <c r="Z32" s="25"/>
      <c r="AA32" s="25"/>
      <c r="AB32" s="25"/>
      <c r="AC32" s="28" t="s">
        <v>633</v>
      </c>
      <c r="AD32" s="28" t="s">
        <v>634</v>
      </c>
      <c r="AE32" s="28" t="s">
        <v>635</v>
      </c>
      <c r="AF32" s="28" t="s">
        <v>636</v>
      </c>
      <c r="AG32" s="28" t="s">
        <v>637</v>
      </c>
      <c r="AH32" s="28" t="s">
        <v>638</v>
      </c>
      <c r="AI32" s="25"/>
      <c r="AJ32" s="25"/>
      <c r="AK32" s="25"/>
      <c r="AL32" s="25"/>
      <c r="AM32" s="25"/>
      <c r="AN32" s="25"/>
      <c r="AO32" s="25"/>
      <c r="AP32" s="25"/>
    </row>
    <row r="36" spans="1:42" ht="13.8">
      <c r="A36" s="25" t="s">
        <v>130</v>
      </c>
      <c r="B36" s="25">
        <v>34</v>
      </c>
      <c r="C36" s="26" t="s">
        <v>387</v>
      </c>
      <c r="D36" s="28" t="s">
        <v>388</v>
      </c>
      <c r="E36" s="28">
        <v>722</v>
      </c>
      <c r="F36" s="55" t="s">
        <v>389</v>
      </c>
      <c r="G36" s="30" t="s">
        <v>390</v>
      </c>
      <c r="H36" s="29" t="s">
        <v>39</v>
      </c>
      <c r="I36" s="30" t="s">
        <v>391</v>
      </c>
      <c r="J36" s="30" t="s">
        <v>392</v>
      </c>
      <c r="K36" s="30" t="s">
        <v>191</v>
      </c>
      <c r="L36" s="30" t="s">
        <v>393</v>
      </c>
      <c r="M36" s="56">
        <v>9227097100</v>
      </c>
      <c r="N36" s="57">
        <v>9227097100</v>
      </c>
      <c r="O36" s="56">
        <v>9227097100</v>
      </c>
      <c r="P36" s="30" t="s">
        <v>44</v>
      </c>
      <c r="Q36" s="29" t="s">
        <v>394</v>
      </c>
      <c r="R36" s="25" t="s">
        <v>47</v>
      </c>
      <c r="S36" s="29" t="s">
        <v>395</v>
      </c>
      <c r="T36" s="29" t="s">
        <v>395</v>
      </c>
      <c r="U36" s="29" t="s">
        <v>395</v>
      </c>
      <c r="V36" s="29" t="s">
        <v>395</v>
      </c>
      <c r="W36" s="28" t="s">
        <v>396</v>
      </c>
      <c r="X36" s="28" t="s">
        <v>397</v>
      </c>
      <c r="Y36" s="25"/>
      <c r="Z36" s="25"/>
      <c r="AA36" s="25"/>
      <c r="AB36" s="25"/>
      <c r="AC36" s="25"/>
      <c r="AD36" s="25"/>
      <c r="AE36" s="25"/>
      <c r="AF36" s="25"/>
      <c r="AG36" s="25"/>
      <c r="AH36" s="25"/>
      <c r="AI36" s="25"/>
      <c r="AJ36" s="25"/>
      <c r="AK36" s="25"/>
      <c r="AL36" s="25"/>
      <c r="AM36" s="25"/>
      <c r="AN36" s="25"/>
      <c r="AO36" s="25"/>
      <c r="AP36" s="25"/>
    </row>
  </sheetData>
  <hyperlinks>
    <hyperlink ref="C5" r:id="rId1" xr:uid="{00000000-0004-0000-0100-000000000000}"/>
    <hyperlink ref="F5" r:id="rId2" xr:uid="{00000000-0004-0000-0100-000001000000}"/>
    <hyperlink ref="C6" r:id="rId3" xr:uid="{00000000-0004-0000-0100-000002000000}"/>
    <hyperlink ref="C7" r:id="rId4" xr:uid="{00000000-0004-0000-0100-000003000000}"/>
    <hyperlink ref="F7" r:id="rId5" xr:uid="{00000000-0004-0000-0100-000004000000}"/>
    <hyperlink ref="C8" r:id="rId6" xr:uid="{00000000-0004-0000-0100-000005000000}"/>
    <hyperlink ref="F8" r:id="rId7" xr:uid="{00000000-0004-0000-0100-000006000000}"/>
    <hyperlink ref="C9" r:id="rId8" xr:uid="{00000000-0004-0000-0100-000007000000}"/>
    <hyperlink ref="F9" r:id="rId9" xr:uid="{00000000-0004-0000-0100-000008000000}"/>
    <hyperlink ref="C10" r:id="rId10" xr:uid="{00000000-0004-0000-0100-000009000000}"/>
    <hyperlink ref="C11" r:id="rId11" xr:uid="{00000000-0004-0000-0100-00000A000000}"/>
    <hyperlink ref="F11" r:id="rId12" xr:uid="{00000000-0004-0000-0100-00000B000000}"/>
    <hyperlink ref="C12" r:id="rId13" xr:uid="{00000000-0004-0000-0100-00000C000000}"/>
    <hyperlink ref="F12" r:id="rId14" xr:uid="{00000000-0004-0000-0100-00000D000000}"/>
    <hyperlink ref="C13" r:id="rId15" xr:uid="{00000000-0004-0000-0100-00000E000000}"/>
    <hyperlink ref="F13" r:id="rId16" xr:uid="{00000000-0004-0000-0100-00000F000000}"/>
    <hyperlink ref="C14" r:id="rId17" xr:uid="{00000000-0004-0000-0100-000010000000}"/>
    <hyperlink ref="P14" r:id="rId18" xr:uid="{00000000-0004-0000-0100-000011000000}"/>
    <hyperlink ref="C15" r:id="rId19" xr:uid="{00000000-0004-0000-0100-000012000000}"/>
    <hyperlink ref="C16" r:id="rId20" xr:uid="{00000000-0004-0000-0100-000013000000}"/>
    <hyperlink ref="C17" r:id="rId21" xr:uid="{00000000-0004-0000-0100-000014000000}"/>
    <hyperlink ref="C18" r:id="rId22" xr:uid="{00000000-0004-0000-0100-000015000000}"/>
    <hyperlink ref="C19" r:id="rId23" xr:uid="{00000000-0004-0000-0100-000016000000}"/>
    <hyperlink ref="F19" r:id="rId24" xr:uid="{00000000-0004-0000-0100-000017000000}"/>
    <hyperlink ref="C20" r:id="rId25" xr:uid="{00000000-0004-0000-0100-000018000000}"/>
    <hyperlink ref="C21" r:id="rId26" xr:uid="{00000000-0004-0000-0100-000019000000}"/>
    <hyperlink ref="C22" r:id="rId27" xr:uid="{00000000-0004-0000-0100-00001A000000}"/>
    <hyperlink ref="C23" r:id="rId28" xr:uid="{00000000-0004-0000-0100-00001B000000}"/>
    <hyperlink ref="C24" r:id="rId29" xr:uid="{00000000-0004-0000-0100-00001C000000}"/>
    <hyperlink ref="F24" r:id="rId30" xr:uid="{00000000-0004-0000-0100-00001D000000}"/>
    <hyperlink ref="P24" r:id="rId31" xr:uid="{00000000-0004-0000-0100-00001E000000}"/>
    <hyperlink ref="C25" r:id="rId32" xr:uid="{00000000-0004-0000-0100-00001F000000}"/>
    <hyperlink ref="P25" r:id="rId33" xr:uid="{00000000-0004-0000-0100-000020000000}"/>
    <hyperlink ref="C26" r:id="rId34" xr:uid="{00000000-0004-0000-0100-000021000000}"/>
    <hyperlink ref="F26" r:id="rId35" xr:uid="{00000000-0004-0000-0100-000022000000}"/>
    <hyperlink ref="C27" r:id="rId36" xr:uid="{00000000-0004-0000-0100-000023000000}"/>
    <hyperlink ref="C28" r:id="rId37" xr:uid="{00000000-0004-0000-0100-000024000000}"/>
    <hyperlink ref="C29" r:id="rId38" xr:uid="{00000000-0004-0000-0100-000025000000}"/>
    <hyperlink ref="C30" r:id="rId39" xr:uid="{00000000-0004-0000-0100-000026000000}"/>
    <hyperlink ref="C31" r:id="rId40" xr:uid="{00000000-0004-0000-0100-000027000000}"/>
    <hyperlink ref="P31" r:id="rId41" xr:uid="{00000000-0004-0000-0100-000028000000}"/>
    <hyperlink ref="C32" r:id="rId42" xr:uid="{00000000-0004-0000-0100-000029000000}"/>
    <hyperlink ref="C36" r:id="rId43" xr:uid="{2F4DF7F3-13B9-46B0-A924-B1087BA64C35}"/>
    <hyperlink ref="F36" r:id="rId44" xr:uid="{5E1D810D-F578-4AD7-BAE7-D431F0BD936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3:AM65"/>
  <sheetViews>
    <sheetView topLeftCell="A46" workbookViewId="0">
      <selection activeCell="R12" sqref="R12:U55"/>
    </sheetView>
  </sheetViews>
  <sheetFormatPr defaultColWidth="12.6640625" defaultRowHeight="15.75" customHeight="1"/>
  <cols>
    <col min="1" max="1" width="7.109375" bestFit="1" customWidth="1"/>
    <col min="2" max="2" width="63.77734375" bestFit="1" customWidth="1"/>
    <col min="3" max="3" width="5.77734375" bestFit="1" customWidth="1"/>
    <col min="4" max="4" width="19.88671875" bestFit="1" customWidth="1"/>
    <col min="5" max="5" width="31.21875" bestFit="1" customWidth="1"/>
    <col min="6" max="6" width="8.33203125" bestFit="1" customWidth="1"/>
    <col min="7" max="7" width="11.6640625" bestFit="1" customWidth="1"/>
    <col min="8" max="8" width="44.21875" bestFit="1" customWidth="1"/>
    <col min="9" max="9" width="31.109375" bestFit="1" customWidth="1"/>
    <col min="10" max="10" width="40.77734375" bestFit="1" customWidth="1"/>
    <col min="11" max="11" width="7" bestFit="1" customWidth="1"/>
    <col min="12" max="12" width="16.21875" bestFit="1" customWidth="1"/>
    <col min="13" max="13" width="12.109375" bestFit="1" customWidth="1"/>
    <col min="14" max="14" width="16.21875" bestFit="1" customWidth="1"/>
    <col min="15" max="15" width="26.6640625" bestFit="1" customWidth="1"/>
    <col min="16" max="16" width="146.88671875" bestFit="1" customWidth="1"/>
    <col min="17" max="17" width="10.33203125" bestFit="1" customWidth="1"/>
    <col min="18" max="18" width="8.33203125" bestFit="1" customWidth="1"/>
    <col min="19" max="19" width="8" bestFit="1" customWidth="1"/>
    <col min="20" max="20" width="10.109375" bestFit="1" customWidth="1"/>
    <col min="21" max="21" width="10.77734375" bestFit="1" customWidth="1"/>
    <col min="22" max="22" width="41.109375" bestFit="1" customWidth="1"/>
    <col min="23" max="23" width="38.88671875" bestFit="1" customWidth="1"/>
    <col min="24" max="24" width="81.33203125" bestFit="1" customWidth="1"/>
    <col min="25" max="25" width="81" bestFit="1" customWidth="1"/>
    <col min="26" max="26" width="130" bestFit="1" customWidth="1"/>
    <col min="27" max="27" width="52" bestFit="1" customWidth="1"/>
    <col min="28" max="28" width="37.5546875" bestFit="1" customWidth="1"/>
    <col min="29" max="29" width="40.33203125" bestFit="1" customWidth="1"/>
    <col min="30" max="30" width="28.77734375" bestFit="1" customWidth="1"/>
    <col min="31" max="31" width="40.109375" bestFit="1" customWidth="1"/>
    <col min="32" max="32" width="37.33203125" bestFit="1" customWidth="1"/>
    <col min="33" max="33" width="40.109375" bestFit="1" customWidth="1"/>
    <col min="34" max="34" width="45.5546875" bestFit="1" customWidth="1"/>
    <col min="35" max="35" width="39.88671875" bestFit="1" customWidth="1"/>
    <col min="36" max="36" width="54.44140625" bestFit="1" customWidth="1"/>
    <col min="37" max="37" width="40.44140625" bestFit="1" customWidth="1"/>
  </cols>
  <sheetData>
    <row r="3" spans="1:39" ht="13.8">
      <c r="A3" s="90" t="s">
        <v>1</v>
      </c>
      <c r="B3" s="2" t="s">
        <v>639</v>
      </c>
      <c r="C3" s="2" t="s">
        <v>640</v>
      </c>
      <c r="D3" s="2" t="s">
        <v>1050</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7557</v>
      </c>
      <c r="AC3" s="5" t="s">
        <v>1546</v>
      </c>
      <c r="AD3" s="5" t="s">
        <v>28</v>
      </c>
      <c r="AE3" s="5" t="s">
        <v>1546</v>
      </c>
      <c r="AF3" s="5" t="s">
        <v>29</v>
      </c>
      <c r="AG3" s="5" t="s">
        <v>1546</v>
      </c>
      <c r="AH3" s="5" t="s">
        <v>30</v>
      </c>
      <c r="AI3" s="5" t="s">
        <v>1546</v>
      </c>
      <c r="AJ3" s="5" t="s">
        <v>31</v>
      </c>
      <c r="AK3" s="5" t="s">
        <v>1546</v>
      </c>
      <c r="AL3" s="5"/>
      <c r="AM3" s="5"/>
    </row>
    <row r="4" spans="1:39" ht="21" customHeight="1">
      <c r="A4" s="2">
        <v>334</v>
      </c>
      <c r="B4" s="262" t="s">
        <v>8029</v>
      </c>
      <c r="D4" s="263" t="s">
        <v>3869</v>
      </c>
      <c r="E4" s="9" t="s">
        <v>8030</v>
      </c>
      <c r="F4" s="9" t="s">
        <v>8031</v>
      </c>
      <c r="G4" s="9" t="s">
        <v>2922</v>
      </c>
      <c r="H4" s="10" t="s">
        <v>8032</v>
      </c>
      <c r="I4" s="10" t="s">
        <v>3866</v>
      </c>
      <c r="J4" s="10" t="s">
        <v>8033</v>
      </c>
      <c r="K4" s="10" t="s">
        <v>44</v>
      </c>
      <c r="L4" s="10">
        <v>7977277626</v>
      </c>
      <c r="M4" s="9">
        <v>9326985520</v>
      </c>
      <c r="N4" s="10">
        <v>7977277626</v>
      </c>
      <c r="O4" s="338" t="s">
        <v>8034</v>
      </c>
      <c r="P4" s="339" t="s">
        <v>3870</v>
      </c>
      <c r="Q4" s="339" t="s">
        <v>47</v>
      </c>
      <c r="R4" s="5" t="s">
        <v>1406</v>
      </c>
      <c r="S4" s="5" t="s">
        <v>49</v>
      </c>
      <c r="T4" s="5" t="s">
        <v>7444</v>
      </c>
      <c r="U4" s="5" t="s">
        <v>7445</v>
      </c>
      <c r="V4" s="4" t="s">
        <v>3863</v>
      </c>
      <c r="W4" s="4" t="s">
        <v>3864</v>
      </c>
      <c r="X4" s="273" t="s">
        <v>8035</v>
      </c>
      <c r="Y4" s="275"/>
      <c r="Z4" s="273" t="s">
        <v>8036</v>
      </c>
      <c r="AA4" s="275"/>
      <c r="AB4" s="272" t="s">
        <v>8037</v>
      </c>
      <c r="AC4" s="103" t="s">
        <v>6220</v>
      </c>
      <c r="AD4" s="272" t="s">
        <v>8038</v>
      </c>
      <c r="AE4" s="103" t="s">
        <v>6222</v>
      </c>
      <c r="AF4" s="272" t="s">
        <v>8039</v>
      </c>
      <c r="AG4" s="103" t="s">
        <v>6224</v>
      </c>
      <c r="AH4" s="272" t="s">
        <v>6225</v>
      </c>
      <c r="AI4" s="103" t="s">
        <v>6226</v>
      </c>
      <c r="AJ4" s="272" t="s">
        <v>6227</v>
      </c>
      <c r="AK4" s="103" t="s">
        <v>6228</v>
      </c>
      <c r="AL4" s="103"/>
      <c r="AM4" s="103"/>
    </row>
    <row r="5" spans="1:39" ht="22.5" customHeight="1">
      <c r="A5" s="2">
        <v>335</v>
      </c>
      <c r="B5" s="262" t="s">
        <v>8040</v>
      </c>
      <c r="D5" s="263" t="s">
        <v>3869</v>
      </c>
      <c r="E5" s="9" t="s">
        <v>8041</v>
      </c>
      <c r="F5" s="9" t="s">
        <v>8031</v>
      </c>
      <c r="G5" s="9" t="s">
        <v>2922</v>
      </c>
      <c r="H5" s="267" t="s">
        <v>3876</v>
      </c>
      <c r="I5" s="267" t="s">
        <v>3877</v>
      </c>
      <c r="J5" s="267" t="s">
        <v>8042</v>
      </c>
      <c r="K5" s="10" t="s">
        <v>44</v>
      </c>
      <c r="L5" s="267">
        <v>8691998984</v>
      </c>
      <c r="M5" s="269">
        <v>7039030612</v>
      </c>
      <c r="N5" s="267">
        <v>8691998984</v>
      </c>
      <c r="O5" s="340" t="s">
        <v>8043</v>
      </c>
      <c r="P5" s="341" t="s">
        <v>3880</v>
      </c>
      <c r="Q5" s="339" t="s">
        <v>47</v>
      </c>
      <c r="R5" s="5" t="s">
        <v>1406</v>
      </c>
      <c r="S5" s="5" t="s">
        <v>49</v>
      </c>
      <c r="T5" s="5" t="s">
        <v>7444</v>
      </c>
      <c r="U5" s="5" t="s">
        <v>7445</v>
      </c>
      <c r="V5" s="4" t="s">
        <v>3874</v>
      </c>
      <c r="W5" s="4" t="s">
        <v>3875</v>
      </c>
      <c r="X5" s="273" t="s">
        <v>8044</v>
      </c>
      <c r="Y5" s="273" t="s">
        <v>8045</v>
      </c>
      <c r="Z5" s="273" t="s">
        <v>8046</v>
      </c>
      <c r="AA5" s="275"/>
      <c r="AB5" s="272" t="s">
        <v>8047</v>
      </c>
      <c r="AC5" s="103" t="s">
        <v>6231</v>
      </c>
      <c r="AD5" s="275"/>
      <c r="AE5" s="275"/>
      <c r="AF5" s="275"/>
      <c r="AG5" s="275"/>
      <c r="AH5" s="275"/>
      <c r="AI5" s="275"/>
      <c r="AJ5" s="275"/>
      <c r="AK5" s="178"/>
      <c r="AL5" s="178"/>
      <c r="AM5" s="178"/>
    </row>
    <row r="6" spans="1:39" ht="21.75" customHeight="1">
      <c r="A6" s="2">
        <v>336</v>
      </c>
      <c r="B6" s="262" t="s">
        <v>8048</v>
      </c>
      <c r="D6" s="263" t="s">
        <v>3869</v>
      </c>
      <c r="E6" s="9" t="s">
        <v>8049</v>
      </c>
      <c r="F6" s="9" t="s">
        <v>8031</v>
      </c>
      <c r="G6" s="9" t="s">
        <v>2922</v>
      </c>
      <c r="H6" s="10" t="s">
        <v>3885</v>
      </c>
      <c r="I6" s="10" t="s">
        <v>3886</v>
      </c>
      <c r="J6" s="10" t="s">
        <v>3887</v>
      </c>
      <c r="K6" s="10" t="s">
        <v>44</v>
      </c>
      <c r="L6" s="10" t="s">
        <v>8050</v>
      </c>
      <c r="M6" s="9" t="s">
        <v>44</v>
      </c>
      <c r="N6" s="10" t="s">
        <v>8050</v>
      </c>
      <c r="O6" s="338" t="s">
        <v>3890</v>
      </c>
      <c r="P6" s="339" t="s">
        <v>3889</v>
      </c>
      <c r="Q6" s="339" t="s">
        <v>47</v>
      </c>
      <c r="R6" s="5" t="s">
        <v>1406</v>
      </c>
      <c r="S6" s="5" t="s">
        <v>49</v>
      </c>
      <c r="T6" s="5" t="s">
        <v>7444</v>
      </c>
      <c r="U6" s="5" t="s">
        <v>7445</v>
      </c>
      <c r="V6" s="4" t="s">
        <v>71</v>
      </c>
      <c r="W6" s="4" t="s">
        <v>3884</v>
      </c>
      <c r="X6" s="273" t="s">
        <v>8051</v>
      </c>
      <c r="Y6" s="273" t="s">
        <v>8052</v>
      </c>
      <c r="Z6" s="273" t="s">
        <v>8053</v>
      </c>
      <c r="AA6" s="273" t="s">
        <v>8054</v>
      </c>
      <c r="AB6" s="272"/>
      <c r="AC6" s="272"/>
      <c r="AD6" s="272"/>
      <c r="AE6" s="272"/>
      <c r="AF6" s="272"/>
      <c r="AG6" s="272"/>
      <c r="AH6" s="272"/>
      <c r="AI6" s="272"/>
      <c r="AJ6" s="272"/>
      <c r="AK6" s="342"/>
      <c r="AL6" s="342"/>
      <c r="AM6" s="342"/>
    </row>
    <row r="7" spans="1:39" ht="21" customHeight="1">
      <c r="A7" s="2">
        <v>337</v>
      </c>
      <c r="B7" s="262" t="s">
        <v>8055</v>
      </c>
      <c r="D7" s="263" t="s">
        <v>3869</v>
      </c>
      <c r="E7" s="9" t="s">
        <v>8056</v>
      </c>
      <c r="F7" s="9" t="s">
        <v>8031</v>
      </c>
      <c r="G7" s="9" t="s">
        <v>2922</v>
      </c>
      <c r="H7" s="267" t="s">
        <v>3895</v>
      </c>
      <c r="I7" s="267" t="s">
        <v>3896</v>
      </c>
      <c r="J7" s="267" t="s">
        <v>3897</v>
      </c>
      <c r="K7" s="10" t="s">
        <v>44</v>
      </c>
      <c r="L7" s="267">
        <v>8082750689</v>
      </c>
      <c r="M7" s="9" t="s">
        <v>44</v>
      </c>
      <c r="N7" s="267">
        <v>8082750689</v>
      </c>
      <c r="O7" s="340" t="s">
        <v>3900</v>
      </c>
      <c r="P7" s="341" t="s">
        <v>3899</v>
      </c>
      <c r="Q7" s="339" t="s">
        <v>47</v>
      </c>
      <c r="R7" s="5" t="s">
        <v>1406</v>
      </c>
      <c r="S7" s="5" t="s">
        <v>49</v>
      </c>
      <c r="T7" s="5" t="s">
        <v>7444</v>
      </c>
      <c r="U7" s="5" t="s">
        <v>7445</v>
      </c>
      <c r="V7" s="4" t="s">
        <v>3893</v>
      </c>
      <c r="W7" s="4" t="s">
        <v>3894</v>
      </c>
      <c r="X7" s="273" t="s">
        <v>8057</v>
      </c>
      <c r="Y7" s="273" t="s">
        <v>8058</v>
      </c>
      <c r="Z7" s="273" t="s">
        <v>8059</v>
      </c>
      <c r="AA7" s="273" t="s">
        <v>8060</v>
      </c>
      <c r="AB7" s="272" t="s">
        <v>6233</v>
      </c>
      <c r="AC7" s="103" t="s">
        <v>6234</v>
      </c>
      <c r="AD7" s="272" t="s">
        <v>6235</v>
      </c>
      <c r="AE7" s="103" t="s">
        <v>6236</v>
      </c>
      <c r="AF7" s="272" t="s">
        <v>6237</v>
      </c>
      <c r="AG7" s="103" t="s">
        <v>6238</v>
      </c>
      <c r="AH7" s="272" t="s">
        <v>6239</v>
      </c>
      <c r="AI7" s="103" t="s">
        <v>6240</v>
      </c>
      <c r="AJ7" s="272" t="s">
        <v>6241</v>
      </c>
      <c r="AK7" s="103" t="s">
        <v>6242</v>
      </c>
      <c r="AL7" s="103"/>
      <c r="AM7" s="103"/>
    </row>
    <row r="8" spans="1:39" ht="18.75" customHeight="1">
      <c r="A8" s="2">
        <v>338</v>
      </c>
      <c r="B8" s="262" t="s">
        <v>8061</v>
      </c>
      <c r="D8" s="263" t="s">
        <v>3869</v>
      </c>
      <c r="E8" s="9" t="s">
        <v>8062</v>
      </c>
      <c r="F8" s="9" t="s">
        <v>8031</v>
      </c>
      <c r="G8" s="9" t="s">
        <v>2922</v>
      </c>
      <c r="H8" s="10" t="s">
        <v>8063</v>
      </c>
      <c r="I8" s="10" t="s">
        <v>3906</v>
      </c>
      <c r="J8" s="10" t="s">
        <v>8064</v>
      </c>
      <c r="K8" s="10" t="s">
        <v>44</v>
      </c>
      <c r="L8" s="343" t="s">
        <v>8065</v>
      </c>
      <c r="M8" s="9" t="s">
        <v>8066</v>
      </c>
      <c r="N8" s="343" t="s">
        <v>8065</v>
      </c>
      <c r="O8" s="338" t="s">
        <v>3910</v>
      </c>
      <c r="P8" s="339" t="s">
        <v>8067</v>
      </c>
      <c r="Q8" s="339" t="s">
        <v>47</v>
      </c>
      <c r="R8" s="5" t="s">
        <v>1406</v>
      </c>
      <c r="S8" s="5" t="s">
        <v>49</v>
      </c>
      <c r="T8" s="5" t="s">
        <v>7444</v>
      </c>
      <c r="U8" s="5" t="s">
        <v>7445</v>
      </c>
      <c r="V8" s="4" t="s">
        <v>3903</v>
      </c>
      <c r="W8" s="4" t="s">
        <v>3904</v>
      </c>
      <c r="X8" s="273" t="s">
        <v>8068</v>
      </c>
      <c r="Y8" s="275"/>
      <c r="Z8" s="275"/>
      <c r="AA8" s="275"/>
      <c r="AB8" s="272" t="s">
        <v>8069</v>
      </c>
      <c r="AC8" s="103" t="s">
        <v>6245</v>
      </c>
      <c r="AD8" s="272" t="s">
        <v>8070</v>
      </c>
      <c r="AE8" s="103" t="s">
        <v>6247</v>
      </c>
      <c r="AF8" s="272" t="s">
        <v>8071</v>
      </c>
      <c r="AG8" s="103" t="s">
        <v>6249</v>
      </c>
      <c r="AH8" s="272" t="s">
        <v>8072</v>
      </c>
      <c r="AI8" s="103" t="s">
        <v>6251</v>
      </c>
      <c r="AJ8" s="272" t="s">
        <v>8073</v>
      </c>
      <c r="AK8" s="103" t="s">
        <v>6253</v>
      </c>
      <c r="AL8" s="103"/>
      <c r="AM8" s="103"/>
    </row>
    <row r="9" spans="1:39" ht="13.8">
      <c r="A9" s="2">
        <v>339</v>
      </c>
      <c r="B9" s="262" t="s">
        <v>8074</v>
      </c>
      <c r="D9" s="263" t="s">
        <v>3869</v>
      </c>
      <c r="E9" s="9" t="s">
        <v>8075</v>
      </c>
      <c r="F9" s="9" t="s">
        <v>8031</v>
      </c>
      <c r="G9" s="9" t="s">
        <v>2922</v>
      </c>
      <c r="H9" s="267" t="s">
        <v>3915</v>
      </c>
      <c r="I9" s="267" t="s">
        <v>3916</v>
      </c>
      <c r="J9" s="267" t="s">
        <v>3917</v>
      </c>
      <c r="K9" s="10" t="s">
        <v>44</v>
      </c>
      <c r="L9" s="267">
        <v>9867362104</v>
      </c>
      <c r="M9" s="9" t="s">
        <v>44</v>
      </c>
      <c r="N9" s="267">
        <v>9867362104</v>
      </c>
      <c r="O9" s="340" t="s">
        <v>3920</v>
      </c>
      <c r="P9" s="341" t="s">
        <v>8076</v>
      </c>
      <c r="Q9" s="339" t="s">
        <v>47</v>
      </c>
      <c r="R9" s="5" t="s">
        <v>1406</v>
      </c>
      <c r="S9" s="5" t="s">
        <v>49</v>
      </c>
      <c r="T9" s="5" t="s">
        <v>7444</v>
      </c>
      <c r="U9" s="5" t="s">
        <v>7445</v>
      </c>
      <c r="V9" s="4" t="s">
        <v>3913</v>
      </c>
      <c r="W9" s="4" t="s">
        <v>3914</v>
      </c>
      <c r="X9" s="275"/>
      <c r="Y9" s="275"/>
      <c r="Z9" s="275"/>
      <c r="AA9" s="275"/>
      <c r="AB9" s="272"/>
      <c r="AC9" s="272"/>
      <c r="AD9" s="272"/>
      <c r="AE9" s="272"/>
      <c r="AF9" s="272"/>
      <c r="AG9" s="272"/>
      <c r="AH9" s="272"/>
      <c r="AI9" s="272"/>
      <c r="AJ9" s="272"/>
      <c r="AK9" s="342"/>
      <c r="AL9" s="342"/>
      <c r="AM9" s="342"/>
    </row>
    <row r="10" spans="1:39" ht="20.25" customHeight="1">
      <c r="A10" s="2">
        <v>340</v>
      </c>
      <c r="B10" s="262" t="s">
        <v>8077</v>
      </c>
      <c r="D10" s="263" t="s">
        <v>3869</v>
      </c>
      <c r="E10" s="9" t="s">
        <v>8078</v>
      </c>
      <c r="F10" s="9" t="s">
        <v>8031</v>
      </c>
      <c r="G10" s="9" t="s">
        <v>2922</v>
      </c>
      <c r="H10" s="10" t="s">
        <v>8079</v>
      </c>
      <c r="I10" s="10" t="s">
        <v>3926</v>
      </c>
      <c r="J10" s="10" t="s">
        <v>8080</v>
      </c>
      <c r="K10" s="10" t="s">
        <v>44</v>
      </c>
      <c r="L10" s="10">
        <v>8928988350</v>
      </c>
      <c r="M10" s="9">
        <v>9167495227</v>
      </c>
      <c r="N10" s="10">
        <v>8928988350</v>
      </c>
      <c r="O10" s="338" t="s">
        <v>3930</v>
      </c>
      <c r="P10" s="339" t="s">
        <v>3929</v>
      </c>
      <c r="Q10" s="339" t="s">
        <v>47</v>
      </c>
      <c r="R10" s="5" t="s">
        <v>1406</v>
      </c>
      <c r="S10" s="5" t="s">
        <v>49</v>
      </c>
      <c r="T10" s="5" t="s">
        <v>7444</v>
      </c>
      <c r="U10" s="5" t="s">
        <v>7445</v>
      </c>
      <c r="V10" s="4" t="s">
        <v>3923</v>
      </c>
      <c r="W10" s="4" t="s">
        <v>3924</v>
      </c>
      <c r="X10" s="273" t="s">
        <v>8081</v>
      </c>
      <c r="Y10" s="275"/>
      <c r="Z10" s="275"/>
      <c r="AA10" s="275"/>
      <c r="AB10" s="272"/>
      <c r="AC10" s="272"/>
      <c r="AD10" s="275"/>
      <c r="AE10" s="275"/>
      <c r="AF10" s="275"/>
      <c r="AG10" s="275"/>
      <c r="AH10" s="275"/>
      <c r="AI10" s="275"/>
      <c r="AJ10" s="275"/>
      <c r="AK10" s="178"/>
      <c r="AL10" s="178"/>
      <c r="AM10" s="178"/>
    </row>
    <row r="11" spans="1:39" ht="21.75" customHeight="1">
      <c r="A11" s="2">
        <v>341</v>
      </c>
      <c r="B11" s="262" t="s">
        <v>8082</v>
      </c>
      <c r="D11" s="263" t="s">
        <v>3869</v>
      </c>
      <c r="E11" s="9" t="s">
        <v>8083</v>
      </c>
      <c r="F11" s="9" t="s">
        <v>8031</v>
      </c>
      <c r="G11" s="9" t="s">
        <v>2922</v>
      </c>
      <c r="H11" s="267" t="s">
        <v>3491</v>
      </c>
      <c r="I11" s="267" t="s">
        <v>3932</v>
      </c>
      <c r="J11" s="10" t="s">
        <v>44</v>
      </c>
      <c r="K11" s="10" t="s">
        <v>44</v>
      </c>
      <c r="L11" s="267">
        <v>9819886266</v>
      </c>
      <c r="M11" s="269">
        <v>7977963475</v>
      </c>
      <c r="N11" s="267">
        <v>9819886266</v>
      </c>
      <c r="O11" s="10" t="s">
        <v>44</v>
      </c>
      <c r="P11" s="341" t="s">
        <v>3933</v>
      </c>
      <c r="Q11" s="339" t="s">
        <v>47</v>
      </c>
      <c r="R11" s="5" t="s">
        <v>1406</v>
      </c>
      <c r="S11" s="5" t="s">
        <v>49</v>
      </c>
      <c r="T11" s="5" t="s">
        <v>7444</v>
      </c>
      <c r="U11" s="5" t="s">
        <v>7445</v>
      </c>
      <c r="V11" s="4" t="s">
        <v>71</v>
      </c>
      <c r="W11" s="4" t="s">
        <v>3931</v>
      </c>
      <c r="X11" s="275"/>
      <c r="Y11" s="275"/>
      <c r="Z11" s="275"/>
      <c r="AA11" s="275"/>
      <c r="AB11" s="275"/>
      <c r="AC11" s="275"/>
      <c r="AD11" s="275"/>
      <c r="AE11" s="275"/>
      <c r="AF11" s="275"/>
      <c r="AG11" s="275"/>
      <c r="AH11" s="275"/>
      <c r="AI11" s="275"/>
      <c r="AJ11" s="275"/>
      <c r="AK11" s="178"/>
      <c r="AL11" s="178"/>
      <c r="AM11" s="178"/>
    </row>
    <row r="12" spans="1:39" ht="18.75" customHeight="1">
      <c r="A12" s="2">
        <v>342</v>
      </c>
      <c r="B12" s="262" t="s">
        <v>8084</v>
      </c>
      <c r="D12" s="263" t="s">
        <v>3869</v>
      </c>
      <c r="E12" s="9" t="s">
        <v>8085</v>
      </c>
      <c r="F12" s="9" t="s">
        <v>8031</v>
      </c>
      <c r="G12" s="9" t="s">
        <v>2922</v>
      </c>
      <c r="H12" s="10" t="s">
        <v>8086</v>
      </c>
      <c r="I12" s="10" t="s">
        <v>3939</v>
      </c>
      <c r="J12" s="10" t="s">
        <v>8087</v>
      </c>
      <c r="K12" s="10" t="s">
        <v>44</v>
      </c>
      <c r="L12" s="10" t="s">
        <v>8088</v>
      </c>
      <c r="M12" s="9" t="s">
        <v>8089</v>
      </c>
      <c r="N12" s="10" t="s">
        <v>8088</v>
      </c>
      <c r="O12" s="338" t="s">
        <v>3944</v>
      </c>
      <c r="P12" s="339" t="s">
        <v>3943</v>
      </c>
      <c r="Q12" s="339" t="s">
        <v>47</v>
      </c>
      <c r="R12" s="5" t="s">
        <v>1406</v>
      </c>
      <c r="S12" s="5" t="s">
        <v>49</v>
      </c>
      <c r="T12" s="5" t="s">
        <v>7444</v>
      </c>
      <c r="U12" s="5" t="s">
        <v>7445</v>
      </c>
      <c r="V12" s="4" t="s">
        <v>3936</v>
      </c>
      <c r="W12" s="4" t="s">
        <v>3937</v>
      </c>
      <c r="X12" s="273" t="s">
        <v>8090</v>
      </c>
      <c r="Y12" s="275"/>
      <c r="Z12" s="273" t="s">
        <v>8091</v>
      </c>
      <c r="AA12" s="275"/>
      <c r="AB12" s="272" t="s">
        <v>6255</v>
      </c>
      <c r="AC12" s="103" t="s">
        <v>6256</v>
      </c>
      <c r="AD12" s="272" t="s">
        <v>6257</v>
      </c>
      <c r="AE12" s="103" t="s">
        <v>6258</v>
      </c>
      <c r="AF12" s="272" t="s">
        <v>8092</v>
      </c>
      <c r="AG12" s="103" t="s">
        <v>6260</v>
      </c>
      <c r="AH12" s="272" t="s">
        <v>6261</v>
      </c>
      <c r="AI12" s="103" t="s">
        <v>6262</v>
      </c>
      <c r="AJ12" s="272" t="s">
        <v>8093</v>
      </c>
      <c r="AK12" s="103" t="s">
        <v>6264</v>
      </c>
      <c r="AL12" s="103"/>
      <c r="AM12" s="103"/>
    </row>
    <row r="13" spans="1:39" ht="19.5" customHeight="1">
      <c r="A13" s="2">
        <v>343</v>
      </c>
      <c r="B13" s="262" t="s">
        <v>8094</v>
      </c>
      <c r="D13" s="263" t="s">
        <v>3869</v>
      </c>
      <c r="E13" s="9" t="s">
        <v>8095</v>
      </c>
      <c r="F13" s="9" t="s">
        <v>8031</v>
      </c>
      <c r="G13" s="9" t="s">
        <v>2922</v>
      </c>
      <c r="H13" s="267" t="s">
        <v>3949</v>
      </c>
      <c r="I13" s="267" t="s">
        <v>3950</v>
      </c>
      <c r="J13" s="267" t="s">
        <v>8096</v>
      </c>
      <c r="K13" s="10" t="s">
        <v>44</v>
      </c>
      <c r="L13" s="267">
        <v>7021580050</v>
      </c>
      <c r="M13" s="269">
        <v>9819104916</v>
      </c>
      <c r="N13" s="267">
        <v>7021580050</v>
      </c>
      <c r="O13" s="10" t="s">
        <v>44</v>
      </c>
      <c r="P13" s="341" t="s">
        <v>3953</v>
      </c>
      <c r="Q13" s="339" t="s">
        <v>47</v>
      </c>
      <c r="R13" s="5" t="s">
        <v>1406</v>
      </c>
      <c r="S13" s="5" t="s">
        <v>49</v>
      </c>
      <c r="T13" s="5" t="s">
        <v>7444</v>
      </c>
      <c r="U13" s="5" t="s">
        <v>7445</v>
      </c>
      <c r="V13" s="4" t="s">
        <v>3947</v>
      </c>
      <c r="W13" s="4" t="s">
        <v>3948</v>
      </c>
      <c r="X13" s="273" t="s">
        <v>8097</v>
      </c>
      <c r="Y13" s="273" t="s">
        <v>8098</v>
      </c>
      <c r="Z13" s="275"/>
      <c r="AA13" s="275"/>
      <c r="AB13" s="272" t="s">
        <v>8099</v>
      </c>
      <c r="AC13" s="103" t="s">
        <v>6267</v>
      </c>
      <c r="AD13" s="272" t="s">
        <v>6268</v>
      </c>
      <c r="AE13" s="103" t="s">
        <v>6269</v>
      </c>
      <c r="AF13" s="272" t="s">
        <v>6270</v>
      </c>
      <c r="AG13" s="103" t="s">
        <v>6271</v>
      </c>
      <c r="AH13" s="272" t="s">
        <v>8100</v>
      </c>
      <c r="AI13" s="103" t="s">
        <v>6273</v>
      </c>
      <c r="AJ13" s="272" t="s">
        <v>8101</v>
      </c>
      <c r="AK13" s="103" t="s">
        <v>6275</v>
      </c>
      <c r="AL13" s="103"/>
      <c r="AM13" s="103"/>
    </row>
    <row r="14" spans="1:39" ht="24" customHeight="1">
      <c r="A14" s="2">
        <v>344</v>
      </c>
      <c r="B14" s="262" t="s">
        <v>8102</v>
      </c>
      <c r="D14" s="263" t="s">
        <v>3869</v>
      </c>
      <c r="E14" s="9" t="s">
        <v>8103</v>
      </c>
      <c r="F14" s="9" t="s">
        <v>8031</v>
      </c>
      <c r="G14" s="9" t="s">
        <v>2922</v>
      </c>
      <c r="H14" s="10" t="s">
        <v>3958</v>
      </c>
      <c r="I14" s="10" t="s">
        <v>3959</v>
      </c>
      <c r="J14" s="10" t="s">
        <v>3960</v>
      </c>
      <c r="K14" s="10" t="s">
        <v>44</v>
      </c>
      <c r="L14" s="10">
        <v>8928100149</v>
      </c>
      <c r="M14" s="9">
        <v>7208436230</v>
      </c>
      <c r="N14" s="10">
        <v>8928100149</v>
      </c>
      <c r="O14" s="338" t="s">
        <v>3963</v>
      </c>
      <c r="P14" s="339" t="s">
        <v>3962</v>
      </c>
      <c r="Q14" s="339" t="s">
        <v>47</v>
      </c>
      <c r="R14" s="5" t="s">
        <v>1406</v>
      </c>
      <c r="S14" s="5" t="s">
        <v>49</v>
      </c>
      <c r="T14" s="5" t="s">
        <v>7444</v>
      </c>
      <c r="U14" s="5" t="s">
        <v>7445</v>
      </c>
      <c r="V14" s="4" t="s">
        <v>3956</v>
      </c>
      <c r="W14" s="4" t="s">
        <v>3957</v>
      </c>
      <c r="X14" s="273" t="s">
        <v>8104</v>
      </c>
      <c r="Y14" s="275"/>
      <c r="Z14" s="273" t="s">
        <v>8105</v>
      </c>
      <c r="AA14" s="275"/>
      <c r="AB14" s="272" t="s">
        <v>6277</v>
      </c>
      <c r="AC14" s="103" t="s">
        <v>6278</v>
      </c>
      <c r="AD14" s="272" t="s">
        <v>6279</v>
      </c>
      <c r="AE14" s="103" t="s">
        <v>6280</v>
      </c>
      <c r="AF14" s="272" t="s">
        <v>6281</v>
      </c>
      <c r="AG14" s="103" t="s">
        <v>6282</v>
      </c>
      <c r="AH14" s="272" t="s">
        <v>6283</v>
      </c>
      <c r="AI14" s="103" t="s">
        <v>6284</v>
      </c>
      <c r="AJ14" s="272" t="s">
        <v>6285</v>
      </c>
      <c r="AK14" s="103" t="s">
        <v>6286</v>
      </c>
      <c r="AL14" s="103"/>
      <c r="AM14" s="103"/>
    </row>
    <row r="15" spans="1:39" ht="22.5" customHeight="1">
      <c r="A15" s="2">
        <v>345</v>
      </c>
      <c r="B15" s="262" t="s">
        <v>8106</v>
      </c>
      <c r="D15" s="263" t="s">
        <v>3869</v>
      </c>
      <c r="E15" s="9" t="s">
        <v>8107</v>
      </c>
      <c r="F15" s="9" t="s">
        <v>8031</v>
      </c>
      <c r="G15" s="9" t="s">
        <v>2922</v>
      </c>
      <c r="H15" s="267" t="s">
        <v>3968</v>
      </c>
      <c r="I15" s="267" t="s">
        <v>3969</v>
      </c>
      <c r="J15" s="267" t="s">
        <v>3970</v>
      </c>
      <c r="K15" s="10" t="s">
        <v>44</v>
      </c>
      <c r="L15" s="267">
        <v>9820097619</v>
      </c>
      <c r="M15" s="269">
        <v>9920444664</v>
      </c>
      <c r="N15" s="267">
        <v>9820097619</v>
      </c>
      <c r="O15" s="340" t="s">
        <v>3973</v>
      </c>
      <c r="P15" s="341" t="s">
        <v>3972</v>
      </c>
      <c r="Q15" s="339" t="s">
        <v>47</v>
      </c>
      <c r="R15" s="5" t="s">
        <v>1406</v>
      </c>
      <c r="S15" s="5" t="s">
        <v>49</v>
      </c>
      <c r="T15" s="5" t="s">
        <v>7444</v>
      </c>
      <c r="U15" s="5" t="s">
        <v>7445</v>
      </c>
      <c r="V15" s="4" t="s">
        <v>3966</v>
      </c>
      <c r="W15" s="4" t="s">
        <v>3967</v>
      </c>
      <c r="X15" s="273" t="s">
        <v>8108</v>
      </c>
      <c r="Y15" s="275"/>
      <c r="Z15" s="275"/>
      <c r="AA15" s="275"/>
      <c r="AB15" s="272" t="s">
        <v>6288</v>
      </c>
      <c r="AC15" s="103" t="s">
        <v>6289</v>
      </c>
      <c r="AD15" s="272" t="s">
        <v>6290</v>
      </c>
      <c r="AE15" s="103" t="s">
        <v>6291</v>
      </c>
      <c r="AF15" s="272" t="s">
        <v>6292</v>
      </c>
      <c r="AG15" s="103" t="s">
        <v>6293</v>
      </c>
      <c r="AH15" s="272" t="s">
        <v>6294</v>
      </c>
      <c r="AI15" s="103" t="s">
        <v>6295</v>
      </c>
      <c r="AJ15" s="272" t="s">
        <v>6296</v>
      </c>
      <c r="AK15" s="103" t="s">
        <v>6297</v>
      </c>
      <c r="AL15" s="103"/>
      <c r="AM15" s="103"/>
    </row>
    <row r="16" spans="1:39" ht="20.25" customHeight="1">
      <c r="A16" s="2">
        <v>346</v>
      </c>
      <c r="B16" s="262" t="s">
        <v>8109</v>
      </c>
      <c r="D16" s="263" t="s">
        <v>3869</v>
      </c>
      <c r="E16" s="9" t="s">
        <v>8110</v>
      </c>
      <c r="F16" s="9" t="s">
        <v>8031</v>
      </c>
      <c r="G16" s="9" t="s">
        <v>2922</v>
      </c>
      <c r="H16" s="10" t="s">
        <v>3978</v>
      </c>
      <c r="I16" s="10" t="s">
        <v>3979</v>
      </c>
      <c r="J16" s="10" t="s">
        <v>3980</v>
      </c>
      <c r="K16" s="10" t="s">
        <v>44</v>
      </c>
      <c r="L16" s="10">
        <v>9819536373</v>
      </c>
      <c r="M16" s="9">
        <v>8850164854</v>
      </c>
      <c r="N16" s="10">
        <v>9819536373</v>
      </c>
      <c r="O16" s="338" t="s">
        <v>3983</v>
      </c>
      <c r="P16" s="339" t="s">
        <v>3982</v>
      </c>
      <c r="Q16" s="339" t="s">
        <v>47</v>
      </c>
      <c r="R16" s="5" t="s">
        <v>1406</v>
      </c>
      <c r="S16" s="5" t="s">
        <v>49</v>
      </c>
      <c r="T16" s="5" t="s">
        <v>7444</v>
      </c>
      <c r="U16" s="5" t="s">
        <v>7445</v>
      </c>
      <c r="V16" s="4" t="s">
        <v>3976</v>
      </c>
      <c r="W16" s="4" t="s">
        <v>3977</v>
      </c>
      <c r="X16" s="273" t="s">
        <v>8111</v>
      </c>
      <c r="Y16" s="273" t="s">
        <v>8112</v>
      </c>
      <c r="Z16" s="273" t="s">
        <v>8113</v>
      </c>
      <c r="AA16" s="344" t="s">
        <v>8114</v>
      </c>
      <c r="AB16" s="272" t="s">
        <v>6299</v>
      </c>
      <c r="AC16" s="103" t="s">
        <v>6300</v>
      </c>
      <c r="AD16" s="272" t="s">
        <v>8115</v>
      </c>
      <c r="AE16" s="103" t="s">
        <v>6302</v>
      </c>
      <c r="AF16" s="272" t="s">
        <v>6303</v>
      </c>
      <c r="AG16" s="103" t="s">
        <v>6304</v>
      </c>
      <c r="AH16" s="272" t="s">
        <v>6305</v>
      </c>
      <c r="AI16" s="103" t="s">
        <v>6306</v>
      </c>
      <c r="AJ16" s="272" t="s">
        <v>6307</v>
      </c>
      <c r="AK16" s="103" t="s">
        <v>6308</v>
      </c>
      <c r="AL16" s="103"/>
      <c r="AM16" s="103"/>
    </row>
    <row r="17" spans="1:39" ht="18.75" customHeight="1">
      <c r="A17" s="2">
        <v>347</v>
      </c>
      <c r="B17" s="262" t="s">
        <v>8116</v>
      </c>
      <c r="D17" s="263" t="s">
        <v>3869</v>
      </c>
      <c r="E17" s="9" t="s">
        <v>8117</v>
      </c>
      <c r="F17" s="9" t="s">
        <v>8031</v>
      </c>
      <c r="G17" s="9" t="s">
        <v>2922</v>
      </c>
      <c r="H17" s="267" t="s">
        <v>8118</v>
      </c>
      <c r="I17" s="267" t="s">
        <v>3989</v>
      </c>
      <c r="J17" s="267" t="s">
        <v>3990</v>
      </c>
      <c r="K17" s="10" t="s">
        <v>44</v>
      </c>
      <c r="L17" s="267">
        <v>9619454049</v>
      </c>
      <c r="M17" s="9" t="s">
        <v>44</v>
      </c>
      <c r="N17" s="267">
        <v>9619454049</v>
      </c>
      <c r="O17" s="340" t="s">
        <v>3993</v>
      </c>
      <c r="P17" s="341" t="s">
        <v>3992</v>
      </c>
      <c r="Q17" s="339" t="s">
        <v>47</v>
      </c>
      <c r="R17" s="5" t="s">
        <v>1406</v>
      </c>
      <c r="S17" s="5" t="s">
        <v>49</v>
      </c>
      <c r="T17" s="5" t="s">
        <v>7444</v>
      </c>
      <c r="U17" s="5" t="s">
        <v>7445</v>
      </c>
      <c r="V17" s="4" t="s">
        <v>3986</v>
      </c>
      <c r="W17" s="4" t="s">
        <v>3987</v>
      </c>
      <c r="X17" s="275"/>
      <c r="Y17" s="275"/>
      <c r="Z17" s="275"/>
      <c r="AA17" s="275"/>
      <c r="AB17" s="272" t="s">
        <v>8119</v>
      </c>
      <c r="AC17" s="103" t="s">
        <v>6311</v>
      </c>
      <c r="AD17" s="272" t="s">
        <v>6312</v>
      </c>
      <c r="AE17" s="103" t="s">
        <v>6313</v>
      </c>
      <c r="AF17" s="272" t="s">
        <v>6314</v>
      </c>
      <c r="AG17" s="103" t="s">
        <v>6315</v>
      </c>
      <c r="AH17" s="272" t="s">
        <v>8120</v>
      </c>
      <c r="AI17" s="103" t="s">
        <v>6317</v>
      </c>
      <c r="AJ17" s="272" t="s">
        <v>8121</v>
      </c>
      <c r="AK17" s="103" t="s">
        <v>6319</v>
      </c>
      <c r="AL17" s="103"/>
      <c r="AM17" s="103"/>
    </row>
    <row r="18" spans="1:39" ht="19.5" customHeight="1">
      <c r="A18" s="2">
        <v>348</v>
      </c>
      <c r="B18" s="262" t="s">
        <v>8122</v>
      </c>
      <c r="D18" s="263" t="s">
        <v>3869</v>
      </c>
      <c r="E18" s="9" t="s">
        <v>8123</v>
      </c>
      <c r="F18" s="9" t="s">
        <v>8031</v>
      </c>
      <c r="G18" s="9" t="s">
        <v>2922</v>
      </c>
      <c r="H18" s="10" t="s">
        <v>3998</v>
      </c>
      <c r="I18" s="10" t="s">
        <v>3999</v>
      </c>
      <c r="J18" s="10" t="s">
        <v>4000</v>
      </c>
      <c r="K18" s="10" t="s">
        <v>44</v>
      </c>
      <c r="L18" s="10">
        <v>8369160229</v>
      </c>
      <c r="M18" s="9">
        <v>7977239342</v>
      </c>
      <c r="N18" s="10">
        <v>8369160229</v>
      </c>
      <c r="O18" s="338" t="s">
        <v>4003</v>
      </c>
      <c r="P18" s="339" t="s">
        <v>4002</v>
      </c>
      <c r="Q18" s="339" t="s">
        <v>47</v>
      </c>
      <c r="R18" s="5" t="s">
        <v>1406</v>
      </c>
      <c r="S18" s="5" t="s">
        <v>49</v>
      </c>
      <c r="T18" s="5" t="s">
        <v>7444</v>
      </c>
      <c r="U18" s="5" t="s">
        <v>7445</v>
      </c>
      <c r="V18" s="4" t="s">
        <v>3996</v>
      </c>
      <c r="W18" s="4" t="s">
        <v>3997</v>
      </c>
      <c r="X18" s="273" t="s">
        <v>8124</v>
      </c>
      <c r="Y18" s="272" t="s">
        <v>8125</v>
      </c>
      <c r="Z18" s="272" t="s">
        <v>8125</v>
      </c>
      <c r="AA18" s="273" t="s">
        <v>8126</v>
      </c>
      <c r="AB18" s="272" t="s">
        <v>6321</v>
      </c>
      <c r="AC18" s="103" t="s">
        <v>6322</v>
      </c>
      <c r="AD18" s="272" t="s">
        <v>6323</v>
      </c>
      <c r="AE18" s="103" t="s">
        <v>6324</v>
      </c>
      <c r="AF18" s="272" t="s">
        <v>6325</v>
      </c>
      <c r="AG18" s="103" t="s">
        <v>6326</v>
      </c>
      <c r="AH18" s="272" t="s">
        <v>6327</v>
      </c>
      <c r="AI18" s="103" t="s">
        <v>6328</v>
      </c>
      <c r="AJ18" s="272" t="s">
        <v>6329</v>
      </c>
      <c r="AK18" s="103" t="s">
        <v>6330</v>
      </c>
      <c r="AL18" s="103"/>
      <c r="AM18" s="103"/>
    </row>
    <row r="19" spans="1:39" ht="18" customHeight="1">
      <c r="A19" s="2">
        <v>349</v>
      </c>
      <c r="B19" s="262" t="s">
        <v>8127</v>
      </c>
      <c r="D19" s="263" t="s">
        <v>3869</v>
      </c>
      <c r="E19" s="9" t="s">
        <v>8128</v>
      </c>
      <c r="F19" s="9" t="s">
        <v>8031</v>
      </c>
      <c r="G19" s="9" t="s">
        <v>2922</v>
      </c>
      <c r="H19" s="267" t="s">
        <v>4008</v>
      </c>
      <c r="I19" s="267" t="s">
        <v>4009</v>
      </c>
      <c r="J19" s="267" t="s">
        <v>4010</v>
      </c>
      <c r="K19" s="10" t="s">
        <v>44</v>
      </c>
      <c r="L19" s="267">
        <v>8655386188</v>
      </c>
      <c r="M19" s="269">
        <v>9892087990</v>
      </c>
      <c r="N19" s="267">
        <v>8655386188</v>
      </c>
      <c r="O19" s="10" t="s">
        <v>44</v>
      </c>
      <c r="P19" s="341" t="s">
        <v>4012</v>
      </c>
      <c r="Q19" s="339" t="s">
        <v>47</v>
      </c>
      <c r="R19" s="5" t="s">
        <v>1406</v>
      </c>
      <c r="S19" s="5" t="s">
        <v>49</v>
      </c>
      <c r="T19" s="5" t="s">
        <v>7444</v>
      </c>
      <c r="U19" s="5" t="s">
        <v>7445</v>
      </c>
      <c r="V19" s="4" t="s">
        <v>4006</v>
      </c>
      <c r="W19" s="4" t="s">
        <v>4007</v>
      </c>
      <c r="X19" s="273" t="s">
        <v>8129</v>
      </c>
      <c r="Y19" s="273" t="s">
        <v>8130</v>
      </c>
      <c r="Z19" s="275"/>
      <c r="AA19" s="275"/>
      <c r="AB19" s="272" t="s">
        <v>6332</v>
      </c>
      <c r="AC19" s="103" t="s">
        <v>6333</v>
      </c>
      <c r="AD19" s="272" t="s">
        <v>6334</v>
      </c>
      <c r="AE19" s="103" t="s">
        <v>6335</v>
      </c>
      <c r="AF19" s="272" t="s">
        <v>6336</v>
      </c>
      <c r="AG19" s="103" t="s">
        <v>6337</v>
      </c>
      <c r="AH19" s="272" t="s">
        <v>6338</v>
      </c>
      <c r="AI19" s="103" t="s">
        <v>6339</v>
      </c>
      <c r="AJ19" s="275"/>
      <c r="AK19" s="178"/>
      <c r="AL19" s="178"/>
      <c r="AM19" s="178"/>
    </row>
    <row r="20" spans="1:39" ht="20.25" customHeight="1">
      <c r="A20" s="2">
        <v>350</v>
      </c>
      <c r="B20" s="262" t="s">
        <v>8131</v>
      </c>
      <c r="D20" s="263" t="s">
        <v>3869</v>
      </c>
      <c r="E20" s="9" t="s">
        <v>8132</v>
      </c>
      <c r="F20" s="9" t="s">
        <v>8031</v>
      </c>
      <c r="G20" s="9" t="s">
        <v>2922</v>
      </c>
      <c r="H20" s="10" t="s">
        <v>4017</v>
      </c>
      <c r="I20" s="10" t="s">
        <v>4018</v>
      </c>
      <c r="J20" s="10" t="s">
        <v>4019</v>
      </c>
      <c r="K20" s="10" t="s">
        <v>44</v>
      </c>
      <c r="L20" s="10">
        <v>9833815269</v>
      </c>
      <c r="M20" s="9">
        <v>9930105570</v>
      </c>
      <c r="N20" s="10">
        <v>9833815269</v>
      </c>
      <c r="O20" s="338" t="s">
        <v>4022</v>
      </c>
      <c r="P20" s="339" t="s">
        <v>4021</v>
      </c>
      <c r="Q20" s="339" t="s">
        <v>47</v>
      </c>
      <c r="R20" s="5" t="s">
        <v>1406</v>
      </c>
      <c r="S20" s="5" t="s">
        <v>49</v>
      </c>
      <c r="T20" s="5" t="s">
        <v>7444</v>
      </c>
      <c r="U20" s="5" t="s">
        <v>7445</v>
      </c>
      <c r="V20" s="4" t="s">
        <v>4015</v>
      </c>
      <c r="W20" s="4" t="s">
        <v>4016</v>
      </c>
      <c r="X20" s="273" t="s">
        <v>8133</v>
      </c>
      <c r="Y20" s="272" t="s">
        <v>8134</v>
      </c>
      <c r="Z20" s="275"/>
      <c r="AA20" s="275"/>
      <c r="AB20" s="272"/>
      <c r="AC20" s="272"/>
      <c r="AD20" s="272"/>
      <c r="AE20" s="272"/>
      <c r="AF20" s="272"/>
      <c r="AG20" s="272"/>
      <c r="AH20" s="272"/>
      <c r="AI20" s="272"/>
      <c r="AJ20" s="272"/>
      <c r="AK20" s="342"/>
      <c r="AL20" s="342"/>
      <c r="AM20" s="342"/>
    </row>
    <row r="21" spans="1:39" ht="21" customHeight="1">
      <c r="A21" s="2">
        <v>351</v>
      </c>
      <c r="B21" s="262" t="s">
        <v>8135</v>
      </c>
      <c r="D21" s="263" t="s">
        <v>3869</v>
      </c>
      <c r="E21" s="9" t="s">
        <v>8136</v>
      </c>
      <c r="F21" s="9" t="s">
        <v>8031</v>
      </c>
      <c r="G21" s="9" t="s">
        <v>2922</v>
      </c>
      <c r="H21" s="267" t="s">
        <v>8137</v>
      </c>
      <c r="I21" s="267" t="s">
        <v>4028</v>
      </c>
      <c r="J21" s="267" t="s">
        <v>8138</v>
      </c>
      <c r="K21" s="10" t="s">
        <v>44</v>
      </c>
      <c r="L21" s="267">
        <v>9987006880</v>
      </c>
      <c r="M21" s="9" t="s">
        <v>44</v>
      </c>
      <c r="N21" s="267">
        <v>9987006880</v>
      </c>
      <c r="O21" s="10" t="s">
        <v>44</v>
      </c>
      <c r="P21" s="341" t="s">
        <v>8139</v>
      </c>
      <c r="Q21" s="339" t="s">
        <v>47</v>
      </c>
      <c r="R21" s="5" t="s">
        <v>1406</v>
      </c>
      <c r="S21" s="5" t="s">
        <v>49</v>
      </c>
      <c r="T21" s="5" t="s">
        <v>7444</v>
      </c>
      <c r="U21" s="5" t="s">
        <v>7445</v>
      </c>
      <c r="V21" s="4" t="s">
        <v>4025</v>
      </c>
      <c r="W21" s="4" t="s">
        <v>4026</v>
      </c>
      <c r="X21" s="275"/>
      <c r="Y21" s="275"/>
      <c r="Z21" s="275"/>
      <c r="AA21" s="275"/>
      <c r="AB21" s="272" t="s">
        <v>8140</v>
      </c>
      <c r="AC21" s="103" t="s">
        <v>6342</v>
      </c>
      <c r="AD21" s="272" t="s">
        <v>8141</v>
      </c>
      <c r="AE21" s="103" t="s">
        <v>6344</v>
      </c>
      <c r="AF21" s="272" t="s">
        <v>8142</v>
      </c>
      <c r="AG21" s="103" t="s">
        <v>6346</v>
      </c>
      <c r="AH21" s="272"/>
      <c r="AI21" s="103"/>
      <c r="AJ21" s="275"/>
      <c r="AK21" s="178"/>
      <c r="AL21" s="178"/>
      <c r="AM21" s="178"/>
    </row>
    <row r="22" spans="1:39" ht="19.5" customHeight="1">
      <c r="A22" s="2">
        <v>352</v>
      </c>
      <c r="B22" s="262" t="s">
        <v>8143</v>
      </c>
      <c r="D22" s="263" t="s">
        <v>3869</v>
      </c>
      <c r="E22" s="9" t="s">
        <v>8144</v>
      </c>
      <c r="F22" s="9" t="s">
        <v>8031</v>
      </c>
      <c r="G22" s="9" t="s">
        <v>2922</v>
      </c>
      <c r="H22" s="10" t="s">
        <v>8145</v>
      </c>
      <c r="I22" s="10" t="s">
        <v>4037</v>
      </c>
      <c r="J22" s="10" t="s">
        <v>8146</v>
      </c>
      <c r="K22" s="10" t="s">
        <v>44</v>
      </c>
      <c r="L22" s="343" t="s">
        <v>8147</v>
      </c>
      <c r="M22" s="9" t="s">
        <v>44</v>
      </c>
      <c r="N22" s="343" t="s">
        <v>8147</v>
      </c>
      <c r="O22" s="10" t="s">
        <v>44</v>
      </c>
      <c r="P22" s="339" t="s">
        <v>8148</v>
      </c>
      <c r="Q22" s="339" t="s">
        <v>47</v>
      </c>
      <c r="R22" s="5" t="s">
        <v>1406</v>
      </c>
      <c r="S22" s="5" t="s">
        <v>49</v>
      </c>
      <c r="T22" s="5" t="s">
        <v>7444</v>
      </c>
      <c r="U22" s="5" t="s">
        <v>7445</v>
      </c>
      <c r="V22" s="4" t="s">
        <v>4034</v>
      </c>
      <c r="W22" s="4" t="s">
        <v>4035</v>
      </c>
      <c r="X22" s="272" t="s">
        <v>8149</v>
      </c>
      <c r="Y22" s="272" t="s">
        <v>8145</v>
      </c>
      <c r="Z22" s="275"/>
      <c r="AA22" s="275"/>
      <c r="AB22" s="272" t="s">
        <v>8150</v>
      </c>
      <c r="AC22" s="103" t="s">
        <v>6349</v>
      </c>
      <c r="AD22" s="272" t="s">
        <v>6350</v>
      </c>
      <c r="AE22" s="103" t="s">
        <v>6351</v>
      </c>
      <c r="AF22" s="272" t="s">
        <v>6352</v>
      </c>
      <c r="AG22" s="103" t="s">
        <v>6353</v>
      </c>
      <c r="AH22" s="272" t="s">
        <v>8151</v>
      </c>
      <c r="AI22" s="103" t="s">
        <v>6355</v>
      </c>
      <c r="AJ22" s="272" t="s">
        <v>8152</v>
      </c>
      <c r="AK22" s="103" t="s">
        <v>6357</v>
      </c>
      <c r="AL22" s="103"/>
      <c r="AM22" s="103"/>
    </row>
    <row r="23" spans="1:39" ht="13.8">
      <c r="A23" s="2">
        <v>353</v>
      </c>
      <c r="B23" s="262" t="s">
        <v>8153</v>
      </c>
      <c r="D23" s="263" t="s">
        <v>3869</v>
      </c>
      <c r="E23" s="9" t="s">
        <v>8154</v>
      </c>
      <c r="F23" s="9" t="s">
        <v>8031</v>
      </c>
      <c r="G23" s="9" t="s">
        <v>2922</v>
      </c>
      <c r="H23" s="267" t="s">
        <v>4045</v>
      </c>
      <c r="I23" s="267" t="s">
        <v>4046</v>
      </c>
      <c r="J23" s="267" t="s">
        <v>4047</v>
      </c>
      <c r="K23" s="10" t="s">
        <v>44</v>
      </c>
      <c r="L23" s="267">
        <v>9029074739</v>
      </c>
      <c r="M23" s="9" t="s">
        <v>44</v>
      </c>
      <c r="N23" s="267">
        <v>9029074739</v>
      </c>
      <c r="O23" s="10" t="s">
        <v>44</v>
      </c>
      <c r="P23" s="341" t="s">
        <v>4049</v>
      </c>
      <c r="Q23" s="339" t="s">
        <v>47</v>
      </c>
      <c r="R23" s="5" t="s">
        <v>1406</v>
      </c>
      <c r="S23" s="5" t="s">
        <v>49</v>
      </c>
      <c r="T23" s="5" t="s">
        <v>7444</v>
      </c>
      <c r="U23" s="5" t="s">
        <v>7445</v>
      </c>
      <c r="V23" s="4" t="s">
        <v>4043</v>
      </c>
      <c r="W23" s="4" t="s">
        <v>4044</v>
      </c>
      <c r="X23" s="273" t="s">
        <v>8155</v>
      </c>
      <c r="Y23" s="275"/>
      <c r="Z23" s="273" t="s">
        <v>8156</v>
      </c>
      <c r="AA23" s="275"/>
      <c r="AB23" s="272"/>
      <c r="AC23" s="272"/>
      <c r="AD23" s="272"/>
      <c r="AE23" s="272"/>
      <c r="AF23" s="272"/>
      <c r="AG23" s="272"/>
      <c r="AH23" s="272"/>
      <c r="AI23" s="272"/>
      <c r="AJ23" s="275"/>
      <c r="AK23" s="178"/>
      <c r="AL23" s="178"/>
      <c r="AM23" s="178"/>
    </row>
    <row r="24" spans="1:39" ht="13.8">
      <c r="A24" s="2">
        <v>354</v>
      </c>
      <c r="B24" s="262" t="s">
        <v>8157</v>
      </c>
      <c r="D24" s="263" t="s">
        <v>3869</v>
      </c>
      <c r="E24" s="9" t="s">
        <v>8158</v>
      </c>
      <c r="F24" s="9" t="s">
        <v>8031</v>
      </c>
      <c r="G24" s="9" t="s">
        <v>2922</v>
      </c>
      <c r="H24" s="10" t="s">
        <v>4054</v>
      </c>
      <c r="I24" s="10" t="s">
        <v>4055</v>
      </c>
      <c r="J24" s="10" t="s">
        <v>4056</v>
      </c>
      <c r="K24" s="10" t="s">
        <v>44</v>
      </c>
      <c r="L24" s="10" t="s">
        <v>8159</v>
      </c>
      <c r="M24" s="9" t="s">
        <v>44</v>
      </c>
      <c r="N24" s="10" t="s">
        <v>8159</v>
      </c>
      <c r="O24" s="338" t="s">
        <v>4059</v>
      </c>
      <c r="P24" s="339" t="s">
        <v>4058</v>
      </c>
      <c r="Q24" s="339" t="s">
        <v>47</v>
      </c>
      <c r="R24" s="5" t="s">
        <v>1406</v>
      </c>
      <c r="S24" s="5" t="s">
        <v>49</v>
      </c>
      <c r="T24" s="5" t="s">
        <v>7444</v>
      </c>
      <c r="U24" s="5" t="s">
        <v>7445</v>
      </c>
      <c r="V24" s="4" t="s">
        <v>4052</v>
      </c>
      <c r="W24" s="4" t="s">
        <v>4053</v>
      </c>
      <c r="X24" s="273" t="s">
        <v>8160</v>
      </c>
      <c r="Y24" s="273" t="s">
        <v>8161</v>
      </c>
      <c r="Z24" s="273" t="s">
        <v>8162</v>
      </c>
      <c r="AA24" s="273" t="s">
        <v>8163</v>
      </c>
      <c r="AB24" s="272"/>
      <c r="AC24" s="272"/>
      <c r="AD24" s="272"/>
      <c r="AE24" s="272"/>
      <c r="AF24" s="272"/>
      <c r="AG24" s="272"/>
      <c r="AH24" s="275"/>
      <c r="AI24" s="275"/>
      <c r="AJ24" s="275"/>
      <c r="AK24" s="178"/>
      <c r="AL24" s="178"/>
      <c r="AM24" s="178"/>
    </row>
    <row r="25" spans="1:39" ht="20.25" customHeight="1">
      <c r="A25" s="2">
        <v>355</v>
      </c>
      <c r="B25" s="262" t="s">
        <v>8164</v>
      </c>
      <c r="D25" s="263" t="s">
        <v>3869</v>
      </c>
      <c r="E25" s="9" t="s">
        <v>8165</v>
      </c>
      <c r="F25" s="9" t="s">
        <v>8031</v>
      </c>
      <c r="G25" s="9" t="s">
        <v>2922</v>
      </c>
      <c r="H25" s="267" t="s">
        <v>4063</v>
      </c>
      <c r="I25" s="267" t="s">
        <v>4064</v>
      </c>
      <c r="J25" s="267" t="s">
        <v>8166</v>
      </c>
      <c r="K25" s="10" t="s">
        <v>44</v>
      </c>
      <c r="L25" s="267">
        <v>9820176230</v>
      </c>
      <c r="M25" s="9" t="s">
        <v>44</v>
      </c>
      <c r="N25" s="267">
        <v>9820176230</v>
      </c>
      <c r="O25" s="340" t="s">
        <v>3963</v>
      </c>
      <c r="P25" s="341" t="s">
        <v>8167</v>
      </c>
      <c r="Q25" s="339" t="s">
        <v>47</v>
      </c>
      <c r="R25" s="5" t="s">
        <v>1406</v>
      </c>
      <c r="S25" s="5" t="s">
        <v>49</v>
      </c>
      <c r="T25" s="5" t="s">
        <v>7444</v>
      </c>
      <c r="U25" s="5" t="s">
        <v>7445</v>
      </c>
      <c r="V25" s="4" t="s">
        <v>4062</v>
      </c>
      <c r="W25" s="4" t="s">
        <v>3957</v>
      </c>
      <c r="X25" s="273" t="s">
        <v>8104</v>
      </c>
      <c r="Y25" s="275"/>
      <c r="Z25" s="275"/>
      <c r="AA25" s="275"/>
      <c r="AB25" s="272" t="s">
        <v>6359</v>
      </c>
      <c r="AC25" s="103" t="s">
        <v>6360</v>
      </c>
      <c r="AD25" s="272" t="s">
        <v>6361</v>
      </c>
      <c r="AE25" s="103" t="s">
        <v>6362</v>
      </c>
      <c r="AF25" s="272" t="s">
        <v>8168</v>
      </c>
      <c r="AG25" s="103" t="s">
        <v>6364</v>
      </c>
      <c r="AH25" s="272"/>
      <c r="AI25" s="272"/>
      <c r="AJ25" s="272"/>
      <c r="AK25" s="342"/>
      <c r="AL25" s="342"/>
      <c r="AM25" s="342"/>
    </row>
    <row r="26" spans="1:39" ht="19.5" customHeight="1">
      <c r="A26" s="2">
        <v>356</v>
      </c>
      <c r="B26" s="262" t="s">
        <v>8169</v>
      </c>
      <c r="D26" s="263" t="s">
        <v>3869</v>
      </c>
      <c r="E26" s="264" t="s">
        <v>8170</v>
      </c>
      <c r="F26" s="9" t="s">
        <v>8031</v>
      </c>
      <c r="G26" s="9" t="s">
        <v>2922</v>
      </c>
      <c r="H26" s="265" t="s">
        <v>8171</v>
      </c>
      <c r="I26" s="11" t="s">
        <v>4072</v>
      </c>
      <c r="J26" s="11" t="s">
        <v>4073</v>
      </c>
      <c r="K26" s="10" t="s">
        <v>44</v>
      </c>
      <c r="L26" s="10">
        <v>9821260586</v>
      </c>
      <c r="M26" s="9" t="s">
        <v>44</v>
      </c>
      <c r="N26" s="10">
        <v>9821260586</v>
      </c>
      <c r="O26" s="10" t="s">
        <v>44</v>
      </c>
      <c r="P26" s="339" t="s">
        <v>4074</v>
      </c>
      <c r="Q26" s="339" t="s">
        <v>47</v>
      </c>
      <c r="R26" s="5" t="s">
        <v>1406</v>
      </c>
      <c r="S26" s="5" t="s">
        <v>49</v>
      </c>
      <c r="T26" s="5" t="s">
        <v>7444</v>
      </c>
      <c r="U26" s="5" t="s">
        <v>7445</v>
      </c>
      <c r="V26" s="4" t="s">
        <v>71</v>
      </c>
      <c r="W26" s="4" t="s">
        <v>4070</v>
      </c>
      <c r="X26" s="4"/>
      <c r="Y26" s="4"/>
    </row>
    <row r="27" spans="1:39" ht="21.75" customHeight="1">
      <c r="A27" s="2">
        <v>357</v>
      </c>
      <c r="B27" s="262" t="s">
        <v>8172</v>
      </c>
      <c r="D27" s="263" t="s">
        <v>3869</v>
      </c>
      <c r="E27" s="264" t="s">
        <v>8173</v>
      </c>
      <c r="F27" s="9" t="s">
        <v>8031</v>
      </c>
      <c r="G27" s="9" t="s">
        <v>2922</v>
      </c>
      <c r="H27" s="345" t="s">
        <v>4078</v>
      </c>
      <c r="I27" s="265" t="s">
        <v>8174</v>
      </c>
      <c r="J27" s="279" t="s">
        <v>4080</v>
      </c>
      <c r="K27" s="10" t="s">
        <v>44</v>
      </c>
      <c r="L27" s="267">
        <v>9320053632</v>
      </c>
      <c r="M27" s="9" t="s">
        <v>44</v>
      </c>
      <c r="N27" s="267">
        <v>9320053632</v>
      </c>
      <c r="O27" s="10" t="s">
        <v>44</v>
      </c>
      <c r="P27" s="341" t="s">
        <v>4081</v>
      </c>
      <c r="Q27" s="339" t="s">
        <v>47</v>
      </c>
      <c r="R27" s="5" t="s">
        <v>1406</v>
      </c>
      <c r="S27" s="5" t="s">
        <v>49</v>
      </c>
      <c r="T27" s="5" t="s">
        <v>7444</v>
      </c>
      <c r="U27" s="5" t="s">
        <v>7445</v>
      </c>
      <c r="V27" s="4" t="s">
        <v>71</v>
      </c>
      <c r="W27" s="4" t="s">
        <v>4077</v>
      </c>
      <c r="X27" s="4"/>
      <c r="Y27" s="4"/>
    </row>
    <row r="28" spans="1:39" ht="18.75" customHeight="1">
      <c r="A28" s="2">
        <v>358</v>
      </c>
      <c r="B28" s="262" t="s">
        <v>8175</v>
      </c>
      <c r="D28" s="263" t="s">
        <v>3869</v>
      </c>
      <c r="E28" s="264" t="s">
        <v>8176</v>
      </c>
      <c r="F28" s="9" t="s">
        <v>8031</v>
      </c>
      <c r="G28" s="9" t="s">
        <v>2922</v>
      </c>
      <c r="H28" s="11" t="s">
        <v>4085</v>
      </c>
      <c r="I28" s="265" t="s">
        <v>8177</v>
      </c>
      <c r="J28" s="11" t="s">
        <v>4087</v>
      </c>
      <c r="K28" s="10" t="s">
        <v>44</v>
      </c>
      <c r="L28" s="10">
        <v>9322236151</v>
      </c>
      <c r="M28" s="9">
        <v>9653287841</v>
      </c>
      <c r="N28" s="10">
        <v>9322236151</v>
      </c>
      <c r="O28" s="10" t="s">
        <v>44</v>
      </c>
      <c r="P28" s="339" t="s">
        <v>4088</v>
      </c>
      <c r="Q28" s="339" t="s">
        <v>47</v>
      </c>
      <c r="R28" s="5" t="s">
        <v>1406</v>
      </c>
      <c r="S28" s="5" t="s">
        <v>49</v>
      </c>
      <c r="T28" s="5" t="s">
        <v>7444</v>
      </c>
      <c r="U28" s="5" t="s">
        <v>7445</v>
      </c>
      <c r="V28" s="4" t="s">
        <v>71</v>
      </c>
      <c r="W28" s="4" t="s">
        <v>4084</v>
      </c>
      <c r="X28" s="4"/>
      <c r="Y28" s="4"/>
    </row>
    <row r="29" spans="1:39" ht="15.6">
      <c r="A29" s="2">
        <v>359</v>
      </c>
      <c r="B29" s="262" t="s">
        <v>8178</v>
      </c>
      <c r="D29" s="263" t="s">
        <v>3869</v>
      </c>
      <c r="E29" s="264" t="s">
        <v>8179</v>
      </c>
      <c r="F29" s="9" t="s">
        <v>8031</v>
      </c>
      <c r="G29" s="9" t="s">
        <v>2922</v>
      </c>
      <c r="H29" s="279" t="s">
        <v>4092</v>
      </c>
      <c r="I29" s="265" t="s">
        <v>8180</v>
      </c>
      <c r="J29" s="279" t="s">
        <v>4094</v>
      </c>
      <c r="K29" s="10" t="s">
        <v>44</v>
      </c>
      <c r="L29" s="267">
        <v>9869061087</v>
      </c>
      <c r="M29" s="9" t="s">
        <v>44</v>
      </c>
      <c r="N29" s="267">
        <v>9869061087</v>
      </c>
      <c r="O29" s="10" t="s">
        <v>44</v>
      </c>
      <c r="P29" s="269"/>
      <c r="Q29" s="339" t="s">
        <v>47</v>
      </c>
      <c r="R29" s="5" t="s">
        <v>1406</v>
      </c>
      <c r="S29" s="5" t="s">
        <v>49</v>
      </c>
      <c r="T29" s="5" t="s">
        <v>7444</v>
      </c>
      <c r="U29" s="5" t="s">
        <v>7445</v>
      </c>
      <c r="V29" s="4" t="s">
        <v>71</v>
      </c>
      <c r="W29" s="4" t="s">
        <v>4091</v>
      </c>
      <c r="X29" s="4"/>
      <c r="Y29" s="4"/>
    </row>
    <row r="30" spans="1:39" ht="18.75" customHeight="1">
      <c r="A30" s="2">
        <v>360</v>
      </c>
      <c r="B30" s="262" t="s">
        <v>8181</v>
      </c>
      <c r="D30" s="263" t="s">
        <v>3869</v>
      </c>
      <c r="E30" s="264" t="s">
        <v>8182</v>
      </c>
      <c r="F30" s="9" t="s">
        <v>8031</v>
      </c>
      <c r="G30" s="9" t="s">
        <v>2922</v>
      </c>
      <c r="H30" s="11" t="s">
        <v>4098</v>
      </c>
      <c r="I30" s="265" t="s">
        <v>8183</v>
      </c>
      <c r="J30" s="11" t="s">
        <v>4100</v>
      </c>
      <c r="K30" s="10" t="s">
        <v>44</v>
      </c>
      <c r="L30" s="10">
        <v>9869305269</v>
      </c>
      <c r="M30" s="9" t="s">
        <v>44</v>
      </c>
      <c r="N30" s="10">
        <v>9869305269</v>
      </c>
      <c r="O30" s="10" t="s">
        <v>44</v>
      </c>
      <c r="P30" s="339" t="s">
        <v>4101</v>
      </c>
      <c r="Q30" s="339" t="s">
        <v>47</v>
      </c>
      <c r="R30" s="5" t="s">
        <v>1406</v>
      </c>
      <c r="S30" s="5" t="s">
        <v>49</v>
      </c>
      <c r="T30" s="5" t="s">
        <v>7444</v>
      </c>
      <c r="U30" s="5" t="s">
        <v>7445</v>
      </c>
      <c r="V30" s="4" t="s">
        <v>71</v>
      </c>
      <c r="W30" s="4" t="s">
        <v>4097</v>
      </c>
      <c r="X30" s="4"/>
      <c r="Y30" s="4"/>
    </row>
    <row r="31" spans="1:39" ht="18.75" customHeight="1">
      <c r="A31" s="2">
        <v>361</v>
      </c>
      <c r="B31" s="262" t="s">
        <v>8184</v>
      </c>
      <c r="D31" s="263" t="s">
        <v>3869</v>
      </c>
      <c r="E31" s="264" t="s">
        <v>8185</v>
      </c>
      <c r="F31" s="9" t="s">
        <v>8031</v>
      </c>
      <c r="G31" s="9" t="s">
        <v>2922</v>
      </c>
      <c r="H31" s="279" t="s">
        <v>4105</v>
      </c>
      <c r="I31" s="265" t="s">
        <v>8186</v>
      </c>
      <c r="J31" s="279" t="s">
        <v>4107</v>
      </c>
      <c r="K31" s="10" t="s">
        <v>44</v>
      </c>
      <c r="L31" s="267">
        <v>9892441818</v>
      </c>
      <c r="M31" s="9" t="s">
        <v>44</v>
      </c>
      <c r="N31" s="267">
        <v>9892441818</v>
      </c>
      <c r="O31" s="10" t="s">
        <v>44</v>
      </c>
      <c r="P31" s="341" t="s">
        <v>4108</v>
      </c>
      <c r="Q31" s="339" t="s">
        <v>47</v>
      </c>
      <c r="R31" s="5" t="s">
        <v>1406</v>
      </c>
      <c r="S31" s="5" t="s">
        <v>49</v>
      </c>
      <c r="T31" s="5" t="s">
        <v>7444</v>
      </c>
      <c r="U31" s="5" t="s">
        <v>7445</v>
      </c>
      <c r="V31" s="4" t="s">
        <v>71</v>
      </c>
      <c r="W31" s="4" t="s">
        <v>4104</v>
      </c>
      <c r="X31" s="4"/>
      <c r="Y31" s="4"/>
    </row>
    <row r="32" spans="1:39" ht="19.5" customHeight="1">
      <c r="A32" s="2">
        <v>362</v>
      </c>
      <c r="B32" s="262" t="s">
        <v>8187</v>
      </c>
      <c r="D32" s="263" t="s">
        <v>3869</v>
      </c>
      <c r="E32" s="264" t="s">
        <v>8188</v>
      </c>
      <c r="F32" s="9" t="s">
        <v>8031</v>
      </c>
      <c r="G32" s="9" t="s">
        <v>2922</v>
      </c>
      <c r="H32" s="11" t="s">
        <v>4112</v>
      </c>
      <c r="I32" s="265" t="s">
        <v>8189</v>
      </c>
      <c r="J32" s="11" t="s">
        <v>4114</v>
      </c>
      <c r="K32" s="10" t="s">
        <v>44</v>
      </c>
      <c r="L32" s="10">
        <v>8169780935</v>
      </c>
      <c r="M32" s="9" t="s">
        <v>44</v>
      </c>
      <c r="N32" s="10">
        <v>8169780935</v>
      </c>
      <c r="O32" s="10" t="s">
        <v>44</v>
      </c>
      <c r="P32" s="339" t="s">
        <v>4115</v>
      </c>
      <c r="Q32" s="339" t="s">
        <v>47</v>
      </c>
      <c r="R32" s="5" t="s">
        <v>1406</v>
      </c>
      <c r="S32" s="5" t="s">
        <v>49</v>
      </c>
      <c r="T32" s="5" t="s">
        <v>7444</v>
      </c>
      <c r="U32" s="5" t="s">
        <v>7445</v>
      </c>
      <c r="V32" s="4" t="s">
        <v>71</v>
      </c>
      <c r="W32" s="4" t="s">
        <v>4111</v>
      </c>
      <c r="X32" s="4"/>
      <c r="Y32" s="4"/>
    </row>
    <row r="33" spans="1:27" ht="20.25" customHeight="1">
      <c r="A33" s="2">
        <v>363</v>
      </c>
      <c r="B33" s="262" t="s">
        <v>8190</v>
      </c>
      <c r="D33" s="263" t="s">
        <v>3869</v>
      </c>
      <c r="E33" s="264" t="s">
        <v>8191</v>
      </c>
      <c r="F33" s="9" t="s">
        <v>8031</v>
      </c>
      <c r="G33" s="9" t="s">
        <v>2922</v>
      </c>
      <c r="H33" s="279" t="s">
        <v>4119</v>
      </c>
      <c r="I33" s="265" t="s">
        <v>8192</v>
      </c>
      <c r="J33" s="279" t="s">
        <v>4121</v>
      </c>
      <c r="K33" s="10" t="s">
        <v>44</v>
      </c>
      <c r="L33" s="267">
        <v>9987171736</v>
      </c>
      <c r="M33" s="9" t="s">
        <v>44</v>
      </c>
      <c r="N33" s="267">
        <v>9987171736</v>
      </c>
      <c r="O33" s="10" t="s">
        <v>44</v>
      </c>
      <c r="P33" s="341" t="s">
        <v>4122</v>
      </c>
      <c r="Q33" s="339" t="s">
        <v>47</v>
      </c>
      <c r="R33" s="5" t="s">
        <v>1406</v>
      </c>
      <c r="S33" s="5" t="s">
        <v>49</v>
      </c>
      <c r="T33" s="5" t="s">
        <v>7444</v>
      </c>
      <c r="U33" s="5" t="s">
        <v>7445</v>
      </c>
      <c r="V33" s="4" t="s">
        <v>71</v>
      </c>
      <c r="W33" s="4" t="s">
        <v>4118</v>
      </c>
      <c r="X33" s="4"/>
      <c r="Y33" s="4"/>
    </row>
    <row r="34" spans="1:27" ht="19.5" customHeight="1">
      <c r="A34" s="2">
        <v>364</v>
      </c>
      <c r="B34" s="262" t="s">
        <v>8193</v>
      </c>
      <c r="D34" s="263" t="s">
        <v>3869</v>
      </c>
      <c r="E34" s="264" t="s">
        <v>8194</v>
      </c>
      <c r="F34" s="9" t="s">
        <v>8031</v>
      </c>
      <c r="G34" s="9" t="s">
        <v>2922</v>
      </c>
      <c r="H34" s="11" t="s">
        <v>4126</v>
      </c>
      <c r="I34" s="265" t="s">
        <v>8195</v>
      </c>
      <c r="J34" s="11" t="s">
        <v>4128</v>
      </c>
      <c r="K34" s="10" t="s">
        <v>44</v>
      </c>
      <c r="L34" s="10">
        <v>9892988369</v>
      </c>
      <c r="M34" s="9" t="s">
        <v>44</v>
      </c>
      <c r="N34" s="10">
        <v>9892988369</v>
      </c>
      <c r="O34" s="10" t="s">
        <v>44</v>
      </c>
      <c r="P34" s="339" t="s">
        <v>4129</v>
      </c>
      <c r="Q34" s="339" t="s">
        <v>47</v>
      </c>
      <c r="R34" s="5" t="s">
        <v>1406</v>
      </c>
      <c r="S34" s="5" t="s">
        <v>49</v>
      </c>
      <c r="T34" s="5" t="s">
        <v>7444</v>
      </c>
      <c r="U34" s="5" t="s">
        <v>7445</v>
      </c>
      <c r="V34" s="4" t="s">
        <v>71</v>
      </c>
      <c r="W34" s="4" t="s">
        <v>4125</v>
      </c>
      <c r="X34" s="4"/>
      <c r="Y34" s="4"/>
    </row>
    <row r="35" spans="1:27" ht="22.5" customHeight="1">
      <c r="A35" s="2">
        <v>365</v>
      </c>
      <c r="B35" s="262" t="s">
        <v>8196</v>
      </c>
      <c r="D35" s="263" t="s">
        <v>3869</v>
      </c>
      <c r="E35" s="264" t="s">
        <v>8197</v>
      </c>
      <c r="F35" s="9" t="s">
        <v>8031</v>
      </c>
      <c r="G35" s="9" t="s">
        <v>2922</v>
      </c>
      <c r="H35" s="279" t="s">
        <v>4134</v>
      </c>
      <c r="I35" s="279" t="s">
        <v>4135</v>
      </c>
      <c r="J35" s="279" t="s">
        <v>4136</v>
      </c>
      <c r="K35" s="10" t="s">
        <v>44</v>
      </c>
      <c r="L35" s="267">
        <v>9913553605</v>
      </c>
      <c r="M35" s="9" t="s">
        <v>44</v>
      </c>
      <c r="N35" s="267">
        <v>9913553605</v>
      </c>
      <c r="O35" s="10" t="s">
        <v>44</v>
      </c>
      <c r="P35" s="341" t="s">
        <v>4138</v>
      </c>
      <c r="Q35" s="339" t="s">
        <v>47</v>
      </c>
      <c r="R35" s="5" t="s">
        <v>1406</v>
      </c>
      <c r="S35" s="5" t="s">
        <v>49</v>
      </c>
      <c r="T35" s="5" t="s">
        <v>7444</v>
      </c>
      <c r="U35" s="5" t="s">
        <v>7445</v>
      </c>
      <c r="V35" s="4" t="s">
        <v>4132</v>
      </c>
      <c r="W35" s="4" t="s">
        <v>4133</v>
      </c>
      <c r="X35" s="4"/>
      <c r="Y35" s="4"/>
    </row>
    <row r="36" spans="1:27" ht="20.25" customHeight="1">
      <c r="A36" s="2">
        <v>366</v>
      </c>
      <c r="B36" s="262" t="s">
        <v>8198</v>
      </c>
      <c r="D36" s="263" t="s">
        <v>3869</v>
      </c>
      <c r="E36" s="264" t="s">
        <v>8199</v>
      </c>
      <c r="F36" s="9" t="s">
        <v>8031</v>
      </c>
      <c r="G36" s="9" t="s">
        <v>2922</v>
      </c>
      <c r="H36" s="11" t="s">
        <v>4142</v>
      </c>
      <c r="I36" s="265" t="s">
        <v>8200</v>
      </c>
      <c r="J36" s="11" t="s">
        <v>4144</v>
      </c>
      <c r="K36" s="10" t="s">
        <v>44</v>
      </c>
      <c r="L36" s="10">
        <v>9326065636</v>
      </c>
      <c r="M36" s="9" t="s">
        <v>44</v>
      </c>
      <c r="N36" s="10">
        <v>9326065636</v>
      </c>
      <c r="O36" s="10" t="s">
        <v>44</v>
      </c>
      <c r="P36" s="339" t="s">
        <v>4145</v>
      </c>
      <c r="Q36" s="339" t="s">
        <v>47</v>
      </c>
      <c r="R36" s="5" t="s">
        <v>1406</v>
      </c>
      <c r="S36" s="5" t="s">
        <v>49</v>
      </c>
      <c r="T36" s="5" t="s">
        <v>7444</v>
      </c>
      <c r="U36" s="5" t="s">
        <v>7445</v>
      </c>
      <c r="V36" s="4" t="s">
        <v>71</v>
      </c>
      <c r="W36" s="4" t="s">
        <v>4141</v>
      </c>
      <c r="X36" s="199" t="s">
        <v>8201</v>
      </c>
      <c r="Y36" s="176"/>
    </row>
    <row r="37" spans="1:27" ht="18.75" customHeight="1">
      <c r="A37" s="2">
        <v>367</v>
      </c>
      <c r="B37" s="262" t="s">
        <v>8202</v>
      </c>
      <c r="D37" s="263" t="s">
        <v>3869</v>
      </c>
      <c r="E37" s="264" t="s">
        <v>8203</v>
      </c>
      <c r="F37" s="9" t="s">
        <v>8031</v>
      </c>
      <c r="G37" s="9" t="s">
        <v>2922</v>
      </c>
      <c r="H37" s="279" t="s">
        <v>4149</v>
      </c>
      <c r="I37" s="265" t="s">
        <v>8204</v>
      </c>
      <c r="J37" s="279" t="s">
        <v>4151</v>
      </c>
      <c r="K37" s="10" t="s">
        <v>44</v>
      </c>
      <c r="L37" s="267">
        <v>8928256074</v>
      </c>
      <c r="M37" s="9" t="s">
        <v>44</v>
      </c>
      <c r="N37" s="267">
        <v>8928256074</v>
      </c>
      <c r="O37" s="10" t="s">
        <v>44</v>
      </c>
      <c r="P37" s="341" t="s">
        <v>4152</v>
      </c>
      <c r="Q37" s="339" t="s">
        <v>47</v>
      </c>
      <c r="R37" s="5" t="s">
        <v>1406</v>
      </c>
      <c r="S37" s="5" t="s">
        <v>49</v>
      </c>
      <c r="T37" s="5" t="s">
        <v>7444</v>
      </c>
      <c r="U37" s="5" t="s">
        <v>7445</v>
      </c>
      <c r="V37" s="4" t="s">
        <v>71</v>
      </c>
      <c r="W37" s="4" t="s">
        <v>4148</v>
      </c>
      <c r="X37" s="4"/>
      <c r="Y37" s="4"/>
    </row>
    <row r="38" spans="1:27" ht="21.75" customHeight="1">
      <c r="A38" s="2">
        <v>368</v>
      </c>
      <c r="B38" s="262" t="s">
        <v>8205</v>
      </c>
      <c r="D38" s="263" t="s">
        <v>3869</v>
      </c>
      <c r="E38" s="264" t="s">
        <v>8206</v>
      </c>
      <c r="F38" s="9" t="s">
        <v>8031</v>
      </c>
      <c r="G38" s="9" t="s">
        <v>2922</v>
      </c>
      <c r="H38" s="11" t="s">
        <v>4156</v>
      </c>
      <c r="I38" s="265" t="s">
        <v>8207</v>
      </c>
      <c r="J38" s="11" t="s">
        <v>4158</v>
      </c>
      <c r="K38" s="10" t="s">
        <v>44</v>
      </c>
      <c r="L38" s="10">
        <v>8452825740</v>
      </c>
      <c r="M38" s="9" t="s">
        <v>44</v>
      </c>
      <c r="N38" s="10">
        <v>8452825740</v>
      </c>
      <c r="O38" s="10" t="s">
        <v>44</v>
      </c>
      <c r="P38" s="339" t="s">
        <v>4159</v>
      </c>
      <c r="Q38" s="339" t="s">
        <v>47</v>
      </c>
      <c r="R38" s="5" t="s">
        <v>1406</v>
      </c>
      <c r="S38" s="5" t="s">
        <v>49</v>
      </c>
      <c r="T38" s="5" t="s">
        <v>7444</v>
      </c>
      <c r="U38" s="5" t="s">
        <v>7445</v>
      </c>
      <c r="V38" s="4" t="s">
        <v>71</v>
      </c>
      <c r="W38" s="4" t="s">
        <v>4155</v>
      </c>
      <c r="X38" s="4"/>
      <c r="Y38" s="4"/>
    </row>
    <row r="39" spans="1:27" ht="21" customHeight="1">
      <c r="A39" s="2">
        <v>369</v>
      </c>
      <c r="B39" s="262" t="s">
        <v>8208</v>
      </c>
      <c r="D39" s="263" t="s">
        <v>3869</v>
      </c>
      <c r="E39" s="264" t="s">
        <v>8209</v>
      </c>
      <c r="F39" s="9" t="s">
        <v>8031</v>
      </c>
      <c r="G39" s="9" t="s">
        <v>2922</v>
      </c>
      <c r="H39" s="279" t="s">
        <v>4162</v>
      </c>
      <c r="I39" s="265" t="s">
        <v>8210</v>
      </c>
      <c r="J39" s="279" t="s">
        <v>4164</v>
      </c>
      <c r="K39" s="10" t="s">
        <v>44</v>
      </c>
      <c r="L39" s="267">
        <v>9920520211</v>
      </c>
      <c r="M39" s="9" t="s">
        <v>44</v>
      </c>
      <c r="N39" s="267">
        <v>9920520211</v>
      </c>
      <c r="O39" s="10" t="s">
        <v>44</v>
      </c>
      <c r="P39" s="341" t="s">
        <v>4165</v>
      </c>
      <c r="Q39" s="339" t="s">
        <v>47</v>
      </c>
      <c r="R39" s="5" t="s">
        <v>1406</v>
      </c>
      <c r="S39" s="5" t="s">
        <v>49</v>
      </c>
      <c r="T39" s="5" t="s">
        <v>7444</v>
      </c>
      <c r="U39" s="5" t="s">
        <v>7445</v>
      </c>
      <c r="V39" s="4" t="s">
        <v>71</v>
      </c>
      <c r="W39" s="4" t="s">
        <v>4161</v>
      </c>
      <c r="X39" s="4"/>
      <c r="Y39" s="4"/>
      <c r="AA39" s="273"/>
    </row>
    <row r="40" spans="1:27" ht="15.6">
      <c r="A40" s="2">
        <v>370</v>
      </c>
      <c r="B40" s="262" t="s">
        <v>8211</v>
      </c>
      <c r="D40" s="263" t="s">
        <v>3869</v>
      </c>
      <c r="E40" s="264" t="s">
        <v>8212</v>
      </c>
      <c r="F40" s="9" t="s">
        <v>8031</v>
      </c>
      <c r="G40" s="9" t="s">
        <v>2922</v>
      </c>
      <c r="H40" s="11" t="s">
        <v>4170</v>
      </c>
      <c r="I40" s="265" t="s">
        <v>8213</v>
      </c>
      <c r="J40" s="10" t="s">
        <v>8214</v>
      </c>
      <c r="K40" s="10" t="s">
        <v>44</v>
      </c>
      <c r="L40" s="10">
        <v>9987012368</v>
      </c>
      <c r="M40" s="9" t="s">
        <v>44</v>
      </c>
      <c r="N40" s="10">
        <v>9987012368</v>
      </c>
      <c r="O40" s="10" t="s">
        <v>44</v>
      </c>
      <c r="P40" s="9"/>
      <c r="Q40" s="339" t="s">
        <v>47</v>
      </c>
      <c r="R40" s="5" t="s">
        <v>1406</v>
      </c>
      <c r="S40" s="5" t="s">
        <v>49</v>
      </c>
      <c r="T40" s="5" t="s">
        <v>7444</v>
      </c>
      <c r="U40" s="5" t="s">
        <v>7445</v>
      </c>
      <c r="V40" s="4" t="s">
        <v>4168</v>
      </c>
      <c r="W40" s="4" t="s">
        <v>4169</v>
      </c>
      <c r="X40" s="273" t="s">
        <v>8215</v>
      </c>
      <c r="Y40" s="273" t="s">
        <v>8216</v>
      </c>
      <c r="Z40" s="273" t="s">
        <v>8217</v>
      </c>
      <c r="AA40" s="176"/>
    </row>
    <row r="41" spans="1:27" ht="22.5" customHeight="1">
      <c r="A41" s="2">
        <v>371</v>
      </c>
      <c r="B41" s="262" t="s">
        <v>8218</v>
      </c>
      <c r="D41" s="263" t="s">
        <v>3869</v>
      </c>
      <c r="E41" s="264" t="s">
        <v>8219</v>
      </c>
      <c r="F41" s="9" t="s">
        <v>8031</v>
      </c>
      <c r="G41" s="9" t="s">
        <v>2922</v>
      </c>
      <c r="H41" s="279" t="s">
        <v>4180</v>
      </c>
      <c r="I41" s="265" t="s">
        <v>8220</v>
      </c>
      <c r="J41" s="279" t="s">
        <v>4182</v>
      </c>
      <c r="K41" s="10" t="s">
        <v>44</v>
      </c>
      <c r="L41" s="267">
        <v>9829621721</v>
      </c>
      <c r="M41" s="9" t="s">
        <v>44</v>
      </c>
      <c r="N41" s="267">
        <v>9829621721</v>
      </c>
      <c r="O41" s="10" t="s">
        <v>44</v>
      </c>
      <c r="P41" s="341" t="s">
        <v>4184</v>
      </c>
      <c r="Q41" s="339" t="s">
        <v>47</v>
      </c>
      <c r="R41" s="5" t="s">
        <v>1406</v>
      </c>
      <c r="S41" s="5" t="s">
        <v>49</v>
      </c>
      <c r="T41" s="5" t="s">
        <v>7444</v>
      </c>
      <c r="U41" s="5" t="s">
        <v>7445</v>
      </c>
      <c r="V41" s="4" t="s">
        <v>4178</v>
      </c>
      <c r="W41" s="4" t="s">
        <v>4179</v>
      </c>
      <c r="X41" s="199" t="s">
        <v>8221</v>
      </c>
      <c r="Y41" s="176"/>
    </row>
    <row r="42" spans="1:27" ht="18.75" customHeight="1">
      <c r="A42" s="2">
        <v>372</v>
      </c>
      <c r="B42" s="262" t="s">
        <v>8222</v>
      </c>
      <c r="D42" s="263" t="s">
        <v>3869</v>
      </c>
      <c r="E42" s="264" t="s">
        <v>8223</v>
      </c>
      <c r="F42" s="9" t="s">
        <v>8031</v>
      </c>
      <c r="G42" s="9" t="s">
        <v>2922</v>
      </c>
      <c r="H42" s="11" t="s">
        <v>4189</v>
      </c>
      <c r="I42" s="265" t="s">
        <v>8224</v>
      </c>
      <c r="J42" s="11" t="s">
        <v>4191</v>
      </c>
      <c r="K42" s="10" t="s">
        <v>44</v>
      </c>
      <c r="L42" s="10">
        <v>8169833371</v>
      </c>
      <c r="M42" s="9" t="s">
        <v>44</v>
      </c>
      <c r="N42" s="10">
        <v>8169833371</v>
      </c>
      <c r="O42" s="10" t="s">
        <v>44</v>
      </c>
      <c r="P42" s="339" t="s">
        <v>4192</v>
      </c>
      <c r="Q42" s="339" t="s">
        <v>47</v>
      </c>
      <c r="R42" s="5" t="s">
        <v>1406</v>
      </c>
      <c r="S42" s="5" t="s">
        <v>49</v>
      </c>
      <c r="T42" s="5" t="s">
        <v>7444</v>
      </c>
      <c r="U42" s="5" t="s">
        <v>7445</v>
      </c>
      <c r="V42" s="4" t="s">
        <v>71</v>
      </c>
      <c r="W42" s="4" t="s">
        <v>4188</v>
      </c>
      <c r="X42" s="4"/>
      <c r="Y42" s="4"/>
    </row>
    <row r="43" spans="1:27" ht="15.6">
      <c r="A43" s="2">
        <v>373</v>
      </c>
      <c r="B43" s="262" t="s">
        <v>8225</v>
      </c>
      <c r="D43" s="263" t="s">
        <v>3869</v>
      </c>
      <c r="E43" s="264" t="s">
        <v>8226</v>
      </c>
      <c r="F43" s="9" t="s">
        <v>8031</v>
      </c>
      <c r="G43" s="9" t="s">
        <v>2922</v>
      </c>
      <c r="H43" s="278" t="s">
        <v>4196</v>
      </c>
      <c r="I43" s="279" t="s">
        <v>4197</v>
      </c>
      <c r="J43" s="278" t="s">
        <v>4198</v>
      </c>
      <c r="K43" s="10" t="s">
        <v>44</v>
      </c>
      <c r="L43" s="267">
        <v>7977409471</v>
      </c>
      <c r="M43" s="9" t="s">
        <v>44</v>
      </c>
      <c r="N43" s="267">
        <v>7977409471</v>
      </c>
      <c r="O43" s="10" t="s">
        <v>44</v>
      </c>
      <c r="P43" s="269"/>
      <c r="Q43" s="339" t="s">
        <v>47</v>
      </c>
      <c r="R43" s="5" t="s">
        <v>1406</v>
      </c>
      <c r="S43" s="5" t="s">
        <v>49</v>
      </c>
      <c r="T43" s="5" t="s">
        <v>7444</v>
      </c>
      <c r="U43" s="5" t="s">
        <v>7445</v>
      </c>
      <c r="V43" s="4" t="s">
        <v>71</v>
      </c>
      <c r="W43" s="4" t="s">
        <v>4195</v>
      </c>
      <c r="X43" s="4"/>
      <c r="Y43" s="4"/>
    </row>
    <row r="44" spans="1:27" ht="15.6">
      <c r="A44" s="2">
        <v>374</v>
      </c>
      <c r="B44" s="262" t="s">
        <v>8227</v>
      </c>
      <c r="D44" s="263" t="s">
        <v>3869</v>
      </c>
      <c r="E44" s="264" t="s">
        <v>8228</v>
      </c>
      <c r="F44" s="9" t="s">
        <v>8031</v>
      </c>
      <c r="G44" s="9" t="s">
        <v>2922</v>
      </c>
      <c r="H44" s="11" t="s">
        <v>4202</v>
      </c>
      <c r="I44" s="265" t="s">
        <v>8229</v>
      </c>
      <c r="J44" s="11" t="s">
        <v>4204</v>
      </c>
      <c r="K44" s="10" t="s">
        <v>44</v>
      </c>
      <c r="L44" s="10">
        <v>8104322402</v>
      </c>
      <c r="M44" s="9">
        <v>9096917776</v>
      </c>
      <c r="N44" s="10">
        <v>8104322402</v>
      </c>
      <c r="O44" s="10" t="s">
        <v>44</v>
      </c>
      <c r="P44" s="9"/>
      <c r="Q44" s="339" t="s">
        <v>47</v>
      </c>
      <c r="R44" s="5" t="s">
        <v>1406</v>
      </c>
      <c r="S44" s="5" t="s">
        <v>49</v>
      </c>
      <c r="T44" s="5" t="s">
        <v>7444</v>
      </c>
      <c r="U44" s="5" t="s">
        <v>7445</v>
      </c>
      <c r="V44" s="4" t="s">
        <v>71</v>
      </c>
      <c r="W44" s="4" t="s">
        <v>4201</v>
      </c>
      <c r="X44" s="4"/>
      <c r="Y44" s="4"/>
    </row>
    <row r="45" spans="1:27" ht="22.5" customHeight="1">
      <c r="A45" s="2">
        <v>375</v>
      </c>
      <c r="B45" s="262" t="s">
        <v>8230</v>
      </c>
      <c r="D45" s="263" t="s">
        <v>3869</v>
      </c>
      <c r="E45" s="264" t="s">
        <v>8231</v>
      </c>
      <c r="F45" s="9" t="s">
        <v>8031</v>
      </c>
      <c r="G45" s="9" t="s">
        <v>2922</v>
      </c>
      <c r="H45" s="279" t="s">
        <v>4208</v>
      </c>
      <c r="I45" s="265" t="s">
        <v>8232</v>
      </c>
      <c r="J45" s="279" t="s">
        <v>4210</v>
      </c>
      <c r="K45" s="10" t="s">
        <v>44</v>
      </c>
      <c r="L45" s="267">
        <v>9920053727</v>
      </c>
      <c r="M45" s="9" t="s">
        <v>44</v>
      </c>
      <c r="N45" s="267">
        <v>9920053727</v>
      </c>
      <c r="O45" s="10" t="s">
        <v>44</v>
      </c>
      <c r="P45" s="341" t="s">
        <v>4211</v>
      </c>
      <c r="Q45" s="339" t="s">
        <v>47</v>
      </c>
      <c r="R45" s="5" t="s">
        <v>1406</v>
      </c>
      <c r="S45" s="5" t="s">
        <v>49</v>
      </c>
      <c r="T45" s="5" t="s">
        <v>7444</v>
      </c>
      <c r="U45" s="5" t="s">
        <v>7445</v>
      </c>
      <c r="V45" s="4" t="s">
        <v>71</v>
      </c>
      <c r="W45" s="4" t="s">
        <v>4207</v>
      </c>
      <c r="X45" s="4"/>
      <c r="Y45" s="4"/>
    </row>
    <row r="46" spans="1:27" ht="24" customHeight="1">
      <c r="A46" s="2">
        <v>376</v>
      </c>
      <c r="B46" s="262" t="s">
        <v>8233</v>
      </c>
      <c r="D46" s="263" t="s">
        <v>3869</v>
      </c>
      <c r="E46" s="264" t="s">
        <v>8234</v>
      </c>
      <c r="F46" s="9" t="s">
        <v>8031</v>
      </c>
      <c r="G46" s="9" t="s">
        <v>2922</v>
      </c>
      <c r="H46" s="11" t="s">
        <v>4215</v>
      </c>
      <c r="I46" s="265" t="s">
        <v>8235</v>
      </c>
      <c r="J46" s="11" t="s">
        <v>4217</v>
      </c>
      <c r="K46" s="10" t="s">
        <v>44</v>
      </c>
      <c r="L46" s="10">
        <v>8928697921</v>
      </c>
      <c r="M46" s="9" t="s">
        <v>44</v>
      </c>
      <c r="N46" s="10">
        <v>8928697921</v>
      </c>
      <c r="O46" s="10" t="s">
        <v>44</v>
      </c>
      <c r="P46" s="339" t="s">
        <v>8236</v>
      </c>
      <c r="Q46" s="339" t="s">
        <v>47</v>
      </c>
      <c r="R46" s="5" t="s">
        <v>1406</v>
      </c>
      <c r="S46" s="5" t="s">
        <v>49</v>
      </c>
      <c r="T46" s="5" t="s">
        <v>7444</v>
      </c>
      <c r="U46" s="5" t="s">
        <v>7445</v>
      </c>
      <c r="V46" s="4" t="s">
        <v>71</v>
      </c>
      <c r="W46" s="4" t="s">
        <v>4214</v>
      </c>
      <c r="X46" s="4"/>
      <c r="Y46" s="4"/>
    </row>
    <row r="47" spans="1:27" ht="21.75" customHeight="1">
      <c r="A47" s="2">
        <v>377</v>
      </c>
      <c r="B47" s="262" t="s">
        <v>8237</v>
      </c>
      <c r="D47" s="263" t="s">
        <v>3869</v>
      </c>
      <c r="E47" s="264" t="s">
        <v>8238</v>
      </c>
      <c r="F47" s="9" t="s">
        <v>8031</v>
      </c>
      <c r="G47" s="9" t="s">
        <v>2922</v>
      </c>
      <c r="H47" s="279" t="s">
        <v>4222</v>
      </c>
      <c r="I47" s="265" t="s">
        <v>8239</v>
      </c>
      <c r="J47" s="279" t="s">
        <v>4224</v>
      </c>
      <c r="K47" s="10" t="s">
        <v>44</v>
      </c>
      <c r="L47" s="267">
        <v>9820673302</v>
      </c>
      <c r="M47" s="9" t="s">
        <v>44</v>
      </c>
      <c r="N47" s="267">
        <v>9820673302</v>
      </c>
      <c r="O47" s="10" t="s">
        <v>44</v>
      </c>
      <c r="P47" s="341" t="s">
        <v>4225</v>
      </c>
      <c r="Q47" s="339" t="s">
        <v>47</v>
      </c>
      <c r="R47" s="5" t="s">
        <v>1406</v>
      </c>
      <c r="S47" s="5" t="s">
        <v>49</v>
      </c>
      <c r="T47" s="5" t="s">
        <v>7444</v>
      </c>
      <c r="U47" s="5" t="s">
        <v>7445</v>
      </c>
      <c r="V47" s="4" t="s">
        <v>71</v>
      </c>
      <c r="W47" s="4" t="s">
        <v>4221</v>
      </c>
      <c r="X47" s="4"/>
      <c r="Y47" s="4"/>
    </row>
    <row r="48" spans="1:27" ht="22.5" customHeight="1">
      <c r="A48" s="2">
        <v>378</v>
      </c>
      <c r="B48" s="262" t="s">
        <v>8240</v>
      </c>
      <c r="D48" s="263" t="s">
        <v>3869</v>
      </c>
      <c r="E48" s="264" t="s">
        <v>8241</v>
      </c>
      <c r="F48" s="9" t="s">
        <v>8031</v>
      </c>
      <c r="G48" s="9" t="s">
        <v>2922</v>
      </c>
      <c r="H48" s="11" t="s">
        <v>4229</v>
      </c>
      <c r="I48" s="265" t="s">
        <v>8242</v>
      </c>
      <c r="J48" s="11" t="s">
        <v>4231</v>
      </c>
      <c r="K48" s="10" t="s">
        <v>44</v>
      </c>
      <c r="L48" s="10">
        <v>9769906048</v>
      </c>
      <c r="M48" s="9" t="s">
        <v>44</v>
      </c>
      <c r="N48" s="10">
        <v>9769906048</v>
      </c>
      <c r="O48" s="10" t="s">
        <v>44</v>
      </c>
      <c r="P48" s="339" t="s">
        <v>4232</v>
      </c>
      <c r="Q48" s="339" t="s">
        <v>47</v>
      </c>
      <c r="R48" s="5" t="s">
        <v>1406</v>
      </c>
      <c r="S48" s="5" t="s">
        <v>49</v>
      </c>
      <c r="T48" s="5" t="s">
        <v>7444</v>
      </c>
      <c r="U48" s="5" t="s">
        <v>7445</v>
      </c>
      <c r="V48" s="4" t="s">
        <v>71</v>
      </c>
      <c r="W48" s="4" t="s">
        <v>4228</v>
      </c>
      <c r="X48" s="4"/>
      <c r="Y48" s="4"/>
    </row>
    <row r="49" spans="1:37" ht="24" customHeight="1">
      <c r="A49" s="2">
        <v>379</v>
      </c>
      <c r="B49" s="262" t="s">
        <v>8243</v>
      </c>
      <c r="D49" s="263" t="s">
        <v>3869</v>
      </c>
      <c r="E49" s="264" t="s">
        <v>8244</v>
      </c>
      <c r="F49" s="9" t="s">
        <v>8031</v>
      </c>
      <c r="G49" s="9" t="s">
        <v>2922</v>
      </c>
      <c r="H49" s="279" t="s">
        <v>4235</v>
      </c>
      <c r="I49" s="265" t="s">
        <v>8245</v>
      </c>
      <c r="J49" s="279" t="s">
        <v>4237</v>
      </c>
      <c r="K49" s="10" t="s">
        <v>44</v>
      </c>
      <c r="L49" s="267">
        <v>9224462625</v>
      </c>
      <c r="M49" s="9" t="s">
        <v>44</v>
      </c>
      <c r="N49" s="267">
        <v>9224462625</v>
      </c>
      <c r="O49" s="10" t="s">
        <v>44</v>
      </c>
      <c r="P49" s="341" t="s">
        <v>4238</v>
      </c>
      <c r="Q49" s="339" t="s">
        <v>47</v>
      </c>
      <c r="R49" s="5" t="s">
        <v>1406</v>
      </c>
      <c r="S49" s="5" t="s">
        <v>49</v>
      </c>
      <c r="T49" s="5" t="s">
        <v>7444</v>
      </c>
      <c r="U49" s="5" t="s">
        <v>7445</v>
      </c>
      <c r="V49" s="4" t="s">
        <v>71</v>
      </c>
      <c r="W49" s="4" t="s">
        <v>4234</v>
      </c>
      <c r="X49" s="4"/>
      <c r="Y49" s="4"/>
    </row>
    <row r="50" spans="1:37" ht="18" customHeight="1">
      <c r="A50" s="2">
        <v>380</v>
      </c>
      <c r="B50" s="262" t="s">
        <v>8246</v>
      </c>
      <c r="D50" s="263" t="s">
        <v>3869</v>
      </c>
      <c r="E50" s="264" t="s">
        <v>8247</v>
      </c>
      <c r="F50" s="9" t="s">
        <v>8031</v>
      </c>
      <c r="G50" s="9" t="s">
        <v>2922</v>
      </c>
      <c r="H50" s="11" t="s">
        <v>4242</v>
      </c>
      <c r="I50" s="265" t="s">
        <v>8248</v>
      </c>
      <c r="J50" s="11" t="s">
        <v>4244</v>
      </c>
      <c r="K50" s="10" t="s">
        <v>44</v>
      </c>
      <c r="L50" s="10">
        <v>9820074221</v>
      </c>
      <c r="M50" s="9" t="s">
        <v>44</v>
      </c>
      <c r="N50" s="10">
        <v>9820074221</v>
      </c>
      <c r="O50" s="10" t="s">
        <v>44</v>
      </c>
      <c r="P50" s="339" t="s">
        <v>4245</v>
      </c>
      <c r="Q50" s="339" t="s">
        <v>47</v>
      </c>
      <c r="R50" s="5" t="s">
        <v>1406</v>
      </c>
      <c r="S50" s="5" t="s">
        <v>49</v>
      </c>
      <c r="T50" s="5" t="s">
        <v>7444</v>
      </c>
      <c r="U50" s="5" t="s">
        <v>7445</v>
      </c>
      <c r="V50" s="4" t="s">
        <v>71</v>
      </c>
      <c r="W50" s="4" t="s">
        <v>4241</v>
      </c>
      <c r="X50" s="4"/>
      <c r="Y50" s="4"/>
    </row>
    <row r="51" spans="1:37" ht="23.25" customHeight="1">
      <c r="A51" s="2">
        <v>381</v>
      </c>
      <c r="B51" s="262" t="s">
        <v>8249</v>
      </c>
      <c r="D51" s="263" t="s">
        <v>3869</v>
      </c>
      <c r="E51" s="264" t="s">
        <v>8250</v>
      </c>
      <c r="F51" s="9" t="s">
        <v>8031</v>
      </c>
      <c r="G51" s="9" t="s">
        <v>2922</v>
      </c>
      <c r="H51" s="279" t="s">
        <v>4250</v>
      </c>
      <c r="I51" s="265" t="s">
        <v>8251</v>
      </c>
      <c r="J51" s="279" t="s">
        <v>4252</v>
      </c>
      <c r="K51" s="10" t="s">
        <v>44</v>
      </c>
      <c r="L51" s="267">
        <v>9820291104</v>
      </c>
      <c r="M51" s="9" t="s">
        <v>44</v>
      </c>
      <c r="N51" s="267">
        <v>9820291104</v>
      </c>
      <c r="O51" s="10" t="s">
        <v>44</v>
      </c>
      <c r="P51" s="341" t="s">
        <v>4254</v>
      </c>
      <c r="Q51" s="339" t="s">
        <v>47</v>
      </c>
      <c r="R51" s="5" t="s">
        <v>1406</v>
      </c>
      <c r="S51" s="5" t="s">
        <v>49</v>
      </c>
      <c r="T51" s="5" t="s">
        <v>7444</v>
      </c>
      <c r="U51" s="5" t="s">
        <v>7445</v>
      </c>
      <c r="V51" s="4" t="s">
        <v>4248</v>
      </c>
      <c r="W51" s="4" t="s">
        <v>4249</v>
      </c>
      <c r="X51" s="103"/>
      <c r="Y51" s="176"/>
      <c r="Z51" s="176"/>
      <c r="AA51" s="103"/>
      <c r="AB51" s="176" t="s">
        <v>6373</v>
      </c>
      <c r="AC51" s="103" t="s">
        <v>6374</v>
      </c>
      <c r="AD51" s="176" t="s">
        <v>8252</v>
      </c>
      <c r="AE51" s="103" t="s">
        <v>6376</v>
      </c>
      <c r="AF51" s="176" t="s">
        <v>6377</v>
      </c>
      <c r="AG51" s="103" t="s">
        <v>6378</v>
      </c>
      <c r="AH51" s="176" t="s">
        <v>6379</v>
      </c>
      <c r="AI51" s="103" t="s">
        <v>6380</v>
      </c>
      <c r="AJ51" s="176" t="s">
        <v>6381</v>
      </c>
      <c r="AK51" s="103" t="s">
        <v>6382</v>
      </c>
    </row>
    <row r="52" spans="1:37" ht="23.25" customHeight="1">
      <c r="A52" s="2">
        <v>382</v>
      </c>
      <c r="B52" s="262" t="s">
        <v>8253</v>
      </c>
      <c r="D52" s="263" t="s">
        <v>3869</v>
      </c>
      <c r="E52" s="264" t="s">
        <v>8254</v>
      </c>
      <c r="F52" s="9" t="s">
        <v>8031</v>
      </c>
      <c r="G52" s="9" t="s">
        <v>2922</v>
      </c>
      <c r="H52" s="11" t="s">
        <v>4259</v>
      </c>
      <c r="I52" s="265" t="s">
        <v>8255</v>
      </c>
      <c r="J52" s="11" t="s">
        <v>4261</v>
      </c>
      <c r="K52" s="10" t="s">
        <v>44</v>
      </c>
      <c r="L52" s="10">
        <v>9820222401</v>
      </c>
      <c r="M52" s="9" t="s">
        <v>44</v>
      </c>
      <c r="N52" s="10">
        <v>9820222401</v>
      </c>
      <c r="O52" s="10" t="s">
        <v>44</v>
      </c>
      <c r="P52" s="339" t="s">
        <v>4263</v>
      </c>
      <c r="Q52" s="339" t="s">
        <v>47</v>
      </c>
      <c r="R52" s="5" t="s">
        <v>1406</v>
      </c>
      <c r="S52" s="5" t="s">
        <v>49</v>
      </c>
      <c r="T52" s="5" t="s">
        <v>7444</v>
      </c>
      <c r="U52" s="5" t="s">
        <v>7445</v>
      </c>
      <c r="V52" s="4" t="s">
        <v>71</v>
      </c>
      <c r="W52" s="4" t="s">
        <v>4258</v>
      </c>
      <c r="X52" s="103"/>
      <c r="Y52" s="176"/>
      <c r="Z52" s="176"/>
      <c r="AA52" s="103"/>
      <c r="AB52" s="176" t="s">
        <v>6384</v>
      </c>
      <c r="AC52" s="103" t="s">
        <v>6385</v>
      </c>
      <c r="AD52" s="176" t="s">
        <v>6386</v>
      </c>
      <c r="AE52" s="103" t="s">
        <v>6387</v>
      </c>
      <c r="AF52" s="176" t="s">
        <v>6388</v>
      </c>
      <c r="AG52" s="103" t="s">
        <v>6389</v>
      </c>
      <c r="AH52" s="176" t="s">
        <v>6390</v>
      </c>
      <c r="AI52" s="103" t="s">
        <v>6391</v>
      </c>
      <c r="AJ52" s="176" t="s">
        <v>6392</v>
      </c>
      <c r="AK52" s="103" t="s">
        <v>6393</v>
      </c>
    </row>
    <row r="53" spans="1:37" ht="22.5" customHeight="1">
      <c r="A53" s="2">
        <v>383</v>
      </c>
      <c r="B53" s="262" t="s">
        <v>8256</v>
      </c>
      <c r="D53" s="263" t="s">
        <v>3869</v>
      </c>
      <c r="E53" s="264" t="s">
        <v>8257</v>
      </c>
      <c r="F53" s="9" t="s">
        <v>8031</v>
      </c>
      <c r="G53" s="9" t="s">
        <v>2922</v>
      </c>
      <c r="H53" s="278" t="s">
        <v>4268</v>
      </c>
      <c r="I53" s="277" t="s">
        <v>8258</v>
      </c>
      <c r="J53" s="267" t="s">
        <v>4019</v>
      </c>
      <c r="K53" s="10" t="s">
        <v>44</v>
      </c>
      <c r="L53" s="267">
        <v>9930699995</v>
      </c>
      <c r="M53" s="9" t="s">
        <v>44</v>
      </c>
      <c r="N53" s="267">
        <v>9930699995</v>
      </c>
      <c r="O53" s="10" t="s">
        <v>44</v>
      </c>
      <c r="P53" s="341" t="s">
        <v>4271</v>
      </c>
      <c r="Q53" s="339" t="s">
        <v>47</v>
      </c>
      <c r="R53" s="5" t="s">
        <v>1406</v>
      </c>
      <c r="S53" s="5" t="s">
        <v>49</v>
      </c>
      <c r="T53" s="5" t="s">
        <v>7444</v>
      </c>
      <c r="U53" s="5" t="s">
        <v>7445</v>
      </c>
      <c r="V53" s="4" t="s">
        <v>4266</v>
      </c>
      <c r="W53" s="4" t="s">
        <v>4267</v>
      </c>
      <c r="X53" s="273" t="s">
        <v>8259</v>
      </c>
      <c r="Y53" s="273"/>
      <c r="AB53" s="4"/>
      <c r="AC53" s="4"/>
      <c r="AF53" s="2"/>
      <c r="AG53" s="2"/>
    </row>
    <row r="54" spans="1:37" ht="24" customHeight="1">
      <c r="A54" s="2">
        <v>384</v>
      </c>
      <c r="B54" s="262" t="s">
        <v>8260</v>
      </c>
      <c r="D54" s="263" t="s">
        <v>3869</v>
      </c>
      <c r="E54" s="264" t="s">
        <v>8261</v>
      </c>
      <c r="F54" s="9" t="s">
        <v>8031</v>
      </c>
      <c r="G54" s="9" t="s">
        <v>2922</v>
      </c>
      <c r="H54" s="110" t="s">
        <v>4275</v>
      </c>
      <c r="I54" s="277" t="s">
        <v>8262</v>
      </c>
      <c r="J54" s="110" t="s">
        <v>4277</v>
      </c>
      <c r="K54" s="10" t="s">
        <v>44</v>
      </c>
      <c r="L54" s="10">
        <v>9619911226</v>
      </c>
      <c r="M54" s="9" t="s">
        <v>44</v>
      </c>
      <c r="N54" s="10">
        <v>9619911226</v>
      </c>
      <c r="O54" s="10" t="s">
        <v>44</v>
      </c>
      <c r="P54" s="339" t="s">
        <v>4278</v>
      </c>
      <c r="Q54" s="339" t="s">
        <v>47</v>
      </c>
      <c r="R54" s="5" t="s">
        <v>1406</v>
      </c>
      <c r="S54" s="5" t="s">
        <v>49</v>
      </c>
      <c r="T54" s="5" t="s">
        <v>7444</v>
      </c>
      <c r="U54" s="5" t="s">
        <v>7445</v>
      </c>
      <c r="V54" s="4" t="s">
        <v>71</v>
      </c>
      <c r="W54" s="4" t="s">
        <v>4274</v>
      </c>
      <c r="X54" s="4"/>
      <c r="Y54" s="4"/>
      <c r="AB54" s="4"/>
      <c r="AC54" s="4"/>
      <c r="AF54" s="2"/>
      <c r="AG54" s="2"/>
    </row>
    <row r="55" spans="1:37" ht="20.25" customHeight="1">
      <c r="A55" s="2">
        <v>385</v>
      </c>
      <c r="B55" s="262" t="s">
        <v>8263</v>
      </c>
      <c r="D55" s="263" t="s">
        <v>3869</v>
      </c>
      <c r="E55" s="264" t="s">
        <v>8264</v>
      </c>
      <c r="F55" s="9" t="s">
        <v>8031</v>
      </c>
      <c r="G55" s="9" t="s">
        <v>2922</v>
      </c>
      <c r="H55" s="278" t="s">
        <v>4282</v>
      </c>
      <c r="I55" s="277" t="s">
        <v>8265</v>
      </c>
      <c r="J55" s="278" t="s">
        <v>4284</v>
      </c>
      <c r="K55" s="10" t="s">
        <v>44</v>
      </c>
      <c r="L55" s="267">
        <v>9833222872</v>
      </c>
      <c r="M55" s="9" t="s">
        <v>44</v>
      </c>
      <c r="N55" s="267">
        <v>9833222872</v>
      </c>
      <c r="O55" s="10" t="s">
        <v>44</v>
      </c>
      <c r="P55" s="341" t="s">
        <v>4285</v>
      </c>
      <c r="Q55" s="339" t="s">
        <v>47</v>
      </c>
      <c r="R55" s="5" t="s">
        <v>1406</v>
      </c>
      <c r="S55" s="5" t="s">
        <v>49</v>
      </c>
      <c r="T55" s="5" t="s">
        <v>7444</v>
      </c>
      <c r="U55" s="5" t="s">
        <v>7445</v>
      </c>
      <c r="V55" s="4" t="s">
        <v>71</v>
      </c>
      <c r="W55" s="4" t="s">
        <v>4281</v>
      </c>
      <c r="X55" s="4"/>
      <c r="Y55" s="289"/>
      <c r="AB55" s="4"/>
      <c r="AC55" s="4"/>
      <c r="AF55" s="2"/>
      <c r="AG55" s="2"/>
    </row>
    <row r="56" spans="1:37" ht="16.8">
      <c r="A56" s="2">
        <v>386</v>
      </c>
      <c r="B56" s="262" t="s">
        <v>8266</v>
      </c>
      <c r="D56" s="263" t="s">
        <v>3869</v>
      </c>
      <c r="E56" s="281" t="s">
        <v>8267</v>
      </c>
      <c r="F56" s="9" t="s">
        <v>8031</v>
      </c>
      <c r="G56" s="9" t="s">
        <v>2922</v>
      </c>
      <c r="H56" s="282" t="s">
        <v>4290</v>
      </c>
      <c r="I56" s="282" t="s">
        <v>8268</v>
      </c>
      <c r="J56" s="282" t="s">
        <v>4292</v>
      </c>
      <c r="K56" s="10" t="s">
        <v>44</v>
      </c>
      <c r="L56" s="10">
        <v>9820089713</v>
      </c>
      <c r="M56" s="9">
        <v>9820089798</v>
      </c>
      <c r="N56" s="10">
        <v>9820089713</v>
      </c>
      <c r="O56" s="338" t="s">
        <v>4295</v>
      </c>
      <c r="P56" s="10" t="s">
        <v>44</v>
      </c>
      <c r="Q56" s="339" t="s">
        <v>47</v>
      </c>
      <c r="R56" s="5" t="s">
        <v>1406</v>
      </c>
      <c r="S56" s="5" t="s">
        <v>49</v>
      </c>
      <c r="T56" s="5" t="s">
        <v>7444</v>
      </c>
      <c r="U56" s="5" t="s">
        <v>7445</v>
      </c>
      <c r="V56" s="4" t="s">
        <v>4288</v>
      </c>
      <c r="W56" s="4" t="s">
        <v>4289</v>
      </c>
      <c r="X56" s="4"/>
      <c r="Y56" s="346"/>
      <c r="AB56" s="4"/>
      <c r="AC56" s="4"/>
      <c r="AF56" s="2"/>
      <c r="AG56" s="2"/>
    </row>
    <row r="57" spans="1:37" ht="13.8">
      <c r="A57" s="2">
        <v>387</v>
      </c>
      <c r="B57" s="262" t="s">
        <v>8269</v>
      </c>
      <c r="D57" s="263" t="s">
        <v>3869</v>
      </c>
      <c r="E57" s="276" t="s">
        <v>8270</v>
      </c>
      <c r="F57" s="9" t="s">
        <v>8031</v>
      </c>
      <c r="G57" s="9" t="s">
        <v>2922</v>
      </c>
      <c r="H57" s="277" t="s">
        <v>4300</v>
      </c>
      <c r="I57" s="345" t="s">
        <v>4301</v>
      </c>
      <c r="J57" s="277" t="s">
        <v>4302</v>
      </c>
      <c r="K57" s="10" t="s">
        <v>44</v>
      </c>
      <c r="L57" s="267">
        <v>9920307373</v>
      </c>
      <c r="M57" s="269">
        <v>9653432438</v>
      </c>
      <c r="N57" s="267">
        <v>9920307373</v>
      </c>
      <c r="O57" s="10" t="s">
        <v>44</v>
      </c>
      <c r="P57" s="10" t="s">
        <v>44</v>
      </c>
      <c r="Q57" s="339" t="s">
        <v>47</v>
      </c>
      <c r="R57" s="5" t="s">
        <v>1406</v>
      </c>
      <c r="S57" s="5" t="s">
        <v>49</v>
      </c>
      <c r="T57" s="5" t="s">
        <v>7444</v>
      </c>
      <c r="U57" s="5" t="s">
        <v>7445</v>
      </c>
      <c r="V57" s="4" t="s">
        <v>4298</v>
      </c>
      <c r="W57" s="4" t="s">
        <v>4299</v>
      </c>
      <c r="X57" s="289" t="s">
        <v>8271</v>
      </c>
      <c r="Y57" s="289" t="s">
        <v>8272</v>
      </c>
      <c r="Z57" s="176"/>
      <c r="AA57" s="103"/>
      <c r="AB57" s="176" t="s">
        <v>6395</v>
      </c>
      <c r="AC57" s="103" t="s">
        <v>6396</v>
      </c>
      <c r="AD57" s="176" t="s">
        <v>6397</v>
      </c>
      <c r="AE57" s="103" t="s">
        <v>6398</v>
      </c>
      <c r="AF57" s="176" t="s">
        <v>6399</v>
      </c>
      <c r="AG57" s="103" t="s">
        <v>6400</v>
      </c>
      <c r="AH57" s="176" t="s">
        <v>6401</v>
      </c>
      <c r="AI57" s="103" t="s">
        <v>6402</v>
      </c>
      <c r="AJ57" s="176" t="s">
        <v>6403</v>
      </c>
      <c r="AK57" s="103" t="s">
        <v>6404</v>
      </c>
    </row>
    <row r="58" spans="1:37" ht="13.8">
      <c r="A58" s="2">
        <v>388</v>
      </c>
      <c r="B58" s="262" t="s">
        <v>8273</v>
      </c>
      <c r="D58" s="263" t="s">
        <v>3869</v>
      </c>
      <c r="E58" s="276" t="s">
        <v>8274</v>
      </c>
      <c r="F58" s="9" t="s">
        <v>8031</v>
      </c>
      <c r="G58" s="9" t="s">
        <v>2922</v>
      </c>
      <c r="H58" s="277" t="s">
        <v>4309</v>
      </c>
      <c r="I58" s="10" t="s">
        <v>4310</v>
      </c>
      <c r="J58" s="277" t="s">
        <v>4311</v>
      </c>
      <c r="K58" s="10" t="s">
        <v>44</v>
      </c>
      <c r="L58" s="10">
        <v>7710881457</v>
      </c>
      <c r="M58" s="9">
        <v>9820947140</v>
      </c>
      <c r="N58" s="10">
        <v>7710881457</v>
      </c>
      <c r="O58" s="338" t="s">
        <v>4314</v>
      </c>
      <c r="P58" s="10" t="s">
        <v>44</v>
      </c>
      <c r="Q58" s="339" t="s">
        <v>47</v>
      </c>
      <c r="R58" s="5" t="s">
        <v>1406</v>
      </c>
      <c r="S58" s="5" t="s">
        <v>49</v>
      </c>
      <c r="T58" s="5" t="s">
        <v>7444</v>
      </c>
      <c r="U58" s="5" t="s">
        <v>7445</v>
      </c>
      <c r="V58" s="4" t="s">
        <v>4307</v>
      </c>
      <c r="W58" s="4" t="s">
        <v>4308</v>
      </c>
      <c r="X58" s="346" t="s">
        <v>8275</v>
      </c>
      <c r="Y58" s="346" t="s">
        <v>8276</v>
      </c>
      <c r="Z58" s="346" t="s">
        <v>8277</v>
      </c>
      <c r="AA58" s="103"/>
      <c r="AB58" s="176" t="s">
        <v>6406</v>
      </c>
      <c r="AC58" s="103" t="s">
        <v>6407</v>
      </c>
      <c r="AD58" s="176" t="s">
        <v>6408</v>
      </c>
      <c r="AE58" s="103" t="s">
        <v>6409</v>
      </c>
      <c r="AF58" s="176" t="s">
        <v>6410</v>
      </c>
      <c r="AG58" s="103" t="s">
        <v>6411</v>
      </c>
      <c r="AH58" s="176" t="s">
        <v>8278</v>
      </c>
      <c r="AJ58" s="176" t="s">
        <v>6412</v>
      </c>
      <c r="AK58" s="103" t="s">
        <v>6413</v>
      </c>
    </row>
    <row r="59" spans="1:37" ht="13.8">
      <c r="V59" s="4"/>
      <c r="W59" s="4"/>
    </row>
    <row r="60" spans="1:37" ht="13.8">
      <c r="V60" s="4"/>
      <c r="W60" s="4"/>
    </row>
    <row r="61" spans="1:37" ht="13.8">
      <c r="V61" s="4"/>
      <c r="W61" s="4"/>
    </row>
    <row r="62" spans="1:37" ht="13.8">
      <c r="V62" s="4"/>
      <c r="W62" s="4"/>
    </row>
    <row r="63" spans="1:37" ht="13.8">
      <c r="V63" s="4"/>
      <c r="W63" s="4"/>
    </row>
    <row r="64" spans="1:37" ht="13.8">
      <c r="V64" s="4"/>
      <c r="W64" s="4"/>
    </row>
    <row r="65" spans="22:23" ht="13.8">
      <c r="V65" s="4"/>
      <c r="W65" s="4"/>
    </row>
  </sheetData>
  <hyperlinks>
    <hyperlink ref="B4" r:id="rId1" xr:uid="{00000000-0004-0000-1400-000000000000}"/>
    <hyperlink ref="O4" r:id="rId2" xr:uid="{00000000-0004-0000-1400-000001000000}"/>
    <hyperlink ref="X4" r:id="rId3" xr:uid="{00000000-0004-0000-1400-000002000000}"/>
    <hyperlink ref="Z4" r:id="rId4" xr:uid="{00000000-0004-0000-1400-000003000000}"/>
    <hyperlink ref="B5" r:id="rId5" xr:uid="{00000000-0004-0000-1400-000004000000}"/>
    <hyperlink ref="O5" r:id="rId6" xr:uid="{00000000-0004-0000-1400-000005000000}"/>
    <hyperlink ref="X5" r:id="rId7" xr:uid="{00000000-0004-0000-1400-000006000000}"/>
    <hyperlink ref="Y5" r:id="rId8" xr:uid="{00000000-0004-0000-1400-000007000000}"/>
    <hyperlink ref="Z5" r:id="rId9" xr:uid="{00000000-0004-0000-1400-000008000000}"/>
    <hyperlink ref="B6" r:id="rId10" xr:uid="{00000000-0004-0000-1400-000009000000}"/>
    <hyperlink ref="O6" r:id="rId11" xr:uid="{00000000-0004-0000-1400-00000A000000}"/>
    <hyperlink ref="X6" r:id="rId12" xr:uid="{00000000-0004-0000-1400-00000B000000}"/>
    <hyperlink ref="Y6" r:id="rId13" xr:uid="{00000000-0004-0000-1400-00000C000000}"/>
    <hyperlink ref="Z6" r:id="rId14" xr:uid="{00000000-0004-0000-1400-00000D000000}"/>
    <hyperlink ref="AA6" r:id="rId15" xr:uid="{00000000-0004-0000-1400-00000E000000}"/>
    <hyperlink ref="B7" r:id="rId16" xr:uid="{00000000-0004-0000-1400-00000F000000}"/>
    <hyperlink ref="O7" r:id="rId17" xr:uid="{00000000-0004-0000-1400-000010000000}"/>
    <hyperlink ref="X7" r:id="rId18" xr:uid="{00000000-0004-0000-1400-000011000000}"/>
    <hyperlink ref="Y7" r:id="rId19" xr:uid="{00000000-0004-0000-1400-000012000000}"/>
    <hyperlink ref="Z7" r:id="rId20" xr:uid="{00000000-0004-0000-1400-000013000000}"/>
    <hyperlink ref="AA7" r:id="rId21" xr:uid="{00000000-0004-0000-1400-000014000000}"/>
    <hyperlink ref="B8" r:id="rId22" xr:uid="{00000000-0004-0000-1400-000015000000}"/>
    <hyperlink ref="O8" r:id="rId23" xr:uid="{00000000-0004-0000-1400-000016000000}"/>
    <hyperlink ref="X8" r:id="rId24" xr:uid="{00000000-0004-0000-1400-000017000000}"/>
    <hyperlink ref="B9" r:id="rId25" xr:uid="{00000000-0004-0000-1400-000018000000}"/>
    <hyperlink ref="O9" r:id="rId26" xr:uid="{00000000-0004-0000-1400-000019000000}"/>
    <hyperlink ref="B10" r:id="rId27" xr:uid="{00000000-0004-0000-1400-00001A000000}"/>
    <hyperlink ref="O10" r:id="rId28" xr:uid="{00000000-0004-0000-1400-00001B000000}"/>
    <hyperlink ref="X10" r:id="rId29" xr:uid="{00000000-0004-0000-1400-00001C000000}"/>
    <hyperlink ref="B11" r:id="rId30" xr:uid="{00000000-0004-0000-1400-00001D000000}"/>
    <hyperlink ref="B12" r:id="rId31" xr:uid="{00000000-0004-0000-1400-00001E000000}"/>
    <hyperlink ref="O12" r:id="rId32" xr:uid="{00000000-0004-0000-1400-00001F000000}"/>
    <hyperlink ref="X12" r:id="rId33" xr:uid="{00000000-0004-0000-1400-000020000000}"/>
    <hyperlink ref="Z12" r:id="rId34" xr:uid="{00000000-0004-0000-1400-000021000000}"/>
    <hyperlink ref="B13" r:id="rId35" xr:uid="{00000000-0004-0000-1400-000022000000}"/>
    <hyperlink ref="X13" r:id="rId36" xr:uid="{00000000-0004-0000-1400-000023000000}"/>
    <hyperlink ref="Y13" r:id="rId37" xr:uid="{00000000-0004-0000-1400-000024000000}"/>
    <hyperlink ref="B14" r:id="rId38" xr:uid="{00000000-0004-0000-1400-000025000000}"/>
    <hyperlink ref="O14" r:id="rId39" xr:uid="{00000000-0004-0000-1400-000026000000}"/>
    <hyperlink ref="X14" r:id="rId40" xr:uid="{00000000-0004-0000-1400-000027000000}"/>
    <hyperlink ref="Z14" r:id="rId41" xr:uid="{00000000-0004-0000-1400-000028000000}"/>
    <hyperlink ref="B15" r:id="rId42" xr:uid="{00000000-0004-0000-1400-000029000000}"/>
    <hyperlink ref="O15" r:id="rId43" xr:uid="{00000000-0004-0000-1400-00002A000000}"/>
    <hyperlink ref="X15" r:id="rId44" xr:uid="{00000000-0004-0000-1400-00002B000000}"/>
    <hyperlink ref="B16" r:id="rId45" xr:uid="{00000000-0004-0000-1400-00002C000000}"/>
    <hyperlink ref="O16" r:id="rId46" xr:uid="{00000000-0004-0000-1400-00002D000000}"/>
    <hyperlink ref="X16" r:id="rId47" xr:uid="{00000000-0004-0000-1400-00002E000000}"/>
    <hyperlink ref="Y16" r:id="rId48" xr:uid="{00000000-0004-0000-1400-00002F000000}"/>
    <hyperlink ref="Z16" r:id="rId49" xr:uid="{00000000-0004-0000-1400-000030000000}"/>
    <hyperlink ref="B17" r:id="rId50" xr:uid="{00000000-0004-0000-1400-000031000000}"/>
    <hyperlink ref="O17" r:id="rId51" xr:uid="{00000000-0004-0000-1400-000032000000}"/>
    <hyperlink ref="B18" r:id="rId52" xr:uid="{00000000-0004-0000-1400-000033000000}"/>
    <hyperlink ref="O18" r:id="rId53" xr:uid="{00000000-0004-0000-1400-000034000000}"/>
    <hyperlink ref="X18" r:id="rId54" xr:uid="{00000000-0004-0000-1400-000035000000}"/>
    <hyperlink ref="AA18" r:id="rId55" xr:uid="{00000000-0004-0000-1400-000036000000}"/>
    <hyperlink ref="B19" r:id="rId56" xr:uid="{00000000-0004-0000-1400-000037000000}"/>
    <hyperlink ref="X19" r:id="rId57" xr:uid="{00000000-0004-0000-1400-000038000000}"/>
    <hyperlink ref="Y19" r:id="rId58" xr:uid="{00000000-0004-0000-1400-000039000000}"/>
    <hyperlink ref="B20" r:id="rId59" xr:uid="{00000000-0004-0000-1400-00003A000000}"/>
    <hyperlink ref="O20" r:id="rId60" xr:uid="{00000000-0004-0000-1400-00003B000000}"/>
    <hyperlink ref="X20" r:id="rId61" xr:uid="{00000000-0004-0000-1400-00003C000000}"/>
    <hyperlink ref="B21" r:id="rId62" xr:uid="{00000000-0004-0000-1400-00003D000000}"/>
    <hyperlink ref="B22" r:id="rId63" xr:uid="{00000000-0004-0000-1400-00003E000000}"/>
    <hyperlink ref="B23" r:id="rId64" xr:uid="{00000000-0004-0000-1400-00003F000000}"/>
    <hyperlink ref="X23" r:id="rId65" xr:uid="{00000000-0004-0000-1400-000040000000}"/>
    <hyperlink ref="Z23" r:id="rId66" xr:uid="{00000000-0004-0000-1400-000041000000}"/>
    <hyperlink ref="B24" r:id="rId67" xr:uid="{00000000-0004-0000-1400-000042000000}"/>
    <hyperlink ref="O24" r:id="rId68" xr:uid="{00000000-0004-0000-1400-000043000000}"/>
    <hyperlink ref="X24" r:id="rId69" xr:uid="{00000000-0004-0000-1400-000044000000}"/>
    <hyperlink ref="Y24" r:id="rId70" xr:uid="{00000000-0004-0000-1400-000045000000}"/>
    <hyperlink ref="Z24" r:id="rId71" xr:uid="{00000000-0004-0000-1400-000046000000}"/>
    <hyperlink ref="AA24" r:id="rId72" xr:uid="{00000000-0004-0000-1400-000047000000}"/>
    <hyperlink ref="B25" r:id="rId73" xr:uid="{00000000-0004-0000-1400-000048000000}"/>
    <hyperlink ref="O25" r:id="rId74" xr:uid="{00000000-0004-0000-1400-000049000000}"/>
    <hyperlink ref="X25" r:id="rId75" xr:uid="{00000000-0004-0000-1400-00004A000000}"/>
    <hyperlink ref="B26" r:id="rId76" xr:uid="{00000000-0004-0000-1400-00004B000000}"/>
    <hyperlink ref="E26" r:id="rId77" xr:uid="{00000000-0004-0000-1400-00004C000000}"/>
    <hyperlink ref="B27" r:id="rId78" xr:uid="{00000000-0004-0000-1400-00004D000000}"/>
    <hyperlink ref="E27" r:id="rId79" xr:uid="{00000000-0004-0000-1400-00004E000000}"/>
    <hyperlink ref="B28" r:id="rId80" xr:uid="{00000000-0004-0000-1400-00004F000000}"/>
    <hyperlink ref="E28" r:id="rId81" xr:uid="{00000000-0004-0000-1400-000050000000}"/>
    <hyperlink ref="B29" r:id="rId82" xr:uid="{00000000-0004-0000-1400-000051000000}"/>
    <hyperlink ref="E29" r:id="rId83" xr:uid="{00000000-0004-0000-1400-000052000000}"/>
    <hyperlink ref="B30" r:id="rId84" xr:uid="{00000000-0004-0000-1400-000053000000}"/>
    <hyperlink ref="E30" r:id="rId85" xr:uid="{00000000-0004-0000-1400-000054000000}"/>
    <hyperlink ref="B31" r:id="rId86" xr:uid="{00000000-0004-0000-1400-000055000000}"/>
    <hyperlink ref="E31" r:id="rId87" xr:uid="{00000000-0004-0000-1400-000056000000}"/>
    <hyperlink ref="B32" r:id="rId88" xr:uid="{00000000-0004-0000-1400-000057000000}"/>
    <hyperlink ref="E32" r:id="rId89" xr:uid="{00000000-0004-0000-1400-000058000000}"/>
    <hyperlink ref="B33" r:id="rId90" xr:uid="{00000000-0004-0000-1400-000059000000}"/>
    <hyperlink ref="E33" r:id="rId91" xr:uid="{00000000-0004-0000-1400-00005A000000}"/>
    <hyperlink ref="B34" r:id="rId92" xr:uid="{00000000-0004-0000-1400-00005B000000}"/>
    <hyperlink ref="E34" r:id="rId93" xr:uid="{00000000-0004-0000-1400-00005C000000}"/>
    <hyperlink ref="B35" r:id="rId94" xr:uid="{00000000-0004-0000-1400-00005D000000}"/>
    <hyperlink ref="E35" r:id="rId95" xr:uid="{00000000-0004-0000-1400-00005E000000}"/>
    <hyperlink ref="B36" r:id="rId96" xr:uid="{00000000-0004-0000-1400-00005F000000}"/>
    <hyperlink ref="E36" r:id="rId97" xr:uid="{00000000-0004-0000-1400-000060000000}"/>
    <hyperlink ref="X36" r:id="rId98" xr:uid="{00000000-0004-0000-1400-000061000000}"/>
    <hyperlink ref="B37" r:id="rId99" xr:uid="{00000000-0004-0000-1400-000062000000}"/>
    <hyperlink ref="E37" r:id="rId100" xr:uid="{00000000-0004-0000-1400-000063000000}"/>
    <hyperlink ref="B38" r:id="rId101" xr:uid="{00000000-0004-0000-1400-000064000000}"/>
    <hyperlink ref="E38" r:id="rId102" xr:uid="{00000000-0004-0000-1400-000065000000}"/>
    <hyperlink ref="B39" r:id="rId103" xr:uid="{00000000-0004-0000-1400-000066000000}"/>
    <hyperlink ref="E39" r:id="rId104" xr:uid="{00000000-0004-0000-1400-000067000000}"/>
    <hyperlink ref="B40" r:id="rId105" xr:uid="{00000000-0004-0000-1400-000068000000}"/>
    <hyperlink ref="E40" r:id="rId106" xr:uid="{00000000-0004-0000-1400-000069000000}"/>
    <hyperlink ref="X40" r:id="rId107" xr:uid="{00000000-0004-0000-1400-00006A000000}"/>
    <hyperlink ref="Y40" r:id="rId108" xr:uid="{00000000-0004-0000-1400-00006B000000}"/>
    <hyperlink ref="Z40" r:id="rId109" xr:uid="{00000000-0004-0000-1400-00006C000000}"/>
    <hyperlink ref="B41" r:id="rId110" xr:uid="{00000000-0004-0000-1400-00006D000000}"/>
    <hyperlink ref="E41" r:id="rId111" xr:uid="{00000000-0004-0000-1400-00006E000000}"/>
    <hyperlink ref="X41" r:id="rId112" xr:uid="{00000000-0004-0000-1400-00006F000000}"/>
    <hyperlink ref="B42" r:id="rId113" xr:uid="{00000000-0004-0000-1400-000070000000}"/>
    <hyperlink ref="E42" r:id="rId114" xr:uid="{00000000-0004-0000-1400-000071000000}"/>
    <hyperlink ref="B43" r:id="rId115" xr:uid="{00000000-0004-0000-1400-000072000000}"/>
    <hyperlink ref="E43" r:id="rId116" xr:uid="{00000000-0004-0000-1400-000073000000}"/>
    <hyperlink ref="B44" r:id="rId117" xr:uid="{00000000-0004-0000-1400-000074000000}"/>
    <hyperlink ref="E44" r:id="rId118" xr:uid="{00000000-0004-0000-1400-000075000000}"/>
    <hyperlink ref="B45" r:id="rId119" xr:uid="{00000000-0004-0000-1400-000076000000}"/>
    <hyperlink ref="E45" r:id="rId120" xr:uid="{00000000-0004-0000-1400-000077000000}"/>
    <hyperlink ref="B46" r:id="rId121" xr:uid="{00000000-0004-0000-1400-000078000000}"/>
    <hyperlink ref="E46" r:id="rId122" xr:uid="{00000000-0004-0000-1400-000079000000}"/>
    <hyperlink ref="B47" r:id="rId123" xr:uid="{00000000-0004-0000-1400-00007A000000}"/>
    <hyperlink ref="E47" r:id="rId124" xr:uid="{00000000-0004-0000-1400-00007B000000}"/>
    <hyperlink ref="B48" r:id="rId125" xr:uid="{00000000-0004-0000-1400-00007C000000}"/>
    <hyperlink ref="E48" r:id="rId126" xr:uid="{00000000-0004-0000-1400-00007D000000}"/>
    <hyperlink ref="B49" r:id="rId127" xr:uid="{00000000-0004-0000-1400-00007E000000}"/>
    <hyperlink ref="E49" r:id="rId128" xr:uid="{00000000-0004-0000-1400-00007F000000}"/>
    <hyperlink ref="B50" r:id="rId129" xr:uid="{00000000-0004-0000-1400-000080000000}"/>
    <hyperlink ref="E50" r:id="rId130" xr:uid="{00000000-0004-0000-1400-000081000000}"/>
    <hyperlink ref="B51" r:id="rId131" xr:uid="{00000000-0004-0000-1400-000082000000}"/>
    <hyperlink ref="E51" r:id="rId132" xr:uid="{00000000-0004-0000-1400-000083000000}"/>
    <hyperlink ref="B52" r:id="rId133" xr:uid="{00000000-0004-0000-1400-000084000000}"/>
    <hyperlink ref="E52" r:id="rId134" xr:uid="{00000000-0004-0000-1400-000085000000}"/>
    <hyperlink ref="B53" r:id="rId135" xr:uid="{00000000-0004-0000-1400-000086000000}"/>
    <hyperlink ref="E53" r:id="rId136" xr:uid="{00000000-0004-0000-1400-000087000000}"/>
    <hyperlink ref="X53" r:id="rId137" xr:uid="{00000000-0004-0000-1400-000088000000}"/>
    <hyperlink ref="B54" r:id="rId138" xr:uid="{00000000-0004-0000-1400-000089000000}"/>
    <hyperlink ref="E54" r:id="rId139" xr:uid="{00000000-0004-0000-1400-00008A000000}"/>
    <hyperlink ref="B55" r:id="rId140" xr:uid="{00000000-0004-0000-1400-00008B000000}"/>
    <hyperlink ref="E55" r:id="rId141" xr:uid="{00000000-0004-0000-1400-00008C000000}"/>
    <hyperlink ref="B56" r:id="rId142" xr:uid="{00000000-0004-0000-1400-00008D000000}"/>
    <hyperlink ref="E56" r:id="rId143" xr:uid="{00000000-0004-0000-1400-00008E000000}"/>
    <hyperlink ref="O56" r:id="rId144" xr:uid="{00000000-0004-0000-1400-00008F000000}"/>
    <hyperlink ref="B57" r:id="rId145" xr:uid="{00000000-0004-0000-1400-000090000000}"/>
    <hyperlink ref="E57" r:id="rId146" xr:uid="{00000000-0004-0000-1400-000091000000}"/>
    <hyperlink ref="X57" r:id="rId147" xr:uid="{00000000-0004-0000-1400-000092000000}"/>
    <hyperlink ref="Y57" r:id="rId148" xr:uid="{00000000-0004-0000-1400-000093000000}"/>
    <hyperlink ref="B58" r:id="rId149" xr:uid="{00000000-0004-0000-1400-000094000000}"/>
    <hyperlink ref="E58" r:id="rId150" xr:uid="{00000000-0004-0000-1400-000095000000}"/>
    <hyperlink ref="O58" r:id="rId151" xr:uid="{00000000-0004-0000-1400-000096000000}"/>
    <hyperlink ref="X58" r:id="rId152" xr:uid="{00000000-0004-0000-1400-000097000000}"/>
    <hyperlink ref="Y58" r:id="rId153" xr:uid="{00000000-0004-0000-1400-000098000000}"/>
    <hyperlink ref="Z58" r:id="rId154" xr:uid="{00000000-0004-0000-1400-000099000000}"/>
  </hyperlinks>
  <pageMargins left="0.7" right="0.7" top="0.75" bottom="0.75" header="0.3" footer="0.3"/>
  <tableParts count="1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00"/>
  <sheetViews>
    <sheetView topLeftCell="A14" workbookViewId="0">
      <selection activeCell="C42" sqref="C42"/>
    </sheetView>
  </sheetViews>
  <sheetFormatPr defaultColWidth="12.6640625" defaultRowHeight="15.75" customHeight="1"/>
  <cols>
    <col min="1" max="1" width="9.88671875" bestFit="1" customWidth="1"/>
    <col min="2" max="2" width="7.109375" bestFit="1" customWidth="1"/>
    <col min="3" max="3" width="66.44140625" customWidth="1"/>
    <col min="5" max="5" width="14" bestFit="1" customWidth="1"/>
    <col min="6" max="6" width="41.6640625" customWidth="1"/>
    <col min="7" max="7" width="25" customWidth="1"/>
    <col min="9" max="9" width="20.77734375" customWidth="1"/>
    <col min="11" max="11" width="25.33203125" customWidth="1"/>
    <col min="14" max="14" width="13.33203125" bestFit="1" customWidth="1"/>
    <col min="15" max="15" width="15.77734375" bestFit="1" customWidth="1"/>
  </cols>
  <sheetData>
    <row r="1" spans="1:42" ht="13.2">
      <c r="A1" s="90"/>
      <c r="B1" s="90"/>
    </row>
    <row r="2" spans="1:42" ht="13.2">
      <c r="A2" s="90"/>
      <c r="B2" s="90"/>
    </row>
    <row r="3" spans="1:42" ht="13.8">
      <c r="A3" s="90"/>
      <c r="B3" s="90" t="s">
        <v>1</v>
      </c>
      <c r="C3" s="2" t="s">
        <v>639</v>
      </c>
      <c r="D3" s="2" t="s">
        <v>640</v>
      </c>
      <c r="E3" s="2" t="s">
        <v>1050</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5.75" customHeight="1">
      <c r="A4" s="91" t="s">
        <v>34</v>
      </c>
      <c r="B4" s="91">
        <v>93</v>
      </c>
      <c r="C4" s="92" t="s">
        <v>1051</v>
      </c>
      <c r="D4" s="25"/>
      <c r="E4" s="25"/>
      <c r="F4" s="60" t="s">
        <v>1052</v>
      </c>
      <c r="G4" s="31" t="s">
        <v>1053</v>
      </c>
      <c r="H4" s="29" t="s">
        <v>39</v>
      </c>
      <c r="I4" s="31" t="s">
        <v>1054</v>
      </c>
      <c r="J4" s="31" t="s">
        <v>1055</v>
      </c>
      <c r="K4" s="31" t="s">
        <v>42</v>
      </c>
      <c r="L4" s="59" t="s">
        <v>1056</v>
      </c>
      <c r="M4" s="31">
        <v>7208353203</v>
      </c>
      <c r="N4" s="29" t="s">
        <v>44</v>
      </c>
      <c r="O4" s="31">
        <v>7208353203</v>
      </c>
      <c r="P4" s="33" t="s">
        <v>1057</v>
      </c>
      <c r="Q4" s="30" t="s">
        <v>44</v>
      </c>
      <c r="R4" s="25" t="s">
        <v>47</v>
      </c>
      <c r="S4" s="51" t="s">
        <v>48</v>
      </c>
      <c r="T4" s="51" t="s">
        <v>1058</v>
      </c>
      <c r="U4" s="51" t="s">
        <v>1058</v>
      </c>
      <c r="V4" s="51" t="s">
        <v>1059</v>
      </c>
      <c r="W4" s="28" t="s">
        <v>1060</v>
      </c>
      <c r="X4" s="28" t="s">
        <v>1061</v>
      </c>
      <c r="Y4" s="25"/>
      <c r="Z4" s="25"/>
      <c r="AA4" s="25"/>
      <c r="AB4" s="25"/>
      <c r="AC4" s="25"/>
      <c r="AD4" s="25"/>
      <c r="AE4" s="25"/>
      <c r="AF4" s="25"/>
      <c r="AG4" s="25"/>
      <c r="AH4" s="25"/>
      <c r="AI4" s="25"/>
      <c r="AJ4" s="25"/>
      <c r="AK4" s="25"/>
      <c r="AL4" s="25"/>
      <c r="AM4" s="25"/>
      <c r="AN4" s="25"/>
      <c r="AO4" s="25"/>
      <c r="AP4" s="25"/>
    </row>
    <row r="5" spans="1:42" ht="15.75" customHeight="1">
      <c r="A5" s="91" t="s">
        <v>34</v>
      </c>
      <c r="B5" s="91">
        <v>94</v>
      </c>
      <c r="C5" s="92" t="s">
        <v>1062</v>
      </c>
      <c r="D5" s="25"/>
      <c r="E5" s="25"/>
      <c r="F5" s="60" t="s">
        <v>1063</v>
      </c>
      <c r="G5" s="31" t="s">
        <v>1064</v>
      </c>
      <c r="H5" s="29" t="s">
        <v>39</v>
      </c>
      <c r="I5" s="31" t="s">
        <v>1065</v>
      </c>
      <c r="J5" s="31" t="s">
        <v>1066</v>
      </c>
      <c r="K5" s="31" t="s">
        <v>1067</v>
      </c>
      <c r="L5" s="30" t="s">
        <v>44</v>
      </c>
      <c r="M5" s="31">
        <v>8854049767</v>
      </c>
      <c r="N5" s="54">
        <v>8854049767</v>
      </c>
      <c r="O5" s="31">
        <v>8854049767</v>
      </c>
      <c r="P5" s="30" t="s">
        <v>44</v>
      </c>
      <c r="Q5" s="30" t="s">
        <v>44</v>
      </c>
      <c r="R5" s="25" t="s">
        <v>47</v>
      </c>
      <c r="S5" s="51" t="s">
        <v>1068</v>
      </c>
      <c r="T5" s="51" t="s">
        <v>1069</v>
      </c>
      <c r="U5" s="51" t="s">
        <v>1069</v>
      </c>
      <c r="V5" s="51" t="s">
        <v>49</v>
      </c>
      <c r="W5" s="28" t="s">
        <v>71</v>
      </c>
      <c r="X5" s="28" t="s">
        <v>1070</v>
      </c>
      <c r="Y5" s="25"/>
      <c r="Z5" s="25"/>
      <c r="AA5" s="25"/>
      <c r="AB5" s="25"/>
      <c r="AC5" s="25"/>
      <c r="AD5" s="25"/>
      <c r="AE5" s="25"/>
      <c r="AF5" s="25"/>
      <c r="AG5" s="25"/>
      <c r="AH5" s="25"/>
      <c r="AI5" s="25"/>
      <c r="AJ5" s="25"/>
      <c r="AK5" s="25"/>
      <c r="AL5" s="25"/>
      <c r="AM5" s="25"/>
      <c r="AN5" s="25"/>
      <c r="AO5" s="25"/>
      <c r="AP5" s="25"/>
    </row>
    <row r="6" spans="1:42" ht="15.75" customHeight="1">
      <c r="A6" s="91" t="s">
        <v>34</v>
      </c>
      <c r="B6" s="91">
        <v>95</v>
      </c>
      <c r="C6" s="92" t="s">
        <v>1071</v>
      </c>
      <c r="D6" s="25"/>
      <c r="E6" s="25"/>
      <c r="F6" s="60" t="s">
        <v>1072</v>
      </c>
      <c r="G6" s="31" t="s">
        <v>1073</v>
      </c>
      <c r="H6" s="29" t="s">
        <v>39</v>
      </c>
      <c r="I6" s="31" t="s">
        <v>1074</v>
      </c>
      <c r="J6" s="31" t="s">
        <v>1075</v>
      </c>
      <c r="K6" s="30" t="s">
        <v>44</v>
      </c>
      <c r="L6" s="30" t="s">
        <v>44</v>
      </c>
      <c r="M6" s="31">
        <v>8779500452</v>
      </c>
      <c r="N6" s="29" t="s">
        <v>44</v>
      </c>
      <c r="O6" s="31">
        <v>8779500452</v>
      </c>
      <c r="P6" s="30" t="s">
        <v>44</v>
      </c>
      <c r="Q6" s="30" t="s">
        <v>44</v>
      </c>
      <c r="R6" s="25" t="s">
        <v>47</v>
      </c>
      <c r="S6" s="29" t="s">
        <v>395</v>
      </c>
      <c r="T6" s="29" t="s">
        <v>395</v>
      </c>
      <c r="U6" s="29" t="s">
        <v>395</v>
      </c>
      <c r="V6" s="29" t="s">
        <v>395</v>
      </c>
      <c r="W6" s="28" t="s">
        <v>71</v>
      </c>
      <c r="X6" s="28" t="s">
        <v>71</v>
      </c>
      <c r="Y6" s="25"/>
      <c r="Z6" s="25"/>
      <c r="AA6" s="25"/>
      <c r="AB6" s="25"/>
      <c r="AC6" s="25"/>
      <c r="AD6" s="25"/>
      <c r="AE6" s="25"/>
      <c r="AF6" s="25"/>
      <c r="AG6" s="25"/>
      <c r="AH6" s="25"/>
      <c r="AI6" s="25"/>
      <c r="AJ6" s="25"/>
      <c r="AK6" s="25"/>
      <c r="AL6" s="25"/>
      <c r="AM6" s="25"/>
      <c r="AN6" s="25"/>
      <c r="AO6" s="25"/>
      <c r="AP6" s="25"/>
    </row>
    <row r="7" spans="1:42" ht="15.75" customHeight="1">
      <c r="A7" s="91" t="s">
        <v>34</v>
      </c>
      <c r="B7" s="91">
        <v>96</v>
      </c>
      <c r="C7" s="58" t="s">
        <v>1076</v>
      </c>
      <c r="D7" s="25"/>
      <c r="E7" s="25"/>
      <c r="F7" s="60" t="s">
        <v>1077</v>
      </c>
      <c r="G7" s="31" t="s">
        <v>1078</v>
      </c>
      <c r="H7" s="29" t="s">
        <v>39</v>
      </c>
      <c r="I7" s="31" t="s">
        <v>1079</v>
      </c>
      <c r="J7" s="31" t="s">
        <v>1080</v>
      </c>
      <c r="K7" s="31" t="s">
        <v>1081</v>
      </c>
      <c r="L7" s="30" t="s">
        <v>44</v>
      </c>
      <c r="M7" s="31">
        <v>9833449855</v>
      </c>
      <c r="N7" s="29" t="s">
        <v>44</v>
      </c>
      <c r="O7" s="31">
        <v>9833449855</v>
      </c>
      <c r="P7" s="30" t="s">
        <v>44</v>
      </c>
      <c r="Q7" s="30" t="s">
        <v>44</v>
      </c>
      <c r="R7" s="25" t="s">
        <v>47</v>
      </c>
      <c r="S7" s="51" t="s">
        <v>1082</v>
      </c>
      <c r="T7" s="51" t="s">
        <v>1083</v>
      </c>
      <c r="U7" s="51" t="s">
        <v>1084</v>
      </c>
      <c r="V7" s="51" t="s">
        <v>49</v>
      </c>
      <c r="W7" s="28" t="s">
        <v>71</v>
      </c>
      <c r="X7" s="28" t="s">
        <v>1085</v>
      </c>
      <c r="Y7" s="25"/>
      <c r="Z7" s="25"/>
      <c r="AA7" s="25"/>
      <c r="AB7" s="25"/>
      <c r="AC7" s="25"/>
      <c r="AD7" s="25"/>
      <c r="AE7" s="25"/>
      <c r="AF7" s="25"/>
      <c r="AG7" s="25"/>
      <c r="AH7" s="25"/>
      <c r="AI7" s="25"/>
      <c r="AJ7" s="25"/>
      <c r="AK7" s="25"/>
      <c r="AL7" s="25"/>
      <c r="AM7" s="25"/>
      <c r="AN7" s="25"/>
      <c r="AO7" s="25"/>
      <c r="AP7" s="25"/>
    </row>
    <row r="8" spans="1:42" ht="15.75" customHeight="1">
      <c r="A8" s="91" t="s">
        <v>34</v>
      </c>
      <c r="B8" s="91">
        <v>97</v>
      </c>
      <c r="C8" s="58" t="s">
        <v>1086</v>
      </c>
      <c r="D8" s="25"/>
      <c r="E8" s="25"/>
      <c r="F8" s="58" t="s">
        <v>1087</v>
      </c>
      <c r="G8" s="31" t="s">
        <v>1088</v>
      </c>
      <c r="H8" s="29" t="s">
        <v>39</v>
      </c>
      <c r="I8" s="31" t="s">
        <v>1089</v>
      </c>
      <c r="J8" s="31" t="s">
        <v>1090</v>
      </c>
      <c r="K8" s="30" t="s">
        <v>44</v>
      </c>
      <c r="L8" s="59" t="s">
        <v>1091</v>
      </c>
      <c r="M8" s="31">
        <v>9769108701</v>
      </c>
      <c r="N8" s="29" t="s">
        <v>44</v>
      </c>
      <c r="O8" s="31">
        <v>9769108701</v>
      </c>
      <c r="P8" s="30" t="s">
        <v>44</v>
      </c>
      <c r="Q8" s="30" t="s">
        <v>44</v>
      </c>
      <c r="R8" s="25" t="s">
        <v>47</v>
      </c>
      <c r="S8" s="51" t="s">
        <v>170</v>
      </c>
      <c r="T8" s="51" t="s">
        <v>49</v>
      </c>
      <c r="U8" s="51" t="s">
        <v>1092</v>
      </c>
      <c r="V8" s="51" t="s">
        <v>1093</v>
      </c>
      <c r="W8" s="28" t="s">
        <v>1094</v>
      </c>
      <c r="X8" s="28" t="s">
        <v>1095</v>
      </c>
      <c r="Y8" s="25"/>
      <c r="Z8" s="25"/>
      <c r="AA8" s="25"/>
      <c r="AB8" s="25"/>
      <c r="AC8" s="25"/>
      <c r="AD8" s="25"/>
      <c r="AE8" s="25"/>
      <c r="AF8" s="25"/>
      <c r="AG8" s="25"/>
      <c r="AH8" s="25"/>
      <c r="AI8" s="25"/>
      <c r="AJ8" s="25"/>
      <c r="AK8" s="25"/>
      <c r="AL8" s="25"/>
      <c r="AM8" s="25"/>
      <c r="AN8" s="25"/>
      <c r="AO8" s="25"/>
      <c r="AP8" s="25"/>
    </row>
    <row r="9" spans="1:42" ht="15.75" customHeight="1">
      <c r="A9" s="91" t="s">
        <v>34</v>
      </c>
      <c r="B9" s="91">
        <v>98</v>
      </c>
      <c r="C9" s="58" t="s">
        <v>1096</v>
      </c>
      <c r="D9" s="25"/>
      <c r="E9" s="25"/>
      <c r="F9" s="60" t="s">
        <v>1097</v>
      </c>
      <c r="G9" s="31" t="s">
        <v>1098</v>
      </c>
      <c r="H9" s="29" t="s">
        <v>39</v>
      </c>
      <c r="I9" s="31" t="s">
        <v>1099</v>
      </c>
      <c r="J9" s="31" t="s">
        <v>1100</v>
      </c>
      <c r="K9" s="31" t="s">
        <v>1101</v>
      </c>
      <c r="L9" s="30" t="s">
        <v>44</v>
      </c>
      <c r="M9" s="31">
        <v>7977738636</v>
      </c>
      <c r="N9" s="29" t="s">
        <v>44</v>
      </c>
      <c r="O9" s="31">
        <v>7977738636</v>
      </c>
      <c r="P9" s="30" t="s">
        <v>44</v>
      </c>
      <c r="Q9" s="29" t="s">
        <v>1102</v>
      </c>
      <c r="R9" s="25" t="s">
        <v>47</v>
      </c>
      <c r="S9" s="51" t="s">
        <v>1103</v>
      </c>
      <c r="T9" s="51" t="s">
        <v>48</v>
      </c>
      <c r="U9" s="51" t="s">
        <v>1104</v>
      </c>
      <c r="V9" s="51" t="s">
        <v>49</v>
      </c>
      <c r="W9" s="28" t="s">
        <v>71</v>
      </c>
      <c r="X9" s="28" t="s">
        <v>1105</v>
      </c>
      <c r="Y9" s="25"/>
      <c r="Z9" s="25"/>
      <c r="AA9" s="25"/>
      <c r="AB9" s="25"/>
      <c r="AC9" s="25"/>
      <c r="AD9" s="25"/>
      <c r="AE9" s="25"/>
      <c r="AF9" s="25"/>
      <c r="AG9" s="25"/>
      <c r="AH9" s="25"/>
      <c r="AI9" s="25"/>
      <c r="AJ9" s="25"/>
      <c r="AK9" s="25"/>
      <c r="AL9" s="25"/>
      <c r="AM9" s="25"/>
      <c r="AN9" s="25"/>
      <c r="AO9" s="25"/>
      <c r="AP9" s="25"/>
    </row>
    <row r="10" spans="1:42" ht="15.75" customHeight="1">
      <c r="A10" s="91" t="s">
        <v>34</v>
      </c>
      <c r="B10" s="91">
        <v>99</v>
      </c>
      <c r="C10" s="58" t="s">
        <v>1106</v>
      </c>
      <c r="D10" s="25"/>
      <c r="E10" s="25"/>
      <c r="F10" s="60" t="s">
        <v>1107</v>
      </c>
      <c r="G10" s="31" t="s">
        <v>1108</v>
      </c>
      <c r="H10" s="29" t="s">
        <v>39</v>
      </c>
      <c r="I10" s="31" t="s">
        <v>1109</v>
      </c>
      <c r="J10" s="31" t="s">
        <v>1110</v>
      </c>
      <c r="K10" s="31" t="s">
        <v>42</v>
      </c>
      <c r="L10" s="30" t="s">
        <v>44</v>
      </c>
      <c r="M10" s="31">
        <v>9167574302</v>
      </c>
      <c r="N10" s="54">
        <v>9821073129</v>
      </c>
      <c r="O10" s="31">
        <v>9167574302</v>
      </c>
      <c r="P10" s="30" t="s">
        <v>44</v>
      </c>
      <c r="Q10" s="30" t="s">
        <v>44</v>
      </c>
      <c r="R10" s="25" t="s">
        <v>47</v>
      </c>
      <c r="S10" s="51" t="s">
        <v>170</v>
      </c>
      <c r="T10" s="51" t="s">
        <v>49</v>
      </c>
      <c r="U10" s="51" t="s">
        <v>1111</v>
      </c>
      <c r="V10" s="51" t="s">
        <v>823</v>
      </c>
      <c r="W10" s="28" t="s">
        <v>1112</v>
      </c>
      <c r="X10" s="28" t="s">
        <v>1113</v>
      </c>
      <c r="Y10" s="25"/>
      <c r="Z10" s="25"/>
      <c r="AA10" s="25"/>
      <c r="AB10" s="25"/>
      <c r="AC10" s="25"/>
      <c r="AD10" s="25"/>
      <c r="AE10" s="25"/>
      <c r="AF10" s="25"/>
      <c r="AG10" s="25"/>
      <c r="AH10" s="25"/>
      <c r="AI10" s="25"/>
      <c r="AJ10" s="25"/>
      <c r="AK10" s="25"/>
      <c r="AL10" s="25"/>
      <c r="AM10" s="25"/>
      <c r="AN10" s="25"/>
      <c r="AO10" s="25"/>
      <c r="AP10" s="25"/>
    </row>
    <row r="11" spans="1:42" ht="15.75" customHeight="1">
      <c r="A11" s="91" t="s">
        <v>34</v>
      </c>
      <c r="B11" s="91">
        <v>100</v>
      </c>
      <c r="C11" s="58" t="s">
        <v>1114</v>
      </c>
      <c r="D11" s="25"/>
      <c r="E11" s="25"/>
      <c r="F11" s="60" t="s">
        <v>1115</v>
      </c>
      <c r="G11" s="31" t="s">
        <v>1116</v>
      </c>
      <c r="H11" s="29" t="s">
        <v>39</v>
      </c>
      <c r="I11" s="31" t="s">
        <v>1117</v>
      </c>
      <c r="J11" s="31" t="s">
        <v>1118</v>
      </c>
      <c r="K11" s="31" t="s">
        <v>534</v>
      </c>
      <c r="L11" s="30" t="s">
        <v>44</v>
      </c>
      <c r="M11" s="31">
        <v>9594443216</v>
      </c>
      <c r="N11" s="54">
        <v>9594443216</v>
      </c>
      <c r="O11" s="31">
        <v>9594443216</v>
      </c>
      <c r="P11" s="30" t="s">
        <v>44</v>
      </c>
      <c r="Q11" s="30" t="s">
        <v>44</v>
      </c>
      <c r="R11" s="25" t="s">
        <v>47</v>
      </c>
      <c r="S11" s="51" t="s">
        <v>824</v>
      </c>
      <c r="T11" s="51" t="s">
        <v>1119</v>
      </c>
      <c r="U11" s="51" t="s">
        <v>1120</v>
      </c>
      <c r="V11" s="51" t="s">
        <v>49</v>
      </c>
      <c r="W11" s="28" t="s">
        <v>1121</v>
      </c>
      <c r="X11" s="28" t="s">
        <v>1122</v>
      </c>
      <c r="Y11" s="25"/>
      <c r="Z11" s="25"/>
      <c r="AA11" s="25"/>
      <c r="AB11" s="25"/>
      <c r="AC11" s="25"/>
      <c r="AD11" s="25"/>
      <c r="AE11" s="25"/>
      <c r="AF11" s="25"/>
      <c r="AG11" s="25"/>
      <c r="AH11" s="25"/>
      <c r="AI11" s="25"/>
      <c r="AJ11" s="25"/>
      <c r="AK11" s="25"/>
      <c r="AL11" s="25"/>
      <c r="AM11" s="25"/>
      <c r="AN11" s="25"/>
      <c r="AO11" s="25"/>
      <c r="AP11" s="25"/>
    </row>
    <row r="12" spans="1:42" ht="15.75" customHeight="1">
      <c r="A12" s="91" t="s">
        <v>34</v>
      </c>
      <c r="B12" s="91">
        <v>101</v>
      </c>
      <c r="C12" s="58" t="s">
        <v>1123</v>
      </c>
      <c r="D12" s="25"/>
      <c r="E12" s="25"/>
      <c r="F12" s="60" t="s">
        <v>1124</v>
      </c>
      <c r="G12" s="31" t="s">
        <v>1125</v>
      </c>
      <c r="H12" s="29" t="s">
        <v>39</v>
      </c>
      <c r="I12" s="31" t="s">
        <v>1126</v>
      </c>
      <c r="J12" s="31" t="s">
        <v>1127</v>
      </c>
      <c r="K12" s="31" t="s">
        <v>1128</v>
      </c>
      <c r="L12" s="30" t="s">
        <v>44</v>
      </c>
      <c r="M12" s="31">
        <v>8591708395</v>
      </c>
      <c r="N12" s="54">
        <v>8104934764</v>
      </c>
      <c r="O12" s="31">
        <v>8591708395</v>
      </c>
      <c r="P12" s="33" t="s">
        <v>1129</v>
      </c>
      <c r="Q12" s="62" t="s">
        <v>1130</v>
      </c>
      <c r="R12" s="25" t="s">
        <v>47</v>
      </c>
      <c r="S12" s="29" t="s">
        <v>395</v>
      </c>
      <c r="T12" s="29" t="s">
        <v>395</v>
      </c>
      <c r="U12" s="29" t="s">
        <v>395</v>
      </c>
      <c r="V12" s="29" t="s">
        <v>395</v>
      </c>
      <c r="W12" s="28" t="s">
        <v>1131</v>
      </c>
      <c r="X12" s="28" t="s">
        <v>1132</v>
      </c>
      <c r="Y12" s="25"/>
      <c r="Z12" s="25"/>
      <c r="AA12" s="25"/>
      <c r="AB12" s="25"/>
      <c r="AC12" s="25"/>
      <c r="AD12" s="25"/>
      <c r="AE12" s="25"/>
      <c r="AF12" s="25"/>
      <c r="AG12" s="25"/>
      <c r="AH12" s="25"/>
      <c r="AI12" s="25"/>
      <c r="AJ12" s="25"/>
      <c r="AK12" s="25"/>
      <c r="AL12" s="25"/>
      <c r="AM12" s="25"/>
      <c r="AN12" s="25"/>
      <c r="AO12" s="25"/>
      <c r="AP12" s="25"/>
    </row>
    <row r="13" spans="1:42" ht="15.75" customHeight="1">
      <c r="A13" s="91" t="s">
        <v>34</v>
      </c>
      <c r="B13" s="91">
        <v>102</v>
      </c>
      <c r="C13" s="58" t="s">
        <v>1133</v>
      </c>
      <c r="D13" s="25"/>
      <c r="E13" s="25"/>
      <c r="F13" s="60" t="s">
        <v>1134</v>
      </c>
      <c r="G13" s="31" t="s">
        <v>1135</v>
      </c>
      <c r="H13" s="29" t="s">
        <v>39</v>
      </c>
      <c r="I13" s="31" t="s">
        <v>1136</v>
      </c>
      <c r="J13" s="31" t="s">
        <v>1137</v>
      </c>
      <c r="K13" s="31" t="s">
        <v>534</v>
      </c>
      <c r="L13" s="30" t="s">
        <v>44</v>
      </c>
      <c r="M13" s="31">
        <v>9619800493</v>
      </c>
      <c r="N13" s="54">
        <v>7718886493</v>
      </c>
      <c r="O13" s="31">
        <v>9619800493</v>
      </c>
      <c r="P13" s="30" t="s">
        <v>44</v>
      </c>
      <c r="Q13" s="30" t="s">
        <v>44</v>
      </c>
      <c r="R13" s="25" t="s">
        <v>47</v>
      </c>
      <c r="S13" s="51" t="s">
        <v>1138</v>
      </c>
      <c r="T13" s="51" t="s">
        <v>1139</v>
      </c>
      <c r="U13" s="51" t="s">
        <v>1139</v>
      </c>
      <c r="V13" s="51" t="s">
        <v>1138</v>
      </c>
      <c r="W13" s="28" t="s">
        <v>71</v>
      </c>
      <c r="X13" s="28" t="s">
        <v>1140</v>
      </c>
      <c r="Y13" s="25"/>
      <c r="Z13" s="25"/>
      <c r="AA13" s="25"/>
      <c r="AB13" s="25"/>
      <c r="AC13" s="25"/>
      <c r="AD13" s="25"/>
      <c r="AE13" s="25"/>
      <c r="AF13" s="25"/>
      <c r="AG13" s="25"/>
      <c r="AH13" s="25"/>
      <c r="AI13" s="25"/>
      <c r="AJ13" s="25"/>
      <c r="AK13" s="25"/>
      <c r="AL13" s="25"/>
      <c r="AM13" s="25"/>
      <c r="AN13" s="25"/>
      <c r="AO13" s="25"/>
      <c r="AP13" s="25"/>
    </row>
    <row r="14" spans="1:42" ht="15.75" customHeight="1">
      <c r="A14" s="91" t="s">
        <v>34</v>
      </c>
      <c r="B14" s="91">
        <v>104</v>
      </c>
      <c r="C14" s="58" t="s">
        <v>1141</v>
      </c>
      <c r="D14" s="25"/>
      <c r="E14" s="25"/>
      <c r="F14" s="60" t="s">
        <v>1142</v>
      </c>
      <c r="G14" s="31" t="s">
        <v>1143</v>
      </c>
      <c r="H14" s="29" t="s">
        <v>39</v>
      </c>
      <c r="I14" s="31" t="s">
        <v>1144</v>
      </c>
      <c r="J14" s="31" t="s">
        <v>1145</v>
      </c>
      <c r="K14" s="31" t="s">
        <v>507</v>
      </c>
      <c r="L14" s="59" t="s">
        <v>1146</v>
      </c>
      <c r="M14" s="31">
        <v>9820325251</v>
      </c>
      <c r="N14" s="54">
        <v>9004985092</v>
      </c>
      <c r="O14" s="31">
        <v>9820325251</v>
      </c>
      <c r="P14" s="76" t="s">
        <v>1147</v>
      </c>
      <c r="Q14" s="30" t="s">
        <v>44</v>
      </c>
      <c r="R14" s="25" t="s">
        <v>47</v>
      </c>
      <c r="S14" s="32" t="s">
        <v>1148</v>
      </c>
      <c r="T14" s="32" t="s">
        <v>1149</v>
      </c>
      <c r="U14" s="32" t="s">
        <v>1150</v>
      </c>
      <c r="V14" s="32" t="s">
        <v>1151</v>
      </c>
      <c r="W14" s="28" t="s">
        <v>71</v>
      </c>
      <c r="X14" s="28" t="s">
        <v>1152</v>
      </c>
      <c r="Y14" s="25"/>
      <c r="Z14" s="25"/>
      <c r="AA14" s="25"/>
      <c r="AB14" s="25"/>
      <c r="AC14" s="25"/>
      <c r="AD14" s="25"/>
      <c r="AE14" s="25"/>
      <c r="AF14" s="25"/>
      <c r="AG14" s="25"/>
      <c r="AH14" s="25"/>
      <c r="AI14" s="25"/>
      <c r="AJ14" s="25"/>
      <c r="AK14" s="25"/>
      <c r="AL14" s="25"/>
      <c r="AM14" s="25"/>
      <c r="AN14" s="25"/>
      <c r="AO14" s="25"/>
      <c r="AP14" s="25"/>
    </row>
    <row r="15" spans="1:42" ht="15.75" customHeight="1">
      <c r="A15" s="93"/>
      <c r="B15" s="93">
        <v>103</v>
      </c>
      <c r="C15" s="94" t="s">
        <v>1153</v>
      </c>
      <c r="D15" s="1"/>
      <c r="E15" s="1"/>
      <c r="F15" s="9" t="s">
        <v>1154</v>
      </c>
      <c r="G15" s="95" t="s">
        <v>1155</v>
      </c>
      <c r="H15" s="9" t="s">
        <v>39</v>
      </c>
      <c r="I15" s="95" t="s">
        <v>1156</v>
      </c>
      <c r="J15" s="95" t="s">
        <v>1157</v>
      </c>
      <c r="K15" s="95" t="s">
        <v>1158</v>
      </c>
      <c r="L15" s="96" t="s">
        <v>1159</v>
      </c>
      <c r="M15" s="95">
        <v>8879316929</v>
      </c>
      <c r="N15" s="97">
        <v>9820045969</v>
      </c>
      <c r="O15" s="95">
        <v>8879316929</v>
      </c>
      <c r="P15" s="12" t="s">
        <v>1160</v>
      </c>
      <c r="Q15" s="10" t="s">
        <v>44</v>
      </c>
      <c r="R15" s="1" t="s">
        <v>47</v>
      </c>
      <c r="S15" s="13" t="s">
        <v>170</v>
      </c>
      <c r="T15" s="13" t="s">
        <v>49</v>
      </c>
      <c r="U15" s="13" t="s">
        <v>1161</v>
      </c>
      <c r="V15" s="13" t="s">
        <v>1162</v>
      </c>
      <c r="W15" s="14" t="s">
        <v>71</v>
      </c>
      <c r="X15" s="14" t="s">
        <v>1163</v>
      </c>
      <c r="Y15" s="1"/>
      <c r="Z15" s="98" t="s">
        <v>1164</v>
      </c>
      <c r="AA15" s="1"/>
      <c r="AB15" s="1"/>
      <c r="AC15" s="14" t="s">
        <v>1165</v>
      </c>
      <c r="AD15" s="14" t="s">
        <v>1166</v>
      </c>
      <c r="AE15" s="14" t="s">
        <v>1167</v>
      </c>
      <c r="AF15" s="14" t="s">
        <v>1168</v>
      </c>
      <c r="AG15" s="1"/>
      <c r="AH15" s="1"/>
      <c r="AI15" s="1"/>
      <c r="AJ15" s="1"/>
      <c r="AK15" s="1"/>
      <c r="AL15" s="1"/>
      <c r="AM15" s="1"/>
      <c r="AN15" s="1"/>
      <c r="AO15" s="1"/>
      <c r="AP15" s="1"/>
    </row>
    <row r="16" spans="1:42" ht="15.75" customHeight="1">
      <c r="A16" s="93"/>
      <c r="B16" s="93">
        <v>105</v>
      </c>
      <c r="C16" s="99" t="s">
        <v>1169</v>
      </c>
      <c r="F16" s="100" t="s">
        <v>1170</v>
      </c>
      <c r="G16" s="95" t="s">
        <v>1171</v>
      </c>
      <c r="H16" s="5" t="s">
        <v>39</v>
      </c>
      <c r="I16" s="95" t="s">
        <v>1156</v>
      </c>
      <c r="J16" s="95" t="s">
        <v>1172</v>
      </c>
      <c r="K16" s="95" t="s">
        <v>1173</v>
      </c>
      <c r="L16" s="96" t="s">
        <v>1159</v>
      </c>
      <c r="M16" s="95">
        <v>8369075554</v>
      </c>
      <c r="N16" s="9" t="s">
        <v>44</v>
      </c>
      <c r="O16" s="95">
        <v>8369075554</v>
      </c>
      <c r="P16" s="12" t="s">
        <v>1160</v>
      </c>
      <c r="Q16" s="10" t="s">
        <v>44</v>
      </c>
      <c r="R16" s="2" t="s">
        <v>47</v>
      </c>
      <c r="S16" s="101" t="s">
        <v>170</v>
      </c>
      <c r="T16" s="101" t="s">
        <v>49</v>
      </c>
      <c r="U16" s="101" t="s">
        <v>1161</v>
      </c>
      <c r="V16" s="101" t="s">
        <v>1162</v>
      </c>
      <c r="W16" s="4" t="s">
        <v>71</v>
      </c>
      <c r="X16" s="4" t="s">
        <v>1163</v>
      </c>
      <c r="Z16" s="102" t="s">
        <v>1164</v>
      </c>
      <c r="AC16" s="103" t="s">
        <v>1165</v>
      </c>
      <c r="AD16" s="103" t="s">
        <v>1166</v>
      </c>
      <c r="AE16" s="103" t="s">
        <v>1167</v>
      </c>
      <c r="AF16" s="103" t="s">
        <v>1168</v>
      </c>
    </row>
    <row r="17" spans="1:42" ht="15.75" customHeight="1">
      <c r="A17" s="93"/>
      <c r="B17" s="93">
        <v>106</v>
      </c>
      <c r="C17" s="99" t="s">
        <v>1174</v>
      </c>
      <c r="F17" s="100" t="s">
        <v>1175</v>
      </c>
      <c r="G17" s="95" t="s">
        <v>1176</v>
      </c>
      <c r="H17" s="5" t="s">
        <v>39</v>
      </c>
      <c r="I17" s="95" t="s">
        <v>1156</v>
      </c>
      <c r="J17" s="95" t="s">
        <v>1177</v>
      </c>
      <c r="K17" s="95" t="s">
        <v>1178</v>
      </c>
      <c r="L17" s="96" t="s">
        <v>1159</v>
      </c>
      <c r="M17" s="95">
        <v>9833629934</v>
      </c>
      <c r="N17" s="9" t="s">
        <v>44</v>
      </c>
      <c r="O17" s="95">
        <v>9833629934</v>
      </c>
      <c r="P17" s="12" t="s">
        <v>1160</v>
      </c>
      <c r="Q17" s="10" t="s">
        <v>44</v>
      </c>
      <c r="R17" s="2" t="s">
        <v>47</v>
      </c>
      <c r="S17" s="101" t="s">
        <v>300</v>
      </c>
      <c r="T17" s="101" t="s">
        <v>301</v>
      </c>
      <c r="U17" s="101" t="s">
        <v>1179</v>
      </c>
      <c r="V17" s="101" t="s">
        <v>1162</v>
      </c>
      <c r="W17" s="4" t="s">
        <v>71</v>
      </c>
      <c r="X17" s="4" t="s">
        <v>1163</v>
      </c>
      <c r="Z17" s="102" t="s">
        <v>1164</v>
      </c>
      <c r="AC17" s="103" t="s">
        <v>1165</v>
      </c>
      <c r="AD17" s="103" t="s">
        <v>1166</v>
      </c>
      <c r="AE17" s="103" t="s">
        <v>1167</v>
      </c>
      <c r="AF17" s="103" t="s">
        <v>1168</v>
      </c>
    </row>
    <row r="18" spans="1:42" ht="15.75" customHeight="1">
      <c r="A18" s="93"/>
      <c r="B18" s="93">
        <v>107</v>
      </c>
      <c r="C18" s="99" t="s">
        <v>1180</v>
      </c>
      <c r="F18" s="100" t="s">
        <v>1181</v>
      </c>
      <c r="G18" s="95" t="s">
        <v>1182</v>
      </c>
      <c r="H18" s="5" t="s">
        <v>39</v>
      </c>
      <c r="I18" s="95" t="s">
        <v>1156</v>
      </c>
      <c r="J18" s="95" t="s">
        <v>1183</v>
      </c>
      <c r="K18" s="95" t="s">
        <v>1184</v>
      </c>
      <c r="L18" s="96" t="s">
        <v>1159</v>
      </c>
      <c r="M18" s="95">
        <v>8104672056</v>
      </c>
      <c r="N18" s="9" t="s">
        <v>44</v>
      </c>
      <c r="O18" s="95">
        <v>8104672056</v>
      </c>
      <c r="P18" s="12" t="s">
        <v>1160</v>
      </c>
      <c r="Q18" s="10" t="s">
        <v>44</v>
      </c>
      <c r="R18" s="2" t="s">
        <v>47</v>
      </c>
      <c r="S18" s="101" t="s">
        <v>311</v>
      </c>
      <c r="T18" s="101" t="s">
        <v>312</v>
      </c>
      <c r="U18" s="101" t="s">
        <v>1185</v>
      </c>
      <c r="V18" s="101" t="s">
        <v>1162</v>
      </c>
      <c r="W18" s="4" t="s">
        <v>71</v>
      </c>
      <c r="X18" s="4" t="s">
        <v>1163</v>
      </c>
      <c r="Z18" s="102" t="s">
        <v>1164</v>
      </c>
      <c r="AC18" s="103" t="s">
        <v>1165</v>
      </c>
      <c r="AD18" s="103" t="s">
        <v>1166</v>
      </c>
      <c r="AE18" s="103" t="s">
        <v>1167</v>
      </c>
      <c r="AF18" s="103" t="s">
        <v>1168</v>
      </c>
    </row>
    <row r="19" spans="1:42" ht="15.75" customHeight="1">
      <c r="A19" s="104" t="s">
        <v>34</v>
      </c>
      <c r="B19" s="104">
        <v>108</v>
      </c>
      <c r="C19" s="44" t="s">
        <v>1186</v>
      </c>
      <c r="D19" s="6"/>
      <c r="E19" s="6"/>
      <c r="F19" s="80" t="s">
        <v>1187</v>
      </c>
      <c r="G19" s="20" t="s">
        <v>1188</v>
      </c>
      <c r="H19" s="18" t="s">
        <v>39</v>
      </c>
      <c r="I19" s="20" t="s">
        <v>1189</v>
      </c>
      <c r="J19" s="20" t="s">
        <v>1190</v>
      </c>
      <c r="K19" s="20" t="s">
        <v>1191</v>
      </c>
      <c r="L19" s="19" t="s">
        <v>44</v>
      </c>
      <c r="M19" s="20">
        <v>7044213777</v>
      </c>
      <c r="N19" s="18" t="s">
        <v>44</v>
      </c>
      <c r="O19" s="20">
        <v>7044213777</v>
      </c>
      <c r="P19" s="22" t="s">
        <v>1192</v>
      </c>
      <c r="Q19" s="19" t="s">
        <v>44</v>
      </c>
      <c r="R19" s="6" t="s">
        <v>47</v>
      </c>
      <c r="S19" s="18" t="s">
        <v>395</v>
      </c>
      <c r="T19" s="18" t="s">
        <v>395</v>
      </c>
      <c r="U19" s="18" t="s">
        <v>395</v>
      </c>
      <c r="V19" s="18" t="s">
        <v>395</v>
      </c>
      <c r="W19" s="17" t="s">
        <v>1193</v>
      </c>
      <c r="X19" s="17" t="s">
        <v>1194</v>
      </c>
      <c r="Y19" s="6"/>
      <c r="Z19" s="6"/>
      <c r="AA19" s="6"/>
      <c r="AB19" s="6"/>
      <c r="AC19" s="6"/>
      <c r="AD19" s="6"/>
      <c r="AE19" s="6"/>
      <c r="AF19" s="6"/>
      <c r="AG19" s="6"/>
      <c r="AH19" s="6"/>
      <c r="AI19" s="6"/>
      <c r="AJ19" s="6"/>
      <c r="AK19" s="6"/>
      <c r="AL19" s="6"/>
      <c r="AM19" s="6"/>
      <c r="AN19" s="6"/>
      <c r="AO19" s="6"/>
      <c r="AP19" s="6"/>
    </row>
    <row r="20" spans="1:42" ht="15.75" customHeight="1">
      <c r="A20" s="91" t="s">
        <v>34</v>
      </c>
      <c r="B20" s="91">
        <v>109</v>
      </c>
      <c r="C20" s="58" t="s">
        <v>1195</v>
      </c>
      <c r="D20" s="25"/>
      <c r="E20" s="25"/>
      <c r="F20" s="60" t="s">
        <v>1196</v>
      </c>
      <c r="G20" s="31" t="s">
        <v>1197</v>
      </c>
      <c r="H20" s="29" t="s">
        <v>39</v>
      </c>
      <c r="I20" s="31" t="s">
        <v>1198</v>
      </c>
      <c r="J20" s="31" t="s">
        <v>1199</v>
      </c>
      <c r="K20" s="31" t="s">
        <v>116</v>
      </c>
      <c r="L20" s="59" t="s">
        <v>1200</v>
      </c>
      <c r="M20" s="31">
        <v>8850070778</v>
      </c>
      <c r="N20" s="29" t="s">
        <v>44</v>
      </c>
      <c r="O20" s="31">
        <v>8850070778</v>
      </c>
      <c r="P20" s="33" t="s">
        <v>1201</v>
      </c>
      <c r="Q20" s="30" t="s">
        <v>44</v>
      </c>
      <c r="R20" s="25" t="s">
        <v>47</v>
      </c>
      <c r="S20" s="51" t="s">
        <v>1202</v>
      </c>
      <c r="T20" s="51" t="s">
        <v>1203</v>
      </c>
      <c r="U20" s="51" t="s">
        <v>1204</v>
      </c>
      <c r="V20" s="51" t="s">
        <v>1205</v>
      </c>
      <c r="W20" s="28" t="s">
        <v>1206</v>
      </c>
      <c r="X20" s="28" t="s">
        <v>1207</v>
      </c>
      <c r="Y20" s="25"/>
      <c r="Z20" s="25"/>
      <c r="AA20" s="25"/>
      <c r="AB20" s="25"/>
      <c r="AC20" s="28" t="s">
        <v>1208</v>
      </c>
      <c r="AD20" s="28" t="s">
        <v>1209</v>
      </c>
      <c r="AE20" s="28" t="s">
        <v>1210</v>
      </c>
      <c r="AF20" s="28" t="s">
        <v>1211</v>
      </c>
      <c r="AG20" s="28" t="s">
        <v>1212</v>
      </c>
      <c r="AH20" s="28" t="s">
        <v>1213</v>
      </c>
      <c r="AI20" s="25"/>
      <c r="AJ20" s="25"/>
      <c r="AK20" s="25"/>
      <c r="AL20" s="25"/>
      <c r="AM20" s="25"/>
      <c r="AN20" s="25"/>
      <c r="AO20" s="25"/>
      <c r="AP20" s="25"/>
    </row>
    <row r="21" spans="1:42" ht="15.75" customHeight="1">
      <c r="A21" s="91" t="s">
        <v>34</v>
      </c>
      <c r="B21" s="91">
        <v>110</v>
      </c>
      <c r="C21" s="58" t="s">
        <v>1214</v>
      </c>
      <c r="D21" s="25"/>
      <c r="E21" s="25"/>
      <c r="F21" s="60" t="s">
        <v>1215</v>
      </c>
      <c r="G21" s="31" t="s">
        <v>1216</v>
      </c>
      <c r="H21" s="29" t="s">
        <v>39</v>
      </c>
      <c r="I21" s="31" t="s">
        <v>1217</v>
      </c>
      <c r="J21" s="31" t="s">
        <v>1199</v>
      </c>
      <c r="K21" s="31" t="s">
        <v>1218</v>
      </c>
      <c r="L21" s="30" t="s">
        <v>44</v>
      </c>
      <c r="M21" s="31">
        <v>8850070778</v>
      </c>
      <c r="N21" s="29" t="s">
        <v>44</v>
      </c>
      <c r="O21" s="31">
        <v>8850070778</v>
      </c>
      <c r="P21" s="33" t="s">
        <v>1219</v>
      </c>
      <c r="Q21" s="30" t="s">
        <v>44</v>
      </c>
      <c r="R21" s="25" t="s">
        <v>47</v>
      </c>
      <c r="S21" s="51" t="s">
        <v>1220</v>
      </c>
      <c r="T21" s="51" t="s">
        <v>49</v>
      </c>
      <c r="U21" s="51" t="s">
        <v>1221</v>
      </c>
      <c r="V21" s="51" t="s">
        <v>1222</v>
      </c>
      <c r="W21" s="28" t="s">
        <v>1223</v>
      </c>
      <c r="X21" s="28" t="s">
        <v>1224</v>
      </c>
      <c r="Y21" s="25"/>
      <c r="Z21" s="25"/>
      <c r="AA21" s="25"/>
      <c r="AB21" s="25"/>
      <c r="AC21" s="28" t="s">
        <v>1225</v>
      </c>
      <c r="AD21" s="28" t="s">
        <v>1226</v>
      </c>
      <c r="AE21" s="28" t="s">
        <v>1227</v>
      </c>
      <c r="AF21" s="28" t="s">
        <v>1228</v>
      </c>
      <c r="AG21" s="28" t="s">
        <v>1229</v>
      </c>
      <c r="AH21" s="28" t="s">
        <v>1230</v>
      </c>
      <c r="AI21" s="28" t="s">
        <v>1231</v>
      </c>
      <c r="AJ21" s="28" t="s">
        <v>1232</v>
      </c>
      <c r="AK21" s="28" t="s">
        <v>1233</v>
      </c>
      <c r="AL21" s="28" t="s">
        <v>1234</v>
      </c>
      <c r="AM21" s="28" t="s">
        <v>1235</v>
      </c>
      <c r="AN21" s="28" t="s">
        <v>1236</v>
      </c>
      <c r="AO21" s="28" t="s">
        <v>1237</v>
      </c>
      <c r="AP21" s="28" t="s">
        <v>1238</v>
      </c>
    </row>
    <row r="22" spans="1:42" ht="15.75" customHeight="1">
      <c r="A22" s="91" t="s">
        <v>34</v>
      </c>
      <c r="B22" s="91">
        <v>111</v>
      </c>
      <c r="C22" s="58" t="s">
        <v>1239</v>
      </c>
      <c r="D22" s="25"/>
      <c r="E22" s="25"/>
      <c r="F22" s="60" t="s">
        <v>1240</v>
      </c>
      <c r="G22" s="31" t="s">
        <v>1241</v>
      </c>
      <c r="H22" s="29" t="s">
        <v>39</v>
      </c>
      <c r="I22" s="31" t="s">
        <v>1242</v>
      </c>
      <c r="J22" s="31" t="s">
        <v>1243</v>
      </c>
      <c r="K22" s="31" t="s">
        <v>534</v>
      </c>
      <c r="L22" s="59" t="s">
        <v>1244</v>
      </c>
      <c r="M22" s="31">
        <v>9820768266</v>
      </c>
      <c r="N22" s="29" t="s">
        <v>44</v>
      </c>
      <c r="O22" s="31">
        <v>9820768266</v>
      </c>
      <c r="P22" s="33" t="s">
        <v>1245</v>
      </c>
      <c r="Q22" s="30" t="s">
        <v>44</v>
      </c>
      <c r="R22" s="25" t="s">
        <v>47</v>
      </c>
      <c r="S22" s="51" t="s">
        <v>1246</v>
      </c>
      <c r="T22" s="51" t="s">
        <v>49</v>
      </c>
      <c r="U22" s="51" t="s">
        <v>1247</v>
      </c>
      <c r="V22" s="51" t="s">
        <v>1248</v>
      </c>
      <c r="W22" s="28" t="s">
        <v>1249</v>
      </c>
      <c r="X22" s="28" t="s">
        <v>1250</v>
      </c>
      <c r="Y22" s="25"/>
      <c r="Z22" s="25"/>
      <c r="AA22" s="25"/>
      <c r="AB22" s="25"/>
      <c r="AC22" s="25"/>
      <c r="AD22" s="25"/>
      <c r="AE22" s="25"/>
      <c r="AF22" s="25"/>
      <c r="AG22" s="25"/>
      <c r="AH22" s="25"/>
      <c r="AI22" s="25"/>
      <c r="AJ22" s="25"/>
      <c r="AK22" s="25"/>
      <c r="AL22" s="25"/>
      <c r="AM22" s="25"/>
      <c r="AN22" s="25"/>
      <c r="AO22" s="25"/>
      <c r="AP22" s="25"/>
    </row>
    <row r="23" spans="1:42" ht="15.75" customHeight="1">
      <c r="A23" s="91" t="s">
        <v>34</v>
      </c>
      <c r="B23" s="91">
        <v>112</v>
      </c>
      <c r="C23" s="92" t="s">
        <v>1251</v>
      </c>
      <c r="D23" s="25"/>
      <c r="E23" s="25"/>
      <c r="F23" s="60" t="s">
        <v>1252</v>
      </c>
      <c r="G23" s="31" t="s">
        <v>1253</v>
      </c>
      <c r="H23" s="29" t="s">
        <v>39</v>
      </c>
      <c r="I23" s="31" t="s">
        <v>1254</v>
      </c>
      <c r="J23" s="31" t="s">
        <v>1255</v>
      </c>
      <c r="K23" s="31" t="s">
        <v>1256</v>
      </c>
      <c r="L23" s="59" t="s">
        <v>1257</v>
      </c>
      <c r="M23" s="31">
        <v>9820735575</v>
      </c>
      <c r="N23" s="29" t="s">
        <v>44</v>
      </c>
      <c r="O23" s="31">
        <v>9820735575</v>
      </c>
      <c r="P23" s="30" t="s">
        <v>44</v>
      </c>
      <c r="Q23" s="30" t="s">
        <v>44</v>
      </c>
      <c r="R23" s="25" t="s">
        <v>47</v>
      </c>
      <c r="S23" s="51" t="s">
        <v>1258</v>
      </c>
      <c r="T23" s="51" t="s">
        <v>1259</v>
      </c>
      <c r="U23" s="51" t="s">
        <v>1259</v>
      </c>
      <c r="V23" s="51" t="s">
        <v>1258</v>
      </c>
      <c r="W23" s="28" t="s">
        <v>71</v>
      </c>
      <c r="X23" s="28" t="s">
        <v>1260</v>
      </c>
      <c r="Y23" s="25"/>
      <c r="Z23" s="25"/>
      <c r="AA23" s="25"/>
      <c r="AB23" s="28"/>
      <c r="AC23" s="28" t="s">
        <v>1261</v>
      </c>
      <c r="AD23" s="28" t="s">
        <v>1262</v>
      </c>
      <c r="AE23" s="28" t="s">
        <v>1263</v>
      </c>
      <c r="AF23" s="28" t="s">
        <v>1264</v>
      </c>
      <c r="AG23" s="28" t="s">
        <v>1265</v>
      </c>
      <c r="AH23" s="28" t="s">
        <v>1266</v>
      </c>
      <c r="AI23" s="28" t="s">
        <v>1267</v>
      </c>
      <c r="AJ23" s="28" t="s">
        <v>1268</v>
      </c>
      <c r="AK23" s="28" t="s">
        <v>1269</v>
      </c>
      <c r="AL23" s="28" t="s">
        <v>1270</v>
      </c>
      <c r="AM23" s="25"/>
      <c r="AN23" s="25"/>
      <c r="AO23" s="25"/>
      <c r="AP23" s="25"/>
    </row>
    <row r="24" spans="1:42" ht="15.75" customHeight="1">
      <c r="A24" s="91" t="s">
        <v>34</v>
      </c>
      <c r="B24" s="91">
        <v>113</v>
      </c>
      <c r="C24" s="92" t="s">
        <v>1271</v>
      </c>
      <c r="D24" s="25"/>
      <c r="E24" s="25"/>
      <c r="F24" s="60" t="s">
        <v>1272</v>
      </c>
      <c r="G24" s="31" t="s">
        <v>1273</v>
      </c>
      <c r="H24" s="29" t="s">
        <v>39</v>
      </c>
      <c r="I24" s="31" t="s">
        <v>1274</v>
      </c>
      <c r="J24" s="31" t="s">
        <v>1275</v>
      </c>
      <c r="K24" s="31" t="s">
        <v>534</v>
      </c>
      <c r="L24" s="59" t="s">
        <v>1276</v>
      </c>
      <c r="M24" s="31">
        <v>9323195233</v>
      </c>
      <c r="N24" s="29" t="s">
        <v>44</v>
      </c>
      <c r="O24" s="31">
        <v>9323195233</v>
      </c>
      <c r="P24" s="30" t="s">
        <v>44</v>
      </c>
      <c r="Q24" s="30" t="s">
        <v>44</v>
      </c>
      <c r="R24" s="25" t="s">
        <v>47</v>
      </c>
      <c r="S24" s="51" t="s">
        <v>1277</v>
      </c>
      <c r="T24" s="51" t="s">
        <v>1278</v>
      </c>
      <c r="U24" s="51" t="s">
        <v>1279</v>
      </c>
      <c r="V24" s="51" t="s">
        <v>1280</v>
      </c>
      <c r="W24" s="28" t="s">
        <v>71</v>
      </c>
      <c r="X24" s="28" t="s">
        <v>1281</v>
      </c>
      <c r="Y24" s="25"/>
      <c r="Z24" s="25"/>
      <c r="AA24" s="25"/>
      <c r="AB24" s="25"/>
      <c r="AC24" s="25"/>
      <c r="AD24" s="25"/>
      <c r="AE24" s="25"/>
      <c r="AF24" s="25"/>
      <c r="AG24" s="25"/>
      <c r="AH24" s="25"/>
      <c r="AI24" s="25"/>
      <c r="AJ24" s="25"/>
      <c r="AK24" s="25"/>
      <c r="AL24" s="25"/>
      <c r="AM24" s="25"/>
      <c r="AN24" s="25"/>
      <c r="AO24" s="25"/>
      <c r="AP24" s="25"/>
    </row>
    <row r="25" spans="1:42" ht="15.75" customHeight="1">
      <c r="A25" s="93"/>
      <c r="B25" s="93">
        <v>114</v>
      </c>
      <c r="C25" s="99" t="s">
        <v>1282</v>
      </c>
      <c r="F25" s="100" t="s">
        <v>1283</v>
      </c>
      <c r="G25" s="95" t="s">
        <v>1284</v>
      </c>
      <c r="H25" s="5" t="s">
        <v>39</v>
      </c>
      <c r="I25" s="95" t="s">
        <v>1285</v>
      </c>
      <c r="J25" s="95" t="s">
        <v>1286</v>
      </c>
      <c r="K25" s="95" t="s">
        <v>1287</v>
      </c>
      <c r="L25" s="96" t="s">
        <v>1288</v>
      </c>
      <c r="M25" s="95">
        <v>9004477002</v>
      </c>
      <c r="N25" s="9" t="s">
        <v>44</v>
      </c>
      <c r="O25" s="95">
        <v>9004477002</v>
      </c>
      <c r="P25" s="12" t="s">
        <v>1289</v>
      </c>
      <c r="Q25" s="10" t="s">
        <v>44</v>
      </c>
      <c r="R25" s="2" t="s">
        <v>47</v>
      </c>
      <c r="S25" s="105" t="s">
        <v>170</v>
      </c>
      <c r="T25" s="105" t="s">
        <v>49</v>
      </c>
      <c r="U25" s="105" t="s">
        <v>1290</v>
      </c>
      <c r="V25" s="105" t="s">
        <v>1291</v>
      </c>
      <c r="W25" s="4" t="s">
        <v>71</v>
      </c>
      <c r="X25" s="4" t="s">
        <v>1292</v>
      </c>
      <c r="AC25" s="103" t="s">
        <v>1293</v>
      </c>
      <c r="AD25" s="103" t="s">
        <v>1294</v>
      </c>
      <c r="AE25" s="103" t="s">
        <v>1295</v>
      </c>
      <c r="AF25" s="103" t="s">
        <v>1296</v>
      </c>
      <c r="AG25" s="103" t="s">
        <v>1297</v>
      </c>
      <c r="AH25" s="103" t="s">
        <v>1298</v>
      </c>
    </row>
    <row r="26" spans="1:42" ht="15.75" customHeight="1">
      <c r="A26" s="104" t="s">
        <v>34</v>
      </c>
      <c r="B26" s="104">
        <v>115</v>
      </c>
      <c r="C26" s="44" t="s">
        <v>1299</v>
      </c>
      <c r="D26" s="6"/>
      <c r="E26" s="6"/>
      <c r="F26" s="80" t="s">
        <v>1300</v>
      </c>
      <c r="G26" s="6" t="s">
        <v>1301</v>
      </c>
      <c r="H26" s="18" t="s">
        <v>39</v>
      </c>
      <c r="I26" s="20" t="s">
        <v>1302</v>
      </c>
      <c r="J26" s="20" t="s">
        <v>1303</v>
      </c>
      <c r="K26" s="20" t="s">
        <v>191</v>
      </c>
      <c r="L26" s="86" t="s">
        <v>1304</v>
      </c>
      <c r="M26" s="20">
        <v>9820941012</v>
      </c>
      <c r="N26" s="18" t="s">
        <v>44</v>
      </c>
      <c r="O26" s="20">
        <v>9820941012</v>
      </c>
      <c r="P26" s="22" t="s">
        <v>1305</v>
      </c>
      <c r="Q26" s="19" t="s">
        <v>44</v>
      </c>
      <c r="R26" s="6" t="s">
        <v>47</v>
      </c>
      <c r="S26" s="24" t="s">
        <v>1306</v>
      </c>
      <c r="T26" s="24" t="s">
        <v>1307</v>
      </c>
      <c r="U26" s="24" t="s">
        <v>1308</v>
      </c>
      <c r="V26" s="24" t="s">
        <v>1309</v>
      </c>
      <c r="W26" s="17" t="s">
        <v>71</v>
      </c>
      <c r="X26" s="17" t="s">
        <v>1310</v>
      </c>
      <c r="Y26" s="6"/>
      <c r="Z26" s="6"/>
      <c r="AA26" s="6"/>
      <c r="AB26" s="6"/>
      <c r="AC26" s="6"/>
      <c r="AD26" s="6"/>
      <c r="AE26" s="6"/>
      <c r="AF26" s="6"/>
      <c r="AG26" s="6"/>
      <c r="AH26" s="6"/>
      <c r="AI26" s="6"/>
      <c r="AJ26" s="6"/>
      <c r="AK26" s="6"/>
      <c r="AL26" s="6"/>
      <c r="AM26" s="6"/>
      <c r="AN26" s="6"/>
      <c r="AO26" s="6"/>
      <c r="AP26" s="6"/>
    </row>
    <row r="27" spans="1:42" ht="16.8">
      <c r="A27" s="104" t="s">
        <v>34</v>
      </c>
      <c r="B27" s="104">
        <v>116</v>
      </c>
      <c r="C27" s="44" t="s">
        <v>1311</v>
      </c>
      <c r="D27" s="6"/>
      <c r="E27" s="6"/>
      <c r="F27" s="80" t="s">
        <v>1312</v>
      </c>
      <c r="G27" s="6" t="s">
        <v>1313</v>
      </c>
      <c r="H27" s="18" t="s">
        <v>39</v>
      </c>
      <c r="I27" s="20" t="s">
        <v>1302</v>
      </c>
      <c r="J27" s="20" t="s">
        <v>1314</v>
      </c>
      <c r="K27" s="20" t="s">
        <v>1315</v>
      </c>
      <c r="L27" s="86" t="s">
        <v>1304</v>
      </c>
      <c r="M27" s="20">
        <v>8149634693</v>
      </c>
      <c r="N27" s="18" t="s">
        <v>44</v>
      </c>
      <c r="O27" s="20">
        <v>8149634693</v>
      </c>
      <c r="P27" s="22" t="s">
        <v>1305</v>
      </c>
      <c r="Q27" s="19" t="s">
        <v>44</v>
      </c>
      <c r="R27" s="6" t="s">
        <v>47</v>
      </c>
      <c r="S27" s="24" t="s">
        <v>1316</v>
      </c>
      <c r="T27" s="24" t="s">
        <v>1317</v>
      </c>
      <c r="U27" s="24" t="s">
        <v>1308</v>
      </c>
      <c r="V27" s="24" t="s">
        <v>1309</v>
      </c>
      <c r="W27" s="17" t="s">
        <v>71</v>
      </c>
      <c r="X27" s="17" t="s">
        <v>1318</v>
      </c>
      <c r="Y27" s="6"/>
      <c r="Z27" s="6"/>
      <c r="AA27" s="6"/>
      <c r="AB27" s="6"/>
      <c r="AC27" s="6"/>
      <c r="AD27" s="6"/>
      <c r="AE27" s="6"/>
      <c r="AF27" s="6"/>
      <c r="AG27" s="6"/>
      <c r="AH27" s="6"/>
      <c r="AI27" s="6"/>
      <c r="AJ27" s="6"/>
      <c r="AK27" s="6"/>
      <c r="AL27" s="6"/>
      <c r="AM27" s="6"/>
      <c r="AN27" s="6"/>
      <c r="AO27" s="6"/>
      <c r="AP27" s="6"/>
    </row>
    <row r="28" spans="1:42" ht="16.8">
      <c r="A28" s="104" t="s">
        <v>34</v>
      </c>
      <c r="B28" s="104">
        <v>117</v>
      </c>
      <c r="C28" s="44" t="s">
        <v>1319</v>
      </c>
      <c r="D28" s="6"/>
      <c r="E28" s="6"/>
      <c r="F28" s="80" t="s">
        <v>1320</v>
      </c>
      <c r="G28" s="6" t="s">
        <v>1321</v>
      </c>
      <c r="H28" s="18" t="s">
        <v>39</v>
      </c>
      <c r="I28" s="20" t="s">
        <v>1302</v>
      </c>
      <c r="J28" s="20" t="s">
        <v>1322</v>
      </c>
      <c r="K28" s="20" t="s">
        <v>1323</v>
      </c>
      <c r="L28" s="86" t="s">
        <v>1304</v>
      </c>
      <c r="M28" s="20">
        <v>9867267202</v>
      </c>
      <c r="N28" s="18" t="s">
        <v>44</v>
      </c>
      <c r="O28" s="20">
        <v>9867267202</v>
      </c>
      <c r="P28" s="22" t="s">
        <v>1305</v>
      </c>
      <c r="Q28" s="19" t="s">
        <v>44</v>
      </c>
      <c r="R28" s="6" t="s">
        <v>47</v>
      </c>
      <c r="S28" s="24" t="s">
        <v>1324</v>
      </c>
      <c r="T28" s="24" t="s">
        <v>1325</v>
      </c>
      <c r="U28" s="24" t="s">
        <v>1308</v>
      </c>
      <c r="V28" s="24" t="s">
        <v>1309</v>
      </c>
      <c r="W28" s="17" t="s">
        <v>71</v>
      </c>
      <c r="X28" s="17" t="s">
        <v>1326</v>
      </c>
      <c r="Y28" s="6"/>
      <c r="Z28" s="6"/>
      <c r="AA28" s="6"/>
      <c r="AB28" s="6"/>
      <c r="AC28" s="6"/>
      <c r="AD28" s="6"/>
      <c r="AE28" s="6"/>
      <c r="AF28" s="6"/>
      <c r="AG28" s="6"/>
      <c r="AH28" s="6"/>
      <c r="AI28" s="6"/>
      <c r="AJ28" s="6"/>
      <c r="AK28" s="6"/>
      <c r="AL28" s="6"/>
      <c r="AM28" s="6"/>
      <c r="AN28" s="6"/>
      <c r="AO28" s="6"/>
      <c r="AP28" s="6"/>
    </row>
    <row r="29" spans="1:42" ht="16.8">
      <c r="A29" s="104" t="s">
        <v>34</v>
      </c>
      <c r="B29" s="104">
        <v>118</v>
      </c>
      <c r="C29" s="44" t="s">
        <v>1327</v>
      </c>
      <c r="D29" s="6"/>
      <c r="E29" s="6"/>
      <c r="F29" s="80" t="s">
        <v>1328</v>
      </c>
      <c r="G29" s="6" t="s">
        <v>1301</v>
      </c>
      <c r="H29" s="18" t="s">
        <v>39</v>
      </c>
      <c r="I29" s="20" t="s">
        <v>1302</v>
      </c>
      <c r="J29" s="20" t="s">
        <v>1329</v>
      </c>
      <c r="K29" s="20" t="s">
        <v>1330</v>
      </c>
      <c r="L29" s="86" t="s">
        <v>1304</v>
      </c>
      <c r="M29" s="20">
        <v>9833775438</v>
      </c>
      <c r="N29" s="18" t="s">
        <v>44</v>
      </c>
      <c r="O29" s="20">
        <v>9833775438</v>
      </c>
      <c r="P29" s="22" t="s">
        <v>1305</v>
      </c>
      <c r="Q29" s="19" t="s">
        <v>44</v>
      </c>
      <c r="R29" s="6" t="s">
        <v>47</v>
      </c>
      <c r="S29" s="24" t="s">
        <v>1331</v>
      </c>
      <c r="T29" s="24" t="s">
        <v>1332</v>
      </c>
      <c r="U29" s="24" t="s">
        <v>1308</v>
      </c>
      <c r="V29" s="24" t="s">
        <v>1309</v>
      </c>
      <c r="W29" s="17" t="s">
        <v>71</v>
      </c>
      <c r="X29" s="17" t="s">
        <v>1333</v>
      </c>
      <c r="Y29" s="6"/>
      <c r="Z29" s="6"/>
      <c r="AA29" s="6"/>
      <c r="AB29" s="6"/>
      <c r="AC29" s="6"/>
      <c r="AD29" s="6"/>
      <c r="AE29" s="6"/>
      <c r="AF29" s="6"/>
      <c r="AG29" s="6"/>
      <c r="AH29" s="6"/>
      <c r="AI29" s="6"/>
      <c r="AJ29" s="6"/>
      <c r="AK29" s="6"/>
      <c r="AL29" s="6"/>
      <c r="AM29" s="6"/>
      <c r="AN29" s="6"/>
      <c r="AO29" s="6"/>
      <c r="AP29" s="6"/>
    </row>
    <row r="30" spans="1:42" ht="16.8">
      <c r="A30" s="104" t="s">
        <v>34</v>
      </c>
      <c r="B30" s="104">
        <v>119</v>
      </c>
      <c r="C30" s="44" t="s">
        <v>1334</v>
      </c>
      <c r="D30" s="6"/>
      <c r="E30" s="6"/>
      <c r="F30" s="80" t="s">
        <v>1335</v>
      </c>
      <c r="G30" s="6" t="s">
        <v>1301</v>
      </c>
      <c r="H30" s="18" t="s">
        <v>39</v>
      </c>
      <c r="I30" s="20" t="s">
        <v>1302</v>
      </c>
      <c r="J30" s="20" t="s">
        <v>1336</v>
      </c>
      <c r="K30" s="20" t="s">
        <v>1337</v>
      </c>
      <c r="L30" s="86" t="s">
        <v>1304</v>
      </c>
      <c r="M30" s="20">
        <v>9930065435</v>
      </c>
      <c r="N30" s="18" t="s">
        <v>44</v>
      </c>
      <c r="O30" s="20">
        <v>9930065435</v>
      </c>
      <c r="P30" s="22" t="s">
        <v>1305</v>
      </c>
      <c r="Q30" s="19" t="s">
        <v>44</v>
      </c>
      <c r="R30" s="6" t="s">
        <v>47</v>
      </c>
      <c r="S30" s="24" t="s">
        <v>1338</v>
      </c>
      <c r="T30" s="24" t="s">
        <v>1339</v>
      </c>
      <c r="U30" s="24" t="s">
        <v>1308</v>
      </c>
      <c r="V30" s="24" t="s">
        <v>1309</v>
      </c>
      <c r="W30" s="17" t="s">
        <v>71</v>
      </c>
      <c r="X30" s="17" t="s">
        <v>1340</v>
      </c>
      <c r="Y30" s="6"/>
      <c r="Z30" s="6"/>
      <c r="AA30" s="6"/>
      <c r="AB30" s="6"/>
      <c r="AC30" s="6"/>
      <c r="AD30" s="6"/>
      <c r="AE30" s="6"/>
      <c r="AF30" s="6"/>
      <c r="AG30" s="6"/>
      <c r="AH30" s="6"/>
      <c r="AI30" s="6"/>
      <c r="AJ30" s="6"/>
      <c r="AK30" s="6"/>
      <c r="AL30" s="6"/>
      <c r="AM30" s="6"/>
      <c r="AN30" s="6"/>
      <c r="AO30" s="6"/>
      <c r="AP30" s="6"/>
    </row>
    <row r="31" spans="1:42" ht="16.8">
      <c r="A31" s="104" t="s">
        <v>34</v>
      </c>
      <c r="B31" s="104">
        <v>120</v>
      </c>
      <c r="C31" s="44" t="s">
        <v>1341</v>
      </c>
      <c r="D31" s="6"/>
      <c r="E31" s="6"/>
      <c r="F31" s="80" t="s">
        <v>1342</v>
      </c>
      <c r="G31" s="6" t="s">
        <v>1301</v>
      </c>
      <c r="H31" s="18" t="s">
        <v>39</v>
      </c>
      <c r="I31" s="20" t="s">
        <v>1302</v>
      </c>
      <c r="J31" s="20" t="s">
        <v>1343</v>
      </c>
      <c r="K31" s="20" t="s">
        <v>1344</v>
      </c>
      <c r="L31" s="86" t="s">
        <v>1304</v>
      </c>
      <c r="M31" s="20">
        <v>7506022996</v>
      </c>
      <c r="N31" s="18" t="s">
        <v>44</v>
      </c>
      <c r="O31" s="20">
        <v>7506022996</v>
      </c>
      <c r="P31" s="22" t="s">
        <v>1305</v>
      </c>
      <c r="Q31" s="19" t="s">
        <v>44</v>
      </c>
      <c r="R31" s="6" t="s">
        <v>47</v>
      </c>
      <c r="S31" s="24" t="s">
        <v>1345</v>
      </c>
      <c r="T31" s="24" t="s">
        <v>1346</v>
      </c>
      <c r="U31" s="24" t="s">
        <v>1308</v>
      </c>
      <c r="V31" s="24" t="s">
        <v>1309</v>
      </c>
      <c r="W31" s="17" t="s">
        <v>71</v>
      </c>
      <c r="X31" s="17" t="s">
        <v>1347</v>
      </c>
      <c r="Y31" s="6"/>
      <c r="Z31" s="6"/>
      <c r="AA31" s="6"/>
      <c r="AB31" s="6"/>
      <c r="AC31" s="6"/>
      <c r="AD31" s="6"/>
      <c r="AE31" s="6"/>
      <c r="AF31" s="6"/>
      <c r="AG31" s="6"/>
      <c r="AH31" s="6"/>
      <c r="AI31" s="6"/>
      <c r="AJ31" s="6"/>
      <c r="AK31" s="6"/>
      <c r="AL31" s="6"/>
      <c r="AM31" s="6"/>
      <c r="AN31" s="6"/>
      <c r="AO31" s="6"/>
      <c r="AP31" s="6"/>
    </row>
    <row r="32" spans="1:42" ht="16.8">
      <c r="A32" s="104" t="s">
        <v>34</v>
      </c>
      <c r="B32" s="104">
        <v>121</v>
      </c>
      <c r="C32" s="44" t="s">
        <v>1348</v>
      </c>
      <c r="D32" s="6"/>
      <c r="E32" s="6"/>
      <c r="F32" s="80" t="s">
        <v>1349</v>
      </c>
      <c r="G32" s="6" t="s">
        <v>1301</v>
      </c>
      <c r="H32" s="18" t="s">
        <v>39</v>
      </c>
      <c r="I32" s="20" t="s">
        <v>1302</v>
      </c>
      <c r="J32" s="20" t="s">
        <v>1350</v>
      </c>
      <c r="K32" s="20" t="s">
        <v>191</v>
      </c>
      <c r="L32" s="86" t="s">
        <v>1304</v>
      </c>
      <c r="M32" s="20">
        <v>9664237770</v>
      </c>
      <c r="N32" s="18" t="s">
        <v>44</v>
      </c>
      <c r="O32" s="20">
        <v>9664237770</v>
      </c>
      <c r="P32" s="22" t="s">
        <v>1305</v>
      </c>
      <c r="Q32" s="19" t="s">
        <v>44</v>
      </c>
      <c r="R32" s="6" t="s">
        <v>47</v>
      </c>
      <c r="S32" s="24" t="s">
        <v>1351</v>
      </c>
      <c r="T32" s="24" t="s">
        <v>1352</v>
      </c>
      <c r="U32" s="24" t="s">
        <v>1308</v>
      </c>
      <c r="V32" s="24" t="s">
        <v>1309</v>
      </c>
      <c r="W32" s="17" t="s">
        <v>71</v>
      </c>
      <c r="X32" s="17" t="s">
        <v>1353</v>
      </c>
      <c r="Y32" s="6"/>
      <c r="Z32" s="6"/>
      <c r="AA32" s="6"/>
      <c r="AB32" s="6"/>
      <c r="AC32" s="6"/>
      <c r="AD32" s="6"/>
      <c r="AE32" s="6"/>
      <c r="AF32" s="6"/>
      <c r="AG32" s="6"/>
      <c r="AH32" s="6"/>
      <c r="AI32" s="6"/>
      <c r="AJ32" s="6"/>
      <c r="AK32" s="6"/>
      <c r="AL32" s="6"/>
      <c r="AM32" s="6"/>
      <c r="AN32" s="6"/>
      <c r="AO32" s="6"/>
      <c r="AP32" s="6"/>
    </row>
    <row r="33" spans="1:42" ht="16.8">
      <c r="A33" s="104" t="s">
        <v>34</v>
      </c>
      <c r="B33" s="104">
        <v>122</v>
      </c>
      <c r="C33" s="106" t="s">
        <v>1354</v>
      </c>
      <c r="D33" s="6"/>
      <c r="E33" s="6"/>
      <c r="F33" s="80" t="s">
        <v>1355</v>
      </c>
      <c r="G33" s="6" t="s">
        <v>1356</v>
      </c>
      <c r="H33" s="18" t="s">
        <v>39</v>
      </c>
      <c r="I33" s="20" t="s">
        <v>1357</v>
      </c>
      <c r="J33" s="20" t="s">
        <v>1358</v>
      </c>
      <c r="K33" s="20" t="s">
        <v>1359</v>
      </c>
      <c r="L33" s="86" t="s">
        <v>1360</v>
      </c>
      <c r="M33" s="20">
        <v>9833920865</v>
      </c>
      <c r="N33" s="18" t="s">
        <v>44</v>
      </c>
      <c r="O33" s="20">
        <v>9833920865</v>
      </c>
      <c r="P33" s="22" t="s">
        <v>1361</v>
      </c>
      <c r="Q33" s="19" t="s">
        <v>44</v>
      </c>
      <c r="R33" s="6" t="s">
        <v>47</v>
      </c>
      <c r="S33" s="18" t="s">
        <v>395</v>
      </c>
      <c r="T33" s="18" t="s">
        <v>395</v>
      </c>
      <c r="U33" s="18" t="s">
        <v>395</v>
      </c>
      <c r="V33" s="18" t="s">
        <v>395</v>
      </c>
      <c r="W33" s="17" t="s">
        <v>71</v>
      </c>
      <c r="X33" s="17" t="s">
        <v>1362</v>
      </c>
      <c r="Y33" s="6"/>
      <c r="Z33" s="6"/>
      <c r="AA33" s="6"/>
      <c r="AB33" s="6"/>
      <c r="AC33" s="17" t="s">
        <v>1363</v>
      </c>
      <c r="AD33" s="17" t="s">
        <v>1364</v>
      </c>
      <c r="AE33" s="17" t="s">
        <v>1365</v>
      </c>
      <c r="AF33" s="17" t="s">
        <v>1366</v>
      </c>
      <c r="AG33" s="17" t="s">
        <v>1367</v>
      </c>
      <c r="AH33" s="17" t="s">
        <v>1368</v>
      </c>
      <c r="AI33" s="17" t="s">
        <v>1369</v>
      </c>
      <c r="AJ33" s="17" t="s">
        <v>1370</v>
      </c>
      <c r="AK33" s="17" t="s">
        <v>1371</v>
      </c>
      <c r="AL33" s="17" t="s">
        <v>1372</v>
      </c>
      <c r="AM33" s="17" t="s">
        <v>1373</v>
      </c>
      <c r="AN33" s="17" t="s">
        <v>1374</v>
      </c>
      <c r="AO33" s="17" t="s">
        <v>1375</v>
      </c>
      <c r="AP33" s="17" t="s">
        <v>1376</v>
      </c>
    </row>
    <row r="34" spans="1:42" ht="16.8">
      <c r="A34" s="93"/>
      <c r="B34" s="93">
        <v>123</v>
      </c>
      <c r="C34" s="99" t="s">
        <v>1377</v>
      </c>
      <c r="F34" s="100" t="s">
        <v>1378</v>
      </c>
      <c r="G34" s="2" t="s">
        <v>1379</v>
      </c>
      <c r="H34" s="5" t="s">
        <v>39</v>
      </c>
      <c r="I34" s="10" t="s">
        <v>44</v>
      </c>
      <c r="J34" s="95" t="s">
        <v>1380</v>
      </c>
      <c r="K34" s="95" t="s">
        <v>1381</v>
      </c>
      <c r="L34" s="96" t="s">
        <v>1382</v>
      </c>
      <c r="M34" s="95">
        <v>7021091539</v>
      </c>
      <c r="N34" s="9" t="s">
        <v>44</v>
      </c>
      <c r="O34" s="95">
        <v>7021091539</v>
      </c>
      <c r="P34" s="10" t="s">
        <v>44</v>
      </c>
      <c r="Q34" s="10" t="s">
        <v>44</v>
      </c>
      <c r="R34" s="2" t="s">
        <v>47</v>
      </c>
      <c r="S34" s="5" t="s">
        <v>395</v>
      </c>
      <c r="T34" s="5" t="s">
        <v>395</v>
      </c>
      <c r="U34" s="5" t="s">
        <v>395</v>
      </c>
      <c r="V34" s="5" t="s">
        <v>395</v>
      </c>
      <c r="W34" s="4" t="s">
        <v>71</v>
      </c>
      <c r="X34" s="4" t="s">
        <v>71</v>
      </c>
    </row>
    <row r="35" spans="1:42" ht="16.8">
      <c r="A35" s="93"/>
      <c r="B35" s="93">
        <v>124</v>
      </c>
      <c r="C35" s="99" t="s">
        <v>1383</v>
      </c>
      <c r="F35" s="100" t="s">
        <v>1384</v>
      </c>
      <c r="G35" s="2" t="s">
        <v>1385</v>
      </c>
      <c r="H35" s="5" t="s">
        <v>39</v>
      </c>
      <c r="I35" s="10" t="s">
        <v>44</v>
      </c>
      <c r="J35" s="95" t="s">
        <v>1386</v>
      </c>
      <c r="K35" s="95" t="s">
        <v>1387</v>
      </c>
      <c r="L35" s="96" t="s">
        <v>1388</v>
      </c>
      <c r="M35" s="10">
        <v>9967768202</v>
      </c>
      <c r="N35" s="9" t="s">
        <v>44</v>
      </c>
      <c r="O35" s="10">
        <v>9967768202</v>
      </c>
      <c r="P35" s="10" t="s">
        <v>44</v>
      </c>
      <c r="Q35" s="10" t="s">
        <v>44</v>
      </c>
      <c r="R35" s="2" t="s">
        <v>47</v>
      </c>
      <c r="S35" s="5" t="s">
        <v>395</v>
      </c>
      <c r="T35" s="5" t="s">
        <v>395</v>
      </c>
      <c r="U35" s="5" t="s">
        <v>395</v>
      </c>
      <c r="V35" s="5" t="s">
        <v>395</v>
      </c>
      <c r="W35" s="4" t="s">
        <v>71</v>
      </c>
      <c r="X35" s="4" t="s">
        <v>71</v>
      </c>
    </row>
    <row r="36" spans="1:42" ht="16.8">
      <c r="A36" s="93"/>
      <c r="B36" s="93">
        <v>125</v>
      </c>
      <c r="C36" s="348" t="s">
        <v>1389</v>
      </c>
      <c r="F36" s="100" t="s">
        <v>1390</v>
      </c>
      <c r="G36" s="2" t="s">
        <v>1391</v>
      </c>
      <c r="H36" s="5" t="s">
        <v>39</v>
      </c>
      <c r="I36" s="95" t="s">
        <v>1392</v>
      </c>
      <c r="J36" s="95" t="s">
        <v>1393</v>
      </c>
      <c r="K36" s="95" t="s">
        <v>191</v>
      </c>
      <c r="L36" s="96" t="s">
        <v>1394</v>
      </c>
      <c r="M36" s="95">
        <v>8562066666</v>
      </c>
      <c r="N36" s="97">
        <v>7300000436</v>
      </c>
      <c r="O36" s="95">
        <v>8562066666</v>
      </c>
      <c r="P36" s="12" t="s">
        <v>1395</v>
      </c>
      <c r="Q36" s="10" t="s">
        <v>44</v>
      </c>
      <c r="R36" s="2" t="s">
        <v>47</v>
      </c>
      <c r="S36" s="105" t="s">
        <v>1396</v>
      </c>
      <c r="T36" s="105" t="s">
        <v>49</v>
      </c>
      <c r="U36" s="105" t="s">
        <v>1397</v>
      </c>
      <c r="V36" s="105" t="s">
        <v>49</v>
      </c>
      <c r="W36" s="4" t="s">
        <v>71</v>
      </c>
      <c r="X36" s="4" t="s">
        <v>71</v>
      </c>
    </row>
    <row r="37" spans="1:42" ht="16.8">
      <c r="A37" s="93"/>
      <c r="B37" s="93">
        <v>126</v>
      </c>
      <c r="C37" s="94" t="s">
        <v>1398</v>
      </c>
      <c r="F37" s="100" t="s">
        <v>1399</v>
      </c>
      <c r="G37" s="2" t="s">
        <v>1400</v>
      </c>
      <c r="H37" s="5" t="s">
        <v>39</v>
      </c>
      <c r="I37" s="95" t="s">
        <v>1401</v>
      </c>
      <c r="J37" s="95" t="s">
        <v>1402</v>
      </c>
      <c r="K37" s="95" t="s">
        <v>1403</v>
      </c>
      <c r="L37" s="96" t="s">
        <v>1404</v>
      </c>
      <c r="M37" s="95">
        <v>8657006837</v>
      </c>
      <c r="N37" s="9" t="s">
        <v>44</v>
      </c>
      <c r="O37" s="95">
        <v>8657006837</v>
      </c>
      <c r="P37" s="12" t="s">
        <v>1405</v>
      </c>
      <c r="Q37" s="10" t="s">
        <v>44</v>
      </c>
      <c r="R37" s="2" t="s">
        <v>47</v>
      </c>
      <c r="S37" s="5" t="s">
        <v>1406</v>
      </c>
      <c r="T37" s="101" t="s">
        <v>49</v>
      </c>
      <c r="U37" s="101" t="s">
        <v>1407</v>
      </c>
      <c r="V37" s="101" t="s">
        <v>1408</v>
      </c>
      <c r="W37" s="4" t="s">
        <v>1409</v>
      </c>
      <c r="X37" s="4" t="s">
        <v>1410</v>
      </c>
    </row>
    <row r="38" spans="1:42" ht="16.8">
      <c r="A38" s="104" t="s">
        <v>34</v>
      </c>
      <c r="B38" s="104">
        <v>127</v>
      </c>
      <c r="C38" s="44" t="s">
        <v>1411</v>
      </c>
      <c r="D38" s="6"/>
      <c r="E38" s="6"/>
      <c r="F38" s="80" t="s">
        <v>1412</v>
      </c>
      <c r="G38" s="6" t="s">
        <v>1400</v>
      </c>
      <c r="H38" s="18" t="s">
        <v>39</v>
      </c>
      <c r="I38" s="20" t="s">
        <v>1401</v>
      </c>
      <c r="J38" s="20" t="s">
        <v>1413</v>
      </c>
      <c r="K38" s="20" t="s">
        <v>1414</v>
      </c>
      <c r="L38" s="86" t="s">
        <v>1404</v>
      </c>
      <c r="M38" s="20">
        <v>7045358783</v>
      </c>
      <c r="N38" s="18" t="s">
        <v>44</v>
      </c>
      <c r="O38" s="20">
        <v>7045358783</v>
      </c>
      <c r="P38" s="22" t="s">
        <v>1405</v>
      </c>
      <c r="Q38" s="19" t="s">
        <v>44</v>
      </c>
      <c r="R38" s="6" t="s">
        <v>47</v>
      </c>
      <c r="S38" s="18" t="s">
        <v>1415</v>
      </c>
      <c r="T38" s="24" t="s">
        <v>301</v>
      </c>
      <c r="U38" s="24" t="s">
        <v>1416</v>
      </c>
      <c r="V38" s="24" t="s">
        <v>1417</v>
      </c>
      <c r="W38" s="17" t="s">
        <v>71</v>
      </c>
      <c r="X38" s="17" t="s">
        <v>1410</v>
      </c>
      <c r="Y38" s="6"/>
      <c r="Z38" s="6"/>
      <c r="AA38" s="6"/>
      <c r="AB38" s="6"/>
      <c r="AC38" s="6"/>
      <c r="AD38" s="6"/>
      <c r="AE38" s="6"/>
      <c r="AF38" s="6"/>
      <c r="AG38" s="6"/>
      <c r="AH38" s="6"/>
      <c r="AI38" s="6"/>
      <c r="AJ38" s="6"/>
      <c r="AK38" s="6"/>
      <c r="AL38" s="6"/>
      <c r="AM38" s="6"/>
      <c r="AN38" s="6"/>
      <c r="AO38" s="6"/>
      <c r="AP38" s="6"/>
    </row>
    <row r="39" spans="1:42" ht="16.8">
      <c r="A39" s="104" t="s">
        <v>34</v>
      </c>
      <c r="B39" s="104">
        <v>128</v>
      </c>
      <c r="C39" s="44" t="s">
        <v>1418</v>
      </c>
      <c r="D39" s="6"/>
      <c r="E39" s="6"/>
      <c r="F39" s="80" t="s">
        <v>1419</v>
      </c>
      <c r="G39" s="6" t="s">
        <v>1400</v>
      </c>
      <c r="H39" s="18" t="s">
        <v>39</v>
      </c>
      <c r="I39" s="20" t="s">
        <v>1401</v>
      </c>
      <c r="J39" s="20" t="s">
        <v>1420</v>
      </c>
      <c r="K39" s="20" t="s">
        <v>1421</v>
      </c>
      <c r="L39" s="86" t="s">
        <v>1404</v>
      </c>
      <c r="M39" s="20">
        <v>7506407720</v>
      </c>
      <c r="N39" s="18" t="s">
        <v>44</v>
      </c>
      <c r="O39" s="20">
        <v>7506407720</v>
      </c>
      <c r="P39" s="22" t="s">
        <v>1405</v>
      </c>
      <c r="Q39" s="19" t="s">
        <v>44</v>
      </c>
      <c r="R39" s="6" t="s">
        <v>47</v>
      </c>
      <c r="S39" s="18" t="s">
        <v>1422</v>
      </c>
      <c r="T39" s="24" t="s">
        <v>312</v>
      </c>
      <c r="U39" s="24" t="s">
        <v>1423</v>
      </c>
      <c r="V39" s="24" t="s">
        <v>1424</v>
      </c>
      <c r="W39" s="17" t="s">
        <v>71</v>
      </c>
      <c r="X39" s="17" t="s">
        <v>1410</v>
      </c>
      <c r="Y39" s="6"/>
      <c r="Z39" s="6"/>
      <c r="AA39" s="6"/>
      <c r="AB39" s="6"/>
      <c r="AC39" s="6"/>
      <c r="AD39" s="6"/>
      <c r="AE39" s="6"/>
      <c r="AF39" s="6"/>
      <c r="AG39" s="6"/>
      <c r="AH39" s="6"/>
      <c r="AI39" s="6"/>
      <c r="AJ39" s="6"/>
      <c r="AK39" s="6"/>
      <c r="AL39" s="6"/>
      <c r="AM39" s="6"/>
      <c r="AN39" s="6"/>
      <c r="AO39" s="6"/>
      <c r="AP39" s="6"/>
    </row>
    <row r="40" spans="1:42" ht="16.8">
      <c r="A40" s="104" t="s">
        <v>34</v>
      </c>
      <c r="B40" s="104">
        <v>129</v>
      </c>
      <c r="C40" s="44" t="s">
        <v>1425</v>
      </c>
      <c r="D40" s="6"/>
      <c r="E40" s="6"/>
      <c r="F40" s="80" t="s">
        <v>1426</v>
      </c>
      <c r="G40" s="6" t="s">
        <v>1400</v>
      </c>
      <c r="H40" s="18" t="s">
        <v>39</v>
      </c>
      <c r="I40" s="20" t="s">
        <v>1401</v>
      </c>
      <c r="J40" s="20" t="s">
        <v>1427</v>
      </c>
      <c r="K40" s="20" t="s">
        <v>1428</v>
      </c>
      <c r="L40" s="86" t="s">
        <v>1404</v>
      </c>
      <c r="M40" s="20">
        <v>7506965545</v>
      </c>
      <c r="N40" s="18" t="s">
        <v>44</v>
      </c>
      <c r="O40" s="20">
        <v>7506965545</v>
      </c>
      <c r="P40" s="22" t="s">
        <v>1405</v>
      </c>
      <c r="Q40" s="19" t="s">
        <v>44</v>
      </c>
      <c r="R40" s="6" t="s">
        <v>47</v>
      </c>
      <c r="S40" s="18" t="s">
        <v>1429</v>
      </c>
      <c r="T40" s="24" t="s">
        <v>322</v>
      </c>
      <c r="U40" s="24" t="s">
        <v>1430</v>
      </c>
      <c r="V40" s="24" t="s">
        <v>1431</v>
      </c>
      <c r="W40" s="17" t="s">
        <v>71</v>
      </c>
      <c r="X40" s="17" t="s">
        <v>1410</v>
      </c>
      <c r="Y40" s="6"/>
      <c r="Z40" s="6"/>
      <c r="AA40" s="6"/>
      <c r="AB40" s="6"/>
      <c r="AC40" s="6"/>
      <c r="AD40" s="6"/>
      <c r="AE40" s="6"/>
      <c r="AF40" s="6"/>
      <c r="AG40" s="6"/>
      <c r="AH40" s="6"/>
      <c r="AI40" s="6"/>
      <c r="AJ40" s="6"/>
      <c r="AK40" s="6"/>
      <c r="AL40" s="6"/>
      <c r="AM40" s="6"/>
      <c r="AN40" s="6"/>
      <c r="AO40" s="6"/>
      <c r="AP40" s="6"/>
    </row>
    <row r="41" spans="1:42" ht="16.8">
      <c r="A41" s="104" t="s">
        <v>34</v>
      </c>
      <c r="B41" s="104">
        <v>130</v>
      </c>
      <c r="C41" s="44" t="s">
        <v>1432</v>
      </c>
      <c r="D41" s="6"/>
      <c r="E41" s="6"/>
      <c r="F41" s="80" t="s">
        <v>1433</v>
      </c>
      <c r="G41" s="6" t="s">
        <v>1400</v>
      </c>
      <c r="H41" s="18" t="s">
        <v>39</v>
      </c>
      <c r="I41" s="20" t="s">
        <v>1401</v>
      </c>
      <c r="J41" s="20" t="s">
        <v>1434</v>
      </c>
      <c r="K41" s="20" t="s">
        <v>1435</v>
      </c>
      <c r="L41" s="86" t="s">
        <v>1404</v>
      </c>
      <c r="M41" s="20">
        <v>8657968797</v>
      </c>
      <c r="N41" s="18" t="s">
        <v>44</v>
      </c>
      <c r="O41" s="20">
        <v>8657968797</v>
      </c>
      <c r="P41" s="22" t="s">
        <v>1405</v>
      </c>
      <c r="Q41" s="19" t="s">
        <v>44</v>
      </c>
      <c r="R41" s="6" t="s">
        <v>47</v>
      </c>
      <c r="S41" s="18" t="s">
        <v>1436</v>
      </c>
      <c r="T41" s="24" t="s">
        <v>1437</v>
      </c>
      <c r="U41" s="24" t="s">
        <v>1438</v>
      </c>
      <c r="V41" s="24" t="s">
        <v>1439</v>
      </c>
      <c r="W41" s="17" t="s">
        <v>1440</v>
      </c>
      <c r="X41" s="17" t="s">
        <v>1410</v>
      </c>
      <c r="Y41" s="6"/>
      <c r="Z41" s="6"/>
      <c r="AA41" s="6"/>
      <c r="AB41" s="6"/>
      <c r="AC41" s="6"/>
      <c r="AD41" s="6"/>
      <c r="AE41" s="6"/>
      <c r="AF41" s="6"/>
      <c r="AG41" s="6"/>
      <c r="AH41" s="6"/>
      <c r="AI41" s="6"/>
      <c r="AJ41" s="6"/>
      <c r="AK41" s="6"/>
      <c r="AL41" s="6"/>
      <c r="AM41" s="6"/>
      <c r="AN41" s="6"/>
      <c r="AO41" s="6"/>
      <c r="AP41" s="6"/>
    </row>
    <row r="42" spans="1:42" ht="16.8">
      <c r="A42" s="93"/>
      <c r="B42" s="93">
        <v>131</v>
      </c>
      <c r="C42" s="94" t="s">
        <v>1441</v>
      </c>
      <c r="F42" s="100" t="s">
        <v>1442</v>
      </c>
      <c r="G42" s="2" t="s">
        <v>1400</v>
      </c>
      <c r="H42" s="5" t="s">
        <v>39</v>
      </c>
      <c r="I42" s="95" t="s">
        <v>1401</v>
      </c>
      <c r="J42" s="95" t="s">
        <v>1443</v>
      </c>
      <c r="K42" s="95" t="s">
        <v>1435</v>
      </c>
      <c r="L42" s="96" t="s">
        <v>1404</v>
      </c>
      <c r="M42" s="95">
        <v>8657968796</v>
      </c>
      <c r="N42" s="9" t="s">
        <v>44</v>
      </c>
      <c r="O42" s="95">
        <v>8657968796</v>
      </c>
      <c r="P42" s="12" t="s">
        <v>1405</v>
      </c>
      <c r="Q42" s="10" t="s">
        <v>44</v>
      </c>
      <c r="R42" s="2" t="s">
        <v>47</v>
      </c>
      <c r="S42" s="5" t="s">
        <v>1444</v>
      </c>
      <c r="T42" s="101" t="s">
        <v>1445</v>
      </c>
      <c r="U42" s="101" t="s">
        <v>1446</v>
      </c>
      <c r="V42" s="101" t="s">
        <v>1447</v>
      </c>
      <c r="W42" s="4" t="s">
        <v>71</v>
      </c>
      <c r="X42" s="4" t="s">
        <v>1410</v>
      </c>
    </row>
    <row r="43" spans="1:42" ht="16.8">
      <c r="A43" s="104" t="s">
        <v>34</v>
      </c>
      <c r="B43" s="104">
        <v>132</v>
      </c>
      <c r="C43" s="44" t="s">
        <v>1448</v>
      </c>
      <c r="D43" s="6"/>
      <c r="E43" s="6"/>
      <c r="F43" s="80" t="s">
        <v>1449</v>
      </c>
      <c r="G43" s="6" t="s">
        <v>1400</v>
      </c>
      <c r="H43" s="18" t="s">
        <v>39</v>
      </c>
      <c r="I43" s="20" t="s">
        <v>1401</v>
      </c>
      <c r="J43" s="20" t="s">
        <v>1450</v>
      </c>
      <c r="K43" s="20" t="s">
        <v>1451</v>
      </c>
      <c r="L43" s="86" t="s">
        <v>1404</v>
      </c>
      <c r="M43" s="20">
        <v>8657601586</v>
      </c>
      <c r="N43" s="18" t="s">
        <v>44</v>
      </c>
      <c r="O43" s="20">
        <v>8657601586</v>
      </c>
      <c r="P43" s="22" t="s">
        <v>1405</v>
      </c>
      <c r="Q43" s="19" t="s">
        <v>44</v>
      </c>
      <c r="R43" s="6" t="s">
        <v>47</v>
      </c>
      <c r="S43" s="18" t="s">
        <v>1452</v>
      </c>
      <c r="T43" s="24" t="s">
        <v>1453</v>
      </c>
      <c r="U43" s="24" t="s">
        <v>1454</v>
      </c>
      <c r="V43" s="24" t="s">
        <v>1455</v>
      </c>
      <c r="W43" s="17" t="s">
        <v>1410</v>
      </c>
      <c r="X43" s="17" t="s">
        <v>1410</v>
      </c>
      <c r="Y43" s="6"/>
      <c r="Z43" s="6"/>
      <c r="AA43" s="6"/>
      <c r="AB43" s="6"/>
      <c r="AC43" s="6"/>
      <c r="AD43" s="6"/>
      <c r="AE43" s="6"/>
      <c r="AF43" s="6"/>
      <c r="AG43" s="6"/>
      <c r="AH43" s="6"/>
      <c r="AI43" s="6"/>
      <c r="AJ43" s="6"/>
      <c r="AK43" s="6"/>
      <c r="AL43" s="6"/>
      <c r="AM43" s="6"/>
      <c r="AN43" s="6"/>
      <c r="AO43" s="6"/>
      <c r="AP43" s="6"/>
    </row>
    <row r="44" spans="1:42" ht="16.8">
      <c r="A44" s="104" t="s">
        <v>34</v>
      </c>
      <c r="B44" s="104">
        <v>133</v>
      </c>
      <c r="C44" s="106" t="s">
        <v>1398</v>
      </c>
      <c r="D44" s="6"/>
      <c r="E44" s="6"/>
      <c r="F44" s="80" t="s">
        <v>1456</v>
      </c>
      <c r="G44" s="6" t="s">
        <v>1400</v>
      </c>
      <c r="H44" s="18" t="s">
        <v>39</v>
      </c>
      <c r="I44" s="20" t="s">
        <v>1401</v>
      </c>
      <c r="J44" s="20" t="s">
        <v>1402</v>
      </c>
      <c r="K44" s="20" t="s">
        <v>1403</v>
      </c>
      <c r="L44" s="86" t="s">
        <v>1404</v>
      </c>
      <c r="M44" s="20">
        <v>8657006837</v>
      </c>
      <c r="N44" s="18" t="s">
        <v>44</v>
      </c>
      <c r="O44" s="20">
        <v>8657006837</v>
      </c>
      <c r="P44" s="22" t="s">
        <v>1405</v>
      </c>
      <c r="Q44" s="19" t="s">
        <v>44</v>
      </c>
      <c r="R44" s="6" t="s">
        <v>47</v>
      </c>
      <c r="S44" s="18" t="s">
        <v>1457</v>
      </c>
      <c r="T44" s="24" t="s">
        <v>1458</v>
      </c>
      <c r="U44" s="24" t="s">
        <v>1459</v>
      </c>
      <c r="V44" s="24" t="s">
        <v>1460</v>
      </c>
      <c r="W44" s="17" t="s">
        <v>71</v>
      </c>
      <c r="X44" s="17" t="s">
        <v>1410</v>
      </c>
      <c r="Y44" s="6"/>
      <c r="Z44" s="6"/>
      <c r="AA44" s="6"/>
      <c r="AB44" s="6"/>
      <c r="AC44" s="6"/>
      <c r="AD44" s="6"/>
      <c r="AE44" s="6"/>
      <c r="AF44" s="6"/>
      <c r="AG44" s="6"/>
      <c r="AH44" s="6"/>
      <c r="AI44" s="6"/>
      <c r="AJ44" s="6"/>
      <c r="AK44" s="6"/>
      <c r="AL44" s="6"/>
      <c r="AM44" s="6"/>
      <c r="AN44" s="6"/>
      <c r="AO44" s="6"/>
      <c r="AP44" s="6"/>
    </row>
    <row r="45" spans="1:42" ht="16.8">
      <c r="A45" s="104" t="s">
        <v>34</v>
      </c>
      <c r="B45" s="104">
        <v>134</v>
      </c>
      <c r="C45" s="44" t="s">
        <v>1461</v>
      </c>
      <c r="D45" s="6"/>
      <c r="E45" s="6"/>
      <c r="F45" s="80" t="s">
        <v>1462</v>
      </c>
      <c r="G45" s="6" t="s">
        <v>1400</v>
      </c>
      <c r="H45" s="18" t="s">
        <v>39</v>
      </c>
      <c r="I45" s="20" t="s">
        <v>1401</v>
      </c>
      <c r="J45" s="20" t="s">
        <v>1463</v>
      </c>
      <c r="K45" s="20" t="s">
        <v>1464</v>
      </c>
      <c r="L45" s="86" t="s">
        <v>1404</v>
      </c>
      <c r="M45" s="20">
        <v>8657913169</v>
      </c>
      <c r="N45" s="18" t="s">
        <v>44</v>
      </c>
      <c r="O45" s="20">
        <v>8657913169</v>
      </c>
      <c r="P45" s="22" t="s">
        <v>1405</v>
      </c>
      <c r="Q45" s="19" t="s">
        <v>44</v>
      </c>
      <c r="R45" s="6" t="s">
        <v>47</v>
      </c>
      <c r="S45" s="18" t="s">
        <v>1465</v>
      </c>
      <c r="T45" s="24" t="s">
        <v>1466</v>
      </c>
      <c r="U45" s="24" t="s">
        <v>1467</v>
      </c>
      <c r="V45" s="24" t="s">
        <v>1468</v>
      </c>
      <c r="W45" s="17" t="s">
        <v>71</v>
      </c>
      <c r="X45" s="17" t="s">
        <v>1410</v>
      </c>
      <c r="Y45" s="6"/>
      <c r="Z45" s="6"/>
      <c r="AA45" s="6"/>
      <c r="AB45" s="6"/>
      <c r="AC45" s="6"/>
      <c r="AD45" s="6"/>
      <c r="AE45" s="6"/>
      <c r="AF45" s="6"/>
      <c r="AG45" s="6"/>
      <c r="AH45" s="6"/>
      <c r="AI45" s="6"/>
      <c r="AJ45" s="6"/>
      <c r="AK45" s="6"/>
      <c r="AL45" s="6"/>
      <c r="AM45" s="6"/>
      <c r="AN45" s="6"/>
      <c r="AO45" s="6"/>
      <c r="AP45" s="6"/>
    </row>
    <row r="46" spans="1:42" ht="16.8">
      <c r="A46" s="104" t="s">
        <v>34</v>
      </c>
      <c r="B46" s="104">
        <v>135</v>
      </c>
      <c r="C46" s="44" t="s">
        <v>1469</v>
      </c>
      <c r="D46" s="6"/>
      <c r="E46" s="6"/>
      <c r="F46" s="80" t="s">
        <v>1470</v>
      </c>
      <c r="G46" s="6" t="s">
        <v>1400</v>
      </c>
      <c r="H46" s="18" t="s">
        <v>39</v>
      </c>
      <c r="I46" s="20" t="s">
        <v>1401</v>
      </c>
      <c r="J46" s="20" t="s">
        <v>1471</v>
      </c>
      <c r="K46" s="20" t="s">
        <v>1472</v>
      </c>
      <c r="L46" s="86" t="s">
        <v>1404</v>
      </c>
      <c r="M46" s="20">
        <v>8657052649</v>
      </c>
      <c r="N46" s="18" t="s">
        <v>44</v>
      </c>
      <c r="O46" s="20">
        <v>8657052649</v>
      </c>
      <c r="P46" s="22" t="s">
        <v>1405</v>
      </c>
      <c r="Q46" s="19" t="s">
        <v>44</v>
      </c>
      <c r="R46" s="6" t="s">
        <v>47</v>
      </c>
      <c r="S46" s="18" t="s">
        <v>1473</v>
      </c>
      <c r="T46" s="24" t="s">
        <v>1474</v>
      </c>
      <c r="U46" s="24" t="s">
        <v>1475</v>
      </c>
      <c r="V46" s="24" t="s">
        <v>1476</v>
      </c>
      <c r="W46" s="17" t="s">
        <v>1477</v>
      </c>
      <c r="X46" s="17" t="s">
        <v>1410</v>
      </c>
      <c r="Y46" s="6"/>
      <c r="Z46" s="6"/>
      <c r="AA46" s="6"/>
      <c r="AB46" s="6"/>
      <c r="AC46" s="6"/>
      <c r="AD46" s="6"/>
      <c r="AE46" s="6"/>
      <c r="AF46" s="6"/>
      <c r="AG46" s="6"/>
      <c r="AH46" s="6"/>
      <c r="AI46" s="6"/>
      <c r="AJ46" s="6"/>
      <c r="AK46" s="6"/>
      <c r="AL46" s="6"/>
      <c r="AM46" s="6"/>
      <c r="AN46" s="6"/>
      <c r="AO46" s="6"/>
      <c r="AP46" s="6"/>
    </row>
    <row r="47" spans="1:42" ht="16.8">
      <c r="A47" s="104" t="s">
        <v>34</v>
      </c>
      <c r="B47" s="104">
        <v>136</v>
      </c>
      <c r="C47" s="44" t="s">
        <v>1478</v>
      </c>
      <c r="D47" s="6"/>
      <c r="E47" s="6"/>
      <c r="F47" s="80" t="s">
        <v>1479</v>
      </c>
      <c r="G47" s="6" t="s">
        <v>1400</v>
      </c>
      <c r="H47" s="18" t="s">
        <v>39</v>
      </c>
      <c r="I47" s="20" t="s">
        <v>1401</v>
      </c>
      <c r="J47" s="20" t="s">
        <v>1480</v>
      </c>
      <c r="K47" s="20" t="s">
        <v>1481</v>
      </c>
      <c r="L47" s="86" t="s">
        <v>1404</v>
      </c>
      <c r="M47" s="20">
        <v>8657962271</v>
      </c>
      <c r="N47" s="18" t="s">
        <v>44</v>
      </c>
      <c r="O47" s="20">
        <v>8657962271</v>
      </c>
      <c r="P47" s="22" t="s">
        <v>1405</v>
      </c>
      <c r="Q47" s="19" t="s">
        <v>44</v>
      </c>
      <c r="R47" s="6" t="s">
        <v>47</v>
      </c>
      <c r="S47" s="18" t="s">
        <v>1482</v>
      </c>
      <c r="T47" s="24" t="s">
        <v>1483</v>
      </c>
      <c r="U47" s="24" t="s">
        <v>1484</v>
      </c>
      <c r="V47" s="24" t="s">
        <v>1485</v>
      </c>
      <c r="W47" s="17" t="s">
        <v>71</v>
      </c>
      <c r="X47" s="17" t="s">
        <v>1410</v>
      </c>
      <c r="Y47" s="6"/>
      <c r="Z47" s="6"/>
      <c r="AA47" s="6"/>
      <c r="AB47" s="6"/>
      <c r="AC47" s="6"/>
      <c r="AD47" s="6"/>
      <c r="AE47" s="6"/>
      <c r="AF47" s="6"/>
      <c r="AG47" s="6"/>
      <c r="AH47" s="6"/>
      <c r="AI47" s="6"/>
      <c r="AJ47" s="6"/>
      <c r="AK47" s="6"/>
      <c r="AL47" s="6"/>
      <c r="AM47" s="6"/>
      <c r="AN47" s="6"/>
      <c r="AO47" s="6"/>
      <c r="AP47" s="6"/>
    </row>
    <row r="48" spans="1:42" ht="16.8">
      <c r="A48" s="104" t="s">
        <v>34</v>
      </c>
      <c r="B48" s="104">
        <v>137</v>
      </c>
      <c r="C48" s="44" t="s">
        <v>1486</v>
      </c>
      <c r="D48" s="6"/>
      <c r="E48" s="6"/>
      <c r="F48" s="80" t="s">
        <v>1487</v>
      </c>
      <c r="G48" s="6" t="s">
        <v>1400</v>
      </c>
      <c r="H48" s="18" t="s">
        <v>39</v>
      </c>
      <c r="I48" s="20" t="s">
        <v>1401</v>
      </c>
      <c r="J48" s="20" t="s">
        <v>1488</v>
      </c>
      <c r="K48" s="20" t="s">
        <v>78</v>
      </c>
      <c r="L48" s="86" t="s">
        <v>1404</v>
      </c>
      <c r="M48" s="20">
        <v>9820989960</v>
      </c>
      <c r="N48" s="18" t="s">
        <v>44</v>
      </c>
      <c r="O48" s="20">
        <v>9820989960</v>
      </c>
      <c r="P48" s="22" t="s">
        <v>1405</v>
      </c>
      <c r="Q48" s="19" t="s">
        <v>44</v>
      </c>
      <c r="R48" s="6" t="s">
        <v>47</v>
      </c>
      <c r="S48" s="18" t="s">
        <v>1489</v>
      </c>
      <c r="T48" s="24" t="s">
        <v>1490</v>
      </c>
      <c r="U48" s="24" t="s">
        <v>1491</v>
      </c>
      <c r="V48" s="24" t="s">
        <v>1492</v>
      </c>
      <c r="W48" s="17" t="s">
        <v>71</v>
      </c>
      <c r="X48" s="17" t="s">
        <v>1410</v>
      </c>
      <c r="Y48" s="6"/>
      <c r="Z48" s="6"/>
      <c r="AA48" s="6"/>
      <c r="AB48" s="6"/>
      <c r="AC48" s="6"/>
      <c r="AD48" s="6"/>
      <c r="AE48" s="6"/>
      <c r="AF48" s="6"/>
      <c r="AG48" s="6"/>
      <c r="AH48" s="6"/>
      <c r="AI48" s="6"/>
      <c r="AJ48" s="6"/>
      <c r="AK48" s="6"/>
      <c r="AL48" s="6"/>
      <c r="AM48" s="6"/>
      <c r="AN48" s="6"/>
      <c r="AO48" s="6"/>
      <c r="AP48" s="6"/>
    </row>
    <row r="49" spans="1:42" ht="16.8">
      <c r="A49" s="104" t="s">
        <v>34</v>
      </c>
      <c r="B49" s="104">
        <v>138</v>
      </c>
      <c r="C49" s="44" t="s">
        <v>1493</v>
      </c>
      <c r="D49" s="6"/>
      <c r="E49" s="6"/>
      <c r="F49" s="80" t="s">
        <v>1494</v>
      </c>
      <c r="G49" s="6" t="s">
        <v>1400</v>
      </c>
      <c r="H49" s="18" t="s">
        <v>39</v>
      </c>
      <c r="I49" s="20" t="s">
        <v>1401</v>
      </c>
      <c r="J49" s="20" t="s">
        <v>1495</v>
      </c>
      <c r="K49" s="20" t="s">
        <v>1496</v>
      </c>
      <c r="L49" s="86" t="s">
        <v>1404</v>
      </c>
      <c r="M49" s="20">
        <v>8657031693</v>
      </c>
      <c r="N49" s="18" t="s">
        <v>44</v>
      </c>
      <c r="O49" s="20">
        <v>8657031693</v>
      </c>
      <c r="P49" s="22" t="s">
        <v>1405</v>
      </c>
      <c r="Q49" s="19" t="s">
        <v>44</v>
      </c>
      <c r="R49" s="6" t="s">
        <v>47</v>
      </c>
      <c r="S49" s="18" t="s">
        <v>1497</v>
      </c>
      <c r="T49" s="24" t="s">
        <v>1498</v>
      </c>
      <c r="U49" s="24" t="s">
        <v>1499</v>
      </c>
      <c r="V49" s="24" t="s">
        <v>1500</v>
      </c>
      <c r="W49" s="17" t="s">
        <v>1501</v>
      </c>
      <c r="X49" s="17" t="s">
        <v>1410</v>
      </c>
      <c r="Y49" s="6"/>
      <c r="Z49" s="6"/>
      <c r="AA49" s="6"/>
      <c r="AB49" s="6"/>
      <c r="AC49" s="6"/>
      <c r="AD49" s="6"/>
      <c r="AE49" s="6"/>
      <c r="AF49" s="6"/>
      <c r="AG49" s="6"/>
      <c r="AH49" s="6"/>
      <c r="AI49" s="6"/>
      <c r="AJ49" s="6"/>
      <c r="AK49" s="6"/>
      <c r="AL49" s="6"/>
      <c r="AM49" s="6"/>
      <c r="AN49" s="6"/>
      <c r="AO49" s="6"/>
      <c r="AP49" s="6"/>
    </row>
    <row r="50" spans="1:42" ht="16.8">
      <c r="A50" s="104" t="s">
        <v>34</v>
      </c>
      <c r="B50" s="104">
        <v>139</v>
      </c>
      <c r="C50" s="44" t="s">
        <v>1502</v>
      </c>
      <c r="D50" s="6"/>
      <c r="E50" s="6"/>
      <c r="F50" s="80" t="s">
        <v>1503</v>
      </c>
      <c r="G50" s="6" t="s">
        <v>1400</v>
      </c>
      <c r="H50" s="18" t="s">
        <v>39</v>
      </c>
      <c r="I50" s="20" t="s">
        <v>1401</v>
      </c>
      <c r="J50" s="20" t="s">
        <v>1504</v>
      </c>
      <c r="K50" s="20" t="s">
        <v>1505</v>
      </c>
      <c r="L50" s="86" t="s">
        <v>1404</v>
      </c>
      <c r="M50" s="20">
        <v>8657713033</v>
      </c>
      <c r="N50" s="18" t="s">
        <v>44</v>
      </c>
      <c r="O50" s="20">
        <v>8657713033</v>
      </c>
      <c r="P50" s="22" t="s">
        <v>1405</v>
      </c>
      <c r="Q50" s="19" t="s">
        <v>44</v>
      </c>
      <c r="R50" s="6" t="s">
        <v>47</v>
      </c>
      <c r="S50" s="18" t="s">
        <v>1506</v>
      </c>
      <c r="T50" s="24" t="s">
        <v>1507</v>
      </c>
      <c r="U50" s="24" t="s">
        <v>1508</v>
      </c>
      <c r="V50" s="24" t="s">
        <v>1509</v>
      </c>
      <c r="W50" s="17" t="s">
        <v>71</v>
      </c>
      <c r="X50" s="17" t="s">
        <v>1410</v>
      </c>
      <c r="Y50" s="6"/>
      <c r="Z50" s="6"/>
      <c r="AA50" s="6"/>
      <c r="AB50" s="6"/>
      <c r="AC50" s="6"/>
      <c r="AD50" s="6"/>
      <c r="AE50" s="6"/>
      <c r="AF50" s="6"/>
      <c r="AG50" s="6"/>
      <c r="AH50" s="6"/>
      <c r="AI50" s="6"/>
      <c r="AJ50" s="6"/>
      <c r="AK50" s="6"/>
      <c r="AL50" s="6"/>
      <c r="AM50" s="6"/>
      <c r="AN50" s="6"/>
      <c r="AO50" s="6"/>
      <c r="AP50" s="6"/>
    </row>
    <row r="51" spans="1:42" ht="16.8">
      <c r="A51" s="104" t="s">
        <v>34</v>
      </c>
      <c r="B51" s="104">
        <v>140</v>
      </c>
      <c r="C51" s="44" t="s">
        <v>1510</v>
      </c>
      <c r="D51" s="6"/>
      <c r="E51" s="6"/>
      <c r="F51" s="80" t="s">
        <v>1511</v>
      </c>
      <c r="G51" s="6" t="s">
        <v>1400</v>
      </c>
      <c r="H51" s="18" t="s">
        <v>39</v>
      </c>
      <c r="I51" s="20" t="s">
        <v>1401</v>
      </c>
      <c r="J51" s="20" t="s">
        <v>1512</v>
      </c>
      <c r="K51" s="20" t="s">
        <v>1513</v>
      </c>
      <c r="L51" s="86" t="s">
        <v>1404</v>
      </c>
      <c r="M51" s="20">
        <v>9819516937</v>
      </c>
      <c r="N51" s="18" t="s">
        <v>44</v>
      </c>
      <c r="O51" s="20">
        <v>9819516937</v>
      </c>
      <c r="P51" s="22" t="s">
        <v>1405</v>
      </c>
      <c r="Q51" s="19" t="s">
        <v>44</v>
      </c>
      <c r="R51" s="6" t="s">
        <v>47</v>
      </c>
      <c r="S51" s="18" t="s">
        <v>1514</v>
      </c>
      <c r="T51" s="24" t="s">
        <v>1515</v>
      </c>
      <c r="U51" s="24" t="s">
        <v>1516</v>
      </c>
      <c r="V51" s="24" t="s">
        <v>1517</v>
      </c>
      <c r="W51" s="17" t="s">
        <v>71</v>
      </c>
      <c r="X51" s="17" t="s">
        <v>1410</v>
      </c>
      <c r="Y51" s="6"/>
      <c r="Z51" s="6"/>
      <c r="AA51" s="6"/>
      <c r="AB51" s="6"/>
      <c r="AC51" s="6"/>
      <c r="AD51" s="6"/>
      <c r="AE51" s="6"/>
      <c r="AF51" s="6"/>
      <c r="AG51" s="6"/>
      <c r="AH51" s="6"/>
      <c r="AI51" s="6"/>
      <c r="AJ51" s="6"/>
      <c r="AK51" s="6"/>
      <c r="AL51" s="6"/>
      <c r="AM51" s="6"/>
      <c r="AN51" s="6"/>
      <c r="AO51" s="6"/>
      <c r="AP51" s="6"/>
    </row>
    <row r="52" spans="1:42" ht="16.8">
      <c r="A52" s="104" t="s">
        <v>34</v>
      </c>
      <c r="B52" s="104">
        <v>141</v>
      </c>
      <c r="C52" s="44" t="s">
        <v>1411</v>
      </c>
      <c r="D52" s="6"/>
      <c r="E52" s="6"/>
      <c r="F52" s="107" t="s">
        <v>1518</v>
      </c>
      <c r="G52" s="6" t="s">
        <v>1400</v>
      </c>
      <c r="H52" s="18" t="s">
        <v>39</v>
      </c>
      <c r="I52" s="20" t="s">
        <v>1401</v>
      </c>
      <c r="J52" s="108" t="s">
        <v>1519</v>
      </c>
      <c r="K52" s="108" t="s">
        <v>1414</v>
      </c>
      <c r="L52" s="86" t="s">
        <v>1404</v>
      </c>
      <c r="M52" s="108">
        <v>7045358783</v>
      </c>
      <c r="N52" s="18" t="s">
        <v>44</v>
      </c>
      <c r="O52" s="108">
        <v>7045358783</v>
      </c>
      <c r="P52" s="22" t="s">
        <v>1405</v>
      </c>
      <c r="Q52" s="19" t="s">
        <v>44</v>
      </c>
      <c r="R52" s="6" t="s">
        <v>47</v>
      </c>
      <c r="S52" s="18" t="s">
        <v>1520</v>
      </c>
      <c r="T52" s="24" t="s">
        <v>1521</v>
      </c>
      <c r="U52" s="24" t="s">
        <v>1522</v>
      </c>
      <c r="V52" s="24" t="s">
        <v>1523</v>
      </c>
      <c r="W52" s="17" t="s">
        <v>1409</v>
      </c>
      <c r="X52" s="17" t="s">
        <v>1410</v>
      </c>
      <c r="Y52" s="6"/>
      <c r="Z52" s="6"/>
      <c r="AA52" s="6"/>
      <c r="AB52" s="6"/>
      <c r="AC52" s="6"/>
      <c r="AD52" s="6"/>
      <c r="AE52" s="6"/>
      <c r="AF52" s="6"/>
      <c r="AG52" s="6"/>
      <c r="AH52" s="6"/>
      <c r="AI52" s="6"/>
      <c r="AJ52" s="6"/>
      <c r="AK52" s="6"/>
      <c r="AL52" s="6"/>
      <c r="AM52" s="6"/>
      <c r="AN52" s="6"/>
      <c r="AO52" s="6"/>
      <c r="AP52" s="6"/>
    </row>
    <row r="53" spans="1:42" ht="16.8">
      <c r="A53" s="93"/>
      <c r="B53" s="93">
        <v>142</v>
      </c>
      <c r="C53" s="94" t="s">
        <v>1524</v>
      </c>
      <c r="F53" s="109" t="s">
        <v>1525</v>
      </c>
      <c r="G53" s="2" t="s">
        <v>1400</v>
      </c>
      <c r="H53" s="5" t="s">
        <v>39</v>
      </c>
      <c r="I53" s="95" t="s">
        <v>1401</v>
      </c>
      <c r="J53" s="110" t="s">
        <v>1526</v>
      </c>
      <c r="K53" s="110" t="s">
        <v>1527</v>
      </c>
      <c r="L53" s="96" t="s">
        <v>1404</v>
      </c>
      <c r="M53" s="110">
        <v>8657962272</v>
      </c>
      <c r="N53" s="9" t="s">
        <v>44</v>
      </c>
      <c r="O53" s="110">
        <v>8657962272</v>
      </c>
      <c r="P53" s="12" t="s">
        <v>1405</v>
      </c>
      <c r="Q53" s="10" t="s">
        <v>44</v>
      </c>
      <c r="R53" s="2" t="s">
        <v>47</v>
      </c>
      <c r="S53" s="5" t="s">
        <v>1528</v>
      </c>
      <c r="T53" s="101" t="s">
        <v>1529</v>
      </c>
      <c r="U53" s="101" t="s">
        <v>1530</v>
      </c>
      <c r="V53" s="101" t="s">
        <v>1531</v>
      </c>
      <c r="W53" s="4" t="s">
        <v>71</v>
      </c>
      <c r="X53" s="4" t="s">
        <v>1410</v>
      </c>
    </row>
    <row r="54" spans="1:42" ht="16.8">
      <c r="A54" s="93"/>
      <c r="B54" s="93">
        <v>143</v>
      </c>
      <c r="C54" s="94" t="s">
        <v>1532</v>
      </c>
      <c r="F54" s="100" t="s">
        <v>1533</v>
      </c>
      <c r="G54" s="2" t="s">
        <v>1400</v>
      </c>
      <c r="H54" s="5" t="s">
        <v>39</v>
      </c>
      <c r="I54" s="95" t="s">
        <v>1534</v>
      </c>
      <c r="J54" s="95" t="s">
        <v>1535</v>
      </c>
      <c r="K54" s="95" t="s">
        <v>1536</v>
      </c>
      <c r="L54" s="96" t="s">
        <v>1537</v>
      </c>
      <c r="M54" s="95">
        <f>79260902265</f>
        <v>79260902265</v>
      </c>
      <c r="N54" s="9" t="s">
        <v>44</v>
      </c>
      <c r="O54" s="95">
        <f>79260902265</f>
        <v>79260902265</v>
      </c>
      <c r="P54" s="12" t="s">
        <v>1405</v>
      </c>
      <c r="Q54" s="10" t="s">
        <v>44</v>
      </c>
      <c r="R54" s="2" t="s">
        <v>47</v>
      </c>
      <c r="S54" s="5" t="s">
        <v>1538</v>
      </c>
      <c r="T54" s="101" t="s">
        <v>1539</v>
      </c>
      <c r="U54" s="101" t="s">
        <v>1540</v>
      </c>
      <c r="V54" s="101" t="s">
        <v>1541</v>
      </c>
      <c r="W54" s="4" t="s">
        <v>71</v>
      </c>
      <c r="X54" s="4" t="s">
        <v>1410</v>
      </c>
    </row>
    <row r="55" spans="1:42" ht="13.2">
      <c r="A55" s="90"/>
      <c r="B55" s="90"/>
    </row>
    <row r="56" spans="1:42" ht="13.2">
      <c r="A56" s="90"/>
      <c r="B56" s="90"/>
      <c r="C56" s="2" t="s">
        <v>1542</v>
      </c>
    </row>
    <row r="57" spans="1:42" ht="13.2">
      <c r="A57" s="90"/>
      <c r="B57" s="90"/>
      <c r="C57" s="2" t="s">
        <v>1543</v>
      </c>
      <c r="D57" s="2" t="s">
        <v>1544</v>
      </c>
    </row>
    <row r="58" spans="1:42" ht="13.2">
      <c r="A58" s="90"/>
      <c r="B58" s="90"/>
    </row>
    <row r="59" spans="1:42" ht="13.2">
      <c r="A59" s="90"/>
      <c r="B59" s="90"/>
    </row>
    <row r="60" spans="1:42" ht="13.2">
      <c r="A60" s="90"/>
      <c r="B60" s="90"/>
    </row>
    <row r="61" spans="1:42" ht="13.2">
      <c r="A61" s="90"/>
      <c r="B61" s="90"/>
    </row>
    <row r="62" spans="1:42" ht="13.2">
      <c r="A62" s="90"/>
      <c r="B62" s="90"/>
    </row>
    <row r="63" spans="1:42" ht="13.2">
      <c r="A63" s="90"/>
      <c r="B63" s="90"/>
    </row>
    <row r="64" spans="1:42" ht="13.2">
      <c r="A64" s="90"/>
      <c r="B64" s="90"/>
    </row>
    <row r="65" spans="1:2" ht="13.2">
      <c r="A65" s="90"/>
      <c r="B65" s="90"/>
    </row>
    <row r="66" spans="1:2" ht="13.2">
      <c r="A66" s="90"/>
      <c r="B66" s="90"/>
    </row>
    <row r="67" spans="1:2" ht="13.2">
      <c r="A67" s="90"/>
      <c r="B67" s="90"/>
    </row>
    <row r="68" spans="1:2" ht="13.2">
      <c r="A68" s="90"/>
      <c r="B68" s="90"/>
    </row>
    <row r="69" spans="1:2" ht="13.2">
      <c r="A69" s="90"/>
      <c r="B69" s="90"/>
    </row>
    <row r="70" spans="1:2" ht="13.2">
      <c r="A70" s="90"/>
      <c r="B70" s="90"/>
    </row>
    <row r="71" spans="1:2" ht="13.2">
      <c r="A71" s="90"/>
      <c r="B71" s="90"/>
    </row>
    <row r="72" spans="1:2" ht="13.2">
      <c r="A72" s="90"/>
      <c r="B72" s="90"/>
    </row>
    <row r="73" spans="1:2" ht="13.2">
      <c r="A73" s="90"/>
      <c r="B73" s="90"/>
    </row>
    <row r="74" spans="1:2" ht="13.2">
      <c r="A74" s="90"/>
      <c r="B74" s="90"/>
    </row>
    <row r="75" spans="1:2" ht="13.2">
      <c r="A75" s="90"/>
      <c r="B75" s="90"/>
    </row>
    <row r="76" spans="1:2" ht="13.2">
      <c r="A76" s="90"/>
      <c r="B76" s="90"/>
    </row>
    <row r="77" spans="1:2" ht="13.2">
      <c r="A77" s="90"/>
      <c r="B77" s="90"/>
    </row>
    <row r="78" spans="1:2" ht="13.2">
      <c r="A78" s="90"/>
      <c r="B78" s="90"/>
    </row>
    <row r="79" spans="1:2" ht="13.2">
      <c r="A79" s="90"/>
      <c r="B79" s="90"/>
    </row>
    <row r="80" spans="1:2" ht="13.2">
      <c r="A80" s="90"/>
      <c r="B80" s="90"/>
    </row>
    <row r="81" spans="1:2" ht="13.2">
      <c r="A81" s="90"/>
      <c r="B81" s="90"/>
    </row>
    <row r="82" spans="1:2" ht="13.2">
      <c r="A82" s="90"/>
      <c r="B82" s="90"/>
    </row>
    <row r="83" spans="1:2" ht="13.2">
      <c r="A83" s="90"/>
      <c r="B83" s="90"/>
    </row>
    <row r="84" spans="1:2" ht="13.2">
      <c r="A84" s="90"/>
      <c r="B84" s="90"/>
    </row>
    <row r="85" spans="1:2" ht="13.2">
      <c r="A85" s="90"/>
      <c r="B85" s="90"/>
    </row>
    <row r="86" spans="1:2" ht="13.2">
      <c r="A86" s="90"/>
      <c r="B86" s="90"/>
    </row>
    <row r="87" spans="1:2" ht="13.2">
      <c r="A87" s="90"/>
      <c r="B87" s="90"/>
    </row>
    <row r="88" spans="1:2" ht="13.2">
      <c r="A88" s="90"/>
      <c r="B88" s="90"/>
    </row>
    <row r="89" spans="1:2" ht="13.2">
      <c r="A89" s="90"/>
      <c r="B89" s="90"/>
    </row>
    <row r="90" spans="1:2" ht="13.2">
      <c r="A90" s="90"/>
      <c r="B90" s="90"/>
    </row>
    <row r="91" spans="1:2" ht="13.2">
      <c r="A91" s="90"/>
      <c r="B91" s="90"/>
    </row>
    <row r="92" spans="1:2" ht="13.2">
      <c r="A92" s="90"/>
      <c r="B92" s="90"/>
    </row>
    <row r="93" spans="1:2" ht="13.2">
      <c r="A93" s="90"/>
      <c r="B93" s="90"/>
    </row>
    <row r="94" spans="1:2" ht="13.2">
      <c r="A94" s="90"/>
      <c r="B94" s="90"/>
    </row>
    <row r="95" spans="1:2" ht="13.2">
      <c r="A95" s="90"/>
      <c r="B95" s="90"/>
    </row>
    <row r="96" spans="1:2" ht="13.2">
      <c r="A96" s="90"/>
      <c r="B96" s="90"/>
    </row>
    <row r="97" spans="1:2" ht="13.2">
      <c r="A97" s="90"/>
      <c r="B97" s="90"/>
    </row>
    <row r="98" spans="1:2" ht="13.2">
      <c r="A98" s="90"/>
      <c r="B98" s="90"/>
    </row>
    <row r="99" spans="1:2" ht="13.2">
      <c r="A99" s="90"/>
      <c r="B99" s="90"/>
    </row>
    <row r="100" spans="1:2" ht="13.2">
      <c r="A100" s="90"/>
      <c r="B100" s="90"/>
    </row>
    <row r="101" spans="1:2" ht="13.2">
      <c r="A101" s="90"/>
      <c r="B101" s="90"/>
    </row>
    <row r="102" spans="1:2" ht="13.2">
      <c r="A102" s="90"/>
      <c r="B102" s="90"/>
    </row>
    <row r="103" spans="1:2" ht="13.2">
      <c r="A103" s="90"/>
      <c r="B103" s="90"/>
    </row>
    <row r="104" spans="1:2" ht="13.2">
      <c r="A104" s="90"/>
      <c r="B104" s="90"/>
    </row>
    <row r="105" spans="1:2" ht="13.2">
      <c r="A105" s="90"/>
      <c r="B105" s="90"/>
    </row>
    <row r="106" spans="1:2" ht="13.2">
      <c r="A106" s="90"/>
      <c r="B106" s="90"/>
    </row>
    <row r="107" spans="1:2" ht="13.2">
      <c r="A107" s="90"/>
      <c r="B107" s="90"/>
    </row>
    <row r="108" spans="1:2" ht="13.2">
      <c r="A108" s="90"/>
      <c r="B108" s="90"/>
    </row>
    <row r="109" spans="1:2" ht="13.2">
      <c r="A109" s="90"/>
      <c r="B109" s="90"/>
    </row>
    <row r="110" spans="1:2" ht="13.2">
      <c r="A110" s="90"/>
      <c r="B110" s="90"/>
    </row>
    <row r="111" spans="1:2" ht="13.2">
      <c r="A111" s="90"/>
      <c r="B111" s="90"/>
    </row>
    <row r="112" spans="1:2" ht="13.2">
      <c r="A112" s="90"/>
      <c r="B112" s="90"/>
    </row>
    <row r="113" spans="1:2" ht="13.2">
      <c r="A113" s="90"/>
      <c r="B113" s="90"/>
    </row>
    <row r="114" spans="1:2" ht="13.2">
      <c r="A114" s="90"/>
      <c r="B114" s="90"/>
    </row>
    <row r="115" spans="1:2" ht="13.2">
      <c r="A115" s="90"/>
      <c r="B115" s="90"/>
    </row>
    <row r="116" spans="1:2" ht="13.2">
      <c r="A116" s="90"/>
      <c r="B116" s="90"/>
    </row>
    <row r="117" spans="1:2" ht="13.2">
      <c r="A117" s="90"/>
      <c r="B117" s="90"/>
    </row>
    <row r="118" spans="1:2" ht="13.2">
      <c r="A118" s="90"/>
      <c r="B118" s="90"/>
    </row>
    <row r="119" spans="1:2" ht="13.2">
      <c r="A119" s="90"/>
      <c r="B119" s="90"/>
    </row>
    <row r="120" spans="1:2" ht="13.2">
      <c r="A120" s="90"/>
      <c r="B120" s="90"/>
    </row>
    <row r="121" spans="1:2" ht="13.2">
      <c r="A121" s="90"/>
      <c r="B121" s="90"/>
    </row>
    <row r="122" spans="1:2" ht="13.2">
      <c r="A122" s="90"/>
      <c r="B122" s="90"/>
    </row>
    <row r="123" spans="1:2" ht="13.2">
      <c r="A123" s="90"/>
      <c r="B123" s="90"/>
    </row>
    <row r="124" spans="1:2" ht="13.2">
      <c r="A124" s="90"/>
      <c r="B124" s="90"/>
    </row>
    <row r="125" spans="1:2" ht="13.2">
      <c r="A125" s="90"/>
      <c r="B125" s="90"/>
    </row>
    <row r="126" spans="1:2" ht="13.2">
      <c r="A126" s="90"/>
      <c r="B126" s="90"/>
    </row>
    <row r="127" spans="1:2" ht="13.2">
      <c r="A127" s="90"/>
      <c r="B127" s="90"/>
    </row>
    <row r="128" spans="1:2" ht="13.2">
      <c r="A128" s="90"/>
      <c r="B128" s="90"/>
    </row>
    <row r="129" spans="1:2" ht="13.2">
      <c r="A129" s="90"/>
      <c r="B129" s="90"/>
    </row>
    <row r="130" spans="1:2" ht="13.2">
      <c r="A130" s="90"/>
      <c r="B130" s="90"/>
    </row>
    <row r="131" spans="1:2" ht="13.2">
      <c r="A131" s="90"/>
      <c r="B131" s="90"/>
    </row>
    <row r="132" spans="1:2" ht="13.2">
      <c r="A132" s="90"/>
      <c r="B132" s="90"/>
    </row>
    <row r="133" spans="1:2" ht="13.2">
      <c r="A133" s="90"/>
      <c r="B133" s="90"/>
    </row>
    <row r="134" spans="1:2" ht="13.2">
      <c r="A134" s="90"/>
      <c r="B134" s="90"/>
    </row>
    <row r="135" spans="1:2" ht="13.2">
      <c r="A135" s="90"/>
      <c r="B135" s="90"/>
    </row>
    <row r="136" spans="1:2" ht="13.2">
      <c r="A136" s="90"/>
      <c r="B136" s="90"/>
    </row>
    <row r="137" spans="1:2" ht="13.2">
      <c r="A137" s="90"/>
      <c r="B137" s="90"/>
    </row>
    <row r="138" spans="1:2" ht="13.2">
      <c r="A138" s="90"/>
      <c r="B138" s="90"/>
    </row>
    <row r="139" spans="1:2" ht="13.2">
      <c r="A139" s="90"/>
      <c r="B139" s="90"/>
    </row>
    <row r="140" spans="1:2" ht="13.2">
      <c r="A140" s="90"/>
      <c r="B140" s="90"/>
    </row>
    <row r="141" spans="1:2" ht="13.2">
      <c r="A141" s="90"/>
      <c r="B141" s="90"/>
    </row>
    <row r="142" spans="1:2" ht="13.2">
      <c r="A142" s="90"/>
      <c r="B142" s="90"/>
    </row>
    <row r="143" spans="1:2" ht="13.2">
      <c r="A143" s="90"/>
      <c r="B143" s="90"/>
    </row>
    <row r="144" spans="1:2" ht="13.2">
      <c r="A144" s="90"/>
      <c r="B144" s="90"/>
    </row>
    <row r="145" spans="1:2" ht="13.2">
      <c r="A145" s="90"/>
      <c r="B145" s="90"/>
    </row>
    <row r="146" spans="1:2" ht="13.2">
      <c r="A146" s="90"/>
      <c r="B146" s="90"/>
    </row>
    <row r="147" spans="1:2" ht="13.2">
      <c r="A147" s="90"/>
      <c r="B147" s="90"/>
    </row>
    <row r="148" spans="1:2" ht="13.2">
      <c r="A148" s="90"/>
      <c r="B148" s="90"/>
    </row>
    <row r="149" spans="1:2" ht="13.2">
      <c r="A149" s="90"/>
      <c r="B149" s="90"/>
    </row>
    <row r="150" spans="1:2" ht="13.2">
      <c r="A150" s="90"/>
      <c r="B150" s="90"/>
    </row>
    <row r="151" spans="1:2" ht="13.2">
      <c r="A151" s="90"/>
      <c r="B151" s="90"/>
    </row>
    <row r="152" spans="1:2" ht="13.2">
      <c r="A152" s="90"/>
      <c r="B152" s="90"/>
    </row>
    <row r="153" spans="1:2" ht="13.2">
      <c r="A153" s="90"/>
      <c r="B153" s="90"/>
    </row>
    <row r="154" spans="1:2" ht="13.2">
      <c r="A154" s="90"/>
      <c r="B154" s="90"/>
    </row>
    <row r="155" spans="1:2" ht="13.2">
      <c r="A155" s="90"/>
      <c r="B155" s="90"/>
    </row>
    <row r="156" spans="1:2" ht="13.2">
      <c r="A156" s="90"/>
      <c r="B156" s="90"/>
    </row>
    <row r="157" spans="1:2" ht="13.2">
      <c r="A157" s="90"/>
      <c r="B157" s="90"/>
    </row>
    <row r="158" spans="1:2" ht="13.2">
      <c r="A158" s="90"/>
      <c r="B158" s="90"/>
    </row>
    <row r="159" spans="1:2" ht="13.2">
      <c r="A159" s="90"/>
      <c r="B159" s="90"/>
    </row>
    <row r="160" spans="1:2" ht="13.2">
      <c r="A160" s="90"/>
      <c r="B160" s="90"/>
    </row>
    <row r="161" spans="1:2" ht="13.2">
      <c r="A161" s="90"/>
      <c r="B161" s="90"/>
    </row>
    <row r="162" spans="1:2" ht="13.2">
      <c r="A162" s="90"/>
      <c r="B162" s="90"/>
    </row>
    <row r="163" spans="1:2" ht="13.2">
      <c r="A163" s="90"/>
      <c r="B163" s="90"/>
    </row>
    <row r="164" spans="1:2" ht="13.2">
      <c r="A164" s="90"/>
      <c r="B164" s="90"/>
    </row>
    <row r="165" spans="1:2" ht="13.2">
      <c r="A165" s="90"/>
      <c r="B165" s="90"/>
    </row>
    <row r="166" spans="1:2" ht="13.2">
      <c r="A166" s="90"/>
      <c r="B166" s="90"/>
    </row>
    <row r="167" spans="1:2" ht="13.2">
      <c r="A167" s="90"/>
      <c r="B167" s="90"/>
    </row>
    <row r="168" spans="1:2" ht="13.2">
      <c r="A168" s="90"/>
      <c r="B168" s="90"/>
    </row>
    <row r="169" spans="1:2" ht="13.2">
      <c r="A169" s="90"/>
      <c r="B169" s="90"/>
    </row>
    <row r="170" spans="1:2" ht="13.2">
      <c r="A170" s="90"/>
      <c r="B170" s="90"/>
    </row>
    <row r="171" spans="1:2" ht="13.2">
      <c r="A171" s="90"/>
      <c r="B171" s="90"/>
    </row>
    <row r="172" spans="1:2" ht="13.2">
      <c r="A172" s="90"/>
      <c r="B172" s="90"/>
    </row>
    <row r="173" spans="1:2" ht="13.2">
      <c r="A173" s="90"/>
      <c r="B173" s="90"/>
    </row>
    <row r="174" spans="1:2" ht="13.2">
      <c r="A174" s="90"/>
      <c r="B174" s="90"/>
    </row>
    <row r="175" spans="1:2" ht="13.2">
      <c r="A175" s="90"/>
      <c r="B175" s="90"/>
    </row>
    <row r="176" spans="1:2" ht="13.2">
      <c r="A176" s="90"/>
      <c r="B176" s="90"/>
    </row>
    <row r="177" spans="1:2" ht="13.2">
      <c r="A177" s="90"/>
      <c r="B177" s="90"/>
    </row>
    <row r="178" spans="1:2" ht="13.2">
      <c r="A178" s="90"/>
      <c r="B178" s="90"/>
    </row>
    <row r="179" spans="1:2" ht="13.2">
      <c r="A179" s="90"/>
      <c r="B179" s="90"/>
    </row>
    <row r="180" spans="1:2" ht="13.2">
      <c r="A180" s="90"/>
      <c r="B180" s="90"/>
    </row>
    <row r="181" spans="1:2" ht="13.2">
      <c r="A181" s="90"/>
      <c r="B181" s="90"/>
    </row>
    <row r="182" spans="1:2" ht="13.2">
      <c r="A182" s="90"/>
      <c r="B182" s="90"/>
    </row>
    <row r="183" spans="1:2" ht="13.2">
      <c r="A183" s="90"/>
      <c r="B183" s="90"/>
    </row>
    <row r="184" spans="1:2" ht="13.2">
      <c r="A184" s="90"/>
      <c r="B184" s="90"/>
    </row>
    <row r="185" spans="1:2" ht="13.2">
      <c r="A185" s="90"/>
      <c r="B185" s="90"/>
    </row>
    <row r="186" spans="1:2" ht="13.2">
      <c r="A186" s="90"/>
      <c r="B186" s="90"/>
    </row>
    <row r="187" spans="1:2" ht="13.2">
      <c r="A187" s="90"/>
      <c r="B187" s="90"/>
    </row>
    <row r="188" spans="1:2" ht="13.2">
      <c r="A188" s="90"/>
      <c r="B188" s="90"/>
    </row>
    <row r="189" spans="1:2" ht="13.2">
      <c r="A189" s="90"/>
      <c r="B189" s="90"/>
    </row>
    <row r="190" spans="1:2" ht="13.2">
      <c r="A190" s="90"/>
      <c r="B190" s="90"/>
    </row>
    <row r="191" spans="1:2" ht="13.2">
      <c r="A191" s="90"/>
      <c r="B191" s="90"/>
    </row>
    <row r="192" spans="1:2" ht="13.2">
      <c r="A192" s="90"/>
      <c r="B192" s="90"/>
    </row>
    <row r="193" spans="1:2" ht="13.2">
      <c r="A193" s="90"/>
      <c r="B193" s="90"/>
    </row>
    <row r="194" spans="1:2" ht="13.2">
      <c r="A194" s="90"/>
      <c r="B194" s="90"/>
    </row>
    <row r="195" spans="1:2" ht="13.2">
      <c r="A195" s="90"/>
      <c r="B195" s="90"/>
    </row>
    <row r="196" spans="1:2" ht="13.2">
      <c r="A196" s="90"/>
      <c r="B196" s="90"/>
    </row>
    <row r="197" spans="1:2" ht="13.2">
      <c r="A197" s="90"/>
      <c r="B197" s="90"/>
    </row>
    <row r="198" spans="1:2" ht="13.2">
      <c r="A198" s="90"/>
      <c r="B198" s="90"/>
    </row>
    <row r="199" spans="1:2" ht="13.2">
      <c r="A199" s="90"/>
      <c r="B199" s="90"/>
    </row>
    <row r="200" spans="1:2" ht="13.2">
      <c r="A200" s="90"/>
      <c r="B200" s="90"/>
    </row>
    <row r="201" spans="1:2" ht="13.2">
      <c r="A201" s="90"/>
      <c r="B201" s="90"/>
    </row>
    <row r="202" spans="1:2" ht="13.2">
      <c r="A202" s="90"/>
      <c r="B202" s="90"/>
    </row>
    <row r="203" spans="1:2" ht="13.2">
      <c r="A203" s="90"/>
      <c r="B203" s="90"/>
    </row>
    <row r="204" spans="1:2" ht="13.2">
      <c r="A204" s="90"/>
      <c r="B204" s="90"/>
    </row>
    <row r="205" spans="1:2" ht="13.2">
      <c r="A205" s="90"/>
      <c r="B205" s="90"/>
    </row>
    <row r="206" spans="1:2" ht="13.2">
      <c r="A206" s="90"/>
      <c r="B206" s="90"/>
    </row>
    <row r="207" spans="1:2" ht="13.2">
      <c r="A207" s="90"/>
      <c r="B207" s="90"/>
    </row>
    <row r="208" spans="1:2" ht="13.2">
      <c r="A208" s="90"/>
      <c r="B208" s="90"/>
    </row>
    <row r="209" spans="1:2" ht="13.2">
      <c r="A209" s="90"/>
      <c r="B209" s="90"/>
    </row>
    <row r="210" spans="1:2" ht="13.2">
      <c r="A210" s="90"/>
      <c r="B210" s="90"/>
    </row>
    <row r="211" spans="1:2" ht="13.2">
      <c r="A211" s="90"/>
      <c r="B211" s="90"/>
    </row>
    <row r="212" spans="1:2" ht="13.2">
      <c r="A212" s="90"/>
      <c r="B212" s="90"/>
    </row>
    <row r="213" spans="1:2" ht="13.2">
      <c r="A213" s="90"/>
      <c r="B213" s="90"/>
    </row>
    <row r="214" spans="1:2" ht="13.2">
      <c r="A214" s="90"/>
      <c r="B214" s="90"/>
    </row>
    <row r="215" spans="1:2" ht="13.2">
      <c r="A215" s="90"/>
      <c r="B215" s="90"/>
    </row>
    <row r="216" spans="1:2" ht="13.2">
      <c r="A216" s="90"/>
      <c r="B216" s="90"/>
    </row>
    <row r="217" spans="1:2" ht="13.2">
      <c r="A217" s="90"/>
      <c r="B217" s="90"/>
    </row>
    <row r="218" spans="1:2" ht="13.2">
      <c r="A218" s="90"/>
      <c r="B218" s="90"/>
    </row>
    <row r="219" spans="1:2" ht="13.2">
      <c r="A219" s="90"/>
      <c r="B219" s="90"/>
    </row>
    <row r="220" spans="1:2" ht="13.2">
      <c r="A220" s="90"/>
      <c r="B220" s="90"/>
    </row>
    <row r="221" spans="1:2" ht="13.2">
      <c r="A221" s="90"/>
      <c r="B221" s="90"/>
    </row>
    <row r="222" spans="1:2" ht="13.2">
      <c r="A222" s="90"/>
      <c r="B222" s="90"/>
    </row>
    <row r="223" spans="1:2" ht="13.2">
      <c r="A223" s="90"/>
      <c r="B223" s="90"/>
    </row>
    <row r="224" spans="1:2" ht="13.2">
      <c r="A224" s="90"/>
      <c r="B224" s="90"/>
    </row>
    <row r="225" spans="1:2" ht="13.2">
      <c r="A225" s="90"/>
      <c r="B225" s="90"/>
    </row>
    <row r="226" spans="1:2" ht="13.2">
      <c r="A226" s="90"/>
      <c r="B226" s="90"/>
    </row>
    <row r="227" spans="1:2" ht="13.2">
      <c r="A227" s="90"/>
      <c r="B227" s="90"/>
    </row>
    <row r="228" spans="1:2" ht="13.2">
      <c r="A228" s="90"/>
      <c r="B228" s="90"/>
    </row>
    <row r="229" spans="1:2" ht="13.2">
      <c r="A229" s="90"/>
      <c r="B229" s="90"/>
    </row>
    <row r="230" spans="1:2" ht="13.2">
      <c r="A230" s="90"/>
      <c r="B230" s="90"/>
    </row>
    <row r="231" spans="1:2" ht="13.2">
      <c r="A231" s="90"/>
      <c r="B231" s="90"/>
    </row>
    <row r="232" spans="1:2" ht="13.2">
      <c r="A232" s="90"/>
      <c r="B232" s="90"/>
    </row>
    <row r="233" spans="1:2" ht="13.2">
      <c r="A233" s="90"/>
      <c r="B233" s="90"/>
    </row>
    <row r="234" spans="1:2" ht="13.2">
      <c r="A234" s="90"/>
      <c r="B234" s="90"/>
    </row>
    <row r="235" spans="1:2" ht="13.2">
      <c r="A235" s="90"/>
      <c r="B235" s="90"/>
    </row>
    <row r="236" spans="1:2" ht="13.2">
      <c r="A236" s="90"/>
      <c r="B236" s="90"/>
    </row>
    <row r="237" spans="1:2" ht="13.2">
      <c r="A237" s="90"/>
      <c r="B237" s="90"/>
    </row>
    <row r="238" spans="1:2" ht="13.2">
      <c r="A238" s="90"/>
      <c r="B238" s="90"/>
    </row>
    <row r="239" spans="1:2" ht="13.2">
      <c r="A239" s="90"/>
      <c r="B239" s="90"/>
    </row>
    <row r="240" spans="1:2" ht="13.2">
      <c r="A240" s="90"/>
      <c r="B240" s="90"/>
    </row>
    <row r="241" spans="1:2" ht="13.2">
      <c r="A241" s="90"/>
      <c r="B241" s="90"/>
    </row>
    <row r="242" spans="1:2" ht="13.2">
      <c r="A242" s="90"/>
      <c r="B242" s="90"/>
    </row>
    <row r="243" spans="1:2" ht="13.2">
      <c r="A243" s="90"/>
      <c r="B243" s="90"/>
    </row>
    <row r="244" spans="1:2" ht="13.2">
      <c r="A244" s="90"/>
      <c r="B244" s="90"/>
    </row>
    <row r="245" spans="1:2" ht="13.2">
      <c r="A245" s="90"/>
      <c r="B245" s="90"/>
    </row>
    <row r="246" spans="1:2" ht="13.2">
      <c r="A246" s="90"/>
      <c r="B246" s="90"/>
    </row>
    <row r="247" spans="1:2" ht="13.2">
      <c r="A247" s="90"/>
      <c r="B247" s="90"/>
    </row>
    <row r="248" spans="1:2" ht="13.2">
      <c r="A248" s="90"/>
      <c r="B248" s="90"/>
    </row>
    <row r="249" spans="1:2" ht="13.2">
      <c r="A249" s="90"/>
      <c r="B249" s="90"/>
    </row>
    <row r="250" spans="1:2" ht="13.2">
      <c r="A250" s="90"/>
      <c r="B250" s="90"/>
    </row>
    <row r="251" spans="1:2" ht="13.2">
      <c r="A251" s="90"/>
      <c r="B251" s="90"/>
    </row>
    <row r="252" spans="1:2" ht="13.2">
      <c r="A252" s="90"/>
      <c r="B252" s="90"/>
    </row>
    <row r="253" spans="1:2" ht="13.2">
      <c r="A253" s="90"/>
      <c r="B253" s="90"/>
    </row>
    <row r="254" spans="1:2" ht="13.2">
      <c r="A254" s="90"/>
      <c r="B254" s="90"/>
    </row>
    <row r="255" spans="1:2" ht="13.2">
      <c r="A255" s="90"/>
      <c r="B255" s="90"/>
    </row>
    <row r="256" spans="1:2" ht="13.2">
      <c r="A256" s="90"/>
      <c r="B256" s="90"/>
    </row>
    <row r="257" spans="1:2" ht="13.2">
      <c r="A257" s="90"/>
      <c r="B257" s="90"/>
    </row>
    <row r="258" spans="1:2" ht="13.2">
      <c r="A258" s="90"/>
      <c r="B258" s="90"/>
    </row>
    <row r="259" spans="1:2" ht="13.2">
      <c r="A259" s="90"/>
      <c r="B259" s="90"/>
    </row>
    <row r="260" spans="1:2" ht="13.2">
      <c r="A260" s="90"/>
      <c r="B260" s="90"/>
    </row>
    <row r="261" spans="1:2" ht="13.2">
      <c r="A261" s="90"/>
      <c r="B261" s="90"/>
    </row>
    <row r="262" spans="1:2" ht="13.2">
      <c r="A262" s="90"/>
      <c r="B262" s="90"/>
    </row>
    <row r="263" spans="1:2" ht="13.2">
      <c r="A263" s="90"/>
      <c r="B263" s="90"/>
    </row>
    <row r="264" spans="1:2" ht="13.2">
      <c r="A264" s="90"/>
      <c r="B264" s="90"/>
    </row>
    <row r="265" spans="1:2" ht="13.2">
      <c r="A265" s="90"/>
      <c r="B265" s="90"/>
    </row>
    <row r="266" spans="1:2" ht="13.2">
      <c r="A266" s="90"/>
      <c r="B266" s="90"/>
    </row>
    <row r="267" spans="1:2" ht="13.2">
      <c r="A267" s="90"/>
      <c r="B267" s="90"/>
    </row>
    <row r="268" spans="1:2" ht="13.2">
      <c r="A268" s="90"/>
      <c r="B268" s="90"/>
    </row>
    <row r="269" spans="1:2" ht="13.2">
      <c r="A269" s="90"/>
      <c r="B269" s="90"/>
    </row>
    <row r="270" spans="1:2" ht="13.2">
      <c r="A270" s="90"/>
      <c r="B270" s="90"/>
    </row>
    <row r="271" spans="1:2" ht="13.2">
      <c r="A271" s="90"/>
      <c r="B271" s="90"/>
    </row>
    <row r="272" spans="1:2" ht="13.2">
      <c r="A272" s="90"/>
      <c r="B272" s="90"/>
    </row>
    <row r="273" spans="1:2" ht="13.2">
      <c r="A273" s="90"/>
      <c r="B273" s="90"/>
    </row>
    <row r="274" spans="1:2" ht="13.2">
      <c r="A274" s="90"/>
      <c r="B274" s="90"/>
    </row>
    <row r="275" spans="1:2" ht="13.2">
      <c r="A275" s="90"/>
      <c r="B275" s="90"/>
    </row>
    <row r="276" spans="1:2" ht="13.2">
      <c r="A276" s="90"/>
      <c r="B276" s="90"/>
    </row>
    <row r="277" spans="1:2" ht="13.2">
      <c r="A277" s="90"/>
      <c r="B277" s="90"/>
    </row>
    <row r="278" spans="1:2" ht="13.2">
      <c r="A278" s="90"/>
      <c r="B278" s="90"/>
    </row>
    <row r="279" spans="1:2" ht="13.2">
      <c r="A279" s="90"/>
      <c r="B279" s="90"/>
    </row>
    <row r="280" spans="1:2" ht="13.2">
      <c r="A280" s="90"/>
      <c r="B280" s="90"/>
    </row>
    <row r="281" spans="1:2" ht="13.2">
      <c r="A281" s="90"/>
      <c r="B281" s="90"/>
    </row>
    <row r="282" spans="1:2" ht="13.2">
      <c r="A282" s="90"/>
      <c r="B282" s="90"/>
    </row>
    <row r="283" spans="1:2" ht="13.2">
      <c r="A283" s="90"/>
      <c r="B283" s="90"/>
    </row>
    <row r="284" spans="1:2" ht="13.2">
      <c r="A284" s="90"/>
      <c r="B284" s="90"/>
    </row>
    <row r="285" spans="1:2" ht="13.2">
      <c r="A285" s="90"/>
      <c r="B285" s="90"/>
    </row>
    <row r="286" spans="1:2" ht="13.2">
      <c r="A286" s="90"/>
      <c r="B286" s="90"/>
    </row>
    <row r="287" spans="1:2" ht="13.2">
      <c r="A287" s="90"/>
      <c r="B287" s="90"/>
    </row>
    <row r="288" spans="1:2" ht="13.2">
      <c r="A288" s="90"/>
      <c r="B288" s="90"/>
    </row>
    <row r="289" spans="1:2" ht="13.2">
      <c r="A289" s="90"/>
      <c r="B289" s="90"/>
    </row>
    <row r="290" spans="1:2" ht="13.2">
      <c r="A290" s="90"/>
      <c r="B290" s="90"/>
    </row>
    <row r="291" spans="1:2" ht="13.2">
      <c r="A291" s="90"/>
      <c r="B291" s="90"/>
    </row>
    <row r="292" spans="1:2" ht="13.2">
      <c r="A292" s="90"/>
      <c r="B292" s="90"/>
    </row>
    <row r="293" spans="1:2" ht="13.2">
      <c r="A293" s="90"/>
      <c r="B293" s="90"/>
    </row>
    <row r="294" spans="1:2" ht="13.2">
      <c r="A294" s="90"/>
      <c r="B294" s="90"/>
    </row>
    <row r="295" spans="1:2" ht="13.2">
      <c r="A295" s="90"/>
      <c r="B295" s="90"/>
    </row>
    <row r="296" spans="1:2" ht="13.2">
      <c r="A296" s="90"/>
      <c r="B296" s="90"/>
    </row>
    <row r="297" spans="1:2" ht="13.2">
      <c r="A297" s="90"/>
      <c r="B297" s="90"/>
    </row>
    <row r="298" spans="1:2" ht="13.2">
      <c r="A298" s="90"/>
      <c r="B298" s="90"/>
    </row>
    <row r="299" spans="1:2" ht="13.2">
      <c r="A299" s="90"/>
      <c r="B299" s="90"/>
    </row>
    <row r="300" spans="1:2" ht="13.2">
      <c r="A300" s="90"/>
      <c r="B300" s="90"/>
    </row>
    <row r="301" spans="1:2" ht="13.2">
      <c r="A301" s="90"/>
      <c r="B301" s="90"/>
    </row>
    <row r="302" spans="1:2" ht="13.2">
      <c r="A302" s="90"/>
      <c r="B302" s="90"/>
    </row>
    <row r="303" spans="1:2" ht="13.2">
      <c r="A303" s="90"/>
      <c r="B303" s="90"/>
    </row>
    <row r="304" spans="1:2" ht="13.2">
      <c r="A304" s="90"/>
      <c r="B304" s="90"/>
    </row>
    <row r="305" spans="1:2" ht="13.2">
      <c r="A305" s="90"/>
      <c r="B305" s="90"/>
    </row>
    <row r="306" spans="1:2" ht="13.2">
      <c r="A306" s="90"/>
      <c r="B306" s="90"/>
    </row>
    <row r="307" spans="1:2" ht="13.2">
      <c r="A307" s="90"/>
      <c r="B307" s="90"/>
    </row>
    <row r="308" spans="1:2" ht="13.2">
      <c r="A308" s="90"/>
      <c r="B308" s="90"/>
    </row>
    <row r="309" spans="1:2" ht="13.2">
      <c r="A309" s="90"/>
      <c r="B309" s="90"/>
    </row>
    <row r="310" spans="1:2" ht="13.2">
      <c r="A310" s="90"/>
      <c r="B310" s="90"/>
    </row>
    <row r="311" spans="1:2" ht="13.2">
      <c r="A311" s="90"/>
      <c r="B311" s="90"/>
    </row>
    <row r="312" spans="1:2" ht="13.2">
      <c r="A312" s="90"/>
      <c r="B312" s="90"/>
    </row>
    <row r="313" spans="1:2" ht="13.2">
      <c r="A313" s="90"/>
      <c r="B313" s="90"/>
    </row>
    <row r="314" spans="1:2" ht="13.2">
      <c r="A314" s="90"/>
      <c r="B314" s="90"/>
    </row>
    <row r="315" spans="1:2" ht="13.2">
      <c r="A315" s="90"/>
      <c r="B315" s="90"/>
    </row>
    <row r="316" spans="1:2" ht="13.2">
      <c r="A316" s="90"/>
      <c r="B316" s="90"/>
    </row>
    <row r="317" spans="1:2" ht="13.2">
      <c r="A317" s="90"/>
      <c r="B317" s="90"/>
    </row>
    <row r="318" spans="1:2" ht="13.2">
      <c r="A318" s="90"/>
      <c r="B318" s="90"/>
    </row>
    <row r="319" spans="1:2" ht="13.2">
      <c r="A319" s="90"/>
      <c r="B319" s="90"/>
    </row>
    <row r="320" spans="1:2" ht="13.2">
      <c r="A320" s="90"/>
      <c r="B320" s="90"/>
    </row>
    <row r="321" spans="1:2" ht="13.2">
      <c r="A321" s="90"/>
      <c r="B321" s="90"/>
    </row>
    <row r="322" spans="1:2" ht="13.2">
      <c r="A322" s="90"/>
      <c r="B322" s="90"/>
    </row>
    <row r="323" spans="1:2" ht="13.2">
      <c r="A323" s="90"/>
      <c r="B323" s="90"/>
    </row>
    <row r="324" spans="1:2" ht="13.2">
      <c r="A324" s="90"/>
      <c r="B324" s="90"/>
    </row>
    <row r="325" spans="1:2" ht="13.2">
      <c r="A325" s="90"/>
      <c r="B325" s="90"/>
    </row>
    <row r="326" spans="1:2" ht="13.2">
      <c r="A326" s="90"/>
      <c r="B326" s="90"/>
    </row>
    <row r="327" spans="1:2" ht="13.2">
      <c r="A327" s="90"/>
      <c r="B327" s="90"/>
    </row>
    <row r="328" spans="1:2" ht="13.2">
      <c r="A328" s="90"/>
      <c r="B328" s="90"/>
    </row>
    <row r="329" spans="1:2" ht="13.2">
      <c r="A329" s="90"/>
      <c r="B329" s="90"/>
    </row>
    <row r="330" spans="1:2" ht="13.2">
      <c r="A330" s="90"/>
      <c r="B330" s="90"/>
    </row>
    <row r="331" spans="1:2" ht="13.2">
      <c r="A331" s="90"/>
      <c r="B331" s="90"/>
    </row>
    <row r="332" spans="1:2" ht="13.2">
      <c r="A332" s="90"/>
      <c r="B332" s="90"/>
    </row>
    <row r="333" spans="1:2" ht="13.2">
      <c r="A333" s="90"/>
      <c r="B333" s="90"/>
    </row>
    <row r="334" spans="1:2" ht="13.2">
      <c r="A334" s="90"/>
      <c r="B334" s="90"/>
    </row>
    <row r="335" spans="1:2" ht="13.2">
      <c r="A335" s="90"/>
      <c r="B335" s="90"/>
    </row>
    <row r="336" spans="1:2" ht="13.2">
      <c r="A336" s="90"/>
      <c r="B336" s="90"/>
    </row>
    <row r="337" spans="1:2" ht="13.2">
      <c r="A337" s="90"/>
      <c r="B337" s="90"/>
    </row>
    <row r="338" spans="1:2" ht="13.2">
      <c r="A338" s="90"/>
      <c r="B338" s="90"/>
    </row>
    <row r="339" spans="1:2" ht="13.2">
      <c r="A339" s="90"/>
      <c r="B339" s="90"/>
    </row>
    <row r="340" spans="1:2" ht="13.2">
      <c r="A340" s="90"/>
      <c r="B340" s="90"/>
    </row>
    <row r="341" spans="1:2" ht="13.2">
      <c r="A341" s="90"/>
      <c r="B341" s="90"/>
    </row>
    <row r="342" spans="1:2" ht="13.2">
      <c r="A342" s="90"/>
      <c r="B342" s="90"/>
    </row>
    <row r="343" spans="1:2" ht="13.2">
      <c r="A343" s="90"/>
      <c r="B343" s="90"/>
    </row>
    <row r="344" spans="1:2" ht="13.2">
      <c r="A344" s="90"/>
      <c r="B344" s="90"/>
    </row>
    <row r="345" spans="1:2" ht="13.2">
      <c r="A345" s="90"/>
      <c r="B345" s="90"/>
    </row>
    <row r="346" spans="1:2" ht="13.2">
      <c r="A346" s="90"/>
      <c r="B346" s="90"/>
    </row>
    <row r="347" spans="1:2" ht="13.2">
      <c r="A347" s="90"/>
      <c r="B347" s="90"/>
    </row>
    <row r="348" spans="1:2" ht="13.2">
      <c r="A348" s="90"/>
      <c r="B348" s="90"/>
    </row>
    <row r="349" spans="1:2" ht="13.2">
      <c r="A349" s="90"/>
      <c r="B349" s="90"/>
    </row>
    <row r="350" spans="1:2" ht="13.2">
      <c r="A350" s="90"/>
      <c r="B350" s="90"/>
    </row>
    <row r="351" spans="1:2" ht="13.2">
      <c r="A351" s="90"/>
      <c r="B351" s="90"/>
    </row>
    <row r="352" spans="1:2" ht="13.2">
      <c r="A352" s="90"/>
      <c r="B352" s="90"/>
    </row>
    <row r="353" spans="1:2" ht="13.2">
      <c r="A353" s="90"/>
      <c r="B353" s="90"/>
    </row>
    <row r="354" spans="1:2" ht="13.2">
      <c r="A354" s="90"/>
      <c r="B354" s="90"/>
    </row>
    <row r="355" spans="1:2" ht="13.2">
      <c r="A355" s="90"/>
      <c r="B355" s="90"/>
    </row>
    <row r="356" spans="1:2" ht="13.2">
      <c r="A356" s="90"/>
      <c r="B356" s="90"/>
    </row>
    <row r="357" spans="1:2" ht="13.2">
      <c r="A357" s="90"/>
      <c r="B357" s="90"/>
    </row>
    <row r="358" spans="1:2" ht="13.2">
      <c r="A358" s="90"/>
      <c r="B358" s="90"/>
    </row>
    <row r="359" spans="1:2" ht="13.2">
      <c r="A359" s="90"/>
      <c r="B359" s="90"/>
    </row>
    <row r="360" spans="1:2" ht="13.2">
      <c r="A360" s="90"/>
      <c r="B360" s="90"/>
    </row>
    <row r="361" spans="1:2" ht="13.2">
      <c r="A361" s="90"/>
      <c r="B361" s="90"/>
    </row>
    <row r="362" spans="1:2" ht="13.2">
      <c r="A362" s="90"/>
      <c r="B362" s="90"/>
    </row>
    <row r="363" spans="1:2" ht="13.2">
      <c r="A363" s="90"/>
      <c r="B363" s="90"/>
    </row>
    <row r="364" spans="1:2" ht="13.2">
      <c r="A364" s="90"/>
      <c r="B364" s="90"/>
    </row>
    <row r="365" spans="1:2" ht="13.2">
      <c r="A365" s="90"/>
      <c r="B365" s="90"/>
    </row>
    <row r="366" spans="1:2" ht="13.2">
      <c r="A366" s="90"/>
      <c r="B366" s="90"/>
    </row>
    <row r="367" spans="1:2" ht="13.2">
      <c r="A367" s="90"/>
      <c r="B367" s="90"/>
    </row>
    <row r="368" spans="1:2" ht="13.2">
      <c r="A368" s="90"/>
      <c r="B368" s="90"/>
    </row>
    <row r="369" spans="1:2" ht="13.2">
      <c r="A369" s="90"/>
      <c r="B369" s="90"/>
    </row>
    <row r="370" spans="1:2" ht="13.2">
      <c r="A370" s="90"/>
      <c r="B370" s="90"/>
    </row>
    <row r="371" spans="1:2" ht="13.2">
      <c r="A371" s="90"/>
      <c r="B371" s="90"/>
    </row>
    <row r="372" spans="1:2" ht="13.2">
      <c r="A372" s="90"/>
      <c r="B372" s="90"/>
    </row>
    <row r="373" spans="1:2" ht="13.2">
      <c r="A373" s="90"/>
      <c r="B373" s="90"/>
    </row>
    <row r="374" spans="1:2" ht="13.2">
      <c r="A374" s="90"/>
      <c r="B374" s="90"/>
    </row>
    <row r="375" spans="1:2" ht="13.2">
      <c r="A375" s="90"/>
      <c r="B375" s="90"/>
    </row>
    <row r="376" spans="1:2" ht="13.2">
      <c r="A376" s="90"/>
      <c r="B376" s="90"/>
    </row>
    <row r="377" spans="1:2" ht="13.2">
      <c r="A377" s="90"/>
      <c r="B377" s="90"/>
    </row>
    <row r="378" spans="1:2" ht="13.2">
      <c r="A378" s="90"/>
      <c r="B378" s="90"/>
    </row>
    <row r="379" spans="1:2" ht="13.2">
      <c r="A379" s="90"/>
      <c r="B379" s="90"/>
    </row>
    <row r="380" spans="1:2" ht="13.2">
      <c r="A380" s="90"/>
      <c r="B380" s="90"/>
    </row>
    <row r="381" spans="1:2" ht="13.2">
      <c r="A381" s="90"/>
      <c r="B381" s="90"/>
    </row>
    <row r="382" spans="1:2" ht="13.2">
      <c r="A382" s="90"/>
      <c r="B382" s="90"/>
    </row>
    <row r="383" spans="1:2" ht="13.2">
      <c r="A383" s="90"/>
      <c r="B383" s="90"/>
    </row>
    <row r="384" spans="1:2" ht="13.2">
      <c r="A384" s="90"/>
      <c r="B384" s="90"/>
    </row>
    <row r="385" spans="1:2" ht="13.2">
      <c r="A385" s="90"/>
      <c r="B385" s="90"/>
    </row>
    <row r="386" spans="1:2" ht="13.2">
      <c r="A386" s="90"/>
      <c r="B386" s="90"/>
    </row>
    <row r="387" spans="1:2" ht="13.2">
      <c r="A387" s="90"/>
      <c r="B387" s="90"/>
    </row>
    <row r="388" spans="1:2" ht="13.2">
      <c r="A388" s="90"/>
      <c r="B388" s="90"/>
    </row>
    <row r="389" spans="1:2" ht="13.2">
      <c r="A389" s="90"/>
      <c r="B389" s="90"/>
    </row>
    <row r="390" spans="1:2" ht="13.2">
      <c r="A390" s="90"/>
      <c r="B390" s="90"/>
    </row>
    <row r="391" spans="1:2" ht="13.2">
      <c r="A391" s="90"/>
      <c r="B391" s="90"/>
    </row>
    <row r="392" spans="1:2" ht="13.2">
      <c r="A392" s="90"/>
      <c r="B392" s="90"/>
    </row>
    <row r="393" spans="1:2" ht="13.2">
      <c r="A393" s="90"/>
      <c r="B393" s="90"/>
    </row>
    <row r="394" spans="1:2" ht="13.2">
      <c r="A394" s="90"/>
      <c r="B394" s="90"/>
    </row>
    <row r="395" spans="1:2" ht="13.2">
      <c r="A395" s="90"/>
      <c r="B395" s="90"/>
    </row>
    <row r="396" spans="1:2" ht="13.2">
      <c r="A396" s="90"/>
      <c r="B396" s="90"/>
    </row>
    <row r="397" spans="1:2" ht="13.2">
      <c r="A397" s="90"/>
      <c r="B397" s="90"/>
    </row>
    <row r="398" spans="1:2" ht="13.2">
      <c r="A398" s="90"/>
      <c r="B398" s="90"/>
    </row>
    <row r="399" spans="1:2" ht="13.2">
      <c r="A399" s="90"/>
      <c r="B399" s="90"/>
    </row>
    <row r="400" spans="1:2" ht="13.2">
      <c r="A400" s="90"/>
      <c r="B400" s="90"/>
    </row>
    <row r="401" spans="1:2" ht="13.2">
      <c r="A401" s="90"/>
      <c r="B401" s="90"/>
    </row>
    <row r="402" spans="1:2" ht="13.2">
      <c r="A402" s="90"/>
      <c r="B402" s="90"/>
    </row>
    <row r="403" spans="1:2" ht="13.2">
      <c r="A403" s="90"/>
      <c r="B403" s="90"/>
    </row>
    <row r="404" spans="1:2" ht="13.2">
      <c r="A404" s="90"/>
      <c r="B404" s="90"/>
    </row>
    <row r="405" spans="1:2" ht="13.2">
      <c r="A405" s="90"/>
      <c r="B405" s="90"/>
    </row>
    <row r="406" spans="1:2" ht="13.2">
      <c r="A406" s="90"/>
      <c r="B406" s="90"/>
    </row>
    <row r="407" spans="1:2" ht="13.2">
      <c r="A407" s="90"/>
      <c r="B407" s="90"/>
    </row>
    <row r="408" spans="1:2" ht="13.2">
      <c r="A408" s="90"/>
      <c r="B408" s="90"/>
    </row>
    <row r="409" spans="1:2" ht="13.2">
      <c r="A409" s="90"/>
      <c r="B409" s="90"/>
    </row>
    <row r="410" spans="1:2" ht="13.2">
      <c r="A410" s="90"/>
      <c r="B410" s="90"/>
    </row>
    <row r="411" spans="1:2" ht="13.2">
      <c r="A411" s="90"/>
      <c r="B411" s="90"/>
    </row>
    <row r="412" spans="1:2" ht="13.2">
      <c r="A412" s="90"/>
      <c r="B412" s="90"/>
    </row>
    <row r="413" spans="1:2" ht="13.2">
      <c r="A413" s="90"/>
      <c r="B413" s="90"/>
    </row>
    <row r="414" spans="1:2" ht="13.2">
      <c r="A414" s="90"/>
      <c r="B414" s="90"/>
    </row>
    <row r="415" spans="1:2" ht="13.2">
      <c r="A415" s="90"/>
      <c r="B415" s="90"/>
    </row>
    <row r="416" spans="1:2" ht="13.2">
      <c r="A416" s="90"/>
      <c r="B416" s="90"/>
    </row>
    <row r="417" spans="1:2" ht="13.2">
      <c r="A417" s="90"/>
      <c r="B417" s="90"/>
    </row>
    <row r="418" spans="1:2" ht="13.2">
      <c r="A418" s="90"/>
      <c r="B418" s="90"/>
    </row>
    <row r="419" spans="1:2" ht="13.2">
      <c r="A419" s="90"/>
      <c r="B419" s="90"/>
    </row>
    <row r="420" spans="1:2" ht="13.2">
      <c r="A420" s="90"/>
      <c r="B420" s="90"/>
    </row>
    <row r="421" spans="1:2" ht="13.2">
      <c r="A421" s="90"/>
      <c r="B421" s="90"/>
    </row>
    <row r="422" spans="1:2" ht="13.2">
      <c r="A422" s="90"/>
      <c r="B422" s="90"/>
    </row>
    <row r="423" spans="1:2" ht="13.2">
      <c r="A423" s="90"/>
      <c r="B423" s="90"/>
    </row>
    <row r="424" spans="1:2" ht="13.2">
      <c r="A424" s="90"/>
      <c r="B424" s="90"/>
    </row>
    <row r="425" spans="1:2" ht="13.2">
      <c r="A425" s="90"/>
      <c r="B425" s="90"/>
    </row>
    <row r="426" spans="1:2" ht="13.2">
      <c r="A426" s="90"/>
      <c r="B426" s="90"/>
    </row>
    <row r="427" spans="1:2" ht="13.2">
      <c r="A427" s="90"/>
      <c r="B427" s="90"/>
    </row>
    <row r="428" spans="1:2" ht="13.2">
      <c r="A428" s="90"/>
      <c r="B428" s="90"/>
    </row>
    <row r="429" spans="1:2" ht="13.2">
      <c r="A429" s="90"/>
      <c r="B429" s="90"/>
    </row>
    <row r="430" spans="1:2" ht="13.2">
      <c r="A430" s="90"/>
      <c r="B430" s="90"/>
    </row>
    <row r="431" spans="1:2" ht="13.2">
      <c r="A431" s="90"/>
      <c r="B431" s="90"/>
    </row>
    <row r="432" spans="1:2" ht="13.2">
      <c r="A432" s="90"/>
      <c r="B432" s="90"/>
    </row>
    <row r="433" spans="1:2" ht="13.2">
      <c r="A433" s="90"/>
      <c r="B433" s="90"/>
    </row>
    <row r="434" spans="1:2" ht="13.2">
      <c r="A434" s="90"/>
      <c r="B434" s="90"/>
    </row>
    <row r="435" spans="1:2" ht="13.2">
      <c r="A435" s="90"/>
      <c r="B435" s="90"/>
    </row>
    <row r="436" spans="1:2" ht="13.2">
      <c r="A436" s="90"/>
      <c r="B436" s="90"/>
    </row>
    <row r="437" spans="1:2" ht="13.2">
      <c r="A437" s="90"/>
      <c r="B437" s="90"/>
    </row>
    <row r="438" spans="1:2" ht="13.2">
      <c r="A438" s="90"/>
      <c r="B438" s="90"/>
    </row>
    <row r="439" spans="1:2" ht="13.2">
      <c r="A439" s="90"/>
      <c r="B439" s="90"/>
    </row>
    <row r="440" spans="1:2" ht="13.2">
      <c r="A440" s="90"/>
      <c r="B440" s="90"/>
    </row>
    <row r="441" spans="1:2" ht="13.2">
      <c r="A441" s="90"/>
      <c r="B441" s="90"/>
    </row>
    <row r="442" spans="1:2" ht="13.2">
      <c r="A442" s="90"/>
      <c r="B442" s="90"/>
    </row>
    <row r="443" spans="1:2" ht="13.2">
      <c r="A443" s="90"/>
      <c r="B443" s="90"/>
    </row>
    <row r="444" spans="1:2" ht="13.2">
      <c r="A444" s="90"/>
      <c r="B444" s="90"/>
    </row>
    <row r="445" spans="1:2" ht="13.2">
      <c r="A445" s="90"/>
      <c r="B445" s="90"/>
    </row>
    <row r="446" spans="1:2" ht="13.2">
      <c r="A446" s="90"/>
      <c r="B446" s="90"/>
    </row>
    <row r="447" spans="1:2" ht="13.2">
      <c r="A447" s="90"/>
      <c r="B447" s="90"/>
    </row>
    <row r="448" spans="1:2" ht="13.2">
      <c r="A448" s="90"/>
      <c r="B448" s="90"/>
    </row>
    <row r="449" spans="1:2" ht="13.2">
      <c r="A449" s="90"/>
      <c r="B449" s="90"/>
    </row>
    <row r="450" spans="1:2" ht="13.2">
      <c r="A450" s="90"/>
      <c r="B450" s="90"/>
    </row>
    <row r="451" spans="1:2" ht="13.2">
      <c r="A451" s="90"/>
      <c r="B451" s="90"/>
    </row>
    <row r="452" spans="1:2" ht="13.2">
      <c r="A452" s="90"/>
      <c r="B452" s="90"/>
    </row>
    <row r="453" spans="1:2" ht="13.2">
      <c r="A453" s="90"/>
      <c r="B453" s="90"/>
    </row>
    <row r="454" spans="1:2" ht="13.2">
      <c r="A454" s="90"/>
      <c r="B454" s="90"/>
    </row>
    <row r="455" spans="1:2" ht="13.2">
      <c r="A455" s="90"/>
      <c r="B455" s="90"/>
    </row>
    <row r="456" spans="1:2" ht="13.2">
      <c r="A456" s="90"/>
      <c r="B456" s="90"/>
    </row>
    <row r="457" spans="1:2" ht="13.2">
      <c r="A457" s="90"/>
      <c r="B457" s="90"/>
    </row>
    <row r="458" spans="1:2" ht="13.2">
      <c r="A458" s="90"/>
      <c r="B458" s="90"/>
    </row>
    <row r="459" spans="1:2" ht="13.2">
      <c r="A459" s="90"/>
      <c r="B459" s="90"/>
    </row>
    <row r="460" spans="1:2" ht="13.2">
      <c r="A460" s="90"/>
      <c r="B460" s="90"/>
    </row>
    <row r="461" spans="1:2" ht="13.2">
      <c r="A461" s="90"/>
      <c r="B461" s="90"/>
    </row>
    <row r="462" spans="1:2" ht="13.2">
      <c r="A462" s="90"/>
      <c r="B462" s="90"/>
    </row>
    <row r="463" spans="1:2" ht="13.2">
      <c r="A463" s="90"/>
      <c r="B463" s="90"/>
    </row>
    <row r="464" spans="1:2" ht="13.2">
      <c r="A464" s="90"/>
      <c r="B464" s="90"/>
    </row>
    <row r="465" spans="1:2" ht="13.2">
      <c r="A465" s="90"/>
      <c r="B465" s="90"/>
    </row>
    <row r="466" spans="1:2" ht="13.2">
      <c r="A466" s="90"/>
      <c r="B466" s="90"/>
    </row>
    <row r="467" spans="1:2" ht="13.2">
      <c r="A467" s="90"/>
      <c r="B467" s="90"/>
    </row>
    <row r="468" spans="1:2" ht="13.2">
      <c r="A468" s="90"/>
      <c r="B468" s="90"/>
    </row>
    <row r="469" spans="1:2" ht="13.2">
      <c r="A469" s="90"/>
      <c r="B469" s="90"/>
    </row>
    <row r="470" spans="1:2" ht="13.2">
      <c r="A470" s="90"/>
      <c r="B470" s="90"/>
    </row>
    <row r="471" spans="1:2" ht="13.2">
      <c r="A471" s="90"/>
      <c r="B471" s="90"/>
    </row>
    <row r="472" spans="1:2" ht="13.2">
      <c r="A472" s="90"/>
      <c r="B472" s="90"/>
    </row>
    <row r="473" spans="1:2" ht="13.2">
      <c r="A473" s="90"/>
      <c r="B473" s="90"/>
    </row>
    <row r="474" spans="1:2" ht="13.2">
      <c r="A474" s="90"/>
      <c r="B474" s="90"/>
    </row>
    <row r="475" spans="1:2" ht="13.2">
      <c r="A475" s="90"/>
      <c r="B475" s="90"/>
    </row>
    <row r="476" spans="1:2" ht="13.2">
      <c r="A476" s="90"/>
      <c r="B476" s="90"/>
    </row>
    <row r="477" spans="1:2" ht="13.2">
      <c r="A477" s="90"/>
      <c r="B477" s="90"/>
    </row>
    <row r="478" spans="1:2" ht="13.2">
      <c r="A478" s="90"/>
      <c r="B478" s="90"/>
    </row>
    <row r="479" spans="1:2" ht="13.2">
      <c r="A479" s="90"/>
      <c r="B479" s="90"/>
    </row>
    <row r="480" spans="1:2" ht="13.2">
      <c r="A480" s="90"/>
      <c r="B480" s="90"/>
    </row>
    <row r="481" spans="1:2" ht="13.2">
      <c r="A481" s="90"/>
      <c r="B481" s="90"/>
    </row>
    <row r="482" spans="1:2" ht="13.2">
      <c r="A482" s="90"/>
      <c r="B482" s="90"/>
    </row>
    <row r="483" spans="1:2" ht="13.2">
      <c r="A483" s="90"/>
      <c r="B483" s="90"/>
    </row>
    <row r="484" spans="1:2" ht="13.2">
      <c r="A484" s="90"/>
      <c r="B484" s="90"/>
    </row>
    <row r="485" spans="1:2" ht="13.2">
      <c r="A485" s="90"/>
      <c r="B485" s="90"/>
    </row>
    <row r="486" spans="1:2" ht="13.2">
      <c r="A486" s="90"/>
      <c r="B486" s="90"/>
    </row>
    <row r="487" spans="1:2" ht="13.2">
      <c r="A487" s="90"/>
      <c r="B487" s="90"/>
    </row>
    <row r="488" spans="1:2" ht="13.2">
      <c r="A488" s="90"/>
      <c r="B488" s="90"/>
    </row>
    <row r="489" spans="1:2" ht="13.2">
      <c r="A489" s="90"/>
      <c r="B489" s="90"/>
    </row>
    <row r="490" spans="1:2" ht="13.2">
      <c r="A490" s="90"/>
      <c r="B490" s="90"/>
    </row>
    <row r="491" spans="1:2" ht="13.2">
      <c r="A491" s="90"/>
      <c r="B491" s="90"/>
    </row>
    <row r="492" spans="1:2" ht="13.2">
      <c r="A492" s="90"/>
      <c r="B492" s="90"/>
    </row>
    <row r="493" spans="1:2" ht="13.2">
      <c r="A493" s="90"/>
      <c r="B493" s="90"/>
    </row>
    <row r="494" spans="1:2" ht="13.2">
      <c r="A494" s="90"/>
      <c r="B494" s="90"/>
    </row>
    <row r="495" spans="1:2" ht="13.2">
      <c r="A495" s="90"/>
      <c r="B495" s="90"/>
    </row>
    <row r="496" spans="1:2" ht="13.2">
      <c r="A496" s="90"/>
      <c r="B496" s="90"/>
    </row>
    <row r="497" spans="1:2" ht="13.2">
      <c r="A497" s="90"/>
      <c r="B497" s="90"/>
    </row>
    <row r="498" spans="1:2" ht="13.2">
      <c r="A498" s="90"/>
      <c r="B498" s="90"/>
    </row>
    <row r="499" spans="1:2" ht="13.2">
      <c r="A499" s="90"/>
      <c r="B499" s="90"/>
    </row>
    <row r="500" spans="1:2" ht="13.2">
      <c r="A500" s="90"/>
      <c r="B500" s="90"/>
    </row>
    <row r="501" spans="1:2" ht="13.2">
      <c r="A501" s="90"/>
      <c r="B501" s="90"/>
    </row>
    <row r="502" spans="1:2" ht="13.2">
      <c r="A502" s="90"/>
      <c r="B502" s="90"/>
    </row>
    <row r="503" spans="1:2" ht="13.2">
      <c r="A503" s="90"/>
      <c r="B503" s="90"/>
    </row>
    <row r="504" spans="1:2" ht="13.2">
      <c r="A504" s="90"/>
      <c r="B504" s="90"/>
    </row>
    <row r="505" spans="1:2" ht="13.2">
      <c r="A505" s="90"/>
      <c r="B505" s="90"/>
    </row>
    <row r="506" spans="1:2" ht="13.2">
      <c r="A506" s="90"/>
      <c r="B506" s="90"/>
    </row>
    <row r="507" spans="1:2" ht="13.2">
      <c r="A507" s="90"/>
      <c r="B507" s="90"/>
    </row>
    <row r="508" spans="1:2" ht="13.2">
      <c r="A508" s="90"/>
      <c r="B508" s="90"/>
    </row>
    <row r="509" spans="1:2" ht="13.2">
      <c r="A509" s="90"/>
      <c r="B509" s="90"/>
    </row>
    <row r="510" spans="1:2" ht="13.2">
      <c r="A510" s="90"/>
      <c r="B510" s="90"/>
    </row>
    <row r="511" spans="1:2" ht="13.2">
      <c r="A511" s="90"/>
      <c r="B511" s="90"/>
    </row>
    <row r="512" spans="1:2" ht="13.2">
      <c r="A512" s="90"/>
      <c r="B512" s="90"/>
    </row>
    <row r="513" spans="1:2" ht="13.2">
      <c r="A513" s="90"/>
      <c r="B513" s="90"/>
    </row>
    <row r="514" spans="1:2" ht="13.2">
      <c r="A514" s="90"/>
      <c r="B514" s="90"/>
    </row>
    <row r="515" spans="1:2" ht="13.2">
      <c r="A515" s="90"/>
      <c r="B515" s="90"/>
    </row>
    <row r="516" spans="1:2" ht="13.2">
      <c r="A516" s="90"/>
      <c r="B516" s="90"/>
    </row>
    <row r="517" spans="1:2" ht="13.2">
      <c r="A517" s="90"/>
      <c r="B517" s="90"/>
    </row>
    <row r="518" spans="1:2" ht="13.2">
      <c r="A518" s="90"/>
      <c r="B518" s="90"/>
    </row>
    <row r="519" spans="1:2" ht="13.2">
      <c r="A519" s="90"/>
      <c r="B519" s="90"/>
    </row>
    <row r="520" spans="1:2" ht="13.2">
      <c r="A520" s="90"/>
      <c r="B520" s="90"/>
    </row>
    <row r="521" spans="1:2" ht="13.2">
      <c r="A521" s="90"/>
      <c r="B521" s="90"/>
    </row>
    <row r="522" spans="1:2" ht="13.2">
      <c r="A522" s="90"/>
      <c r="B522" s="90"/>
    </row>
    <row r="523" spans="1:2" ht="13.2">
      <c r="A523" s="90"/>
      <c r="B523" s="90"/>
    </row>
    <row r="524" spans="1:2" ht="13.2">
      <c r="A524" s="90"/>
      <c r="B524" s="90"/>
    </row>
    <row r="525" spans="1:2" ht="13.2">
      <c r="A525" s="90"/>
      <c r="B525" s="90"/>
    </row>
    <row r="526" spans="1:2" ht="13.2">
      <c r="A526" s="90"/>
      <c r="B526" s="90"/>
    </row>
    <row r="527" spans="1:2" ht="13.2">
      <c r="A527" s="90"/>
      <c r="B527" s="90"/>
    </row>
    <row r="528" spans="1:2" ht="13.2">
      <c r="A528" s="90"/>
      <c r="B528" s="90"/>
    </row>
    <row r="529" spans="1:2" ht="13.2">
      <c r="A529" s="90"/>
      <c r="B529" s="90"/>
    </row>
    <row r="530" spans="1:2" ht="13.2">
      <c r="A530" s="90"/>
      <c r="B530" s="90"/>
    </row>
    <row r="531" spans="1:2" ht="13.2">
      <c r="A531" s="90"/>
      <c r="B531" s="90"/>
    </row>
    <row r="532" spans="1:2" ht="13.2">
      <c r="A532" s="90"/>
      <c r="B532" s="90"/>
    </row>
    <row r="533" spans="1:2" ht="13.2">
      <c r="A533" s="90"/>
      <c r="B533" s="90"/>
    </row>
    <row r="534" spans="1:2" ht="13.2">
      <c r="A534" s="90"/>
      <c r="B534" s="90"/>
    </row>
    <row r="535" spans="1:2" ht="13.2">
      <c r="A535" s="90"/>
      <c r="B535" s="90"/>
    </row>
    <row r="536" spans="1:2" ht="13.2">
      <c r="A536" s="90"/>
      <c r="B536" s="90"/>
    </row>
    <row r="537" spans="1:2" ht="13.2">
      <c r="A537" s="90"/>
      <c r="B537" s="90"/>
    </row>
    <row r="538" spans="1:2" ht="13.2">
      <c r="A538" s="90"/>
      <c r="B538" s="90"/>
    </row>
    <row r="539" spans="1:2" ht="13.2">
      <c r="A539" s="90"/>
      <c r="B539" s="90"/>
    </row>
    <row r="540" spans="1:2" ht="13.2">
      <c r="A540" s="90"/>
      <c r="B540" s="90"/>
    </row>
    <row r="541" spans="1:2" ht="13.2">
      <c r="A541" s="90"/>
      <c r="B541" s="90"/>
    </row>
    <row r="542" spans="1:2" ht="13.2">
      <c r="A542" s="90"/>
      <c r="B542" s="90"/>
    </row>
    <row r="543" spans="1:2" ht="13.2">
      <c r="A543" s="90"/>
      <c r="B543" s="90"/>
    </row>
    <row r="544" spans="1:2" ht="13.2">
      <c r="A544" s="90"/>
      <c r="B544" s="90"/>
    </row>
    <row r="545" spans="1:2" ht="13.2">
      <c r="A545" s="90"/>
      <c r="B545" s="90"/>
    </row>
    <row r="546" spans="1:2" ht="13.2">
      <c r="A546" s="90"/>
      <c r="B546" s="90"/>
    </row>
    <row r="547" spans="1:2" ht="13.2">
      <c r="A547" s="90"/>
      <c r="B547" s="90"/>
    </row>
    <row r="548" spans="1:2" ht="13.2">
      <c r="A548" s="90"/>
      <c r="B548" s="90"/>
    </row>
    <row r="549" spans="1:2" ht="13.2">
      <c r="A549" s="90"/>
      <c r="B549" s="90"/>
    </row>
    <row r="550" spans="1:2" ht="13.2">
      <c r="A550" s="90"/>
      <c r="B550" s="90"/>
    </row>
    <row r="551" spans="1:2" ht="13.2">
      <c r="A551" s="90"/>
      <c r="B551" s="90"/>
    </row>
    <row r="552" spans="1:2" ht="13.2">
      <c r="A552" s="90"/>
      <c r="B552" s="90"/>
    </row>
    <row r="553" spans="1:2" ht="13.2">
      <c r="A553" s="90"/>
      <c r="B553" s="90"/>
    </row>
    <row r="554" spans="1:2" ht="13.2">
      <c r="A554" s="90"/>
      <c r="B554" s="90"/>
    </row>
    <row r="555" spans="1:2" ht="13.2">
      <c r="A555" s="90"/>
      <c r="B555" s="90"/>
    </row>
    <row r="556" spans="1:2" ht="13.2">
      <c r="A556" s="90"/>
      <c r="B556" s="90"/>
    </row>
    <row r="557" spans="1:2" ht="13.2">
      <c r="A557" s="90"/>
      <c r="B557" s="90"/>
    </row>
    <row r="558" spans="1:2" ht="13.2">
      <c r="A558" s="90"/>
      <c r="B558" s="90"/>
    </row>
    <row r="559" spans="1:2" ht="13.2">
      <c r="A559" s="90"/>
      <c r="B559" s="90"/>
    </row>
    <row r="560" spans="1:2" ht="13.2">
      <c r="A560" s="90"/>
      <c r="B560" s="90"/>
    </row>
    <row r="561" spans="1:2" ht="13.2">
      <c r="A561" s="90"/>
      <c r="B561" s="90"/>
    </row>
    <row r="562" spans="1:2" ht="13.2">
      <c r="A562" s="90"/>
      <c r="B562" s="90"/>
    </row>
    <row r="563" spans="1:2" ht="13.2">
      <c r="A563" s="90"/>
      <c r="B563" s="90"/>
    </row>
    <row r="564" spans="1:2" ht="13.2">
      <c r="A564" s="90"/>
      <c r="B564" s="90"/>
    </row>
    <row r="565" spans="1:2" ht="13.2">
      <c r="A565" s="90"/>
      <c r="B565" s="90"/>
    </row>
    <row r="566" spans="1:2" ht="13.2">
      <c r="A566" s="90"/>
      <c r="B566" s="90"/>
    </row>
    <row r="567" spans="1:2" ht="13.2">
      <c r="A567" s="90"/>
      <c r="B567" s="90"/>
    </row>
    <row r="568" spans="1:2" ht="13.2">
      <c r="A568" s="90"/>
      <c r="B568" s="90"/>
    </row>
    <row r="569" spans="1:2" ht="13.2">
      <c r="A569" s="90"/>
      <c r="B569" s="90"/>
    </row>
    <row r="570" spans="1:2" ht="13.2">
      <c r="A570" s="90"/>
      <c r="B570" s="90"/>
    </row>
    <row r="571" spans="1:2" ht="13.2">
      <c r="A571" s="90"/>
      <c r="B571" s="90"/>
    </row>
    <row r="572" spans="1:2" ht="13.2">
      <c r="A572" s="90"/>
      <c r="B572" s="90"/>
    </row>
    <row r="573" spans="1:2" ht="13.2">
      <c r="A573" s="90"/>
      <c r="B573" s="90"/>
    </row>
    <row r="574" spans="1:2" ht="13.2">
      <c r="A574" s="90"/>
      <c r="B574" s="90"/>
    </row>
    <row r="575" spans="1:2" ht="13.2">
      <c r="A575" s="90"/>
      <c r="B575" s="90"/>
    </row>
    <row r="576" spans="1:2" ht="13.2">
      <c r="A576" s="90"/>
      <c r="B576" s="90"/>
    </row>
    <row r="577" spans="1:2" ht="13.2">
      <c r="A577" s="90"/>
      <c r="B577" s="90"/>
    </row>
    <row r="578" spans="1:2" ht="13.2">
      <c r="A578" s="90"/>
      <c r="B578" s="90"/>
    </row>
    <row r="579" spans="1:2" ht="13.2">
      <c r="A579" s="90"/>
      <c r="B579" s="90"/>
    </row>
    <row r="580" spans="1:2" ht="13.2">
      <c r="A580" s="90"/>
      <c r="B580" s="90"/>
    </row>
    <row r="581" spans="1:2" ht="13.2">
      <c r="A581" s="90"/>
      <c r="B581" s="90"/>
    </row>
    <row r="582" spans="1:2" ht="13.2">
      <c r="A582" s="90"/>
      <c r="B582" s="90"/>
    </row>
    <row r="583" spans="1:2" ht="13.2">
      <c r="A583" s="90"/>
      <c r="B583" s="90"/>
    </row>
    <row r="584" spans="1:2" ht="13.2">
      <c r="A584" s="90"/>
      <c r="B584" s="90"/>
    </row>
    <row r="585" spans="1:2" ht="13.2">
      <c r="A585" s="90"/>
      <c r="B585" s="90"/>
    </row>
    <row r="586" spans="1:2" ht="13.2">
      <c r="A586" s="90"/>
      <c r="B586" s="90"/>
    </row>
    <row r="587" spans="1:2" ht="13.2">
      <c r="A587" s="90"/>
      <c r="B587" s="90"/>
    </row>
    <row r="588" spans="1:2" ht="13.2">
      <c r="A588" s="90"/>
      <c r="B588" s="90"/>
    </row>
    <row r="589" spans="1:2" ht="13.2">
      <c r="A589" s="90"/>
      <c r="B589" s="90"/>
    </row>
    <row r="590" spans="1:2" ht="13.2">
      <c r="A590" s="90"/>
      <c r="B590" s="90"/>
    </row>
    <row r="591" spans="1:2" ht="13.2">
      <c r="A591" s="90"/>
      <c r="B591" s="90"/>
    </row>
    <row r="592" spans="1:2" ht="13.2">
      <c r="A592" s="90"/>
      <c r="B592" s="90"/>
    </row>
    <row r="593" spans="1:2" ht="13.2">
      <c r="A593" s="90"/>
      <c r="B593" s="90"/>
    </row>
    <row r="594" spans="1:2" ht="13.2">
      <c r="A594" s="90"/>
      <c r="B594" s="90"/>
    </row>
    <row r="595" spans="1:2" ht="13.2">
      <c r="A595" s="90"/>
      <c r="B595" s="90"/>
    </row>
    <row r="596" spans="1:2" ht="13.2">
      <c r="A596" s="90"/>
      <c r="B596" s="90"/>
    </row>
    <row r="597" spans="1:2" ht="13.2">
      <c r="A597" s="90"/>
      <c r="B597" s="90"/>
    </row>
    <row r="598" spans="1:2" ht="13.2">
      <c r="A598" s="90"/>
      <c r="B598" s="90"/>
    </row>
    <row r="599" spans="1:2" ht="13.2">
      <c r="A599" s="90"/>
      <c r="B599" s="90"/>
    </row>
    <row r="600" spans="1:2" ht="13.2">
      <c r="A600" s="90"/>
      <c r="B600" s="90"/>
    </row>
    <row r="601" spans="1:2" ht="13.2">
      <c r="A601" s="90"/>
      <c r="B601" s="90"/>
    </row>
    <row r="602" spans="1:2" ht="13.2">
      <c r="A602" s="90"/>
      <c r="B602" s="90"/>
    </row>
    <row r="603" spans="1:2" ht="13.2">
      <c r="A603" s="90"/>
      <c r="B603" s="90"/>
    </row>
    <row r="604" spans="1:2" ht="13.2">
      <c r="A604" s="90"/>
      <c r="B604" s="90"/>
    </row>
    <row r="605" spans="1:2" ht="13.2">
      <c r="A605" s="90"/>
      <c r="B605" s="90"/>
    </row>
    <row r="606" spans="1:2" ht="13.2">
      <c r="A606" s="90"/>
      <c r="B606" s="90"/>
    </row>
    <row r="607" spans="1:2" ht="13.2">
      <c r="A607" s="90"/>
      <c r="B607" s="90"/>
    </row>
    <row r="608" spans="1:2" ht="13.2">
      <c r="A608" s="90"/>
      <c r="B608" s="90"/>
    </row>
    <row r="609" spans="1:2" ht="13.2">
      <c r="A609" s="90"/>
      <c r="B609" s="90"/>
    </row>
    <row r="610" spans="1:2" ht="13.2">
      <c r="A610" s="90"/>
      <c r="B610" s="90"/>
    </row>
    <row r="611" spans="1:2" ht="13.2">
      <c r="A611" s="90"/>
      <c r="B611" s="90"/>
    </row>
    <row r="612" spans="1:2" ht="13.2">
      <c r="A612" s="90"/>
      <c r="B612" s="90"/>
    </row>
    <row r="613" spans="1:2" ht="13.2">
      <c r="A613" s="90"/>
      <c r="B613" s="90"/>
    </row>
    <row r="614" spans="1:2" ht="13.2">
      <c r="A614" s="90"/>
      <c r="B614" s="90"/>
    </row>
    <row r="615" spans="1:2" ht="13.2">
      <c r="A615" s="90"/>
      <c r="B615" s="90"/>
    </row>
    <row r="616" spans="1:2" ht="13.2">
      <c r="A616" s="90"/>
      <c r="B616" s="90"/>
    </row>
    <row r="617" spans="1:2" ht="13.2">
      <c r="A617" s="90"/>
      <c r="B617" s="90"/>
    </row>
    <row r="618" spans="1:2" ht="13.2">
      <c r="A618" s="90"/>
      <c r="B618" s="90"/>
    </row>
    <row r="619" spans="1:2" ht="13.2">
      <c r="A619" s="90"/>
      <c r="B619" s="90"/>
    </row>
    <row r="620" spans="1:2" ht="13.2">
      <c r="A620" s="90"/>
      <c r="B620" s="90"/>
    </row>
    <row r="621" spans="1:2" ht="13.2">
      <c r="A621" s="90"/>
      <c r="B621" s="90"/>
    </row>
    <row r="622" spans="1:2" ht="13.2">
      <c r="A622" s="90"/>
      <c r="B622" s="90"/>
    </row>
    <row r="623" spans="1:2" ht="13.2">
      <c r="A623" s="90"/>
      <c r="B623" s="90"/>
    </row>
    <row r="624" spans="1:2" ht="13.2">
      <c r="A624" s="90"/>
      <c r="B624" s="90"/>
    </row>
    <row r="625" spans="1:2" ht="13.2">
      <c r="A625" s="90"/>
      <c r="B625" s="90"/>
    </row>
    <row r="626" spans="1:2" ht="13.2">
      <c r="A626" s="90"/>
      <c r="B626" s="90"/>
    </row>
    <row r="627" spans="1:2" ht="13.2">
      <c r="A627" s="90"/>
      <c r="B627" s="90"/>
    </row>
    <row r="628" spans="1:2" ht="13.2">
      <c r="A628" s="90"/>
      <c r="B628" s="90"/>
    </row>
    <row r="629" spans="1:2" ht="13.2">
      <c r="A629" s="90"/>
      <c r="B629" s="90"/>
    </row>
    <row r="630" spans="1:2" ht="13.2">
      <c r="A630" s="90"/>
      <c r="B630" s="90"/>
    </row>
    <row r="631" spans="1:2" ht="13.2">
      <c r="A631" s="90"/>
      <c r="B631" s="90"/>
    </row>
    <row r="632" spans="1:2" ht="13.2">
      <c r="A632" s="90"/>
      <c r="B632" s="90"/>
    </row>
    <row r="633" spans="1:2" ht="13.2">
      <c r="A633" s="90"/>
      <c r="B633" s="90"/>
    </row>
    <row r="634" spans="1:2" ht="13.2">
      <c r="A634" s="90"/>
      <c r="B634" s="90"/>
    </row>
    <row r="635" spans="1:2" ht="13.2">
      <c r="A635" s="90"/>
      <c r="B635" s="90"/>
    </row>
    <row r="636" spans="1:2" ht="13.2">
      <c r="A636" s="90"/>
      <c r="B636" s="90"/>
    </row>
    <row r="637" spans="1:2" ht="13.2">
      <c r="A637" s="90"/>
      <c r="B637" s="90"/>
    </row>
    <row r="638" spans="1:2" ht="13.2">
      <c r="A638" s="90"/>
      <c r="B638" s="90"/>
    </row>
    <row r="639" spans="1:2" ht="13.2">
      <c r="A639" s="90"/>
      <c r="B639" s="90"/>
    </row>
    <row r="640" spans="1:2" ht="13.2">
      <c r="A640" s="90"/>
      <c r="B640" s="90"/>
    </row>
    <row r="641" spans="1:2" ht="13.2">
      <c r="A641" s="90"/>
      <c r="B641" s="90"/>
    </row>
    <row r="642" spans="1:2" ht="13.2">
      <c r="A642" s="90"/>
      <c r="B642" s="90"/>
    </row>
    <row r="643" spans="1:2" ht="13.2">
      <c r="A643" s="90"/>
      <c r="B643" s="90"/>
    </row>
    <row r="644" spans="1:2" ht="13.2">
      <c r="A644" s="90"/>
      <c r="B644" s="90"/>
    </row>
    <row r="645" spans="1:2" ht="13.2">
      <c r="A645" s="90"/>
      <c r="B645" s="90"/>
    </row>
    <row r="646" spans="1:2" ht="13.2">
      <c r="A646" s="90"/>
      <c r="B646" s="90"/>
    </row>
    <row r="647" spans="1:2" ht="13.2">
      <c r="A647" s="90"/>
      <c r="B647" s="90"/>
    </row>
    <row r="648" spans="1:2" ht="13.2">
      <c r="A648" s="90"/>
      <c r="B648" s="90"/>
    </row>
    <row r="649" spans="1:2" ht="13.2">
      <c r="A649" s="90"/>
      <c r="B649" s="90"/>
    </row>
    <row r="650" spans="1:2" ht="13.2">
      <c r="A650" s="90"/>
      <c r="B650" s="90"/>
    </row>
    <row r="651" spans="1:2" ht="13.2">
      <c r="A651" s="90"/>
      <c r="B651" s="90"/>
    </row>
    <row r="652" spans="1:2" ht="13.2">
      <c r="A652" s="90"/>
      <c r="B652" s="90"/>
    </row>
    <row r="653" spans="1:2" ht="13.2">
      <c r="A653" s="90"/>
      <c r="B653" s="90"/>
    </row>
    <row r="654" spans="1:2" ht="13.2">
      <c r="A654" s="90"/>
      <c r="B654" s="90"/>
    </row>
    <row r="655" spans="1:2" ht="13.2">
      <c r="A655" s="90"/>
      <c r="B655" s="90"/>
    </row>
    <row r="656" spans="1:2" ht="13.2">
      <c r="A656" s="90"/>
      <c r="B656" s="90"/>
    </row>
    <row r="657" spans="1:2" ht="13.2">
      <c r="A657" s="90"/>
      <c r="B657" s="90"/>
    </row>
    <row r="658" spans="1:2" ht="13.2">
      <c r="A658" s="90"/>
      <c r="B658" s="90"/>
    </row>
    <row r="659" spans="1:2" ht="13.2">
      <c r="A659" s="90"/>
      <c r="B659" s="90"/>
    </row>
    <row r="660" spans="1:2" ht="13.2">
      <c r="A660" s="90"/>
      <c r="B660" s="90"/>
    </row>
    <row r="661" spans="1:2" ht="13.2">
      <c r="A661" s="90"/>
      <c r="B661" s="90"/>
    </row>
    <row r="662" spans="1:2" ht="13.2">
      <c r="A662" s="90"/>
      <c r="B662" s="90"/>
    </row>
    <row r="663" spans="1:2" ht="13.2">
      <c r="A663" s="90"/>
      <c r="B663" s="90"/>
    </row>
    <row r="664" spans="1:2" ht="13.2">
      <c r="A664" s="90"/>
      <c r="B664" s="90"/>
    </row>
    <row r="665" spans="1:2" ht="13.2">
      <c r="A665" s="90"/>
      <c r="B665" s="90"/>
    </row>
    <row r="666" spans="1:2" ht="13.2">
      <c r="A666" s="90"/>
      <c r="B666" s="90"/>
    </row>
    <row r="667" spans="1:2" ht="13.2">
      <c r="A667" s="90"/>
      <c r="B667" s="90"/>
    </row>
    <row r="668" spans="1:2" ht="13.2">
      <c r="A668" s="90"/>
      <c r="B668" s="90"/>
    </row>
    <row r="669" spans="1:2" ht="13.2">
      <c r="A669" s="90"/>
      <c r="B669" s="90"/>
    </row>
    <row r="670" spans="1:2" ht="13.2">
      <c r="A670" s="90"/>
      <c r="B670" s="90"/>
    </row>
    <row r="671" spans="1:2" ht="13.2">
      <c r="A671" s="90"/>
      <c r="B671" s="90"/>
    </row>
    <row r="672" spans="1:2" ht="13.2">
      <c r="A672" s="90"/>
      <c r="B672" s="90"/>
    </row>
    <row r="673" spans="1:2" ht="13.2">
      <c r="A673" s="90"/>
      <c r="B673" s="90"/>
    </row>
    <row r="674" spans="1:2" ht="13.2">
      <c r="A674" s="90"/>
      <c r="B674" s="90"/>
    </row>
    <row r="675" spans="1:2" ht="13.2">
      <c r="A675" s="90"/>
      <c r="B675" s="90"/>
    </row>
    <row r="676" spans="1:2" ht="13.2">
      <c r="A676" s="90"/>
      <c r="B676" s="90"/>
    </row>
    <row r="677" spans="1:2" ht="13.2">
      <c r="A677" s="90"/>
      <c r="B677" s="90"/>
    </row>
    <row r="678" spans="1:2" ht="13.2">
      <c r="A678" s="90"/>
      <c r="B678" s="90"/>
    </row>
    <row r="679" spans="1:2" ht="13.2">
      <c r="A679" s="90"/>
      <c r="B679" s="90"/>
    </row>
    <row r="680" spans="1:2" ht="13.2">
      <c r="A680" s="90"/>
      <c r="B680" s="90"/>
    </row>
    <row r="681" spans="1:2" ht="13.2">
      <c r="A681" s="90"/>
      <c r="B681" s="90"/>
    </row>
    <row r="682" spans="1:2" ht="13.2">
      <c r="A682" s="90"/>
      <c r="B682" s="90"/>
    </row>
    <row r="683" spans="1:2" ht="13.2">
      <c r="A683" s="90"/>
      <c r="B683" s="90"/>
    </row>
    <row r="684" spans="1:2" ht="13.2">
      <c r="A684" s="90"/>
      <c r="B684" s="90"/>
    </row>
    <row r="685" spans="1:2" ht="13.2">
      <c r="A685" s="90"/>
      <c r="B685" s="90"/>
    </row>
    <row r="686" spans="1:2" ht="13.2">
      <c r="A686" s="90"/>
      <c r="B686" s="90"/>
    </row>
    <row r="687" spans="1:2" ht="13.2">
      <c r="A687" s="90"/>
      <c r="B687" s="90"/>
    </row>
    <row r="688" spans="1:2" ht="13.2">
      <c r="A688" s="90"/>
      <c r="B688" s="90"/>
    </row>
    <row r="689" spans="1:2" ht="13.2">
      <c r="A689" s="90"/>
      <c r="B689" s="90"/>
    </row>
    <row r="690" spans="1:2" ht="13.2">
      <c r="A690" s="90"/>
      <c r="B690" s="90"/>
    </row>
    <row r="691" spans="1:2" ht="13.2">
      <c r="A691" s="90"/>
      <c r="B691" s="90"/>
    </row>
    <row r="692" spans="1:2" ht="13.2">
      <c r="A692" s="90"/>
      <c r="B692" s="90"/>
    </row>
    <row r="693" spans="1:2" ht="13.2">
      <c r="A693" s="90"/>
      <c r="B693" s="90"/>
    </row>
    <row r="694" spans="1:2" ht="13.2">
      <c r="A694" s="90"/>
      <c r="B694" s="90"/>
    </row>
    <row r="695" spans="1:2" ht="13.2">
      <c r="A695" s="90"/>
      <c r="B695" s="90"/>
    </row>
    <row r="696" spans="1:2" ht="13.2">
      <c r="A696" s="90"/>
      <c r="B696" s="90"/>
    </row>
    <row r="697" spans="1:2" ht="13.2">
      <c r="A697" s="90"/>
      <c r="B697" s="90"/>
    </row>
    <row r="698" spans="1:2" ht="13.2">
      <c r="A698" s="90"/>
      <c r="B698" s="90"/>
    </row>
    <row r="699" spans="1:2" ht="13.2">
      <c r="A699" s="90"/>
      <c r="B699" s="90"/>
    </row>
    <row r="700" spans="1:2" ht="13.2">
      <c r="A700" s="90"/>
      <c r="B700" s="90"/>
    </row>
    <row r="701" spans="1:2" ht="13.2">
      <c r="A701" s="90"/>
      <c r="B701" s="90"/>
    </row>
    <row r="702" spans="1:2" ht="13.2">
      <c r="A702" s="90"/>
      <c r="B702" s="90"/>
    </row>
    <row r="703" spans="1:2" ht="13.2">
      <c r="A703" s="90"/>
      <c r="B703" s="90"/>
    </row>
    <row r="704" spans="1:2" ht="13.2">
      <c r="A704" s="90"/>
      <c r="B704" s="90"/>
    </row>
    <row r="705" spans="1:2" ht="13.2">
      <c r="A705" s="90"/>
      <c r="B705" s="90"/>
    </row>
    <row r="706" spans="1:2" ht="13.2">
      <c r="A706" s="90"/>
      <c r="B706" s="90"/>
    </row>
    <row r="707" spans="1:2" ht="13.2">
      <c r="A707" s="90"/>
      <c r="B707" s="90"/>
    </row>
    <row r="708" spans="1:2" ht="13.2">
      <c r="A708" s="90"/>
      <c r="B708" s="90"/>
    </row>
    <row r="709" spans="1:2" ht="13.2">
      <c r="A709" s="90"/>
      <c r="B709" s="90"/>
    </row>
    <row r="710" spans="1:2" ht="13.2">
      <c r="A710" s="90"/>
      <c r="B710" s="90"/>
    </row>
    <row r="711" spans="1:2" ht="13.2">
      <c r="A711" s="90"/>
      <c r="B711" s="90"/>
    </row>
    <row r="712" spans="1:2" ht="13.2">
      <c r="A712" s="90"/>
      <c r="B712" s="90"/>
    </row>
    <row r="713" spans="1:2" ht="13.2">
      <c r="A713" s="90"/>
      <c r="B713" s="90"/>
    </row>
    <row r="714" spans="1:2" ht="13.2">
      <c r="A714" s="90"/>
      <c r="B714" s="90"/>
    </row>
    <row r="715" spans="1:2" ht="13.2">
      <c r="A715" s="90"/>
      <c r="B715" s="90"/>
    </row>
    <row r="716" spans="1:2" ht="13.2">
      <c r="A716" s="90"/>
      <c r="B716" s="90"/>
    </row>
    <row r="717" spans="1:2" ht="13.2">
      <c r="A717" s="90"/>
      <c r="B717" s="90"/>
    </row>
    <row r="718" spans="1:2" ht="13.2">
      <c r="A718" s="90"/>
      <c r="B718" s="90"/>
    </row>
    <row r="719" spans="1:2" ht="13.2">
      <c r="A719" s="90"/>
      <c r="B719" s="90"/>
    </row>
    <row r="720" spans="1:2" ht="13.2">
      <c r="A720" s="90"/>
      <c r="B720" s="90"/>
    </row>
    <row r="721" spans="1:2" ht="13.2">
      <c r="A721" s="90"/>
      <c r="B721" s="90"/>
    </row>
    <row r="722" spans="1:2" ht="13.2">
      <c r="A722" s="90"/>
      <c r="B722" s="90"/>
    </row>
    <row r="723" spans="1:2" ht="13.2">
      <c r="A723" s="90"/>
      <c r="B723" s="90"/>
    </row>
    <row r="724" spans="1:2" ht="13.2">
      <c r="A724" s="90"/>
      <c r="B724" s="90"/>
    </row>
    <row r="725" spans="1:2" ht="13.2">
      <c r="A725" s="90"/>
      <c r="B725" s="90"/>
    </row>
    <row r="726" spans="1:2" ht="13.2">
      <c r="A726" s="90"/>
      <c r="B726" s="90"/>
    </row>
    <row r="727" spans="1:2" ht="13.2">
      <c r="A727" s="90"/>
      <c r="B727" s="90"/>
    </row>
    <row r="728" spans="1:2" ht="13.2">
      <c r="A728" s="90"/>
      <c r="B728" s="90"/>
    </row>
    <row r="729" spans="1:2" ht="13.2">
      <c r="A729" s="90"/>
      <c r="B729" s="90"/>
    </row>
    <row r="730" spans="1:2" ht="13.2">
      <c r="A730" s="90"/>
      <c r="B730" s="90"/>
    </row>
    <row r="731" spans="1:2" ht="13.2">
      <c r="A731" s="90"/>
      <c r="B731" s="90"/>
    </row>
    <row r="732" spans="1:2" ht="13.2">
      <c r="A732" s="90"/>
      <c r="B732" s="90"/>
    </row>
    <row r="733" spans="1:2" ht="13.2">
      <c r="A733" s="90"/>
      <c r="B733" s="90"/>
    </row>
    <row r="734" spans="1:2" ht="13.2">
      <c r="A734" s="90"/>
      <c r="B734" s="90"/>
    </row>
    <row r="735" spans="1:2" ht="13.2">
      <c r="A735" s="90"/>
      <c r="B735" s="90"/>
    </row>
    <row r="736" spans="1:2" ht="13.2">
      <c r="A736" s="90"/>
      <c r="B736" s="90"/>
    </row>
    <row r="737" spans="1:2" ht="13.2">
      <c r="A737" s="90"/>
      <c r="B737" s="90"/>
    </row>
    <row r="738" spans="1:2" ht="13.2">
      <c r="A738" s="90"/>
      <c r="B738" s="90"/>
    </row>
    <row r="739" spans="1:2" ht="13.2">
      <c r="A739" s="90"/>
      <c r="B739" s="90"/>
    </row>
    <row r="740" spans="1:2" ht="13.2">
      <c r="A740" s="90"/>
      <c r="B740" s="90"/>
    </row>
    <row r="741" spans="1:2" ht="13.2">
      <c r="A741" s="90"/>
      <c r="B741" s="90"/>
    </row>
    <row r="742" spans="1:2" ht="13.2">
      <c r="A742" s="90"/>
      <c r="B742" s="90"/>
    </row>
    <row r="743" spans="1:2" ht="13.2">
      <c r="A743" s="90"/>
      <c r="B743" s="90"/>
    </row>
    <row r="744" spans="1:2" ht="13.2">
      <c r="A744" s="90"/>
      <c r="B744" s="90"/>
    </row>
    <row r="745" spans="1:2" ht="13.2">
      <c r="A745" s="90"/>
      <c r="B745" s="90"/>
    </row>
    <row r="746" spans="1:2" ht="13.2">
      <c r="A746" s="90"/>
      <c r="B746" s="90"/>
    </row>
    <row r="747" spans="1:2" ht="13.2">
      <c r="A747" s="90"/>
      <c r="B747" s="90"/>
    </row>
    <row r="748" spans="1:2" ht="13.2">
      <c r="A748" s="90"/>
      <c r="B748" s="90"/>
    </row>
    <row r="749" spans="1:2" ht="13.2">
      <c r="A749" s="90"/>
      <c r="B749" s="90"/>
    </row>
    <row r="750" spans="1:2" ht="13.2">
      <c r="A750" s="90"/>
      <c r="B750" s="90"/>
    </row>
    <row r="751" spans="1:2" ht="13.2">
      <c r="A751" s="90"/>
      <c r="B751" s="90"/>
    </row>
    <row r="752" spans="1:2" ht="13.2">
      <c r="A752" s="90"/>
      <c r="B752" s="90"/>
    </row>
    <row r="753" spans="1:2" ht="13.2">
      <c r="A753" s="90"/>
      <c r="B753" s="90"/>
    </row>
    <row r="754" spans="1:2" ht="13.2">
      <c r="A754" s="90"/>
      <c r="B754" s="90"/>
    </row>
    <row r="755" spans="1:2" ht="13.2">
      <c r="A755" s="90"/>
      <c r="B755" s="90"/>
    </row>
    <row r="756" spans="1:2" ht="13.2">
      <c r="A756" s="90"/>
      <c r="B756" s="90"/>
    </row>
    <row r="757" spans="1:2" ht="13.2">
      <c r="A757" s="90"/>
      <c r="B757" s="90"/>
    </row>
    <row r="758" spans="1:2" ht="13.2">
      <c r="A758" s="90"/>
      <c r="B758" s="90"/>
    </row>
    <row r="759" spans="1:2" ht="13.2">
      <c r="A759" s="90"/>
      <c r="B759" s="90"/>
    </row>
    <row r="760" spans="1:2" ht="13.2">
      <c r="A760" s="90"/>
      <c r="B760" s="90"/>
    </row>
    <row r="761" spans="1:2" ht="13.2">
      <c r="A761" s="90"/>
      <c r="B761" s="90"/>
    </row>
    <row r="762" spans="1:2" ht="13.2">
      <c r="A762" s="90"/>
      <c r="B762" s="90"/>
    </row>
    <row r="763" spans="1:2" ht="13.2">
      <c r="A763" s="90"/>
      <c r="B763" s="90"/>
    </row>
    <row r="764" spans="1:2" ht="13.2">
      <c r="A764" s="90"/>
      <c r="B764" s="90"/>
    </row>
    <row r="765" spans="1:2" ht="13.2">
      <c r="A765" s="90"/>
      <c r="B765" s="90"/>
    </row>
    <row r="766" spans="1:2" ht="13.2">
      <c r="A766" s="90"/>
      <c r="B766" s="90"/>
    </row>
    <row r="767" spans="1:2" ht="13.2">
      <c r="A767" s="90"/>
      <c r="B767" s="90"/>
    </row>
    <row r="768" spans="1:2" ht="13.2">
      <c r="A768" s="90"/>
      <c r="B768" s="90"/>
    </row>
    <row r="769" spans="1:2" ht="13.2">
      <c r="A769" s="90"/>
      <c r="B769" s="90"/>
    </row>
    <row r="770" spans="1:2" ht="13.2">
      <c r="A770" s="90"/>
      <c r="B770" s="90"/>
    </row>
    <row r="771" spans="1:2" ht="13.2">
      <c r="A771" s="90"/>
      <c r="B771" s="90"/>
    </row>
    <row r="772" spans="1:2" ht="13.2">
      <c r="A772" s="90"/>
      <c r="B772" s="90"/>
    </row>
    <row r="773" spans="1:2" ht="13.2">
      <c r="A773" s="90"/>
      <c r="B773" s="90"/>
    </row>
    <row r="774" spans="1:2" ht="13.2">
      <c r="A774" s="90"/>
      <c r="B774" s="90"/>
    </row>
    <row r="775" spans="1:2" ht="13.2">
      <c r="A775" s="90"/>
      <c r="B775" s="90"/>
    </row>
    <row r="776" spans="1:2" ht="13.2">
      <c r="A776" s="90"/>
      <c r="B776" s="90"/>
    </row>
    <row r="777" spans="1:2" ht="13.2">
      <c r="A777" s="90"/>
      <c r="B777" s="90"/>
    </row>
    <row r="778" spans="1:2" ht="13.2">
      <c r="A778" s="90"/>
      <c r="B778" s="90"/>
    </row>
    <row r="779" spans="1:2" ht="13.2">
      <c r="A779" s="90"/>
      <c r="B779" s="90"/>
    </row>
    <row r="780" spans="1:2" ht="13.2">
      <c r="A780" s="90"/>
      <c r="B780" s="90"/>
    </row>
    <row r="781" spans="1:2" ht="13.2">
      <c r="A781" s="90"/>
      <c r="B781" s="90"/>
    </row>
    <row r="782" spans="1:2" ht="13.2">
      <c r="A782" s="90"/>
      <c r="B782" s="90"/>
    </row>
    <row r="783" spans="1:2" ht="13.2">
      <c r="A783" s="90"/>
      <c r="B783" s="90"/>
    </row>
    <row r="784" spans="1:2" ht="13.2">
      <c r="A784" s="90"/>
      <c r="B784" s="90"/>
    </row>
    <row r="785" spans="1:2" ht="13.2">
      <c r="A785" s="90"/>
      <c r="B785" s="90"/>
    </row>
    <row r="786" spans="1:2" ht="13.2">
      <c r="A786" s="90"/>
      <c r="B786" s="90"/>
    </row>
    <row r="787" spans="1:2" ht="13.2">
      <c r="A787" s="90"/>
      <c r="B787" s="90"/>
    </row>
    <row r="788" spans="1:2" ht="13.2">
      <c r="A788" s="90"/>
      <c r="B788" s="90"/>
    </row>
    <row r="789" spans="1:2" ht="13.2">
      <c r="A789" s="90"/>
      <c r="B789" s="90"/>
    </row>
    <row r="790" spans="1:2" ht="13.2">
      <c r="A790" s="90"/>
      <c r="B790" s="90"/>
    </row>
    <row r="791" spans="1:2" ht="13.2">
      <c r="A791" s="90"/>
      <c r="B791" s="90"/>
    </row>
    <row r="792" spans="1:2" ht="13.2">
      <c r="A792" s="90"/>
      <c r="B792" s="90"/>
    </row>
    <row r="793" spans="1:2" ht="13.2">
      <c r="A793" s="90"/>
      <c r="B793" s="90"/>
    </row>
    <row r="794" spans="1:2" ht="13.2">
      <c r="A794" s="90"/>
      <c r="B794" s="90"/>
    </row>
    <row r="795" spans="1:2" ht="13.2">
      <c r="A795" s="90"/>
      <c r="B795" s="90"/>
    </row>
    <row r="796" spans="1:2" ht="13.2">
      <c r="A796" s="90"/>
      <c r="B796" s="90"/>
    </row>
    <row r="797" spans="1:2" ht="13.2">
      <c r="A797" s="90"/>
      <c r="B797" s="90"/>
    </row>
    <row r="798" spans="1:2" ht="13.2">
      <c r="A798" s="90"/>
      <c r="B798" s="90"/>
    </row>
    <row r="799" spans="1:2" ht="13.2">
      <c r="A799" s="90"/>
      <c r="B799" s="90"/>
    </row>
    <row r="800" spans="1:2" ht="13.2">
      <c r="A800" s="90"/>
      <c r="B800" s="90"/>
    </row>
    <row r="801" spans="1:2" ht="13.2">
      <c r="A801" s="90"/>
      <c r="B801" s="90"/>
    </row>
    <row r="802" spans="1:2" ht="13.2">
      <c r="A802" s="90"/>
      <c r="B802" s="90"/>
    </row>
    <row r="803" spans="1:2" ht="13.2">
      <c r="A803" s="90"/>
      <c r="B803" s="90"/>
    </row>
    <row r="804" spans="1:2" ht="13.2">
      <c r="A804" s="90"/>
      <c r="B804" s="90"/>
    </row>
    <row r="805" spans="1:2" ht="13.2">
      <c r="A805" s="90"/>
      <c r="B805" s="90"/>
    </row>
    <row r="806" spans="1:2" ht="13.2">
      <c r="A806" s="90"/>
      <c r="B806" s="90"/>
    </row>
    <row r="807" spans="1:2" ht="13.2">
      <c r="A807" s="90"/>
      <c r="B807" s="90"/>
    </row>
    <row r="808" spans="1:2" ht="13.2">
      <c r="A808" s="90"/>
      <c r="B808" s="90"/>
    </row>
    <row r="809" spans="1:2" ht="13.2">
      <c r="A809" s="90"/>
      <c r="B809" s="90"/>
    </row>
    <row r="810" spans="1:2" ht="13.2">
      <c r="A810" s="90"/>
      <c r="B810" s="90"/>
    </row>
    <row r="811" spans="1:2" ht="13.2">
      <c r="A811" s="90"/>
      <c r="B811" s="90"/>
    </row>
    <row r="812" spans="1:2" ht="13.2">
      <c r="A812" s="90"/>
      <c r="B812" s="90"/>
    </row>
    <row r="813" spans="1:2" ht="13.2">
      <c r="A813" s="90"/>
      <c r="B813" s="90"/>
    </row>
    <row r="814" spans="1:2" ht="13.2">
      <c r="A814" s="90"/>
      <c r="B814" s="90"/>
    </row>
    <row r="815" spans="1:2" ht="13.2">
      <c r="A815" s="90"/>
      <c r="B815" s="90"/>
    </row>
    <row r="816" spans="1:2" ht="13.2">
      <c r="A816" s="90"/>
      <c r="B816" s="90"/>
    </row>
    <row r="817" spans="1:2" ht="13.2">
      <c r="A817" s="90"/>
      <c r="B817" s="90"/>
    </row>
    <row r="818" spans="1:2" ht="13.2">
      <c r="A818" s="90"/>
      <c r="B818" s="90"/>
    </row>
    <row r="819" spans="1:2" ht="13.2">
      <c r="A819" s="90"/>
      <c r="B819" s="90"/>
    </row>
    <row r="820" spans="1:2" ht="13.2">
      <c r="A820" s="90"/>
      <c r="B820" s="90"/>
    </row>
    <row r="821" spans="1:2" ht="13.2">
      <c r="A821" s="90"/>
      <c r="B821" s="90"/>
    </row>
    <row r="822" spans="1:2" ht="13.2">
      <c r="A822" s="90"/>
      <c r="B822" s="90"/>
    </row>
    <row r="823" spans="1:2" ht="13.2">
      <c r="A823" s="90"/>
      <c r="B823" s="90"/>
    </row>
    <row r="824" spans="1:2" ht="13.2">
      <c r="A824" s="90"/>
      <c r="B824" s="90"/>
    </row>
    <row r="825" spans="1:2" ht="13.2">
      <c r="A825" s="90"/>
      <c r="B825" s="90"/>
    </row>
    <row r="826" spans="1:2" ht="13.2">
      <c r="A826" s="90"/>
      <c r="B826" s="90"/>
    </row>
    <row r="827" spans="1:2" ht="13.2">
      <c r="A827" s="90"/>
      <c r="B827" s="90"/>
    </row>
    <row r="828" spans="1:2" ht="13.2">
      <c r="A828" s="90"/>
      <c r="B828" s="90"/>
    </row>
    <row r="829" spans="1:2" ht="13.2">
      <c r="A829" s="90"/>
      <c r="B829" s="90"/>
    </row>
    <row r="830" spans="1:2" ht="13.2">
      <c r="A830" s="90"/>
      <c r="B830" s="90"/>
    </row>
    <row r="831" spans="1:2" ht="13.2">
      <c r="A831" s="90"/>
      <c r="B831" s="90"/>
    </row>
    <row r="832" spans="1:2" ht="13.2">
      <c r="A832" s="90"/>
      <c r="B832" s="90"/>
    </row>
    <row r="833" spans="1:2" ht="13.2">
      <c r="A833" s="90"/>
      <c r="B833" s="90"/>
    </row>
    <row r="834" spans="1:2" ht="13.2">
      <c r="A834" s="90"/>
      <c r="B834" s="90"/>
    </row>
    <row r="835" spans="1:2" ht="13.2">
      <c r="A835" s="90"/>
      <c r="B835" s="90"/>
    </row>
    <row r="836" spans="1:2" ht="13.2">
      <c r="A836" s="90"/>
      <c r="B836" s="90"/>
    </row>
    <row r="837" spans="1:2" ht="13.2">
      <c r="A837" s="90"/>
      <c r="B837" s="90"/>
    </row>
    <row r="838" spans="1:2" ht="13.2">
      <c r="A838" s="90"/>
      <c r="B838" s="90"/>
    </row>
    <row r="839" spans="1:2" ht="13.2">
      <c r="A839" s="90"/>
      <c r="B839" s="90"/>
    </row>
    <row r="840" spans="1:2" ht="13.2">
      <c r="A840" s="90"/>
      <c r="B840" s="90"/>
    </row>
    <row r="841" spans="1:2" ht="13.2">
      <c r="A841" s="90"/>
      <c r="B841" s="90"/>
    </row>
    <row r="842" spans="1:2" ht="13.2">
      <c r="A842" s="90"/>
      <c r="B842" s="90"/>
    </row>
    <row r="843" spans="1:2" ht="13.2">
      <c r="A843" s="90"/>
      <c r="B843" s="90"/>
    </row>
    <row r="844" spans="1:2" ht="13.2">
      <c r="A844" s="90"/>
      <c r="B844" s="90"/>
    </row>
    <row r="845" spans="1:2" ht="13.2">
      <c r="A845" s="90"/>
      <c r="B845" s="90"/>
    </row>
    <row r="846" spans="1:2" ht="13.2">
      <c r="A846" s="90"/>
      <c r="B846" s="90"/>
    </row>
    <row r="847" spans="1:2" ht="13.2">
      <c r="A847" s="90"/>
      <c r="B847" s="90"/>
    </row>
    <row r="848" spans="1:2" ht="13.2">
      <c r="A848" s="90"/>
      <c r="B848" s="90"/>
    </row>
    <row r="849" spans="1:2" ht="13.2">
      <c r="A849" s="90"/>
      <c r="B849" s="90"/>
    </row>
    <row r="850" spans="1:2" ht="13.2">
      <c r="A850" s="90"/>
      <c r="B850" s="90"/>
    </row>
    <row r="851" spans="1:2" ht="13.2">
      <c r="A851" s="90"/>
      <c r="B851" s="90"/>
    </row>
    <row r="852" spans="1:2" ht="13.2">
      <c r="A852" s="90"/>
      <c r="B852" s="90"/>
    </row>
    <row r="853" spans="1:2" ht="13.2">
      <c r="A853" s="90"/>
      <c r="B853" s="90"/>
    </row>
    <row r="854" spans="1:2" ht="13.2">
      <c r="A854" s="90"/>
      <c r="B854" s="90"/>
    </row>
    <row r="855" spans="1:2" ht="13.2">
      <c r="A855" s="90"/>
      <c r="B855" s="90"/>
    </row>
    <row r="856" spans="1:2" ht="13.2">
      <c r="A856" s="90"/>
      <c r="B856" s="90"/>
    </row>
    <row r="857" spans="1:2" ht="13.2">
      <c r="A857" s="90"/>
      <c r="B857" s="90"/>
    </row>
    <row r="858" spans="1:2" ht="13.2">
      <c r="A858" s="90"/>
      <c r="B858" s="90"/>
    </row>
    <row r="859" spans="1:2" ht="13.2">
      <c r="A859" s="90"/>
      <c r="B859" s="90"/>
    </row>
    <row r="860" spans="1:2" ht="13.2">
      <c r="A860" s="90"/>
      <c r="B860" s="90"/>
    </row>
    <row r="861" spans="1:2" ht="13.2">
      <c r="A861" s="90"/>
      <c r="B861" s="90"/>
    </row>
    <row r="862" spans="1:2" ht="13.2">
      <c r="A862" s="90"/>
      <c r="B862" s="90"/>
    </row>
    <row r="863" spans="1:2" ht="13.2">
      <c r="A863" s="90"/>
      <c r="B863" s="90"/>
    </row>
    <row r="864" spans="1:2" ht="13.2">
      <c r="A864" s="90"/>
      <c r="B864" s="90"/>
    </row>
    <row r="865" spans="1:2" ht="13.2">
      <c r="A865" s="90"/>
      <c r="B865" s="90"/>
    </row>
    <row r="866" spans="1:2" ht="13.2">
      <c r="A866" s="90"/>
      <c r="B866" s="90"/>
    </row>
    <row r="867" spans="1:2" ht="13.2">
      <c r="A867" s="90"/>
      <c r="B867" s="90"/>
    </row>
    <row r="868" spans="1:2" ht="13.2">
      <c r="A868" s="90"/>
      <c r="B868" s="90"/>
    </row>
    <row r="869" spans="1:2" ht="13.2">
      <c r="A869" s="90"/>
      <c r="B869" s="90"/>
    </row>
    <row r="870" spans="1:2" ht="13.2">
      <c r="A870" s="90"/>
      <c r="B870" s="90"/>
    </row>
    <row r="871" spans="1:2" ht="13.2">
      <c r="A871" s="90"/>
      <c r="B871" s="90"/>
    </row>
    <row r="872" spans="1:2" ht="13.2">
      <c r="A872" s="90"/>
      <c r="B872" s="90"/>
    </row>
    <row r="873" spans="1:2" ht="13.2">
      <c r="A873" s="90"/>
      <c r="B873" s="90"/>
    </row>
    <row r="874" spans="1:2" ht="13.2">
      <c r="A874" s="90"/>
      <c r="B874" s="90"/>
    </row>
    <row r="875" spans="1:2" ht="13.2">
      <c r="A875" s="90"/>
      <c r="B875" s="90"/>
    </row>
    <row r="876" spans="1:2" ht="13.2">
      <c r="A876" s="90"/>
      <c r="B876" s="90"/>
    </row>
    <row r="877" spans="1:2" ht="13.2">
      <c r="A877" s="90"/>
      <c r="B877" s="90"/>
    </row>
    <row r="878" spans="1:2" ht="13.2">
      <c r="A878" s="90"/>
      <c r="B878" s="90"/>
    </row>
    <row r="879" spans="1:2" ht="13.2">
      <c r="A879" s="90"/>
      <c r="B879" s="90"/>
    </row>
    <row r="880" spans="1:2" ht="13.2">
      <c r="A880" s="90"/>
      <c r="B880" s="90"/>
    </row>
    <row r="881" spans="1:2" ht="13.2">
      <c r="A881" s="90"/>
      <c r="B881" s="90"/>
    </row>
    <row r="882" spans="1:2" ht="13.2">
      <c r="A882" s="90"/>
      <c r="B882" s="90"/>
    </row>
    <row r="883" spans="1:2" ht="13.2">
      <c r="A883" s="90"/>
      <c r="B883" s="90"/>
    </row>
    <row r="884" spans="1:2" ht="13.2">
      <c r="A884" s="90"/>
      <c r="B884" s="90"/>
    </row>
    <row r="885" spans="1:2" ht="13.2">
      <c r="A885" s="90"/>
      <c r="B885" s="90"/>
    </row>
    <row r="886" spans="1:2" ht="13.2">
      <c r="A886" s="90"/>
      <c r="B886" s="90"/>
    </row>
    <row r="887" spans="1:2" ht="13.2">
      <c r="A887" s="90"/>
      <c r="B887" s="90"/>
    </row>
    <row r="888" spans="1:2" ht="13.2">
      <c r="A888" s="90"/>
      <c r="B888" s="90"/>
    </row>
    <row r="889" spans="1:2" ht="13.2">
      <c r="A889" s="90"/>
      <c r="B889" s="90"/>
    </row>
    <row r="890" spans="1:2" ht="13.2">
      <c r="A890" s="90"/>
      <c r="B890" s="90"/>
    </row>
    <row r="891" spans="1:2" ht="13.2">
      <c r="A891" s="90"/>
      <c r="B891" s="90"/>
    </row>
    <row r="892" spans="1:2" ht="13.2">
      <c r="A892" s="90"/>
      <c r="B892" s="90"/>
    </row>
    <row r="893" spans="1:2" ht="13.2">
      <c r="A893" s="90"/>
      <c r="B893" s="90"/>
    </row>
    <row r="894" spans="1:2" ht="13.2">
      <c r="A894" s="90"/>
      <c r="B894" s="90"/>
    </row>
    <row r="895" spans="1:2" ht="13.2">
      <c r="A895" s="90"/>
      <c r="B895" s="90"/>
    </row>
    <row r="896" spans="1:2" ht="13.2">
      <c r="A896" s="90"/>
      <c r="B896" s="90"/>
    </row>
    <row r="897" spans="1:2" ht="13.2">
      <c r="A897" s="90"/>
      <c r="B897" s="90"/>
    </row>
    <row r="898" spans="1:2" ht="13.2">
      <c r="A898" s="90"/>
      <c r="B898" s="90"/>
    </row>
    <row r="899" spans="1:2" ht="13.2">
      <c r="A899" s="90"/>
      <c r="B899" s="90"/>
    </row>
    <row r="900" spans="1:2" ht="13.2">
      <c r="A900" s="90"/>
      <c r="B900" s="90"/>
    </row>
    <row r="901" spans="1:2" ht="13.2">
      <c r="A901" s="90"/>
      <c r="B901" s="90"/>
    </row>
    <row r="902" spans="1:2" ht="13.2">
      <c r="A902" s="90"/>
      <c r="B902" s="90"/>
    </row>
    <row r="903" spans="1:2" ht="13.2">
      <c r="A903" s="90"/>
      <c r="B903" s="90"/>
    </row>
    <row r="904" spans="1:2" ht="13.2">
      <c r="A904" s="90"/>
      <c r="B904" s="90"/>
    </row>
    <row r="905" spans="1:2" ht="13.2">
      <c r="A905" s="90"/>
      <c r="B905" s="90"/>
    </row>
    <row r="906" spans="1:2" ht="13.2">
      <c r="A906" s="90"/>
      <c r="B906" s="90"/>
    </row>
    <row r="907" spans="1:2" ht="13.2">
      <c r="A907" s="90"/>
      <c r="B907" s="90"/>
    </row>
    <row r="908" spans="1:2" ht="13.2">
      <c r="A908" s="90"/>
      <c r="B908" s="90"/>
    </row>
    <row r="909" spans="1:2" ht="13.2">
      <c r="A909" s="90"/>
      <c r="B909" s="90"/>
    </row>
    <row r="910" spans="1:2" ht="13.2">
      <c r="A910" s="90"/>
      <c r="B910" s="90"/>
    </row>
    <row r="911" spans="1:2" ht="13.2">
      <c r="A911" s="90"/>
      <c r="B911" s="90"/>
    </row>
    <row r="912" spans="1:2" ht="13.2">
      <c r="A912" s="90"/>
      <c r="B912" s="90"/>
    </row>
    <row r="913" spans="1:2" ht="13.2">
      <c r="A913" s="90"/>
      <c r="B913" s="90"/>
    </row>
    <row r="914" spans="1:2" ht="13.2">
      <c r="A914" s="90"/>
      <c r="B914" s="90"/>
    </row>
    <row r="915" spans="1:2" ht="13.2">
      <c r="A915" s="90"/>
      <c r="B915" s="90"/>
    </row>
    <row r="916" spans="1:2" ht="13.2">
      <c r="A916" s="90"/>
      <c r="B916" s="90"/>
    </row>
    <row r="917" spans="1:2" ht="13.2">
      <c r="A917" s="90"/>
      <c r="B917" s="90"/>
    </row>
    <row r="918" spans="1:2" ht="13.2">
      <c r="A918" s="90"/>
      <c r="B918" s="90"/>
    </row>
    <row r="919" spans="1:2" ht="13.2">
      <c r="A919" s="90"/>
      <c r="B919" s="90"/>
    </row>
    <row r="920" spans="1:2" ht="13.2">
      <c r="A920" s="90"/>
      <c r="B920" s="90"/>
    </row>
    <row r="921" spans="1:2" ht="13.2">
      <c r="A921" s="90"/>
      <c r="B921" s="90"/>
    </row>
    <row r="922" spans="1:2" ht="13.2">
      <c r="A922" s="90"/>
      <c r="B922" s="90"/>
    </row>
    <row r="923" spans="1:2" ht="13.2">
      <c r="A923" s="90"/>
      <c r="B923" s="90"/>
    </row>
    <row r="924" spans="1:2" ht="13.2">
      <c r="A924" s="90"/>
      <c r="B924" s="90"/>
    </row>
    <row r="925" spans="1:2" ht="13.2">
      <c r="A925" s="90"/>
      <c r="B925" s="90"/>
    </row>
    <row r="926" spans="1:2" ht="13.2">
      <c r="A926" s="90"/>
      <c r="B926" s="90"/>
    </row>
    <row r="927" spans="1:2" ht="13.2">
      <c r="A927" s="90"/>
      <c r="B927" s="90"/>
    </row>
    <row r="928" spans="1:2" ht="13.2">
      <c r="A928" s="90"/>
      <c r="B928" s="90"/>
    </row>
    <row r="929" spans="1:2" ht="13.2">
      <c r="A929" s="90"/>
      <c r="B929" s="90"/>
    </row>
    <row r="930" spans="1:2" ht="13.2">
      <c r="A930" s="90"/>
      <c r="B930" s="90"/>
    </row>
    <row r="931" spans="1:2" ht="13.2">
      <c r="A931" s="90"/>
      <c r="B931" s="90"/>
    </row>
    <row r="932" spans="1:2" ht="13.2">
      <c r="A932" s="90"/>
      <c r="B932" s="90"/>
    </row>
    <row r="933" spans="1:2" ht="13.2">
      <c r="A933" s="90"/>
      <c r="B933" s="90"/>
    </row>
    <row r="934" spans="1:2" ht="13.2">
      <c r="A934" s="90"/>
      <c r="B934" s="90"/>
    </row>
    <row r="935" spans="1:2" ht="13.2">
      <c r="A935" s="90"/>
      <c r="B935" s="90"/>
    </row>
    <row r="936" spans="1:2" ht="13.2">
      <c r="A936" s="90"/>
      <c r="B936" s="90"/>
    </row>
    <row r="937" spans="1:2" ht="13.2">
      <c r="A937" s="90"/>
      <c r="B937" s="90"/>
    </row>
    <row r="938" spans="1:2" ht="13.2">
      <c r="A938" s="90"/>
      <c r="B938" s="90"/>
    </row>
    <row r="939" spans="1:2" ht="13.2">
      <c r="A939" s="90"/>
      <c r="B939" s="90"/>
    </row>
    <row r="940" spans="1:2" ht="13.2">
      <c r="A940" s="90"/>
      <c r="B940" s="90"/>
    </row>
    <row r="941" spans="1:2" ht="13.2">
      <c r="A941" s="90"/>
      <c r="B941" s="90"/>
    </row>
    <row r="942" spans="1:2" ht="13.2">
      <c r="A942" s="90"/>
      <c r="B942" s="90"/>
    </row>
    <row r="943" spans="1:2" ht="13.2">
      <c r="A943" s="90"/>
      <c r="B943" s="90"/>
    </row>
    <row r="944" spans="1:2" ht="13.2">
      <c r="A944" s="90"/>
      <c r="B944" s="90"/>
    </row>
    <row r="945" spans="1:2" ht="13.2">
      <c r="A945" s="90"/>
      <c r="B945" s="90"/>
    </row>
    <row r="946" spans="1:2" ht="13.2">
      <c r="A946" s="90"/>
      <c r="B946" s="90"/>
    </row>
    <row r="947" spans="1:2" ht="13.2">
      <c r="A947" s="90"/>
      <c r="B947" s="90"/>
    </row>
    <row r="948" spans="1:2" ht="13.2">
      <c r="A948" s="90"/>
      <c r="B948" s="90"/>
    </row>
    <row r="949" spans="1:2" ht="13.2">
      <c r="A949" s="90"/>
      <c r="B949" s="90"/>
    </row>
    <row r="950" spans="1:2" ht="13.2">
      <c r="A950" s="90"/>
      <c r="B950" s="90"/>
    </row>
    <row r="951" spans="1:2" ht="13.2">
      <c r="A951" s="90"/>
      <c r="B951" s="90"/>
    </row>
    <row r="952" spans="1:2" ht="13.2">
      <c r="A952" s="90"/>
      <c r="B952" s="90"/>
    </row>
    <row r="953" spans="1:2" ht="13.2">
      <c r="A953" s="90"/>
      <c r="B953" s="90"/>
    </row>
    <row r="954" spans="1:2" ht="13.2">
      <c r="A954" s="90"/>
      <c r="B954" s="90"/>
    </row>
    <row r="955" spans="1:2" ht="13.2">
      <c r="A955" s="90"/>
      <c r="B955" s="90"/>
    </row>
    <row r="956" spans="1:2" ht="13.2">
      <c r="A956" s="90"/>
      <c r="B956" s="90"/>
    </row>
    <row r="957" spans="1:2" ht="13.2">
      <c r="A957" s="90"/>
      <c r="B957" s="90"/>
    </row>
    <row r="958" spans="1:2" ht="13.2">
      <c r="A958" s="90"/>
      <c r="B958" s="90"/>
    </row>
    <row r="959" spans="1:2" ht="13.2">
      <c r="A959" s="90"/>
      <c r="B959" s="90"/>
    </row>
    <row r="960" spans="1:2" ht="13.2">
      <c r="A960" s="90"/>
      <c r="B960" s="90"/>
    </row>
    <row r="961" spans="1:2" ht="13.2">
      <c r="A961" s="90"/>
      <c r="B961" s="90"/>
    </row>
    <row r="962" spans="1:2" ht="13.2">
      <c r="A962" s="90"/>
      <c r="B962" s="90"/>
    </row>
    <row r="963" spans="1:2" ht="13.2">
      <c r="A963" s="90"/>
      <c r="B963" s="90"/>
    </row>
    <row r="964" spans="1:2" ht="13.2">
      <c r="A964" s="90"/>
      <c r="B964" s="90"/>
    </row>
    <row r="965" spans="1:2" ht="13.2">
      <c r="A965" s="90"/>
      <c r="B965" s="90"/>
    </row>
    <row r="966" spans="1:2" ht="13.2">
      <c r="A966" s="90"/>
      <c r="B966" s="90"/>
    </row>
    <row r="967" spans="1:2" ht="13.2">
      <c r="A967" s="90"/>
      <c r="B967" s="90"/>
    </row>
    <row r="968" spans="1:2" ht="13.2">
      <c r="A968" s="90"/>
      <c r="B968" s="90"/>
    </row>
    <row r="969" spans="1:2" ht="13.2">
      <c r="A969" s="90"/>
      <c r="B969" s="90"/>
    </row>
    <row r="970" spans="1:2" ht="13.2">
      <c r="A970" s="90"/>
      <c r="B970" s="90"/>
    </row>
    <row r="971" spans="1:2" ht="13.2">
      <c r="A971" s="90"/>
      <c r="B971" s="90"/>
    </row>
    <row r="972" spans="1:2" ht="13.2">
      <c r="A972" s="90"/>
      <c r="B972" s="90"/>
    </row>
    <row r="973" spans="1:2" ht="13.2">
      <c r="A973" s="90"/>
      <c r="B973" s="90"/>
    </row>
    <row r="974" spans="1:2" ht="13.2">
      <c r="A974" s="90"/>
      <c r="B974" s="90"/>
    </row>
    <row r="975" spans="1:2" ht="13.2">
      <c r="A975" s="90"/>
      <c r="B975" s="90"/>
    </row>
    <row r="976" spans="1:2" ht="13.2">
      <c r="A976" s="90"/>
      <c r="B976" s="90"/>
    </row>
    <row r="977" spans="1:2" ht="13.2">
      <c r="A977" s="90"/>
      <c r="B977" s="90"/>
    </row>
    <row r="978" spans="1:2" ht="13.2">
      <c r="A978" s="90"/>
      <c r="B978" s="90"/>
    </row>
    <row r="979" spans="1:2" ht="13.2">
      <c r="A979" s="90"/>
      <c r="B979" s="90"/>
    </row>
    <row r="980" spans="1:2" ht="13.2">
      <c r="A980" s="90"/>
      <c r="B980" s="90"/>
    </row>
    <row r="981" spans="1:2" ht="13.2">
      <c r="A981" s="90"/>
      <c r="B981" s="90"/>
    </row>
    <row r="982" spans="1:2" ht="13.2">
      <c r="A982" s="90"/>
      <c r="B982" s="90"/>
    </row>
    <row r="983" spans="1:2" ht="13.2">
      <c r="A983" s="90"/>
      <c r="B983" s="90"/>
    </row>
    <row r="984" spans="1:2" ht="13.2">
      <c r="A984" s="90"/>
      <c r="B984" s="90"/>
    </row>
    <row r="985" spans="1:2" ht="13.2">
      <c r="A985" s="90"/>
      <c r="B985" s="90"/>
    </row>
    <row r="986" spans="1:2" ht="13.2">
      <c r="A986" s="90"/>
      <c r="B986" s="90"/>
    </row>
    <row r="987" spans="1:2" ht="13.2">
      <c r="A987" s="90"/>
      <c r="B987" s="90"/>
    </row>
    <row r="988" spans="1:2" ht="13.2">
      <c r="A988" s="90"/>
      <c r="B988" s="90"/>
    </row>
    <row r="989" spans="1:2" ht="13.2">
      <c r="A989" s="90"/>
      <c r="B989" s="90"/>
    </row>
    <row r="990" spans="1:2" ht="13.2">
      <c r="A990" s="90"/>
      <c r="B990" s="90"/>
    </row>
    <row r="991" spans="1:2" ht="13.2">
      <c r="A991" s="90"/>
      <c r="B991" s="90"/>
    </row>
    <row r="992" spans="1:2" ht="13.2">
      <c r="A992" s="90"/>
      <c r="B992" s="90"/>
    </row>
    <row r="993" spans="1:2" ht="13.2">
      <c r="A993" s="90"/>
      <c r="B993" s="90"/>
    </row>
    <row r="994" spans="1:2" ht="13.2">
      <c r="A994" s="90"/>
      <c r="B994" s="90"/>
    </row>
    <row r="995" spans="1:2" ht="13.2">
      <c r="A995" s="90"/>
      <c r="B995" s="90"/>
    </row>
    <row r="996" spans="1:2" ht="13.2">
      <c r="A996" s="90"/>
      <c r="B996" s="90"/>
    </row>
    <row r="997" spans="1:2" ht="13.2">
      <c r="A997" s="90"/>
      <c r="B997" s="90"/>
    </row>
    <row r="998" spans="1:2" ht="13.2">
      <c r="A998" s="90"/>
      <c r="B998" s="90"/>
    </row>
    <row r="999" spans="1:2" ht="13.2">
      <c r="A999" s="90"/>
      <c r="B999" s="90"/>
    </row>
    <row r="1000" spans="1:2" ht="13.2">
      <c r="A1000" s="90"/>
      <c r="B1000" s="90"/>
    </row>
  </sheetData>
  <phoneticPr fontId="214" type="noConversion"/>
  <hyperlinks>
    <hyperlink ref="C4" r:id="rId1" xr:uid="{00000000-0004-0000-0300-000000000000}"/>
    <hyperlink ref="F4" r:id="rId2" xr:uid="{00000000-0004-0000-0300-000001000000}"/>
    <hyperlink ref="P4" r:id="rId3" xr:uid="{00000000-0004-0000-0300-000002000000}"/>
    <hyperlink ref="C5" r:id="rId4" xr:uid="{00000000-0004-0000-0300-000003000000}"/>
    <hyperlink ref="F5" r:id="rId5" xr:uid="{00000000-0004-0000-0300-000004000000}"/>
    <hyperlink ref="C6" r:id="rId6" xr:uid="{00000000-0004-0000-0300-000005000000}"/>
    <hyperlink ref="F6" r:id="rId7" xr:uid="{00000000-0004-0000-0300-000006000000}"/>
    <hyperlink ref="C7" r:id="rId8" xr:uid="{00000000-0004-0000-0300-000007000000}"/>
    <hyperlink ref="F7" r:id="rId9" xr:uid="{00000000-0004-0000-0300-000008000000}"/>
    <hyperlink ref="C8" r:id="rId10" xr:uid="{00000000-0004-0000-0300-000009000000}"/>
    <hyperlink ref="F8" r:id="rId11" xr:uid="{00000000-0004-0000-0300-00000A000000}"/>
    <hyperlink ref="C9" r:id="rId12" xr:uid="{00000000-0004-0000-0300-00000B000000}"/>
    <hyperlink ref="F9" r:id="rId13" xr:uid="{00000000-0004-0000-0300-00000C000000}"/>
    <hyperlink ref="C10" r:id="rId14" xr:uid="{00000000-0004-0000-0300-00000D000000}"/>
    <hyperlink ref="F10" r:id="rId15" xr:uid="{00000000-0004-0000-0300-00000E000000}"/>
    <hyperlink ref="C11" r:id="rId16" xr:uid="{00000000-0004-0000-0300-00000F000000}"/>
    <hyperlink ref="F11" r:id="rId17" xr:uid="{00000000-0004-0000-0300-000010000000}"/>
    <hyperlink ref="C12" r:id="rId18" xr:uid="{00000000-0004-0000-0300-000011000000}"/>
    <hyperlink ref="F12" r:id="rId19" xr:uid="{00000000-0004-0000-0300-000012000000}"/>
    <hyperlink ref="P12" r:id="rId20" xr:uid="{00000000-0004-0000-0300-000013000000}"/>
    <hyperlink ref="C13" r:id="rId21" xr:uid="{00000000-0004-0000-0300-000014000000}"/>
    <hyperlink ref="F13" r:id="rId22" xr:uid="{00000000-0004-0000-0300-000015000000}"/>
    <hyperlink ref="C14" r:id="rId23" xr:uid="{00000000-0004-0000-0300-000016000000}"/>
    <hyperlink ref="F14" r:id="rId24" xr:uid="{00000000-0004-0000-0300-000017000000}"/>
    <hyperlink ref="P14" r:id="rId25" xr:uid="{00000000-0004-0000-0300-000018000000}"/>
    <hyperlink ref="C15" r:id="rId26" xr:uid="{00000000-0004-0000-0300-000019000000}"/>
    <hyperlink ref="P15" r:id="rId27" xr:uid="{00000000-0004-0000-0300-00001A000000}"/>
    <hyperlink ref="Z15" r:id="rId28" xr:uid="{00000000-0004-0000-0300-00001B000000}"/>
    <hyperlink ref="C16" r:id="rId29" xr:uid="{00000000-0004-0000-0300-00001C000000}"/>
    <hyperlink ref="F16" r:id="rId30" xr:uid="{00000000-0004-0000-0300-00001D000000}"/>
    <hyperlink ref="P16" r:id="rId31" xr:uid="{00000000-0004-0000-0300-00001E000000}"/>
    <hyperlink ref="Z16" r:id="rId32" xr:uid="{00000000-0004-0000-0300-00001F000000}"/>
    <hyperlink ref="C17" r:id="rId33" xr:uid="{00000000-0004-0000-0300-000020000000}"/>
    <hyperlink ref="F17" r:id="rId34" xr:uid="{00000000-0004-0000-0300-000021000000}"/>
    <hyperlink ref="P17" r:id="rId35" xr:uid="{00000000-0004-0000-0300-000022000000}"/>
    <hyperlink ref="Z17" r:id="rId36" xr:uid="{00000000-0004-0000-0300-000023000000}"/>
    <hyperlink ref="C18" r:id="rId37" xr:uid="{00000000-0004-0000-0300-000024000000}"/>
    <hyperlink ref="F18" r:id="rId38" xr:uid="{00000000-0004-0000-0300-000025000000}"/>
    <hyperlink ref="P18" r:id="rId39" xr:uid="{00000000-0004-0000-0300-000026000000}"/>
    <hyperlink ref="Z18" r:id="rId40" xr:uid="{00000000-0004-0000-0300-000027000000}"/>
    <hyperlink ref="C19" r:id="rId41" xr:uid="{00000000-0004-0000-0300-000028000000}"/>
    <hyperlink ref="F19" r:id="rId42" xr:uid="{00000000-0004-0000-0300-000029000000}"/>
    <hyperlink ref="P19" r:id="rId43" xr:uid="{00000000-0004-0000-0300-00002A000000}"/>
    <hyperlink ref="C20" r:id="rId44" xr:uid="{00000000-0004-0000-0300-00002B000000}"/>
    <hyperlink ref="F20" r:id="rId45" xr:uid="{00000000-0004-0000-0300-00002C000000}"/>
    <hyperlink ref="P20" r:id="rId46" xr:uid="{00000000-0004-0000-0300-00002D000000}"/>
    <hyperlink ref="C21" r:id="rId47" xr:uid="{00000000-0004-0000-0300-00002E000000}"/>
    <hyperlink ref="F21" r:id="rId48" xr:uid="{00000000-0004-0000-0300-00002F000000}"/>
    <hyperlink ref="P21" r:id="rId49" xr:uid="{00000000-0004-0000-0300-000030000000}"/>
    <hyperlink ref="C22" r:id="rId50" xr:uid="{00000000-0004-0000-0300-000031000000}"/>
    <hyperlink ref="F22" r:id="rId51" xr:uid="{00000000-0004-0000-0300-000032000000}"/>
    <hyperlink ref="P22" r:id="rId52" xr:uid="{00000000-0004-0000-0300-000033000000}"/>
    <hyperlink ref="C23" r:id="rId53" xr:uid="{00000000-0004-0000-0300-000034000000}"/>
    <hyperlink ref="F23" r:id="rId54" xr:uid="{00000000-0004-0000-0300-000035000000}"/>
    <hyperlink ref="C24" r:id="rId55" xr:uid="{00000000-0004-0000-0300-000036000000}"/>
    <hyperlink ref="F24" r:id="rId56" xr:uid="{00000000-0004-0000-0300-000037000000}"/>
    <hyperlink ref="C25" r:id="rId57" xr:uid="{00000000-0004-0000-0300-000038000000}"/>
    <hyperlink ref="F25" r:id="rId58" xr:uid="{00000000-0004-0000-0300-000039000000}"/>
    <hyperlink ref="P25" r:id="rId59" xr:uid="{00000000-0004-0000-0300-00003A000000}"/>
    <hyperlink ref="C26" r:id="rId60" xr:uid="{00000000-0004-0000-0300-00003B000000}"/>
    <hyperlink ref="F26" r:id="rId61" xr:uid="{00000000-0004-0000-0300-00003C000000}"/>
    <hyperlink ref="P26" r:id="rId62" xr:uid="{00000000-0004-0000-0300-00003D000000}"/>
    <hyperlink ref="C27" r:id="rId63" xr:uid="{00000000-0004-0000-0300-00003E000000}"/>
    <hyperlink ref="F27" r:id="rId64" xr:uid="{00000000-0004-0000-0300-00003F000000}"/>
    <hyperlink ref="P27" r:id="rId65" xr:uid="{00000000-0004-0000-0300-000040000000}"/>
    <hyperlink ref="C28" r:id="rId66" xr:uid="{00000000-0004-0000-0300-000041000000}"/>
    <hyperlink ref="F28" r:id="rId67" xr:uid="{00000000-0004-0000-0300-000042000000}"/>
    <hyperlink ref="P28" r:id="rId68" xr:uid="{00000000-0004-0000-0300-000043000000}"/>
    <hyperlink ref="C29" r:id="rId69" xr:uid="{00000000-0004-0000-0300-000044000000}"/>
    <hyperlink ref="F29" r:id="rId70" xr:uid="{00000000-0004-0000-0300-000045000000}"/>
    <hyperlink ref="P29" r:id="rId71" xr:uid="{00000000-0004-0000-0300-000046000000}"/>
    <hyperlink ref="C30" r:id="rId72" xr:uid="{00000000-0004-0000-0300-000047000000}"/>
    <hyperlink ref="F30" r:id="rId73" xr:uid="{00000000-0004-0000-0300-000048000000}"/>
    <hyperlink ref="P30" r:id="rId74" xr:uid="{00000000-0004-0000-0300-000049000000}"/>
    <hyperlink ref="C31" r:id="rId75" xr:uid="{00000000-0004-0000-0300-00004A000000}"/>
    <hyperlink ref="F31" r:id="rId76" xr:uid="{00000000-0004-0000-0300-00004B000000}"/>
    <hyperlink ref="P31" r:id="rId77" xr:uid="{00000000-0004-0000-0300-00004C000000}"/>
    <hyperlink ref="C32" r:id="rId78" xr:uid="{00000000-0004-0000-0300-00004D000000}"/>
    <hyperlink ref="F32" r:id="rId79" xr:uid="{00000000-0004-0000-0300-00004E000000}"/>
    <hyperlink ref="P32" r:id="rId80" xr:uid="{00000000-0004-0000-0300-00004F000000}"/>
    <hyperlink ref="C33" r:id="rId81" xr:uid="{00000000-0004-0000-0300-000050000000}"/>
    <hyperlink ref="F33" r:id="rId82" xr:uid="{00000000-0004-0000-0300-000051000000}"/>
    <hyperlink ref="P33" r:id="rId83" xr:uid="{00000000-0004-0000-0300-000052000000}"/>
    <hyperlink ref="C34" r:id="rId84" xr:uid="{00000000-0004-0000-0300-000053000000}"/>
    <hyperlink ref="F34" r:id="rId85" xr:uid="{00000000-0004-0000-0300-000054000000}"/>
    <hyperlink ref="C35" r:id="rId86" xr:uid="{00000000-0004-0000-0300-000055000000}"/>
    <hyperlink ref="F35" r:id="rId87" xr:uid="{00000000-0004-0000-0300-000056000000}"/>
    <hyperlink ref="C36" r:id="rId88" xr:uid="{00000000-0004-0000-0300-000057000000}"/>
    <hyperlink ref="F36" r:id="rId89" xr:uid="{00000000-0004-0000-0300-000058000000}"/>
    <hyperlink ref="P36" r:id="rId90" xr:uid="{00000000-0004-0000-0300-000059000000}"/>
    <hyperlink ref="C37" r:id="rId91" xr:uid="{00000000-0004-0000-0300-00005A000000}"/>
    <hyperlink ref="F37" r:id="rId92" xr:uid="{00000000-0004-0000-0300-00005B000000}"/>
    <hyperlink ref="P37" r:id="rId93" xr:uid="{00000000-0004-0000-0300-00005C000000}"/>
    <hyperlink ref="C38" r:id="rId94" xr:uid="{00000000-0004-0000-0300-00005D000000}"/>
    <hyperlink ref="F38" r:id="rId95" xr:uid="{00000000-0004-0000-0300-00005E000000}"/>
    <hyperlink ref="P38" r:id="rId96" xr:uid="{00000000-0004-0000-0300-00005F000000}"/>
    <hyperlink ref="C39" r:id="rId97" xr:uid="{00000000-0004-0000-0300-000060000000}"/>
    <hyperlink ref="F39" r:id="rId98" xr:uid="{00000000-0004-0000-0300-000061000000}"/>
    <hyperlink ref="P39" r:id="rId99" xr:uid="{00000000-0004-0000-0300-000062000000}"/>
    <hyperlink ref="C40" r:id="rId100" xr:uid="{00000000-0004-0000-0300-000063000000}"/>
    <hyperlink ref="F40" r:id="rId101" xr:uid="{00000000-0004-0000-0300-000064000000}"/>
    <hyperlink ref="P40" r:id="rId102" xr:uid="{00000000-0004-0000-0300-000065000000}"/>
    <hyperlink ref="C41" r:id="rId103" xr:uid="{00000000-0004-0000-0300-000066000000}"/>
    <hyperlink ref="F41" r:id="rId104" xr:uid="{00000000-0004-0000-0300-000067000000}"/>
    <hyperlink ref="P41" r:id="rId105" xr:uid="{00000000-0004-0000-0300-000068000000}"/>
    <hyperlink ref="C42" r:id="rId106" xr:uid="{00000000-0004-0000-0300-000069000000}"/>
    <hyperlink ref="F42" r:id="rId107" xr:uid="{00000000-0004-0000-0300-00006A000000}"/>
    <hyperlink ref="P42" r:id="rId108" xr:uid="{00000000-0004-0000-0300-00006B000000}"/>
    <hyperlink ref="C43" r:id="rId109" xr:uid="{00000000-0004-0000-0300-00006C000000}"/>
    <hyperlink ref="F43" r:id="rId110" xr:uid="{00000000-0004-0000-0300-00006D000000}"/>
    <hyperlink ref="P43" r:id="rId111" xr:uid="{00000000-0004-0000-0300-00006E000000}"/>
    <hyperlink ref="C44" r:id="rId112" xr:uid="{00000000-0004-0000-0300-00006F000000}"/>
    <hyperlink ref="F44" r:id="rId113" xr:uid="{00000000-0004-0000-0300-000070000000}"/>
    <hyperlink ref="P44" r:id="rId114" xr:uid="{00000000-0004-0000-0300-000071000000}"/>
    <hyperlink ref="C45" r:id="rId115" xr:uid="{00000000-0004-0000-0300-000072000000}"/>
    <hyperlink ref="F45" r:id="rId116" xr:uid="{00000000-0004-0000-0300-000073000000}"/>
    <hyperlink ref="P45" r:id="rId117" xr:uid="{00000000-0004-0000-0300-000074000000}"/>
    <hyperlink ref="C46" r:id="rId118" xr:uid="{00000000-0004-0000-0300-000075000000}"/>
    <hyperlink ref="F46" r:id="rId119" xr:uid="{00000000-0004-0000-0300-000076000000}"/>
    <hyperlink ref="P46" r:id="rId120" xr:uid="{00000000-0004-0000-0300-000077000000}"/>
    <hyperlink ref="C47" r:id="rId121" xr:uid="{00000000-0004-0000-0300-000078000000}"/>
    <hyperlink ref="F47" r:id="rId122" xr:uid="{00000000-0004-0000-0300-000079000000}"/>
    <hyperlink ref="P47" r:id="rId123" xr:uid="{00000000-0004-0000-0300-00007A000000}"/>
    <hyperlink ref="C48" r:id="rId124" xr:uid="{00000000-0004-0000-0300-00007B000000}"/>
    <hyperlink ref="F48" r:id="rId125" xr:uid="{00000000-0004-0000-0300-00007C000000}"/>
    <hyperlink ref="P48" r:id="rId126" xr:uid="{00000000-0004-0000-0300-00007D000000}"/>
    <hyperlink ref="C49" r:id="rId127" xr:uid="{00000000-0004-0000-0300-00007E000000}"/>
    <hyperlink ref="F49" r:id="rId128" xr:uid="{00000000-0004-0000-0300-00007F000000}"/>
    <hyperlink ref="P49" r:id="rId129" xr:uid="{00000000-0004-0000-0300-000080000000}"/>
    <hyperlink ref="C50" r:id="rId130" xr:uid="{00000000-0004-0000-0300-000081000000}"/>
    <hyperlink ref="F50" r:id="rId131" xr:uid="{00000000-0004-0000-0300-000082000000}"/>
    <hyperlink ref="P50" r:id="rId132" xr:uid="{00000000-0004-0000-0300-000083000000}"/>
    <hyperlink ref="C51" r:id="rId133" xr:uid="{00000000-0004-0000-0300-000084000000}"/>
    <hyperlink ref="F51" r:id="rId134" xr:uid="{00000000-0004-0000-0300-000085000000}"/>
    <hyperlink ref="P51" r:id="rId135" xr:uid="{00000000-0004-0000-0300-000086000000}"/>
    <hyperlink ref="C52" r:id="rId136" xr:uid="{00000000-0004-0000-0300-000087000000}"/>
    <hyperlink ref="F52" r:id="rId137" xr:uid="{00000000-0004-0000-0300-000088000000}"/>
    <hyperlink ref="P52" r:id="rId138" xr:uid="{00000000-0004-0000-0300-000089000000}"/>
    <hyperlink ref="C53" r:id="rId139" xr:uid="{00000000-0004-0000-0300-00008A000000}"/>
    <hyperlink ref="F53" r:id="rId140" xr:uid="{00000000-0004-0000-0300-00008B000000}"/>
    <hyperlink ref="P53" r:id="rId141" xr:uid="{00000000-0004-0000-0300-00008C000000}"/>
    <hyperlink ref="C54" r:id="rId142" xr:uid="{00000000-0004-0000-0300-00008D000000}"/>
    <hyperlink ref="F54" r:id="rId143" xr:uid="{00000000-0004-0000-0300-00008E000000}"/>
    <hyperlink ref="P54" r:id="rId144" xr:uid="{00000000-0004-0000-0300-00008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4:AO26"/>
  <sheetViews>
    <sheetView workbookViewId="0">
      <selection activeCell="R5" sqref="R5:U9"/>
    </sheetView>
  </sheetViews>
  <sheetFormatPr defaultColWidth="12.6640625" defaultRowHeight="15.75" customHeight="1"/>
  <cols>
    <col min="1" max="1" width="7.44140625" bestFit="1" customWidth="1"/>
    <col min="2" max="2" width="59.33203125" bestFit="1" customWidth="1"/>
    <col min="3" max="3" width="32.21875" bestFit="1" customWidth="1"/>
    <col min="4" max="4" width="7.5546875" bestFit="1" customWidth="1"/>
    <col min="5" max="5" width="30.88671875" bestFit="1" customWidth="1"/>
    <col min="6" max="6" width="27.21875" bestFit="1" customWidth="1"/>
    <col min="7" max="7" width="48.44140625" bestFit="1" customWidth="1"/>
    <col min="8" max="8" width="53.88671875" bestFit="1" customWidth="1"/>
    <col min="9" max="9" width="48.44140625" bestFit="1" customWidth="1"/>
    <col min="10" max="10" width="20.109375" bestFit="1" customWidth="1"/>
    <col min="11" max="11" width="255.77734375" bestFit="1" customWidth="1"/>
    <col min="12" max="12" width="15.77734375" bestFit="1" customWidth="1"/>
    <col min="13" max="13" width="11.33203125" bestFit="1" customWidth="1"/>
    <col min="14" max="14" width="15.77734375" bestFit="1" customWidth="1"/>
    <col min="15" max="15" width="31.109375" bestFit="1" customWidth="1"/>
    <col min="16" max="16" width="34.6640625" bestFit="1" customWidth="1"/>
    <col min="17" max="17" width="10.33203125" bestFit="1" customWidth="1"/>
    <col min="18" max="18" width="4.33203125" bestFit="1" customWidth="1"/>
    <col min="19" max="19" width="7" bestFit="1" customWidth="1"/>
    <col min="20" max="20" width="10.109375" bestFit="1" customWidth="1"/>
    <col min="21" max="21" width="10.77734375" bestFit="1" customWidth="1"/>
    <col min="22" max="22" width="13.6640625" bestFit="1" customWidth="1"/>
    <col min="23" max="23" width="13.109375" bestFit="1" customWidth="1"/>
    <col min="24" max="24" width="34.77734375" bestFit="1" customWidth="1"/>
    <col min="25" max="25" width="38.33203125" bestFit="1" customWidth="1"/>
    <col min="26" max="26" width="47.88671875" bestFit="1" customWidth="1"/>
    <col min="27" max="27" width="37" bestFit="1" customWidth="1"/>
    <col min="28" max="28" width="22.5546875" bestFit="1" customWidth="1"/>
    <col min="29" max="29" width="38.77734375" bestFit="1" customWidth="1"/>
    <col min="30" max="30" width="15.109375" bestFit="1" customWidth="1"/>
    <col min="31" max="31" width="39.33203125" bestFit="1" customWidth="1"/>
    <col min="32" max="32" width="22" bestFit="1" customWidth="1"/>
    <col min="33" max="33" width="39.33203125" bestFit="1" customWidth="1"/>
    <col min="34" max="34" width="23.33203125" bestFit="1" customWidth="1"/>
    <col min="35" max="35" width="38.77734375" bestFit="1" customWidth="1"/>
    <col min="36" max="36" width="31.109375" bestFit="1" customWidth="1"/>
    <col min="38" max="38" width="31.109375" bestFit="1" customWidth="1"/>
    <col min="39" max="39" width="39.109375" bestFit="1" customWidth="1"/>
    <col min="40" max="40" width="8.6640625" bestFit="1" customWidth="1"/>
  </cols>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176">
        <v>145</v>
      </c>
      <c r="B5" s="196" t="s">
        <v>1555</v>
      </c>
      <c r="C5" s="176" t="str">
        <f t="shared" ref="C5:C9" si="0">MID(B5,FIND(CHAR(160),SUBSTITUTE(B5,"/",CHAR(160),3)) + 1,FIND(CHAR(160),SUBSTITUTE(B5,"/",CHAR(160),4)) - 1 - (FIND(CHAR(160),SUBSTITUTE(B5,"/",CHAR(160),3))))</f>
        <v>I-Fly-Now_Kunal-Ramchandani</v>
      </c>
      <c r="D5" s="176">
        <v>1013</v>
      </c>
      <c r="E5" s="196" t="s">
        <v>1556</v>
      </c>
      <c r="F5" s="180" t="s">
        <v>1557</v>
      </c>
      <c r="G5" s="176"/>
      <c r="H5" s="180" t="s">
        <v>1558</v>
      </c>
      <c r="I5" s="180" t="s">
        <v>1559</v>
      </c>
      <c r="J5" s="180" t="s">
        <v>1560</v>
      </c>
      <c r="K5" s="197" t="s">
        <v>1561</v>
      </c>
      <c r="L5" s="180">
        <v>7021031804</v>
      </c>
      <c r="M5" s="178" t="s">
        <v>44</v>
      </c>
      <c r="N5" s="180">
        <v>7021031804</v>
      </c>
      <c r="O5" s="196" t="s">
        <v>1562</v>
      </c>
      <c r="P5" s="179" t="s">
        <v>44</v>
      </c>
      <c r="Q5" s="176" t="s">
        <v>47</v>
      </c>
      <c r="R5" s="198" t="s">
        <v>48</v>
      </c>
      <c r="S5" s="198" t="s">
        <v>49</v>
      </c>
      <c r="T5" s="198" t="s">
        <v>1563</v>
      </c>
      <c r="U5" s="198" t="s">
        <v>49</v>
      </c>
      <c r="V5" s="177" t="s">
        <v>71</v>
      </c>
      <c r="W5" s="177" t="s">
        <v>1564</v>
      </c>
      <c r="X5" s="176"/>
      <c r="Y5" s="176"/>
      <c r="Z5" s="176"/>
      <c r="AA5" s="176"/>
      <c r="AB5" s="177" t="s">
        <v>1565</v>
      </c>
      <c r="AC5" s="177" t="s">
        <v>1566</v>
      </c>
      <c r="AD5" s="177" t="s">
        <v>1567</v>
      </c>
      <c r="AE5" s="177" t="s">
        <v>1568</v>
      </c>
      <c r="AF5" s="177" t="s">
        <v>1569</v>
      </c>
      <c r="AG5" s="177" t="s">
        <v>1570</v>
      </c>
      <c r="AH5" s="177" t="s">
        <v>1571</v>
      </c>
      <c r="AI5" s="177" t="s">
        <v>1572</v>
      </c>
      <c r="AJ5" s="177" t="s">
        <v>1573</v>
      </c>
      <c r="AK5" s="176"/>
      <c r="AL5" s="177" t="s">
        <v>1573</v>
      </c>
      <c r="AM5" s="177" t="s">
        <v>1574</v>
      </c>
      <c r="AN5" s="176"/>
      <c r="AO5" s="176"/>
    </row>
    <row r="6" spans="1:41" ht="15.75" customHeight="1">
      <c r="A6" s="176">
        <v>146</v>
      </c>
      <c r="B6" s="196" t="s">
        <v>1575</v>
      </c>
      <c r="C6" s="176" t="str">
        <f t="shared" si="0"/>
        <v>Turtledownunder_Abhishek-Sonthalia</v>
      </c>
      <c r="D6" s="176">
        <v>1014</v>
      </c>
      <c r="E6" s="196" t="s">
        <v>1576</v>
      </c>
      <c r="F6" s="180" t="s">
        <v>1577</v>
      </c>
      <c r="G6" s="176"/>
      <c r="H6" s="180" t="s">
        <v>1578</v>
      </c>
      <c r="I6" s="180" t="s">
        <v>1579</v>
      </c>
      <c r="J6" s="180" t="s">
        <v>78</v>
      </c>
      <c r="K6" s="197" t="s">
        <v>1580</v>
      </c>
      <c r="L6" s="180">
        <f>61430442201</f>
        <v>61430442201</v>
      </c>
      <c r="M6" s="178" t="s">
        <v>44</v>
      </c>
      <c r="N6" s="180">
        <f>61430442201</f>
        <v>61430442201</v>
      </c>
      <c r="O6" s="183" t="s">
        <v>1581</v>
      </c>
      <c r="P6" s="179" t="s">
        <v>44</v>
      </c>
      <c r="Q6" s="176" t="s">
        <v>47</v>
      </c>
      <c r="R6" s="198" t="s">
        <v>48</v>
      </c>
      <c r="S6" s="198" t="s">
        <v>1582</v>
      </c>
      <c r="T6" s="198" t="s">
        <v>1583</v>
      </c>
      <c r="U6" s="198" t="s">
        <v>1583</v>
      </c>
      <c r="V6" s="177" t="s">
        <v>71</v>
      </c>
      <c r="W6" s="177" t="s">
        <v>1584</v>
      </c>
      <c r="X6" s="199" t="s">
        <v>6107</v>
      </c>
      <c r="Y6" s="199" t="s">
        <v>6108</v>
      </c>
      <c r="Z6" s="199" t="s">
        <v>6109</v>
      </c>
      <c r="AA6" s="199" t="s">
        <v>6110</v>
      </c>
      <c r="AB6" s="177" t="s">
        <v>1585</v>
      </c>
      <c r="AC6" s="177" t="s">
        <v>1586</v>
      </c>
      <c r="AD6" s="177" t="s">
        <v>1587</v>
      </c>
      <c r="AE6" s="177" t="s">
        <v>1588</v>
      </c>
      <c r="AF6" s="177" t="s">
        <v>1589</v>
      </c>
      <c r="AG6" s="177" t="s">
        <v>1590</v>
      </c>
      <c r="AH6" s="177" t="s">
        <v>1591</v>
      </c>
      <c r="AI6" s="177" t="s">
        <v>1592</v>
      </c>
      <c r="AJ6" s="176"/>
      <c r="AK6" s="176"/>
      <c r="AL6" s="176"/>
      <c r="AM6" s="176"/>
      <c r="AN6" s="176"/>
      <c r="AO6" s="176"/>
    </row>
    <row r="7" spans="1:41" ht="15.75" customHeight="1">
      <c r="A7" s="176">
        <v>147</v>
      </c>
      <c r="B7" s="196" t="s">
        <v>1593</v>
      </c>
      <c r="C7" s="176" t="str">
        <f t="shared" si="0"/>
        <v>Turtledownunder_Chander-Chhabriya</v>
      </c>
      <c r="D7" s="176">
        <v>1016</v>
      </c>
      <c r="E7" s="196" t="s">
        <v>1594</v>
      </c>
      <c r="F7" s="180" t="s">
        <v>1595</v>
      </c>
      <c r="G7" s="176"/>
      <c r="H7" s="180" t="s">
        <v>1596</v>
      </c>
      <c r="I7" s="180" t="s">
        <v>1597</v>
      </c>
      <c r="J7" s="180" t="s">
        <v>1598</v>
      </c>
      <c r="K7" s="179" t="s">
        <v>1580</v>
      </c>
      <c r="L7" s="180">
        <v>8070905905</v>
      </c>
      <c r="M7" s="178" t="s">
        <v>44</v>
      </c>
      <c r="N7" s="180">
        <v>8070905905</v>
      </c>
      <c r="O7" s="183" t="s">
        <v>1599</v>
      </c>
      <c r="P7" s="200" t="s">
        <v>6111</v>
      </c>
      <c r="Q7" s="176" t="s">
        <v>47</v>
      </c>
      <c r="R7" s="198" t="s">
        <v>48</v>
      </c>
      <c r="S7" s="198" t="s">
        <v>1582</v>
      </c>
      <c r="T7" s="198" t="s">
        <v>1583</v>
      </c>
      <c r="U7" s="198" t="s">
        <v>1601</v>
      </c>
      <c r="V7" s="177" t="s">
        <v>71</v>
      </c>
      <c r="W7" s="177" t="s">
        <v>1584</v>
      </c>
      <c r="X7" s="199" t="s">
        <v>6107</v>
      </c>
      <c r="Y7" s="199" t="s">
        <v>6108</v>
      </c>
      <c r="Z7" s="199" t="s">
        <v>6109</v>
      </c>
      <c r="AA7" s="199" t="s">
        <v>6110</v>
      </c>
      <c r="AB7" s="177" t="s">
        <v>1585</v>
      </c>
      <c r="AC7" s="177" t="s">
        <v>1586</v>
      </c>
      <c r="AD7" s="177" t="s">
        <v>1587</v>
      </c>
      <c r="AE7" s="177" t="s">
        <v>1588</v>
      </c>
      <c r="AF7" s="177" t="s">
        <v>1589</v>
      </c>
      <c r="AG7" s="177" t="s">
        <v>1590</v>
      </c>
      <c r="AH7" s="177" t="s">
        <v>1591</v>
      </c>
      <c r="AI7" s="177" t="s">
        <v>1592</v>
      </c>
      <c r="AJ7" s="176"/>
      <c r="AK7" s="176"/>
      <c r="AL7" s="176"/>
      <c r="AM7" s="176"/>
      <c r="AN7" s="176"/>
      <c r="AO7" s="176"/>
    </row>
    <row r="8" spans="1:41" ht="15.75" customHeight="1">
      <c r="A8" s="176">
        <v>148</v>
      </c>
      <c r="B8" s="196" t="s">
        <v>1602</v>
      </c>
      <c r="C8" s="176" t="str">
        <f t="shared" si="0"/>
        <v>TurtleDownUnder</v>
      </c>
      <c r="D8" s="176">
        <v>1017</v>
      </c>
      <c r="E8" s="196" t="s">
        <v>1603</v>
      </c>
      <c r="F8" s="180" t="s">
        <v>1604</v>
      </c>
      <c r="G8" s="176"/>
      <c r="H8" s="180" t="s">
        <v>1578</v>
      </c>
      <c r="I8" s="180" t="s">
        <v>1605</v>
      </c>
      <c r="J8" s="180" t="s">
        <v>1606</v>
      </c>
      <c r="K8" s="197" t="s">
        <v>1580</v>
      </c>
      <c r="L8" s="180">
        <v>8062260000</v>
      </c>
      <c r="M8" s="178" t="s">
        <v>44</v>
      </c>
      <c r="N8" s="180">
        <v>8062260000</v>
      </c>
      <c r="O8" s="183" t="s">
        <v>1599</v>
      </c>
      <c r="P8" s="179" t="s">
        <v>44</v>
      </c>
      <c r="Q8" s="176" t="s">
        <v>47</v>
      </c>
      <c r="R8" s="198" t="s">
        <v>48</v>
      </c>
      <c r="S8" s="198" t="s">
        <v>1582</v>
      </c>
      <c r="T8" s="198" t="s">
        <v>1583</v>
      </c>
      <c r="U8" s="198" t="s">
        <v>1601</v>
      </c>
      <c r="V8" s="177" t="s">
        <v>71</v>
      </c>
      <c r="W8" s="177" t="s">
        <v>1584</v>
      </c>
      <c r="X8" s="199" t="s">
        <v>6107</v>
      </c>
      <c r="Y8" s="199" t="s">
        <v>6108</v>
      </c>
      <c r="Z8" s="199" t="s">
        <v>6109</v>
      </c>
      <c r="AA8" s="199" t="s">
        <v>6110</v>
      </c>
      <c r="AB8" s="177" t="s">
        <v>1585</v>
      </c>
      <c r="AC8" s="177" t="s">
        <v>1586</v>
      </c>
      <c r="AD8" s="177" t="s">
        <v>1587</v>
      </c>
      <c r="AE8" s="177" t="s">
        <v>1588</v>
      </c>
      <c r="AF8" s="177" t="s">
        <v>1589</v>
      </c>
      <c r="AG8" s="177" t="s">
        <v>1590</v>
      </c>
      <c r="AH8" s="177" t="s">
        <v>1591</v>
      </c>
      <c r="AI8" s="177" t="s">
        <v>1592</v>
      </c>
      <c r="AJ8" s="176"/>
      <c r="AK8" s="176"/>
      <c r="AL8" s="176"/>
      <c r="AM8" s="176"/>
      <c r="AN8" s="176"/>
      <c r="AO8" s="176"/>
    </row>
    <row r="9" spans="1:41" ht="15.75" customHeight="1">
      <c r="A9" s="176">
        <v>149</v>
      </c>
      <c r="B9" s="196" t="s">
        <v>1607</v>
      </c>
      <c r="C9" s="176" t="str">
        <f t="shared" si="0"/>
        <v>Turtledownunder_Kunal-Ramchandani</v>
      </c>
      <c r="D9" s="176">
        <v>1018</v>
      </c>
      <c r="E9" s="196" t="s">
        <v>1608</v>
      </c>
      <c r="F9" s="180" t="s">
        <v>1609</v>
      </c>
      <c r="G9" s="176"/>
      <c r="H9" s="180" t="s">
        <v>1578</v>
      </c>
      <c r="I9" s="180" t="s">
        <v>1559</v>
      </c>
      <c r="J9" s="180" t="s">
        <v>1610</v>
      </c>
      <c r="K9" s="197" t="s">
        <v>1580</v>
      </c>
      <c r="L9" s="180">
        <v>7021031804</v>
      </c>
      <c r="M9" s="178" t="s">
        <v>44</v>
      </c>
      <c r="N9" s="180">
        <v>7021031804</v>
      </c>
      <c r="O9" s="196" t="s">
        <v>1599</v>
      </c>
      <c r="P9" s="179" t="s">
        <v>44</v>
      </c>
      <c r="Q9" s="176" t="s">
        <v>47</v>
      </c>
      <c r="R9" s="198" t="s">
        <v>48</v>
      </c>
      <c r="S9" s="198" t="s">
        <v>1582</v>
      </c>
      <c r="T9" s="198" t="s">
        <v>1583</v>
      </c>
      <c r="U9" s="198" t="s">
        <v>1601</v>
      </c>
      <c r="V9" s="177" t="s">
        <v>71</v>
      </c>
      <c r="W9" s="177" t="s">
        <v>1584</v>
      </c>
      <c r="X9" s="199" t="s">
        <v>6107</v>
      </c>
      <c r="Y9" s="199" t="s">
        <v>6108</v>
      </c>
      <c r="Z9" s="199" t="s">
        <v>6109</v>
      </c>
      <c r="AA9" s="199" t="s">
        <v>6110</v>
      </c>
      <c r="AB9" s="177" t="s">
        <v>1585</v>
      </c>
      <c r="AC9" s="177" t="s">
        <v>1586</v>
      </c>
      <c r="AD9" s="177" t="s">
        <v>1587</v>
      </c>
      <c r="AE9" s="177" t="s">
        <v>1588</v>
      </c>
      <c r="AF9" s="177" t="s">
        <v>1589</v>
      </c>
      <c r="AG9" s="177" t="s">
        <v>1590</v>
      </c>
      <c r="AH9" s="177" t="s">
        <v>1591</v>
      </c>
      <c r="AI9" s="177" t="s">
        <v>1592</v>
      </c>
      <c r="AJ9" s="176"/>
      <c r="AK9" s="176"/>
      <c r="AL9" s="176"/>
      <c r="AM9" s="176"/>
      <c r="AN9" s="176"/>
      <c r="AO9" s="176"/>
    </row>
    <row r="17" spans="1:28" ht="13.2">
      <c r="A17" s="172"/>
      <c r="B17" s="172"/>
      <c r="C17" s="172"/>
      <c r="D17" s="172"/>
      <c r="H17" s="172"/>
      <c r="I17" s="172"/>
      <c r="J17" s="172"/>
      <c r="K17" s="172"/>
      <c r="M17" s="172"/>
      <c r="N17" s="172"/>
      <c r="O17" s="172"/>
      <c r="P17" s="172"/>
      <c r="Q17" s="172"/>
      <c r="R17" s="172"/>
      <c r="S17" s="172"/>
      <c r="T17" s="172"/>
      <c r="U17" s="172"/>
      <c r="V17" s="172"/>
      <c r="W17" s="172"/>
      <c r="X17" s="172"/>
      <c r="Y17" s="172"/>
      <c r="Z17" s="172"/>
      <c r="AA17" s="172"/>
      <c r="AB17" s="172"/>
    </row>
    <row r="18" spans="1:28" ht="13.2">
      <c r="A18" s="172"/>
      <c r="B18" s="172"/>
      <c r="C18" s="172"/>
      <c r="D18" s="172"/>
      <c r="H18" s="172"/>
      <c r="I18" s="172"/>
      <c r="J18" s="172"/>
      <c r="K18" s="172"/>
      <c r="L18" s="172"/>
      <c r="M18" s="172"/>
      <c r="N18" s="172"/>
      <c r="O18" s="172"/>
      <c r="P18" s="172"/>
      <c r="Q18" s="172"/>
      <c r="R18" s="172"/>
      <c r="S18" s="172"/>
      <c r="T18" s="172"/>
      <c r="U18" s="172"/>
      <c r="V18" s="172"/>
      <c r="W18" s="172"/>
      <c r="X18" s="172"/>
      <c r="Y18" s="172"/>
      <c r="Z18" s="172"/>
      <c r="AA18" s="172"/>
      <c r="AB18" s="172"/>
    </row>
    <row r="19" spans="1:28" ht="15.75" customHeight="1">
      <c r="A19" s="172"/>
      <c r="B19" s="201"/>
      <c r="C19" s="172"/>
      <c r="D19" s="172"/>
      <c r="E19" s="196" t="s">
        <v>1556</v>
      </c>
      <c r="F19" s="180" t="s">
        <v>1557</v>
      </c>
      <c r="G19" s="180" t="s">
        <v>1559</v>
      </c>
      <c r="H19" s="180">
        <v>7021031804</v>
      </c>
      <c r="I19" s="180" t="s">
        <v>1560</v>
      </c>
      <c r="J19" s="202"/>
      <c r="K19" s="203"/>
      <c r="L19" s="202"/>
      <c r="M19" s="201"/>
      <c r="N19" s="202"/>
      <c r="O19" s="201"/>
      <c r="P19" s="204"/>
      <c r="Q19" s="172"/>
      <c r="R19" s="205"/>
      <c r="S19" s="205"/>
      <c r="T19" s="205"/>
      <c r="U19" s="205"/>
      <c r="V19" s="4"/>
      <c r="W19" s="4"/>
      <c r="X19" s="172"/>
      <c r="Y19" s="172"/>
      <c r="Z19" s="172"/>
      <c r="AA19" s="172"/>
      <c r="AB19" s="172"/>
    </row>
    <row r="20" spans="1:28" ht="15.75" customHeight="1">
      <c r="A20" s="172"/>
      <c r="B20" s="201"/>
      <c r="C20" s="172"/>
      <c r="D20" s="172"/>
      <c r="E20" s="196" t="s">
        <v>1576</v>
      </c>
      <c r="F20" s="180" t="s">
        <v>1577</v>
      </c>
      <c r="G20" s="180" t="s">
        <v>1579</v>
      </c>
      <c r="H20" s="180">
        <f>61430442201</f>
        <v>61430442201</v>
      </c>
      <c r="I20" s="180" t="s">
        <v>78</v>
      </c>
      <c r="J20" s="202"/>
      <c r="K20" s="203"/>
      <c r="L20" s="202"/>
      <c r="M20" s="201"/>
      <c r="N20" s="202"/>
      <c r="O20" s="206"/>
      <c r="P20" s="204"/>
      <c r="Q20" s="172"/>
      <c r="R20" s="205"/>
      <c r="S20" s="205"/>
      <c r="T20" s="205"/>
      <c r="U20" s="205"/>
      <c r="V20" s="4"/>
      <c r="W20" s="4"/>
      <c r="X20" s="172"/>
      <c r="Y20" s="172"/>
      <c r="Z20" s="172"/>
      <c r="AA20" s="172"/>
      <c r="AB20" s="172"/>
    </row>
    <row r="21" spans="1:28" ht="15.75" customHeight="1">
      <c r="A21" s="172"/>
      <c r="B21" s="201"/>
      <c r="C21" s="172"/>
      <c r="D21" s="172"/>
      <c r="E21" s="196" t="s">
        <v>1594</v>
      </c>
      <c r="F21" s="180" t="s">
        <v>1595</v>
      </c>
      <c r="G21" s="180" t="s">
        <v>1597</v>
      </c>
      <c r="H21" s="180">
        <v>8070905905</v>
      </c>
      <c r="I21" s="180" t="s">
        <v>1598</v>
      </c>
      <c r="J21" s="202"/>
      <c r="K21" s="204"/>
      <c r="L21" s="202"/>
      <c r="M21" s="201"/>
      <c r="N21" s="202"/>
      <c r="O21" s="206"/>
      <c r="P21" s="207"/>
      <c r="Q21" s="172"/>
      <c r="R21" s="205"/>
      <c r="S21" s="205"/>
      <c r="T21" s="205"/>
      <c r="U21" s="205"/>
      <c r="V21" s="4"/>
      <c r="W21" s="4"/>
      <c r="X21" s="172"/>
      <c r="Y21" s="172"/>
      <c r="Z21" s="172"/>
      <c r="AA21" s="172"/>
      <c r="AB21" s="172"/>
    </row>
    <row r="22" spans="1:28" ht="15.75" customHeight="1">
      <c r="A22" s="172"/>
      <c r="B22" s="208"/>
      <c r="C22" s="172"/>
      <c r="D22" s="172"/>
      <c r="E22" s="196" t="s">
        <v>1603</v>
      </c>
      <c r="F22" s="180" t="s">
        <v>1604</v>
      </c>
      <c r="G22" s="180" t="s">
        <v>1605</v>
      </c>
      <c r="H22" s="180">
        <v>8062260000</v>
      </c>
      <c r="I22" s="180" t="s">
        <v>1606</v>
      </c>
      <c r="J22" s="202"/>
      <c r="K22" s="203"/>
      <c r="L22" s="202"/>
      <c r="M22" s="201"/>
      <c r="N22" s="202"/>
      <c r="O22" s="206"/>
      <c r="P22" s="204"/>
      <c r="Q22" s="172"/>
      <c r="R22" s="205"/>
      <c r="S22" s="205"/>
      <c r="T22" s="205"/>
      <c r="U22" s="205"/>
      <c r="V22" s="4"/>
      <c r="W22" s="4"/>
      <c r="X22" s="172"/>
      <c r="Y22" s="172"/>
      <c r="Z22" s="172"/>
      <c r="AA22" s="172"/>
      <c r="AB22" s="172"/>
    </row>
    <row r="23" spans="1:28" ht="15.75" customHeight="1">
      <c r="A23" s="172"/>
      <c r="B23" s="201"/>
      <c r="C23" s="172"/>
      <c r="D23" s="172"/>
      <c r="E23" s="196" t="s">
        <v>1608</v>
      </c>
      <c r="F23" s="180" t="s">
        <v>1609</v>
      </c>
      <c r="G23" s="180" t="s">
        <v>1559</v>
      </c>
      <c r="H23" s="180">
        <v>7021031804</v>
      </c>
      <c r="I23" s="180" t="s">
        <v>1610</v>
      </c>
      <c r="J23" s="202"/>
      <c r="K23" s="203"/>
      <c r="L23" s="202"/>
      <c r="M23" s="201"/>
      <c r="N23" s="202"/>
      <c r="O23" s="201"/>
      <c r="P23" s="204"/>
      <c r="Q23" s="172"/>
      <c r="R23" s="205"/>
      <c r="S23" s="205"/>
      <c r="T23" s="205"/>
      <c r="U23" s="205"/>
      <c r="V23" s="4"/>
      <c r="W23" s="4"/>
      <c r="X23" s="172"/>
      <c r="Y23" s="172"/>
      <c r="Z23" s="172"/>
      <c r="AA23" s="172"/>
      <c r="AB23" s="172"/>
    </row>
    <row r="24" spans="1:28" ht="13.2">
      <c r="A24" s="172"/>
      <c r="B24" s="172"/>
      <c r="C24" s="172"/>
      <c r="D24" s="172"/>
      <c r="H24" s="172"/>
      <c r="I24" s="172"/>
      <c r="J24" s="172"/>
      <c r="K24" s="172"/>
      <c r="L24" s="172"/>
      <c r="M24" s="172"/>
      <c r="N24" s="172"/>
      <c r="O24" s="172"/>
      <c r="P24" s="172"/>
      <c r="Q24" s="172"/>
      <c r="R24" s="172"/>
      <c r="S24" s="172"/>
      <c r="T24" s="172"/>
      <c r="U24" s="172"/>
      <c r="V24" s="172"/>
      <c r="W24" s="172"/>
      <c r="X24" s="172"/>
      <c r="Y24" s="172"/>
      <c r="Z24" s="172"/>
      <c r="AA24" s="172"/>
      <c r="AB24" s="172"/>
    </row>
    <row r="25" spans="1:28" ht="13.2">
      <c r="H25" s="172"/>
      <c r="I25" s="172"/>
      <c r="J25" s="172"/>
      <c r="K25" s="172"/>
      <c r="M25" s="172"/>
      <c r="N25" s="172"/>
      <c r="O25" s="172"/>
      <c r="P25" s="172"/>
      <c r="Q25" s="172"/>
      <c r="R25" s="172"/>
      <c r="S25" s="172"/>
      <c r="T25" s="172"/>
      <c r="U25" s="172"/>
      <c r="V25" s="172"/>
      <c r="W25" s="172"/>
      <c r="X25" s="172"/>
      <c r="Y25" s="172"/>
      <c r="Z25" s="172"/>
      <c r="AA25" s="172"/>
      <c r="AB25" s="172"/>
    </row>
    <row r="26" spans="1:28" ht="13.2">
      <c r="M26" s="172"/>
      <c r="N26" s="172"/>
      <c r="O26" s="172"/>
      <c r="P26" s="172"/>
      <c r="Q26" s="172"/>
      <c r="R26" s="172"/>
      <c r="S26" s="172"/>
      <c r="T26" s="172"/>
      <c r="U26" s="172"/>
      <c r="V26" s="172"/>
      <c r="W26" s="172"/>
      <c r="X26" s="172"/>
      <c r="Y26" s="172"/>
      <c r="Z26" s="172"/>
      <c r="AA26" s="172"/>
      <c r="AB26" s="172"/>
    </row>
  </sheetData>
  <hyperlinks>
    <hyperlink ref="B5" r:id="rId1" xr:uid="{00000000-0004-0000-0D00-000000000000}"/>
    <hyperlink ref="E5" r:id="rId2" xr:uid="{00000000-0004-0000-0D00-000001000000}"/>
    <hyperlink ref="O5" r:id="rId3" xr:uid="{00000000-0004-0000-0D00-000002000000}"/>
    <hyperlink ref="B6" r:id="rId4" xr:uid="{00000000-0004-0000-0D00-000003000000}"/>
    <hyperlink ref="E6" r:id="rId5" xr:uid="{00000000-0004-0000-0D00-000004000000}"/>
    <hyperlink ref="O6" r:id="rId6" xr:uid="{00000000-0004-0000-0D00-000005000000}"/>
    <hyperlink ref="X6" r:id="rId7" xr:uid="{00000000-0004-0000-0D00-000006000000}"/>
    <hyperlink ref="Y6" r:id="rId8" xr:uid="{00000000-0004-0000-0D00-000007000000}"/>
    <hyperlink ref="Z6" r:id="rId9" xr:uid="{00000000-0004-0000-0D00-000008000000}"/>
    <hyperlink ref="AA6" r:id="rId10" xr:uid="{00000000-0004-0000-0D00-000009000000}"/>
    <hyperlink ref="B7" r:id="rId11" xr:uid="{00000000-0004-0000-0D00-00000A000000}"/>
    <hyperlink ref="E7" r:id="rId12" xr:uid="{00000000-0004-0000-0D00-00000B000000}"/>
    <hyperlink ref="O7" r:id="rId13" xr:uid="{00000000-0004-0000-0D00-00000C000000}"/>
    <hyperlink ref="P7" r:id="rId14" xr:uid="{00000000-0004-0000-0D00-00000D000000}"/>
    <hyperlink ref="X7" r:id="rId15" xr:uid="{00000000-0004-0000-0D00-00000E000000}"/>
    <hyperlink ref="Y7" r:id="rId16" xr:uid="{00000000-0004-0000-0D00-00000F000000}"/>
    <hyperlink ref="Z7" r:id="rId17" xr:uid="{00000000-0004-0000-0D00-000010000000}"/>
    <hyperlink ref="AA7" r:id="rId18" xr:uid="{00000000-0004-0000-0D00-000011000000}"/>
    <hyperlink ref="B8" r:id="rId19" xr:uid="{00000000-0004-0000-0D00-000012000000}"/>
    <hyperlink ref="E8" r:id="rId20" xr:uid="{00000000-0004-0000-0D00-000013000000}"/>
    <hyperlink ref="O8" r:id="rId21" xr:uid="{00000000-0004-0000-0D00-000014000000}"/>
    <hyperlink ref="X8" r:id="rId22" xr:uid="{00000000-0004-0000-0D00-000015000000}"/>
    <hyperlink ref="Y8" r:id="rId23" xr:uid="{00000000-0004-0000-0D00-000016000000}"/>
    <hyperlink ref="Z8" r:id="rId24" xr:uid="{00000000-0004-0000-0D00-000017000000}"/>
    <hyperlink ref="AA8" r:id="rId25" xr:uid="{00000000-0004-0000-0D00-000018000000}"/>
    <hyperlink ref="B9" r:id="rId26" xr:uid="{00000000-0004-0000-0D00-000019000000}"/>
    <hyperlink ref="E9" r:id="rId27" xr:uid="{00000000-0004-0000-0D00-00001A000000}"/>
    <hyperlink ref="O9" r:id="rId28" xr:uid="{00000000-0004-0000-0D00-00001B000000}"/>
    <hyperlink ref="X9" r:id="rId29" xr:uid="{00000000-0004-0000-0D00-00001C000000}"/>
    <hyperlink ref="Y9" r:id="rId30" xr:uid="{00000000-0004-0000-0D00-00001D000000}"/>
    <hyperlink ref="Z9" r:id="rId31" xr:uid="{00000000-0004-0000-0D00-00001E000000}"/>
    <hyperlink ref="AA9" r:id="rId32" xr:uid="{00000000-0004-0000-0D00-00001F000000}"/>
    <hyperlink ref="E19" r:id="rId33" xr:uid="{00000000-0004-0000-0D00-000020000000}"/>
    <hyperlink ref="E20" r:id="rId34" xr:uid="{00000000-0004-0000-0D00-000021000000}"/>
    <hyperlink ref="E21" r:id="rId35" xr:uid="{00000000-0004-0000-0D00-000022000000}"/>
    <hyperlink ref="E22" r:id="rId36" xr:uid="{00000000-0004-0000-0D00-000023000000}"/>
    <hyperlink ref="E23" r:id="rId37" xr:uid="{00000000-0004-0000-0D00-00002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H76"/>
  <sheetViews>
    <sheetView topLeftCell="A63" workbookViewId="0">
      <selection activeCell="B69" sqref="B69"/>
    </sheetView>
  </sheetViews>
  <sheetFormatPr defaultColWidth="12.6640625" defaultRowHeight="15.75" customHeight="1"/>
  <cols>
    <col min="1" max="1" width="7.109375" bestFit="1" customWidth="1"/>
    <col min="2" max="2" width="49.44140625" bestFit="1" customWidth="1"/>
    <col min="3" max="3" width="5.77734375" bestFit="1" customWidth="1"/>
    <col min="4" max="4" width="15.109375" bestFit="1" customWidth="1"/>
    <col min="5" max="5" width="29.6640625" bestFit="1" customWidth="1"/>
    <col min="6" max="6" width="8.33203125" bestFit="1" customWidth="1"/>
    <col min="7" max="7" width="13.44140625" bestFit="1" customWidth="1"/>
    <col min="8" max="8" width="23.6640625" bestFit="1" customWidth="1"/>
    <col min="9" max="9" width="19.44140625" bestFit="1" customWidth="1"/>
    <col min="10" max="10" width="41" bestFit="1" customWidth="1"/>
    <col min="11" max="11" width="7" bestFit="1" customWidth="1"/>
    <col min="12" max="12" width="12.109375" bestFit="1" customWidth="1"/>
    <col min="13" max="13" width="11.44140625" bestFit="1" customWidth="1"/>
    <col min="14" max="14" width="12.109375" bestFit="1" customWidth="1"/>
    <col min="15" max="15" width="17.44140625" bestFit="1" customWidth="1"/>
    <col min="16" max="16" width="130.109375" bestFit="1" customWidth="1"/>
    <col min="17" max="17" width="10.33203125" bestFit="1" customWidth="1"/>
    <col min="18" max="18" width="8" bestFit="1" customWidth="1"/>
    <col min="19" max="19" width="6.6640625" bestFit="1" customWidth="1"/>
    <col min="20" max="20" width="10.109375" bestFit="1" customWidth="1"/>
    <col min="21" max="21" width="10.77734375" bestFit="1" customWidth="1"/>
    <col min="22" max="22" width="40.109375" bestFit="1" customWidth="1"/>
    <col min="23" max="23" width="13.109375" bestFit="1" customWidth="1"/>
    <col min="24" max="24" width="30.21875" bestFit="1" customWidth="1"/>
    <col min="25" max="25" width="33.6640625" bestFit="1" customWidth="1"/>
    <col min="26" max="26" width="69.88671875" bestFit="1" customWidth="1"/>
    <col min="27" max="27" width="32.77734375" bestFit="1" customWidth="1"/>
    <col min="28" max="28" width="17.44140625" bestFit="1" customWidth="1"/>
    <col min="29" max="29" width="39.33203125" bestFit="1" customWidth="1"/>
    <col min="30" max="30" width="16.109375" bestFit="1" customWidth="1"/>
    <col min="31" max="31" width="38.77734375" bestFit="1" customWidth="1"/>
    <col min="32" max="32" width="9" bestFit="1" customWidth="1"/>
    <col min="33" max="33" width="38.33203125" bestFit="1" customWidth="1"/>
  </cols>
  <sheetData>
    <row r="1" spans="1:34" ht="13.2">
      <c r="AA1" s="5"/>
      <c r="AB1" s="5"/>
      <c r="AC1" s="5"/>
      <c r="AD1" s="5"/>
      <c r="AE1" s="5"/>
      <c r="AF1" s="5"/>
      <c r="AG1" s="5"/>
      <c r="AH1" s="5"/>
    </row>
    <row r="3" spans="1:34" ht="13.8">
      <c r="A3" s="90" t="s">
        <v>1</v>
      </c>
      <c r="B3" s="2" t="s">
        <v>639</v>
      </c>
      <c r="C3" s="2" t="s">
        <v>639</v>
      </c>
      <c r="D3" s="2" t="s">
        <v>1050</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7557</v>
      </c>
      <c r="AC3" s="5" t="s">
        <v>2687</v>
      </c>
      <c r="AD3" s="5" t="s">
        <v>28</v>
      </c>
      <c r="AE3" s="5" t="s">
        <v>2687</v>
      </c>
      <c r="AF3" s="5" t="s">
        <v>29</v>
      </c>
      <c r="AG3" s="5" t="s">
        <v>2687</v>
      </c>
      <c r="AH3" s="5"/>
    </row>
    <row r="4" spans="1:34" ht="15.75" customHeight="1">
      <c r="A4" s="2">
        <v>261</v>
      </c>
      <c r="B4" s="294" t="s">
        <v>7769</v>
      </c>
      <c r="C4" s="2">
        <v>826</v>
      </c>
      <c r="D4" s="295" t="s">
        <v>2780</v>
      </c>
      <c r="E4" s="295" t="s">
        <v>7770</v>
      </c>
      <c r="F4" s="296" t="s">
        <v>2781</v>
      </c>
      <c r="G4" s="5" t="s">
        <v>39</v>
      </c>
      <c r="H4" s="296" t="s">
        <v>2781</v>
      </c>
      <c r="I4" s="296" t="s">
        <v>7771</v>
      </c>
      <c r="J4" s="296" t="s">
        <v>7772</v>
      </c>
      <c r="K4" s="10" t="s">
        <v>44</v>
      </c>
      <c r="L4" s="296">
        <v>9821036720</v>
      </c>
      <c r="M4" s="9" t="s">
        <v>44</v>
      </c>
      <c r="N4" s="296">
        <v>9821036720</v>
      </c>
      <c r="O4" s="262" t="s">
        <v>2786</v>
      </c>
      <c r="P4" s="296" t="s">
        <v>3550</v>
      </c>
      <c r="Q4" s="2" t="s">
        <v>47</v>
      </c>
      <c r="R4" s="101" t="s">
        <v>49</v>
      </c>
      <c r="S4" s="5" t="s">
        <v>2164</v>
      </c>
      <c r="T4" s="5" t="s">
        <v>7773</v>
      </c>
      <c r="U4" s="101" t="s">
        <v>7774</v>
      </c>
      <c r="V4" s="4" t="s">
        <v>3546</v>
      </c>
      <c r="W4" s="4" t="s">
        <v>3547</v>
      </c>
      <c r="X4" s="262" t="s">
        <v>7775</v>
      </c>
      <c r="Y4" s="262" t="s">
        <v>7776</v>
      </c>
      <c r="Z4" s="262" t="s">
        <v>7777</v>
      </c>
      <c r="AA4" s="262" t="s">
        <v>7778</v>
      </c>
      <c r="AB4" s="103" t="s">
        <v>6125</v>
      </c>
      <c r="AC4" s="103" t="s">
        <v>6126</v>
      </c>
      <c r="AD4" s="103" t="s">
        <v>6127</v>
      </c>
      <c r="AE4" s="103" t="s">
        <v>6128</v>
      </c>
      <c r="AF4" s="103" t="s">
        <v>6129</v>
      </c>
      <c r="AG4" s="103" t="s">
        <v>6130</v>
      </c>
      <c r="AH4" s="262"/>
    </row>
    <row r="5" spans="1:34" ht="15.75" customHeight="1">
      <c r="A5" s="2">
        <v>262</v>
      </c>
      <c r="B5" s="294" t="s">
        <v>3544</v>
      </c>
      <c r="C5" s="2">
        <v>827</v>
      </c>
      <c r="D5" s="263" t="s">
        <v>2780</v>
      </c>
      <c r="E5" s="295" t="s">
        <v>7779</v>
      </c>
      <c r="F5" s="296" t="s">
        <v>2781</v>
      </c>
      <c r="G5" s="5" t="s">
        <v>39</v>
      </c>
      <c r="H5" s="296" t="s">
        <v>2781</v>
      </c>
      <c r="I5" s="296" t="s">
        <v>7780</v>
      </c>
      <c r="J5" s="296" t="s">
        <v>3549</v>
      </c>
      <c r="K5" s="10" t="s">
        <v>44</v>
      </c>
      <c r="L5" s="296">
        <v>9821178123</v>
      </c>
      <c r="M5" s="9" t="s">
        <v>44</v>
      </c>
      <c r="N5" s="296">
        <v>9821178123</v>
      </c>
      <c r="O5" s="262" t="s">
        <v>2786</v>
      </c>
      <c r="P5" s="296" t="s">
        <v>3550</v>
      </c>
      <c r="Q5" s="2" t="s">
        <v>47</v>
      </c>
      <c r="R5" s="101" t="s">
        <v>49</v>
      </c>
      <c r="S5" s="5" t="s">
        <v>2164</v>
      </c>
      <c r="T5" s="5" t="s">
        <v>7773</v>
      </c>
      <c r="U5" s="101" t="s">
        <v>7774</v>
      </c>
      <c r="V5" s="4" t="s">
        <v>3552</v>
      </c>
      <c r="W5" s="4" t="s">
        <v>3547</v>
      </c>
      <c r="X5" s="262" t="s">
        <v>7775</v>
      </c>
      <c r="Y5" s="262" t="s">
        <v>7776</v>
      </c>
      <c r="Z5" s="262" t="s">
        <v>7777</v>
      </c>
      <c r="AA5" s="262" t="s">
        <v>7778</v>
      </c>
      <c r="AB5" s="103" t="s">
        <v>6125</v>
      </c>
      <c r="AC5" s="103" t="s">
        <v>6126</v>
      </c>
      <c r="AD5" s="103" t="s">
        <v>6127</v>
      </c>
      <c r="AE5" s="103" t="s">
        <v>6128</v>
      </c>
      <c r="AF5" s="103" t="s">
        <v>6129</v>
      </c>
      <c r="AG5" s="103" t="s">
        <v>6130</v>
      </c>
      <c r="AH5" s="262"/>
    </row>
    <row r="6" spans="1:34" ht="15.75" customHeight="1">
      <c r="A6" s="2">
        <v>263</v>
      </c>
      <c r="B6" s="294" t="s">
        <v>3551</v>
      </c>
      <c r="C6" s="2">
        <v>846</v>
      </c>
      <c r="D6" s="263" t="s">
        <v>2780</v>
      </c>
      <c r="E6" s="295" t="s">
        <v>7781</v>
      </c>
      <c r="F6" s="296" t="s">
        <v>2781</v>
      </c>
      <c r="G6" s="5" t="s">
        <v>39</v>
      </c>
      <c r="H6" s="296" t="s">
        <v>2781</v>
      </c>
      <c r="I6" s="296" t="s">
        <v>3553</v>
      </c>
      <c r="J6" s="296" t="s">
        <v>3554</v>
      </c>
      <c r="K6" s="10" t="s">
        <v>44</v>
      </c>
      <c r="L6" s="296">
        <v>9004446670</v>
      </c>
      <c r="M6" s="9" t="s">
        <v>44</v>
      </c>
      <c r="N6" s="296">
        <v>9004446670</v>
      </c>
      <c r="O6" s="262" t="s">
        <v>2786</v>
      </c>
      <c r="P6" s="296" t="s">
        <v>3550</v>
      </c>
      <c r="Q6" s="2" t="s">
        <v>47</v>
      </c>
      <c r="R6" s="101" t="s">
        <v>49</v>
      </c>
      <c r="S6" s="5" t="s">
        <v>2164</v>
      </c>
      <c r="T6" s="5" t="s">
        <v>7773</v>
      </c>
      <c r="U6" s="101" t="s">
        <v>7774</v>
      </c>
      <c r="V6" s="4" t="s">
        <v>3556</v>
      </c>
      <c r="W6" s="4" t="s">
        <v>3547</v>
      </c>
      <c r="X6" s="262" t="s">
        <v>7775</v>
      </c>
      <c r="Y6" s="262" t="s">
        <v>7776</v>
      </c>
      <c r="Z6" s="262" t="s">
        <v>7777</v>
      </c>
      <c r="AA6" s="262" t="s">
        <v>7778</v>
      </c>
      <c r="AB6" s="103" t="s">
        <v>6125</v>
      </c>
      <c r="AC6" s="103" t="s">
        <v>6126</v>
      </c>
      <c r="AD6" s="103" t="s">
        <v>6127</v>
      </c>
      <c r="AE6" s="103" t="s">
        <v>6128</v>
      </c>
      <c r="AF6" s="103" t="s">
        <v>6129</v>
      </c>
      <c r="AG6" s="103" t="s">
        <v>6130</v>
      </c>
      <c r="AH6" s="262"/>
    </row>
    <row r="7" spans="1:34" ht="15.75" customHeight="1">
      <c r="A7" s="2">
        <v>264</v>
      </c>
      <c r="B7" s="294" t="s">
        <v>3555</v>
      </c>
      <c r="C7" s="2">
        <v>847</v>
      </c>
      <c r="D7" s="295" t="s">
        <v>2780</v>
      </c>
      <c r="E7" s="295" t="s">
        <v>7782</v>
      </c>
      <c r="F7" s="296" t="s">
        <v>2781</v>
      </c>
      <c r="G7" s="5" t="s">
        <v>39</v>
      </c>
      <c r="H7" s="296" t="s">
        <v>2781</v>
      </c>
      <c r="I7" s="296" t="s">
        <v>3557</v>
      </c>
      <c r="J7" s="296" t="s">
        <v>3558</v>
      </c>
      <c r="K7" s="10" t="s">
        <v>44</v>
      </c>
      <c r="L7" s="296">
        <v>9136013074</v>
      </c>
      <c r="M7" s="9" t="s">
        <v>44</v>
      </c>
      <c r="N7" s="296">
        <v>9136013074</v>
      </c>
      <c r="O7" s="262" t="s">
        <v>2786</v>
      </c>
      <c r="P7" s="296" t="s">
        <v>3550</v>
      </c>
      <c r="Q7" s="2" t="s">
        <v>47</v>
      </c>
      <c r="R7" s="101" t="s">
        <v>49</v>
      </c>
      <c r="S7" s="5" t="s">
        <v>2164</v>
      </c>
      <c r="T7" s="5" t="s">
        <v>7773</v>
      </c>
      <c r="U7" s="101" t="s">
        <v>7774</v>
      </c>
      <c r="V7" s="4" t="s">
        <v>3560</v>
      </c>
      <c r="W7" s="4" t="s">
        <v>3547</v>
      </c>
      <c r="X7" s="262" t="s">
        <v>7775</v>
      </c>
      <c r="Y7" s="262" t="s">
        <v>7776</v>
      </c>
      <c r="Z7" s="262" t="s">
        <v>7777</v>
      </c>
      <c r="AA7" s="286" t="s">
        <v>7783</v>
      </c>
      <c r="AB7" s="103" t="s">
        <v>6125</v>
      </c>
      <c r="AC7" s="103" t="s">
        <v>6126</v>
      </c>
      <c r="AD7" s="103" t="s">
        <v>6127</v>
      </c>
      <c r="AE7" s="103" t="s">
        <v>6128</v>
      </c>
      <c r="AF7" s="103" t="s">
        <v>6129</v>
      </c>
      <c r="AG7" s="103" t="s">
        <v>6130</v>
      </c>
      <c r="AH7" s="262"/>
    </row>
    <row r="8" spans="1:34" ht="15.75" customHeight="1">
      <c r="A8" s="2">
        <v>265</v>
      </c>
      <c r="B8" s="294" t="s">
        <v>3559</v>
      </c>
      <c r="C8" s="2">
        <v>848</v>
      </c>
      <c r="D8" s="295" t="s">
        <v>2780</v>
      </c>
      <c r="E8" s="295" t="s">
        <v>7784</v>
      </c>
      <c r="F8" s="296" t="s">
        <v>2781</v>
      </c>
      <c r="G8" s="5" t="s">
        <v>39</v>
      </c>
      <c r="H8" s="296" t="s">
        <v>2781</v>
      </c>
      <c r="I8" s="296" t="s">
        <v>3561</v>
      </c>
      <c r="J8" s="296" t="s">
        <v>3562</v>
      </c>
      <c r="K8" s="10" t="s">
        <v>44</v>
      </c>
      <c r="L8" s="296">
        <v>9004446682</v>
      </c>
      <c r="M8" s="9" t="s">
        <v>44</v>
      </c>
      <c r="N8" s="296">
        <v>9004446682</v>
      </c>
      <c r="O8" s="262" t="s">
        <v>2786</v>
      </c>
      <c r="P8" s="296" t="s">
        <v>3550</v>
      </c>
      <c r="Q8" s="2" t="s">
        <v>47</v>
      </c>
      <c r="R8" s="101" t="s">
        <v>49</v>
      </c>
      <c r="S8" s="5" t="s">
        <v>2164</v>
      </c>
      <c r="T8" s="5" t="s">
        <v>7773</v>
      </c>
      <c r="U8" s="101" t="s">
        <v>7774</v>
      </c>
      <c r="V8" s="4" t="s">
        <v>3564</v>
      </c>
      <c r="W8" s="4" t="s">
        <v>3547</v>
      </c>
      <c r="X8" s="262" t="s">
        <v>7775</v>
      </c>
      <c r="Y8" s="262" t="s">
        <v>7776</v>
      </c>
      <c r="Z8" s="262" t="s">
        <v>7777</v>
      </c>
      <c r="AA8" s="262" t="s">
        <v>7778</v>
      </c>
      <c r="AB8" s="103" t="s">
        <v>6125</v>
      </c>
      <c r="AC8" s="103" t="s">
        <v>6126</v>
      </c>
      <c r="AD8" s="103" t="s">
        <v>6127</v>
      </c>
      <c r="AE8" s="103" t="s">
        <v>6128</v>
      </c>
      <c r="AF8" s="103" t="s">
        <v>6129</v>
      </c>
      <c r="AG8" s="103" t="s">
        <v>6130</v>
      </c>
      <c r="AH8" s="262"/>
    </row>
    <row r="9" spans="1:34" ht="15.75" customHeight="1">
      <c r="A9" s="2">
        <v>266</v>
      </c>
      <c r="B9" s="294" t="s">
        <v>3563</v>
      </c>
      <c r="C9" s="2">
        <v>849</v>
      </c>
      <c r="D9" s="263" t="s">
        <v>2780</v>
      </c>
      <c r="E9" s="295" t="s">
        <v>7785</v>
      </c>
      <c r="F9" s="296" t="s">
        <v>2781</v>
      </c>
      <c r="G9" s="5" t="s">
        <v>39</v>
      </c>
      <c r="H9" s="296" t="s">
        <v>2781</v>
      </c>
      <c r="I9" s="296" t="s">
        <v>3565</v>
      </c>
      <c r="J9" s="296" t="s">
        <v>3566</v>
      </c>
      <c r="K9" s="10" t="s">
        <v>44</v>
      </c>
      <c r="L9" s="296">
        <v>8657995911</v>
      </c>
      <c r="M9" s="9" t="s">
        <v>44</v>
      </c>
      <c r="N9" s="296">
        <v>8657995911</v>
      </c>
      <c r="O9" s="262" t="s">
        <v>2786</v>
      </c>
      <c r="P9" s="296" t="s">
        <v>3550</v>
      </c>
      <c r="Q9" s="2" t="s">
        <v>47</v>
      </c>
      <c r="R9" s="101" t="s">
        <v>49</v>
      </c>
      <c r="S9" s="5" t="s">
        <v>2164</v>
      </c>
      <c r="T9" s="5" t="s">
        <v>7773</v>
      </c>
      <c r="U9" s="101" t="s">
        <v>7774</v>
      </c>
      <c r="V9" s="4" t="s">
        <v>3568</v>
      </c>
      <c r="W9" s="4" t="s">
        <v>3547</v>
      </c>
      <c r="X9" s="262" t="s">
        <v>7775</v>
      </c>
      <c r="Y9" s="262" t="s">
        <v>7776</v>
      </c>
      <c r="Z9" s="262" t="s">
        <v>7777</v>
      </c>
      <c r="AA9" s="262" t="s">
        <v>7778</v>
      </c>
      <c r="AB9" s="103" t="s">
        <v>6125</v>
      </c>
      <c r="AC9" s="103" t="s">
        <v>6126</v>
      </c>
      <c r="AD9" s="103" t="s">
        <v>6127</v>
      </c>
      <c r="AE9" s="103" t="s">
        <v>6128</v>
      </c>
      <c r="AF9" s="103" t="s">
        <v>6129</v>
      </c>
      <c r="AG9" s="103" t="s">
        <v>6130</v>
      </c>
      <c r="AH9" s="262"/>
    </row>
    <row r="10" spans="1:34" ht="15.75" customHeight="1">
      <c r="A10" s="2">
        <v>267</v>
      </c>
      <c r="B10" s="294" t="s">
        <v>3567</v>
      </c>
      <c r="C10" s="2">
        <v>850</v>
      </c>
      <c r="D10" s="263" t="s">
        <v>2780</v>
      </c>
      <c r="E10" s="295" t="s">
        <v>7786</v>
      </c>
      <c r="F10" s="296" t="s">
        <v>2781</v>
      </c>
      <c r="G10" s="5" t="s">
        <v>39</v>
      </c>
      <c r="H10" s="296" t="s">
        <v>2781</v>
      </c>
      <c r="I10" s="296" t="s">
        <v>3569</v>
      </c>
      <c r="J10" s="296" t="s">
        <v>7787</v>
      </c>
      <c r="K10" s="10" t="s">
        <v>44</v>
      </c>
      <c r="L10" s="296">
        <v>9004492304</v>
      </c>
      <c r="M10" s="9" t="s">
        <v>44</v>
      </c>
      <c r="N10" s="296">
        <v>9004492304</v>
      </c>
      <c r="O10" s="262" t="s">
        <v>2786</v>
      </c>
      <c r="P10" s="296" t="s">
        <v>3550</v>
      </c>
      <c r="Q10" s="2" t="s">
        <v>47</v>
      </c>
      <c r="R10" s="101" t="s">
        <v>49</v>
      </c>
      <c r="S10" s="5" t="s">
        <v>2164</v>
      </c>
      <c r="T10" s="5" t="s">
        <v>7773</v>
      </c>
      <c r="U10" s="101" t="s">
        <v>7774</v>
      </c>
      <c r="V10" s="4" t="s">
        <v>3572</v>
      </c>
      <c r="W10" s="4" t="s">
        <v>3547</v>
      </c>
      <c r="X10" s="262" t="s">
        <v>7775</v>
      </c>
      <c r="Y10" s="262" t="s">
        <v>7776</v>
      </c>
      <c r="Z10" s="262" t="s">
        <v>7777</v>
      </c>
      <c r="AA10" s="262" t="s">
        <v>7778</v>
      </c>
      <c r="AB10" s="103" t="s">
        <v>6125</v>
      </c>
      <c r="AC10" s="103" t="s">
        <v>6126</v>
      </c>
      <c r="AD10" s="103" t="s">
        <v>6127</v>
      </c>
      <c r="AE10" s="103" t="s">
        <v>6128</v>
      </c>
      <c r="AF10" s="103" t="s">
        <v>6129</v>
      </c>
      <c r="AG10" s="103" t="s">
        <v>6130</v>
      </c>
      <c r="AH10" s="262"/>
    </row>
    <row r="11" spans="1:34" ht="15.75" customHeight="1">
      <c r="A11" s="2">
        <v>268</v>
      </c>
      <c r="B11" s="294" t="s">
        <v>3571</v>
      </c>
      <c r="C11" s="2">
        <v>851</v>
      </c>
      <c r="D11" s="295" t="s">
        <v>2780</v>
      </c>
      <c r="E11" s="295" t="s">
        <v>7788</v>
      </c>
      <c r="F11" s="296" t="s">
        <v>2781</v>
      </c>
      <c r="G11" s="5" t="s">
        <v>39</v>
      </c>
      <c r="H11" s="296" t="s">
        <v>2781</v>
      </c>
      <c r="I11" s="296" t="s">
        <v>3573</v>
      </c>
      <c r="J11" s="296" t="s">
        <v>3574</v>
      </c>
      <c r="K11" s="10" t="s">
        <v>44</v>
      </c>
      <c r="L11" s="296">
        <v>9004446693</v>
      </c>
      <c r="M11" s="9" t="s">
        <v>44</v>
      </c>
      <c r="N11" s="296">
        <v>9004446693</v>
      </c>
      <c r="O11" s="262" t="s">
        <v>2786</v>
      </c>
      <c r="P11" s="296" t="s">
        <v>3550</v>
      </c>
      <c r="Q11" s="2" t="s">
        <v>47</v>
      </c>
      <c r="R11" s="101" t="s">
        <v>49</v>
      </c>
      <c r="S11" s="5" t="s">
        <v>2164</v>
      </c>
      <c r="T11" s="5" t="s">
        <v>7773</v>
      </c>
      <c r="U11" s="101" t="s">
        <v>7774</v>
      </c>
      <c r="V11" s="4" t="s">
        <v>3576</v>
      </c>
      <c r="W11" s="4" t="s">
        <v>3547</v>
      </c>
      <c r="X11" s="262" t="s">
        <v>7775</v>
      </c>
      <c r="Y11" s="262" t="s">
        <v>7776</v>
      </c>
      <c r="Z11" s="262" t="s">
        <v>7777</v>
      </c>
      <c r="AA11" s="262" t="s">
        <v>7778</v>
      </c>
      <c r="AB11" s="103" t="s">
        <v>6125</v>
      </c>
      <c r="AC11" s="103" t="s">
        <v>6126</v>
      </c>
      <c r="AD11" s="103" t="s">
        <v>6127</v>
      </c>
      <c r="AE11" s="103" t="s">
        <v>6128</v>
      </c>
      <c r="AF11" s="103" t="s">
        <v>6129</v>
      </c>
      <c r="AG11" s="103" t="s">
        <v>6130</v>
      </c>
      <c r="AH11" s="262"/>
    </row>
    <row r="12" spans="1:34" ht="15.75" customHeight="1">
      <c r="A12" s="2">
        <v>269</v>
      </c>
      <c r="B12" s="294" t="s">
        <v>3575</v>
      </c>
      <c r="C12" s="2">
        <v>852</v>
      </c>
      <c r="D12" s="295" t="s">
        <v>2780</v>
      </c>
      <c r="E12" s="295" t="s">
        <v>7789</v>
      </c>
      <c r="F12" s="296" t="s">
        <v>2781</v>
      </c>
      <c r="G12" s="5" t="s">
        <v>39</v>
      </c>
      <c r="H12" s="296" t="s">
        <v>2781</v>
      </c>
      <c r="I12" s="296" t="s">
        <v>3577</v>
      </c>
      <c r="J12" s="296" t="s">
        <v>3578</v>
      </c>
      <c r="K12" s="10" t="s">
        <v>44</v>
      </c>
      <c r="L12" s="296">
        <v>9833051251</v>
      </c>
      <c r="M12" s="9" t="s">
        <v>44</v>
      </c>
      <c r="N12" s="296">
        <v>9833051251</v>
      </c>
      <c r="O12" s="262" t="s">
        <v>2786</v>
      </c>
      <c r="P12" s="296" t="s">
        <v>3550</v>
      </c>
      <c r="Q12" s="2" t="s">
        <v>47</v>
      </c>
      <c r="R12" s="101" t="s">
        <v>49</v>
      </c>
      <c r="S12" s="5" t="s">
        <v>2164</v>
      </c>
      <c r="T12" s="5" t="s">
        <v>7773</v>
      </c>
      <c r="U12" s="101" t="s">
        <v>7774</v>
      </c>
      <c r="V12" s="4" t="s">
        <v>3580</v>
      </c>
      <c r="W12" s="4" t="s">
        <v>3547</v>
      </c>
      <c r="X12" s="262" t="s">
        <v>7775</v>
      </c>
      <c r="Y12" s="262" t="s">
        <v>7776</v>
      </c>
      <c r="Z12" s="262" t="s">
        <v>7777</v>
      </c>
      <c r="AA12" s="262" t="s">
        <v>7778</v>
      </c>
      <c r="AB12" s="103" t="s">
        <v>6125</v>
      </c>
      <c r="AC12" s="103" t="s">
        <v>6126</v>
      </c>
      <c r="AD12" s="103" t="s">
        <v>6127</v>
      </c>
      <c r="AE12" s="103" t="s">
        <v>6128</v>
      </c>
      <c r="AF12" s="103" t="s">
        <v>6129</v>
      </c>
      <c r="AG12" s="103" t="s">
        <v>6130</v>
      </c>
      <c r="AH12" s="262"/>
    </row>
    <row r="13" spans="1:34" ht="15.75" customHeight="1">
      <c r="A13" s="2">
        <v>270</v>
      </c>
      <c r="B13" s="294" t="s">
        <v>3579</v>
      </c>
      <c r="C13" s="2">
        <v>853</v>
      </c>
      <c r="D13" s="263" t="s">
        <v>2780</v>
      </c>
      <c r="E13" s="295" t="s">
        <v>7790</v>
      </c>
      <c r="F13" s="296" t="s">
        <v>2781</v>
      </c>
      <c r="G13" s="5" t="s">
        <v>39</v>
      </c>
      <c r="H13" s="296" t="s">
        <v>2781</v>
      </c>
      <c r="I13" s="296" t="s">
        <v>3581</v>
      </c>
      <c r="J13" s="296" t="s">
        <v>3582</v>
      </c>
      <c r="K13" s="10" t="s">
        <v>44</v>
      </c>
      <c r="L13" s="296">
        <v>9821436720</v>
      </c>
      <c r="M13" s="9" t="s">
        <v>44</v>
      </c>
      <c r="N13" s="296">
        <v>9821436720</v>
      </c>
      <c r="O13" s="262" t="s">
        <v>2786</v>
      </c>
      <c r="P13" s="296" t="s">
        <v>3550</v>
      </c>
      <c r="Q13" s="2" t="s">
        <v>47</v>
      </c>
      <c r="R13" s="101" t="s">
        <v>49</v>
      </c>
      <c r="S13" s="5" t="s">
        <v>2164</v>
      </c>
      <c r="T13" s="5" t="s">
        <v>7773</v>
      </c>
      <c r="U13" s="101" t="s">
        <v>7774</v>
      </c>
      <c r="V13" s="4" t="s">
        <v>3584</v>
      </c>
      <c r="W13" s="4" t="s">
        <v>3547</v>
      </c>
      <c r="X13" s="262" t="s">
        <v>7775</v>
      </c>
      <c r="Y13" s="262" t="s">
        <v>7776</v>
      </c>
      <c r="Z13" s="262" t="s">
        <v>7777</v>
      </c>
      <c r="AA13" s="262" t="s">
        <v>7778</v>
      </c>
      <c r="AB13" s="103" t="s">
        <v>6125</v>
      </c>
      <c r="AC13" s="103" t="s">
        <v>6126</v>
      </c>
      <c r="AD13" s="103" t="s">
        <v>6127</v>
      </c>
      <c r="AE13" s="103" t="s">
        <v>6128</v>
      </c>
      <c r="AF13" s="103" t="s">
        <v>6129</v>
      </c>
      <c r="AG13" s="103" t="s">
        <v>6130</v>
      </c>
      <c r="AH13" s="262"/>
    </row>
    <row r="14" spans="1:34" ht="15.75" customHeight="1">
      <c r="A14" s="2">
        <v>271</v>
      </c>
      <c r="B14" s="294" t="s">
        <v>3583</v>
      </c>
      <c r="C14" s="2">
        <v>854</v>
      </c>
      <c r="D14" s="263" t="s">
        <v>2780</v>
      </c>
      <c r="E14" s="295" t="s">
        <v>7791</v>
      </c>
      <c r="F14" s="296" t="s">
        <v>2781</v>
      </c>
      <c r="G14" s="5" t="s">
        <v>39</v>
      </c>
      <c r="H14" s="296" t="s">
        <v>2781</v>
      </c>
      <c r="I14" s="296" t="s">
        <v>3585</v>
      </c>
      <c r="J14" s="296" t="s">
        <v>1610</v>
      </c>
      <c r="K14" s="10" t="s">
        <v>44</v>
      </c>
      <c r="L14" s="296">
        <v>9821136720</v>
      </c>
      <c r="M14" s="9" t="s">
        <v>44</v>
      </c>
      <c r="N14" s="296">
        <v>9821136720</v>
      </c>
      <c r="O14" s="262" t="s">
        <v>2786</v>
      </c>
      <c r="P14" s="296" t="s">
        <v>3550</v>
      </c>
      <c r="Q14" s="2" t="s">
        <v>47</v>
      </c>
      <c r="R14" s="101" t="s">
        <v>49</v>
      </c>
      <c r="S14" s="5" t="s">
        <v>2164</v>
      </c>
      <c r="T14" s="5" t="s">
        <v>7773</v>
      </c>
      <c r="U14" s="101" t="s">
        <v>7774</v>
      </c>
      <c r="V14" s="4" t="s">
        <v>3587</v>
      </c>
      <c r="W14" s="4" t="s">
        <v>3547</v>
      </c>
      <c r="X14" s="262" t="s">
        <v>7775</v>
      </c>
      <c r="Y14" s="262" t="s">
        <v>7776</v>
      </c>
      <c r="Z14" s="262" t="s">
        <v>7777</v>
      </c>
      <c r="AA14" s="262" t="s">
        <v>7778</v>
      </c>
      <c r="AB14" s="103" t="s">
        <v>6125</v>
      </c>
      <c r="AC14" s="103" t="s">
        <v>6126</v>
      </c>
      <c r="AD14" s="103" t="s">
        <v>6127</v>
      </c>
      <c r="AE14" s="103" t="s">
        <v>6128</v>
      </c>
      <c r="AF14" s="103" t="s">
        <v>6129</v>
      </c>
      <c r="AG14" s="103" t="s">
        <v>6130</v>
      </c>
      <c r="AH14" s="262"/>
    </row>
    <row r="15" spans="1:34" ht="15.75" customHeight="1">
      <c r="A15" s="2">
        <v>272</v>
      </c>
      <c r="B15" s="294" t="s">
        <v>3586</v>
      </c>
      <c r="C15" s="2">
        <v>855</v>
      </c>
      <c r="D15" s="295" t="s">
        <v>2780</v>
      </c>
      <c r="E15" s="295" t="s">
        <v>7792</v>
      </c>
      <c r="F15" s="296" t="s">
        <v>2781</v>
      </c>
      <c r="G15" s="5" t="s">
        <v>39</v>
      </c>
      <c r="H15" s="296" t="s">
        <v>2781</v>
      </c>
      <c r="I15" s="296" t="s">
        <v>3588</v>
      </c>
      <c r="J15" s="296" t="s">
        <v>191</v>
      </c>
      <c r="K15" s="10" t="s">
        <v>44</v>
      </c>
      <c r="L15" s="296">
        <v>9004446681</v>
      </c>
      <c r="M15" s="9" t="s">
        <v>44</v>
      </c>
      <c r="N15" s="296">
        <v>9004446681</v>
      </c>
      <c r="O15" s="262" t="s">
        <v>2786</v>
      </c>
      <c r="P15" s="296" t="s">
        <v>3550</v>
      </c>
      <c r="Q15" s="2" t="s">
        <v>47</v>
      </c>
      <c r="R15" s="101" t="s">
        <v>49</v>
      </c>
      <c r="S15" s="5" t="s">
        <v>2164</v>
      </c>
      <c r="T15" s="5" t="s">
        <v>7773</v>
      </c>
      <c r="U15" s="101" t="s">
        <v>7774</v>
      </c>
      <c r="V15" s="4" t="s">
        <v>3590</v>
      </c>
      <c r="W15" s="4" t="s">
        <v>3547</v>
      </c>
      <c r="X15" s="262" t="s">
        <v>7775</v>
      </c>
      <c r="Y15" s="262" t="s">
        <v>7776</v>
      </c>
      <c r="Z15" s="262" t="s">
        <v>7777</v>
      </c>
      <c r="AA15" s="262" t="s">
        <v>7778</v>
      </c>
      <c r="AB15" s="103" t="s">
        <v>6125</v>
      </c>
      <c r="AC15" s="103" t="s">
        <v>6126</v>
      </c>
      <c r="AD15" s="103" t="s">
        <v>6127</v>
      </c>
      <c r="AE15" s="103" t="s">
        <v>6128</v>
      </c>
      <c r="AF15" s="103" t="s">
        <v>6129</v>
      </c>
      <c r="AG15" s="103" t="s">
        <v>6130</v>
      </c>
      <c r="AH15" s="262"/>
    </row>
    <row r="16" spans="1:34" ht="15.75" customHeight="1">
      <c r="A16" s="2">
        <v>273</v>
      </c>
      <c r="B16" s="294" t="s">
        <v>3589</v>
      </c>
      <c r="C16" s="2">
        <v>856</v>
      </c>
      <c r="D16" s="295" t="s">
        <v>2780</v>
      </c>
      <c r="E16" s="295" t="s">
        <v>7793</v>
      </c>
      <c r="F16" s="296" t="s">
        <v>2781</v>
      </c>
      <c r="G16" s="5" t="s">
        <v>39</v>
      </c>
      <c r="H16" s="296" t="s">
        <v>2781</v>
      </c>
      <c r="I16" s="296" t="s">
        <v>3591</v>
      </c>
      <c r="J16" s="296" t="s">
        <v>3592</v>
      </c>
      <c r="K16" s="10" t="s">
        <v>44</v>
      </c>
      <c r="L16" s="296">
        <v>8657859790</v>
      </c>
      <c r="M16" s="9" t="s">
        <v>44</v>
      </c>
      <c r="N16" s="296">
        <v>8657859790</v>
      </c>
      <c r="O16" s="262" t="s">
        <v>2786</v>
      </c>
      <c r="P16" s="296" t="s">
        <v>3550</v>
      </c>
      <c r="Q16" s="2" t="s">
        <v>47</v>
      </c>
      <c r="R16" s="101" t="s">
        <v>49</v>
      </c>
      <c r="S16" s="5" t="s">
        <v>2164</v>
      </c>
      <c r="T16" s="5" t="s">
        <v>7773</v>
      </c>
      <c r="U16" s="101" t="s">
        <v>7774</v>
      </c>
      <c r="V16" s="4" t="s">
        <v>3594</v>
      </c>
      <c r="W16" s="4" t="s">
        <v>3547</v>
      </c>
      <c r="X16" s="262" t="s">
        <v>7775</v>
      </c>
      <c r="Y16" s="262" t="s">
        <v>7776</v>
      </c>
      <c r="Z16" s="262" t="s">
        <v>7777</v>
      </c>
      <c r="AA16" s="262" t="s">
        <v>7778</v>
      </c>
      <c r="AB16" s="103" t="s">
        <v>6125</v>
      </c>
      <c r="AC16" s="103" t="s">
        <v>6126</v>
      </c>
      <c r="AD16" s="103" t="s">
        <v>6127</v>
      </c>
      <c r="AE16" s="103" t="s">
        <v>6128</v>
      </c>
      <c r="AF16" s="103" t="s">
        <v>6129</v>
      </c>
      <c r="AG16" s="103" t="s">
        <v>6130</v>
      </c>
      <c r="AH16" s="262"/>
    </row>
    <row r="17" spans="1:34" ht="15.75" customHeight="1">
      <c r="A17" s="2">
        <v>274</v>
      </c>
      <c r="B17" s="294" t="s">
        <v>3593</v>
      </c>
      <c r="C17" s="2">
        <v>857</v>
      </c>
      <c r="D17" s="263" t="s">
        <v>2780</v>
      </c>
      <c r="E17" s="295" t="s">
        <v>7794</v>
      </c>
      <c r="F17" s="296" t="s">
        <v>2781</v>
      </c>
      <c r="G17" s="5" t="s">
        <v>39</v>
      </c>
      <c r="H17" s="296" t="s">
        <v>2781</v>
      </c>
      <c r="I17" s="296" t="s">
        <v>3595</v>
      </c>
      <c r="J17" s="296" t="s">
        <v>3596</v>
      </c>
      <c r="K17" s="10" t="s">
        <v>44</v>
      </c>
      <c r="L17" s="296">
        <v>9004425450</v>
      </c>
      <c r="M17" s="9" t="s">
        <v>44</v>
      </c>
      <c r="N17" s="296">
        <v>9004425450</v>
      </c>
      <c r="O17" s="262" t="s">
        <v>2786</v>
      </c>
      <c r="P17" s="296" t="s">
        <v>3550</v>
      </c>
      <c r="Q17" s="2" t="s">
        <v>47</v>
      </c>
      <c r="R17" s="101" t="s">
        <v>49</v>
      </c>
      <c r="S17" s="5" t="s">
        <v>2164</v>
      </c>
      <c r="T17" s="5" t="s">
        <v>7773</v>
      </c>
      <c r="U17" s="101" t="s">
        <v>7774</v>
      </c>
      <c r="V17" s="4" t="s">
        <v>3598</v>
      </c>
      <c r="W17" s="4" t="s">
        <v>3547</v>
      </c>
      <c r="X17" s="262" t="s">
        <v>7775</v>
      </c>
      <c r="Y17" s="262" t="s">
        <v>7776</v>
      </c>
      <c r="Z17" s="262" t="s">
        <v>7777</v>
      </c>
      <c r="AA17" s="262" t="s">
        <v>7778</v>
      </c>
      <c r="AB17" s="103" t="s">
        <v>6125</v>
      </c>
      <c r="AC17" s="103" t="s">
        <v>6126</v>
      </c>
      <c r="AD17" s="103" t="s">
        <v>6127</v>
      </c>
      <c r="AE17" s="103" t="s">
        <v>6128</v>
      </c>
      <c r="AF17" s="103" t="s">
        <v>6129</v>
      </c>
      <c r="AG17" s="103" t="s">
        <v>6130</v>
      </c>
      <c r="AH17" s="262"/>
    </row>
    <row r="18" spans="1:34" ht="15.75" customHeight="1">
      <c r="A18" s="2">
        <v>275</v>
      </c>
      <c r="B18" s="294" t="s">
        <v>3597</v>
      </c>
      <c r="C18" s="2">
        <v>858</v>
      </c>
      <c r="D18" s="263" t="s">
        <v>2780</v>
      </c>
      <c r="E18" s="295" t="s">
        <v>7795</v>
      </c>
      <c r="F18" s="296" t="s">
        <v>2781</v>
      </c>
      <c r="G18" s="5" t="s">
        <v>39</v>
      </c>
      <c r="H18" s="296" t="s">
        <v>2781</v>
      </c>
      <c r="I18" s="296" t="s">
        <v>3599</v>
      </c>
      <c r="J18" s="296" t="s">
        <v>3600</v>
      </c>
      <c r="K18" s="10" t="s">
        <v>44</v>
      </c>
      <c r="L18" s="296">
        <v>8451901601</v>
      </c>
      <c r="M18" s="9" t="s">
        <v>44</v>
      </c>
      <c r="N18" s="296">
        <v>8451901601</v>
      </c>
      <c r="O18" s="262" t="s">
        <v>2786</v>
      </c>
      <c r="P18" s="296" t="s">
        <v>3550</v>
      </c>
      <c r="Q18" s="2" t="s">
        <v>47</v>
      </c>
      <c r="R18" s="101" t="s">
        <v>49</v>
      </c>
      <c r="S18" s="5" t="s">
        <v>2164</v>
      </c>
      <c r="T18" s="5" t="s">
        <v>7773</v>
      </c>
      <c r="U18" s="101" t="s">
        <v>7774</v>
      </c>
      <c r="V18" s="4" t="s">
        <v>3602</v>
      </c>
      <c r="W18" s="4" t="s">
        <v>3547</v>
      </c>
      <c r="X18" s="262" t="s">
        <v>7775</v>
      </c>
      <c r="Y18" s="262" t="s">
        <v>7776</v>
      </c>
      <c r="Z18" s="262" t="s">
        <v>7777</v>
      </c>
      <c r="AA18" s="262" t="s">
        <v>7778</v>
      </c>
      <c r="AB18" s="103" t="s">
        <v>6125</v>
      </c>
      <c r="AC18" s="103" t="s">
        <v>6126</v>
      </c>
      <c r="AD18" s="103" t="s">
        <v>6127</v>
      </c>
      <c r="AE18" s="103" t="s">
        <v>6128</v>
      </c>
      <c r="AF18" s="103" t="s">
        <v>6129</v>
      </c>
      <c r="AG18" s="103" t="s">
        <v>6130</v>
      </c>
      <c r="AH18" s="262"/>
    </row>
    <row r="19" spans="1:34" ht="15.75" customHeight="1">
      <c r="A19" s="2">
        <v>276</v>
      </c>
      <c r="B19" s="294" t="s">
        <v>3601</v>
      </c>
      <c r="C19" s="2">
        <v>859</v>
      </c>
      <c r="D19" s="295" t="s">
        <v>2780</v>
      </c>
      <c r="E19" s="295" t="s">
        <v>7796</v>
      </c>
      <c r="F19" s="296" t="s">
        <v>2781</v>
      </c>
      <c r="G19" s="5" t="s">
        <v>39</v>
      </c>
      <c r="H19" s="296" t="s">
        <v>2781</v>
      </c>
      <c r="I19" s="296" t="s">
        <v>3603</v>
      </c>
      <c r="J19" s="296" t="s">
        <v>3604</v>
      </c>
      <c r="K19" s="10" t="s">
        <v>44</v>
      </c>
      <c r="L19" s="296">
        <v>7400420545</v>
      </c>
      <c r="M19" s="9" t="s">
        <v>44</v>
      </c>
      <c r="N19" s="296">
        <v>7400420545</v>
      </c>
      <c r="O19" s="262" t="s">
        <v>2786</v>
      </c>
      <c r="P19" s="296" t="s">
        <v>3550</v>
      </c>
      <c r="Q19" s="2" t="s">
        <v>47</v>
      </c>
      <c r="R19" s="101" t="s">
        <v>49</v>
      </c>
      <c r="S19" s="5" t="s">
        <v>2164</v>
      </c>
      <c r="T19" s="5" t="s">
        <v>7773</v>
      </c>
      <c r="U19" s="101" t="s">
        <v>7774</v>
      </c>
      <c r="V19" s="4" t="s">
        <v>3606</v>
      </c>
      <c r="W19" s="4" t="s">
        <v>3547</v>
      </c>
      <c r="X19" s="262" t="s">
        <v>7775</v>
      </c>
      <c r="Y19" s="262" t="s">
        <v>7776</v>
      </c>
      <c r="Z19" s="262" t="s">
        <v>7777</v>
      </c>
      <c r="AA19" s="262" t="s">
        <v>7778</v>
      </c>
      <c r="AB19" s="103" t="s">
        <v>6125</v>
      </c>
      <c r="AC19" s="103" t="s">
        <v>6126</v>
      </c>
      <c r="AD19" s="103" t="s">
        <v>6127</v>
      </c>
      <c r="AE19" s="103" t="s">
        <v>6128</v>
      </c>
      <c r="AF19" s="103" t="s">
        <v>6129</v>
      </c>
      <c r="AG19" s="103" t="s">
        <v>6130</v>
      </c>
      <c r="AH19" s="262"/>
    </row>
    <row r="20" spans="1:34" ht="15.75" customHeight="1">
      <c r="A20" s="2">
        <v>277</v>
      </c>
      <c r="B20" s="294" t="s">
        <v>3605</v>
      </c>
      <c r="C20" s="2">
        <v>860</v>
      </c>
      <c r="D20" s="295" t="s">
        <v>2780</v>
      </c>
      <c r="E20" s="295" t="s">
        <v>7797</v>
      </c>
      <c r="F20" s="296" t="s">
        <v>2781</v>
      </c>
      <c r="G20" s="5" t="s">
        <v>39</v>
      </c>
      <c r="H20" s="296" t="s">
        <v>2781</v>
      </c>
      <c r="I20" s="296" t="s">
        <v>3607</v>
      </c>
      <c r="J20" s="296" t="s">
        <v>3608</v>
      </c>
      <c r="K20" s="10" t="s">
        <v>44</v>
      </c>
      <c r="L20" s="296">
        <v>8976909097</v>
      </c>
      <c r="M20" s="9" t="s">
        <v>44</v>
      </c>
      <c r="N20" s="296">
        <v>8976909097</v>
      </c>
      <c r="O20" s="262" t="s">
        <v>2786</v>
      </c>
      <c r="P20" s="296" t="s">
        <v>3550</v>
      </c>
      <c r="Q20" s="2" t="s">
        <v>47</v>
      </c>
      <c r="R20" s="101" t="s">
        <v>49</v>
      </c>
      <c r="S20" s="5" t="s">
        <v>2164</v>
      </c>
      <c r="T20" s="5" t="s">
        <v>7773</v>
      </c>
      <c r="U20" s="101" t="s">
        <v>7774</v>
      </c>
      <c r="V20" s="4" t="s">
        <v>71</v>
      </c>
      <c r="W20" s="4" t="s">
        <v>3547</v>
      </c>
      <c r="X20" s="262" t="s">
        <v>7775</v>
      </c>
      <c r="Y20" s="262" t="s">
        <v>7776</v>
      </c>
      <c r="Z20" s="262" t="s">
        <v>7777</v>
      </c>
      <c r="AA20" s="262" t="s">
        <v>7778</v>
      </c>
      <c r="AB20" s="103" t="s">
        <v>6125</v>
      </c>
      <c r="AC20" s="103" t="s">
        <v>6126</v>
      </c>
      <c r="AD20" s="103" t="s">
        <v>6127</v>
      </c>
      <c r="AE20" s="103" t="s">
        <v>6128</v>
      </c>
      <c r="AF20" s="103" t="s">
        <v>6129</v>
      </c>
      <c r="AG20" s="103" t="s">
        <v>6130</v>
      </c>
      <c r="AH20" s="262"/>
    </row>
    <row r="21" spans="1:34" ht="15.75" customHeight="1">
      <c r="A21" s="2">
        <v>278</v>
      </c>
      <c r="B21" s="294" t="s">
        <v>3609</v>
      </c>
      <c r="C21" s="2">
        <v>861</v>
      </c>
      <c r="D21" s="263" t="s">
        <v>2780</v>
      </c>
      <c r="E21" s="295" t="s">
        <v>7798</v>
      </c>
      <c r="F21" s="296" t="s">
        <v>2781</v>
      </c>
      <c r="G21" s="5" t="s">
        <v>39</v>
      </c>
      <c r="H21" s="296" t="s">
        <v>2781</v>
      </c>
      <c r="I21" s="296" t="s">
        <v>3610</v>
      </c>
      <c r="J21" s="296" t="s">
        <v>3611</v>
      </c>
      <c r="K21" s="10" t="s">
        <v>44</v>
      </c>
      <c r="L21" s="296">
        <v>9136699303</v>
      </c>
      <c r="M21" s="9" t="s">
        <v>44</v>
      </c>
      <c r="N21" s="296">
        <v>9136699303</v>
      </c>
      <c r="O21" s="262" t="s">
        <v>2786</v>
      </c>
      <c r="P21" s="296" t="s">
        <v>3550</v>
      </c>
      <c r="Q21" s="2" t="s">
        <v>47</v>
      </c>
      <c r="R21" s="101" t="s">
        <v>49</v>
      </c>
      <c r="S21" s="5" t="s">
        <v>2164</v>
      </c>
      <c r="T21" s="5" t="s">
        <v>7773</v>
      </c>
      <c r="U21" s="101" t="s">
        <v>7774</v>
      </c>
      <c r="V21" s="4" t="s">
        <v>71</v>
      </c>
      <c r="W21" s="4" t="s">
        <v>3547</v>
      </c>
      <c r="X21" s="262" t="s">
        <v>7775</v>
      </c>
      <c r="Y21" s="262" t="s">
        <v>7776</v>
      </c>
      <c r="Z21" s="262" t="s">
        <v>7777</v>
      </c>
      <c r="AA21" s="262" t="s">
        <v>7778</v>
      </c>
      <c r="AB21" s="103" t="s">
        <v>6125</v>
      </c>
      <c r="AC21" s="103" t="s">
        <v>6126</v>
      </c>
      <c r="AD21" s="103" t="s">
        <v>6127</v>
      </c>
      <c r="AE21" s="103" t="s">
        <v>6128</v>
      </c>
      <c r="AF21" s="103" t="s">
        <v>6129</v>
      </c>
      <c r="AG21" s="103" t="s">
        <v>6130</v>
      </c>
      <c r="AH21" s="262"/>
    </row>
    <row r="22" spans="1:34" ht="15.75" customHeight="1">
      <c r="A22" s="2">
        <v>279</v>
      </c>
      <c r="B22" s="294" t="s">
        <v>3612</v>
      </c>
      <c r="C22" s="2">
        <v>862</v>
      </c>
      <c r="D22" s="263" t="s">
        <v>2780</v>
      </c>
      <c r="E22" s="295" t="s">
        <v>7799</v>
      </c>
      <c r="F22" s="296" t="s">
        <v>2781</v>
      </c>
      <c r="G22" s="5" t="s">
        <v>39</v>
      </c>
      <c r="H22" s="296" t="s">
        <v>2781</v>
      </c>
      <c r="I22" s="296" t="s">
        <v>3613</v>
      </c>
      <c r="J22" s="296" t="s">
        <v>3614</v>
      </c>
      <c r="K22" s="10" t="s">
        <v>44</v>
      </c>
      <c r="L22" s="296">
        <v>8451903628</v>
      </c>
      <c r="M22" s="9" t="s">
        <v>44</v>
      </c>
      <c r="N22" s="296">
        <v>8451903628</v>
      </c>
      <c r="O22" s="262" t="s">
        <v>2786</v>
      </c>
      <c r="P22" s="296" t="s">
        <v>3550</v>
      </c>
      <c r="Q22" s="2" t="s">
        <v>47</v>
      </c>
      <c r="R22" s="101" t="s">
        <v>49</v>
      </c>
      <c r="S22" s="5" t="s">
        <v>2164</v>
      </c>
      <c r="T22" s="5" t="s">
        <v>7773</v>
      </c>
      <c r="U22" s="101" t="s">
        <v>7774</v>
      </c>
      <c r="V22" s="4" t="s">
        <v>71</v>
      </c>
      <c r="W22" s="4" t="s">
        <v>3547</v>
      </c>
      <c r="X22" s="262" t="s">
        <v>7775</v>
      </c>
      <c r="Y22" s="262" t="s">
        <v>7776</v>
      </c>
      <c r="Z22" s="262" t="s">
        <v>7777</v>
      </c>
      <c r="AA22" s="262" t="s">
        <v>7778</v>
      </c>
      <c r="AB22" s="103" t="s">
        <v>6125</v>
      </c>
      <c r="AC22" s="103" t="s">
        <v>6126</v>
      </c>
      <c r="AD22" s="103" t="s">
        <v>6127</v>
      </c>
      <c r="AE22" s="103" t="s">
        <v>6128</v>
      </c>
      <c r="AF22" s="103" t="s">
        <v>6129</v>
      </c>
      <c r="AG22" s="103" t="s">
        <v>6130</v>
      </c>
      <c r="AH22" s="262"/>
    </row>
    <row r="23" spans="1:34" ht="15.75" customHeight="1">
      <c r="A23" s="2">
        <v>280</v>
      </c>
      <c r="B23" s="297" t="s">
        <v>3615</v>
      </c>
      <c r="C23" s="2">
        <v>863</v>
      </c>
      <c r="D23" s="295" t="s">
        <v>2780</v>
      </c>
      <c r="E23" s="9" t="s">
        <v>7800</v>
      </c>
      <c r="F23" s="296" t="s">
        <v>2781</v>
      </c>
      <c r="G23" s="5" t="s">
        <v>39</v>
      </c>
      <c r="H23" s="296" t="s">
        <v>2781</v>
      </c>
      <c r="I23" s="296" t="s">
        <v>3616</v>
      </c>
      <c r="J23" s="298" t="s">
        <v>3617</v>
      </c>
      <c r="K23" s="10" t="s">
        <v>44</v>
      </c>
      <c r="L23" s="280">
        <v>8879058840</v>
      </c>
      <c r="M23" s="9" t="s">
        <v>44</v>
      </c>
      <c r="N23" s="280">
        <v>8879058840</v>
      </c>
      <c r="O23" s="262" t="s">
        <v>2786</v>
      </c>
      <c r="P23" s="296" t="s">
        <v>3550</v>
      </c>
      <c r="Q23" s="2" t="s">
        <v>47</v>
      </c>
      <c r="R23" s="101" t="s">
        <v>49</v>
      </c>
      <c r="S23" s="5" t="s">
        <v>2164</v>
      </c>
      <c r="T23" s="5" t="s">
        <v>7773</v>
      </c>
      <c r="U23" s="101" t="s">
        <v>7774</v>
      </c>
      <c r="V23" s="4" t="s">
        <v>71</v>
      </c>
      <c r="W23" s="4" t="s">
        <v>3547</v>
      </c>
      <c r="X23" s="262" t="s">
        <v>7775</v>
      </c>
      <c r="Y23" s="262" t="s">
        <v>7776</v>
      </c>
      <c r="Z23" s="262" t="s">
        <v>7777</v>
      </c>
      <c r="AA23" s="262" t="s">
        <v>7778</v>
      </c>
      <c r="AB23" s="103" t="s">
        <v>6125</v>
      </c>
      <c r="AC23" s="103" t="s">
        <v>6126</v>
      </c>
      <c r="AD23" s="103" t="s">
        <v>6127</v>
      </c>
      <c r="AE23" s="103" t="s">
        <v>6128</v>
      </c>
      <c r="AF23" s="103" t="s">
        <v>6129</v>
      </c>
      <c r="AG23" s="103" t="s">
        <v>6130</v>
      </c>
      <c r="AH23" s="262"/>
    </row>
    <row r="24" spans="1:34" ht="15.75" customHeight="1">
      <c r="A24" s="2">
        <v>281</v>
      </c>
      <c r="B24" s="294" t="s">
        <v>3618</v>
      </c>
      <c r="C24" s="2">
        <v>864</v>
      </c>
      <c r="D24" s="295" t="s">
        <v>2780</v>
      </c>
      <c r="E24" s="295" t="s">
        <v>7801</v>
      </c>
      <c r="F24" s="296" t="s">
        <v>2781</v>
      </c>
      <c r="G24" s="5" t="s">
        <v>39</v>
      </c>
      <c r="H24" s="296" t="s">
        <v>2781</v>
      </c>
      <c r="I24" s="296" t="s">
        <v>3619</v>
      </c>
      <c r="J24" s="296" t="s">
        <v>3620</v>
      </c>
      <c r="K24" s="10" t="s">
        <v>44</v>
      </c>
      <c r="L24" s="296">
        <v>7777078478</v>
      </c>
      <c r="M24" s="9" t="s">
        <v>44</v>
      </c>
      <c r="N24" s="296">
        <v>7777078478</v>
      </c>
      <c r="O24" s="262" t="s">
        <v>2786</v>
      </c>
      <c r="P24" s="296" t="s">
        <v>3550</v>
      </c>
      <c r="Q24" s="2" t="s">
        <v>47</v>
      </c>
      <c r="R24" s="101" t="s">
        <v>49</v>
      </c>
      <c r="S24" s="5" t="s">
        <v>2164</v>
      </c>
      <c r="T24" s="5" t="s">
        <v>7773</v>
      </c>
      <c r="U24" s="101" t="s">
        <v>7774</v>
      </c>
      <c r="V24" s="4" t="s">
        <v>71</v>
      </c>
      <c r="W24" s="4" t="s">
        <v>3547</v>
      </c>
      <c r="X24" s="262" t="s">
        <v>7775</v>
      </c>
      <c r="Y24" s="262" t="s">
        <v>7776</v>
      </c>
      <c r="Z24" s="262" t="s">
        <v>7777</v>
      </c>
      <c r="AA24" s="262" t="s">
        <v>7778</v>
      </c>
      <c r="AB24" s="103" t="s">
        <v>6125</v>
      </c>
      <c r="AC24" s="103" t="s">
        <v>6126</v>
      </c>
      <c r="AD24" s="103" t="s">
        <v>6127</v>
      </c>
      <c r="AE24" s="103" t="s">
        <v>6128</v>
      </c>
      <c r="AF24" s="103" t="s">
        <v>6129</v>
      </c>
      <c r="AG24" s="103" t="s">
        <v>6130</v>
      </c>
      <c r="AH24" s="262"/>
    </row>
    <row r="25" spans="1:34" ht="15.75" customHeight="1">
      <c r="A25" s="2">
        <v>282</v>
      </c>
      <c r="B25" s="294" t="s">
        <v>3621</v>
      </c>
      <c r="C25" s="2">
        <v>865</v>
      </c>
      <c r="D25" s="263" t="s">
        <v>2780</v>
      </c>
      <c r="E25" s="295" t="s">
        <v>7802</v>
      </c>
      <c r="F25" s="296" t="s">
        <v>2781</v>
      </c>
      <c r="G25" s="5" t="s">
        <v>39</v>
      </c>
      <c r="H25" s="296" t="s">
        <v>2781</v>
      </c>
      <c r="I25" s="296" t="s">
        <v>3622</v>
      </c>
      <c r="J25" s="296" t="s">
        <v>3623</v>
      </c>
      <c r="K25" s="10" t="s">
        <v>44</v>
      </c>
      <c r="L25" s="296">
        <v>7400492872</v>
      </c>
      <c r="M25" s="9" t="s">
        <v>44</v>
      </c>
      <c r="N25" s="296">
        <v>7400492872</v>
      </c>
      <c r="O25" s="262" t="s">
        <v>2786</v>
      </c>
      <c r="P25" s="296" t="s">
        <v>3550</v>
      </c>
      <c r="Q25" s="2" t="s">
        <v>47</v>
      </c>
      <c r="R25" s="101" t="s">
        <v>49</v>
      </c>
      <c r="S25" s="5" t="s">
        <v>2164</v>
      </c>
      <c r="T25" s="5" t="s">
        <v>7773</v>
      </c>
      <c r="U25" s="101" t="s">
        <v>7774</v>
      </c>
      <c r="V25" s="4" t="s">
        <v>71</v>
      </c>
      <c r="W25" s="4" t="s">
        <v>3547</v>
      </c>
      <c r="X25" s="262" t="s">
        <v>7775</v>
      </c>
      <c r="Y25" s="262" t="s">
        <v>7776</v>
      </c>
      <c r="Z25" s="262" t="s">
        <v>7777</v>
      </c>
      <c r="AA25" s="262" t="s">
        <v>7778</v>
      </c>
      <c r="AB25" s="103" t="s">
        <v>6125</v>
      </c>
      <c r="AC25" s="103" t="s">
        <v>6126</v>
      </c>
      <c r="AD25" s="103" t="s">
        <v>6127</v>
      </c>
      <c r="AE25" s="103" t="s">
        <v>6128</v>
      </c>
      <c r="AF25" s="103" t="s">
        <v>6129</v>
      </c>
      <c r="AG25" s="103" t="s">
        <v>6130</v>
      </c>
      <c r="AH25" s="262"/>
    </row>
    <row r="26" spans="1:34" ht="15.75" customHeight="1">
      <c r="A26" s="2">
        <v>283</v>
      </c>
      <c r="B26" s="294" t="s">
        <v>3624</v>
      </c>
      <c r="C26" s="2">
        <v>973</v>
      </c>
      <c r="D26" s="263" t="s">
        <v>2780</v>
      </c>
      <c r="E26" s="295" t="s">
        <v>2780</v>
      </c>
      <c r="F26" s="296" t="s">
        <v>2781</v>
      </c>
      <c r="G26" s="5" t="s">
        <v>39</v>
      </c>
      <c r="H26" s="280" t="s">
        <v>44</v>
      </c>
      <c r="I26" s="296" t="s">
        <v>7803</v>
      </c>
      <c r="J26" s="10" t="s">
        <v>44</v>
      </c>
      <c r="K26" s="10" t="s">
        <v>44</v>
      </c>
      <c r="L26" s="10" t="s">
        <v>44</v>
      </c>
      <c r="M26" s="9" t="s">
        <v>44</v>
      </c>
      <c r="N26" s="10" t="s">
        <v>44</v>
      </c>
      <c r="O26" s="262" t="s">
        <v>2786</v>
      </c>
      <c r="P26" s="10" t="s">
        <v>44</v>
      </c>
      <c r="Q26" s="2" t="s">
        <v>47</v>
      </c>
      <c r="R26" s="101" t="s">
        <v>49</v>
      </c>
      <c r="S26" s="5" t="s">
        <v>2164</v>
      </c>
      <c r="T26" s="5" t="s">
        <v>7773</v>
      </c>
      <c r="U26" s="101" t="s">
        <v>7774</v>
      </c>
      <c r="V26" s="4" t="s">
        <v>71</v>
      </c>
      <c r="W26" s="4" t="s">
        <v>3547</v>
      </c>
      <c r="X26" s="262" t="s">
        <v>7775</v>
      </c>
      <c r="Y26" s="262" t="s">
        <v>7776</v>
      </c>
      <c r="Z26" s="262" t="s">
        <v>7777</v>
      </c>
      <c r="AA26" s="262" t="s">
        <v>7778</v>
      </c>
      <c r="AB26" s="103" t="s">
        <v>6125</v>
      </c>
      <c r="AC26" s="103" t="s">
        <v>6126</v>
      </c>
      <c r="AD26" s="103" t="s">
        <v>6127</v>
      </c>
      <c r="AE26" s="103" t="s">
        <v>6128</v>
      </c>
      <c r="AF26" s="103" t="s">
        <v>6129</v>
      </c>
      <c r="AG26" s="103" t="s">
        <v>6130</v>
      </c>
      <c r="AH26" s="262"/>
    </row>
    <row r="27" spans="1:34" ht="14.4">
      <c r="A27" s="2">
        <v>284</v>
      </c>
      <c r="B27" s="294" t="s">
        <v>3630</v>
      </c>
      <c r="C27" s="2">
        <v>974</v>
      </c>
      <c r="D27" s="295" t="s">
        <v>2780</v>
      </c>
      <c r="E27" s="295" t="s">
        <v>2780</v>
      </c>
      <c r="F27" s="296" t="s">
        <v>2781</v>
      </c>
      <c r="G27" s="5" t="s">
        <v>39</v>
      </c>
      <c r="H27" s="280" t="s">
        <v>44</v>
      </c>
      <c r="I27" s="296" t="s">
        <v>3632</v>
      </c>
      <c r="J27" s="296" t="s">
        <v>7804</v>
      </c>
      <c r="K27" s="10" t="s">
        <v>44</v>
      </c>
      <c r="L27" s="296">
        <v>7400480852</v>
      </c>
      <c r="M27" s="9" t="s">
        <v>44</v>
      </c>
      <c r="N27" s="296">
        <v>7400480852</v>
      </c>
      <c r="O27" s="262" t="s">
        <v>2786</v>
      </c>
      <c r="P27" s="10" t="s">
        <v>44</v>
      </c>
      <c r="Q27" s="2" t="s">
        <v>47</v>
      </c>
      <c r="R27" s="101" t="s">
        <v>49</v>
      </c>
      <c r="S27" s="5" t="s">
        <v>2164</v>
      </c>
      <c r="T27" s="5" t="s">
        <v>7773</v>
      </c>
      <c r="U27" s="101" t="s">
        <v>7774</v>
      </c>
      <c r="V27" s="4" t="s">
        <v>71</v>
      </c>
      <c r="W27" s="4" t="s">
        <v>3547</v>
      </c>
      <c r="X27" s="262" t="s">
        <v>7775</v>
      </c>
      <c r="Y27" s="262" t="s">
        <v>7776</v>
      </c>
      <c r="Z27" s="262" t="s">
        <v>7777</v>
      </c>
      <c r="AA27" s="262" t="s">
        <v>7778</v>
      </c>
      <c r="AB27" s="103" t="s">
        <v>6125</v>
      </c>
      <c r="AC27" s="103" t="s">
        <v>6126</v>
      </c>
      <c r="AD27" s="103" t="s">
        <v>6127</v>
      </c>
      <c r="AE27" s="103" t="s">
        <v>6128</v>
      </c>
      <c r="AF27" s="103" t="s">
        <v>6129</v>
      </c>
      <c r="AG27" s="103" t="s">
        <v>6130</v>
      </c>
      <c r="AH27" s="262"/>
    </row>
    <row r="28" spans="1:34" ht="14.4">
      <c r="A28" s="2">
        <v>285</v>
      </c>
      <c r="B28" s="294" t="s">
        <v>3633</v>
      </c>
      <c r="C28" s="2">
        <v>975</v>
      </c>
      <c r="D28" s="295" t="s">
        <v>2780</v>
      </c>
      <c r="E28" s="295" t="s">
        <v>2780</v>
      </c>
      <c r="F28" s="296" t="s">
        <v>2781</v>
      </c>
      <c r="G28" s="5" t="s">
        <v>39</v>
      </c>
      <c r="H28" s="280" t="s">
        <v>44</v>
      </c>
      <c r="I28" s="296" t="s">
        <v>3635</v>
      </c>
      <c r="J28" s="296" t="s">
        <v>7804</v>
      </c>
      <c r="K28" s="10" t="s">
        <v>44</v>
      </c>
      <c r="L28" s="296">
        <v>7400480852</v>
      </c>
      <c r="M28" s="9" t="s">
        <v>44</v>
      </c>
      <c r="N28" s="296">
        <v>7400480852</v>
      </c>
      <c r="O28" s="262" t="s">
        <v>2786</v>
      </c>
      <c r="P28" s="10" t="s">
        <v>44</v>
      </c>
      <c r="Q28" s="2" t="s">
        <v>47</v>
      </c>
      <c r="R28" s="101" t="s">
        <v>49</v>
      </c>
      <c r="S28" s="5" t="s">
        <v>2164</v>
      </c>
      <c r="T28" s="5" t="s">
        <v>7773</v>
      </c>
      <c r="U28" s="101" t="s">
        <v>7774</v>
      </c>
      <c r="V28" s="4" t="s">
        <v>71</v>
      </c>
      <c r="W28" s="4" t="s">
        <v>3547</v>
      </c>
      <c r="X28" s="262" t="s">
        <v>7775</v>
      </c>
      <c r="Y28" s="262" t="s">
        <v>7776</v>
      </c>
      <c r="Z28" s="262" t="s">
        <v>7777</v>
      </c>
      <c r="AA28" s="262" t="s">
        <v>7778</v>
      </c>
      <c r="AB28" s="103" t="s">
        <v>6125</v>
      </c>
      <c r="AC28" s="103" t="s">
        <v>6126</v>
      </c>
      <c r="AD28" s="103" t="s">
        <v>6127</v>
      </c>
      <c r="AE28" s="103" t="s">
        <v>6128</v>
      </c>
      <c r="AF28" s="103" t="s">
        <v>6129</v>
      </c>
      <c r="AG28" s="103" t="s">
        <v>6130</v>
      </c>
      <c r="AH28" s="262"/>
    </row>
    <row r="29" spans="1:34" ht="14.4">
      <c r="A29" s="2">
        <v>286</v>
      </c>
      <c r="B29" s="294" t="s">
        <v>3637</v>
      </c>
      <c r="C29" s="2">
        <v>976</v>
      </c>
      <c r="D29" s="263" t="s">
        <v>2780</v>
      </c>
      <c r="E29" s="295" t="s">
        <v>2780</v>
      </c>
      <c r="F29" s="296" t="s">
        <v>2781</v>
      </c>
      <c r="G29" s="5" t="s">
        <v>39</v>
      </c>
      <c r="H29" s="280" t="s">
        <v>44</v>
      </c>
      <c r="I29" s="296" t="s">
        <v>3639</v>
      </c>
      <c r="J29" s="296" t="s">
        <v>7804</v>
      </c>
      <c r="K29" s="10" t="s">
        <v>44</v>
      </c>
      <c r="L29" s="296">
        <v>7400480852</v>
      </c>
      <c r="M29" s="9" t="s">
        <v>44</v>
      </c>
      <c r="N29" s="296">
        <v>7400480852</v>
      </c>
      <c r="O29" s="262" t="s">
        <v>2786</v>
      </c>
      <c r="P29" s="10" t="s">
        <v>44</v>
      </c>
      <c r="Q29" s="2" t="s">
        <v>47</v>
      </c>
      <c r="R29" s="101" t="s">
        <v>49</v>
      </c>
      <c r="S29" s="5" t="s">
        <v>2164</v>
      </c>
      <c r="T29" s="5" t="s">
        <v>7773</v>
      </c>
      <c r="U29" s="101" t="s">
        <v>7774</v>
      </c>
      <c r="V29" s="4" t="s">
        <v>71</v>
      </c>
      <c r="W29" s="4" t="s">
        <v>3547</v>
      </c>
      <c r="X29" s="262" t="s">
        <v>7775</v>
      </c>
      <c r="Y29" s="262" t="s">
        <v>7776</v>
      </c>
      <c r="Z29" s="262" t="s">
        <v>7777</v>
      </c>
      <c r="AA29" s="262" t="s">
        <v>7778</v>
      </c>
      <c r="AB29" s="103" t="s">
        <v>6125</v>
      </c>
      <c r="AC29" s="103" t="s">
        <v>6126</v>
      </c>
      <c r="AD29" s="103" t="s">
        <v>6127</v>
      </c>
      <c r="AE29" s="103" t="s">
        <v>6128</v>
      </c>
      <c r="AF29" s="103" t="s">
        <v>6129</v>
      </c>
      <c r="AG29" s="103" t="s">
        <v>6130</v>
      </c>
      <c r="AH29" s="262"/>
    </row>
    <row r="30" spans="1:34" ht="14.4">
      <c r="A30" s="2">
        <v>287</v>
      </c>
      <c r="B30" s="294" t="s">
        <v>3641</v>
      </c>
      <c r="C30" s="2">
        <v>977</v>
      </c>
      <c r="D30" s="263" t="s">
        <v>2780</v>
      </c>
      <c r="E30" s="295" t="s">
        <v>2780</v>
      </c>
      <c r="F30" s="296" t="s">
        <v>2781</v>
      </c>
      <c r="G30" s="5" t="s">
        <v>39</v>
      </c>
      <c r="H30" s="280" t="s">
        <v>44</v>
      </c>
      <c r="I30" s="296" t="s">
        <v>3643</v>
      </c>
      <c r="J30" s="296" t="s">
        <v>7804</v>
      </c>
      <c r="K30" s="10" t="s">
        <v>44</v>
      </c>
      <c r="L30" s="296">
        <v>7400480852</v>
      </c>
      <c r="M30" s="9" t="s">
        <v>44</v>
      </c>
      <c r="N30" s="296">
        <v>7400480852</v>
      </c>
      <c r="O30" s="262" t="s">
        <v>2786</v>
      </c>
      <c r="P30" s="10" t="s">
        <v>44</v>
      </c>
      <c r="Q30" s="2" t="s">
        <v>47</v>
      </c>
      <c r="R30" s="101" t="s">
        <v>49</v>
      </c>
      <c r="S30" s="5" t="s">
        <v>2164</v>
      </c>
      <c r="T30" s="5" t="s">
        <v>7773</v>
      </c>
      <c r="U30" s="101" t="s">
        <v>7774</v>
      </c>
      <c r="V30" s="4" t="s">
        <v>71</v>
      </c>
      <c r="W30" s="4" t="s">
        <v>3547</v>
      </c>
      <c r="X30" s="262" t="s">
        <v>7775</v>
      </c>
      <c r="Y30" s="262" t="s">
        <v>7776</v>
      </c>
      <c r="Z30" s="262" t="s">
        <v>7777</v>
      </c>
      <c r="AA30" s="262" t="s">
        <v>7778</v>
      </c>
      <c r="AB30" s="103" t="s">
        <v>6125</v>
      </c>
      <c r="AC30" s="103" t="s">
        <v>6126</v>
      </c>
      <c r="AD30" s="103" t="s">
        <v>6127</v>
      </c>
      <c r="AE30" s="103" t="s">
        <v>6128</v>
      </c>
      <c r="AF30" s="103" t="s">
        <v>6129</v>
      </c>
      <c r="AG30" s="103" t="s">
        <v>6130</v>
      </c>
      <c r="AH30" s="262"/>
    </row>
    <row r="31" spans="1:34" ht="14.4">
      <c r="A31" s="2">
        <v>288</v>
      </c>
      <c r="B31" s="294" t="s">
        <v>3645</v>
      </c>
      <c r="C31" s="2">
        <v>978</v>
      </c>
      <c r="D31" s="295" t="s">
        <v>2780</v>
      </c>
      <c r="E31" s="295" t="s">
        <v>2780</v>
      </c>
      <c r="F31" s="296" t="s">
        <v>2781</v>
      </c>
      <c r="G31" s="5" t="s">
        <v>39</v>
      </c>
      <c r="H31" s="280" t="s">
        <v>44</v>
      </c>
      <c r="I31" s="296" t="s">
        <v>2381</v>
      </c>
      <c r="J31" s="296" t="s">
        <v>7804</v>
      </c>
      <c r="K31" s="10" t="s">
        <v>44</v>
      </c>
      <c r="L31" s="296">
        <v>7400480852</v>
      </c>
      <c r="M31" s="9" t="s">
        <v>44</v>
      </c>
      <c r="N31" s="296">
        <v>7400480852</v>
      </c>
      <c r="O31" s="262" t="s">
        <v>2786</v>
      </c>
      <c r="P31" s="10" t="s">
        <v>44</v>
      </c>
      <c r="Q31" s="2" t="s">
        <v>47</v>
      </c>
      <c r="R31" s="101" t="s">
        <v>49</v>
      </c>
      <c r="S31" s="5" t="s">
        <v>2164</v>
      </c>
      <c r="T31" s="5" t="s">
        <v>7773</v>
      </c>
      <c r="U31" s="101" t="s">
        <v>7774</v>
      </c>
      <c r="V31" s="4" t="s">
        <v>71</v>
      </c>
      <c r="W31" s="4" t="s">
        <v>3547</v>
      </c>
      <c r="X31" s="262" t="s">
        <v>7775</v>
      </c>
      <c r="Y31" s="262" t="s">
        <v>7776</v>
      </c>
      <c r="Z31" s="262" t="s">
        <v>7777</v>
      </c>
      <c r="AA31" s="262" t="s">
        <v>7778</v>
      </c>
      <c r="AB31" s="103" t="s">
        <v>6125</v>
      </c>
      <c r="AC31" s="103" t="s">
        <v>6126</v>
      </c>
      <c r="AD31" s="103" t="s">
        <v>6127</v>
      </c>
      <c r="AE31" s="103" t="s">
        <v>6128</v>
      </c>
      <c r="AF31" s="103" t="s">
        <v>6129</v>
      </c>
      <c r="AG31" s="103" t="s">
        <v>6130</v>
      </c>
      <c r="AH31" s="262"/>
    </row>
    <row r="32" spans="1:34" ht="14.4">
      <c r="A32" s="2">
        <v>289</v>
      </c>
      <c r="B32" s="294" t="s">
        <v>3648</v>
      </c>
      <c r="C32" s="2">
        <v>979</v>
      </c>
      <c r="D32" s="295" t="s">
        <v>2780</v>
      </c>
      <c r="E32" s="295" t="s">
        <v>2780</v>
      </c>
      <c r="F32" s="296" t="s">
        <v>2781</v>
      </c>
      <c r="G32" s="5" t="s">
        <v>39</v>
      </c>
      <c r="H32" s="280" t="s">
        <v>44</v>
      </c>
      <c r="I32" s="296" t="s">
        <v>3650</v>
      </c>
      <c r="J32" s="296" t="s">
        <v>7804</v>
      </c>
      <c r="K32" s="10" t="s">
        <v>44</v>
      </c>
      <c r="L32" s="296">
        <v>7400480852</v>
      </c>
      <c r="M32" s="9" t="s">
        <v>44</v>
      </c>
      <c r="N32" s="296">
        <v>7400480852</v>
      </c>
      <c r="O32" s="262" t="s">
        <v>2786</v>
      </c>
      <c r="P32" s="10" t="s">
        <v>44</v>
      </c>
      <c r="Q32" s="2" t="s">
        <v>47</v>
      </c>
      <c r="R32" s="101" t="s">
        <v>49</v>
      </c>
      <c r="S32" s="5" t="s">
        <v>2164</v>
      </c>
      <c r="T32" s="5" t="s">
        <v>7773</v>
      </c>
      <c r="U32" s="101" t="s">
        <v>7774</v>
      </c>
      <c r="V32" s="4" t="s">
        <v>71</v>
      </c>
      <c r="W32" s="4" t="s">
        <v>3547</v>
      </c>
      <c r="X32" s="262" t="s">
        <v>7775</v>
      </c>
      <c r="Y32" s="262" t="s">
        <v>7776</v>
      </c>
      <c r="Z32" s="262" t="s">
        <v>7777</v>
      </c>
      <c r="AA32" s="262" t="s">
        <v>7778</v>
      </c>
      <c r="AB32" s="103" t="s">
        <v>6125</v>
      </c>
      <c r="AC32" s="103" t="s">
        <v>6126</v>
      </c>
      <c r="AD32" s="103" t="s">
        <v>6127</v>
      </c>
      <c r="AE32" s="103" t="s">
        <v>6128</v>
      </c>
      <c r="AF32" s="103" t="s">
        <v>6129</v>
      </c>
      <c r="AG32" s="103" t="s">
        <v>6130</v>
      </c>
      <c r="AH32" s="262"/>
    </row>
    <row r="33" spans="1:34" ht="14.4">
      <c r="A33" s="2">
        <v>290</v>
      </c>
      <c r="B33" s="294" t="s">
        <v>3652</v>
      </c>
      <c r="C33" s="2">
        <v>980</v>
      </c>
      <c r="D33" s="263" t="s">
        <v>2780</v>
      </c>
      <c r="E33" s="295" t="s">
        <v>2780</v>
      </c>
      <c r="F33" s="296" t="s">
        <v>2781</v>
      </c>
      <c r="G33" s="5" t="s">
        <v>39</v>
      </c>
      <c r="H33" s="280" t="s">
        <v>44</v>
      </c>
      <c r="I33" s="296" t="s">
        <v>3654</v>
      </c>
      <c r="J33" s="296" t="s">
        <v>7804</v>
      </c>
      <c r="K33" s="10" t="s">
        <v>44</v>
      </c>
      <c r="L33" s="296">
        <v>7400480852</v>
      </c>
      <c r="M33" s="9" t="s">
        <v>44</v>
      </c>
      <c r="N33" s="296">
        <v>7400480852</v>
      </c>
      <c r="O33" s="262" t="s">
        <v>2786</v>
      </c>
      <c r="P33" s="10" t="s">
        <v>44</v>
      </c>
      <c r="Q33" s="2" t="s">
        <v>47</v>
      </c>
      <c r="R33" s="101" t="s">
        <v>49</v>
      </c>
      <c r="S33" s="5" t="s">
        <v>2164</v>
      </c>
      <c r="T33" s="5" t="s">
        <v>7773</v>
      </c>
      <c r="U33" s="101" t="s">
        <v>7774</v>
      </c>
      <c r="V33" s="4" t="s">
        <v>71</v>
      </c>
      <c r="W33" s="4" t="s">
        <v>3547</v>
      </c>
      <c r="X33" s="262" t="s">
        <v>7775</v>
      </c>
      <c r="Y33" s="262" t="s">
        <v>7776</v>
      </c>
      <c r="Z33" s="262" t="s">
        <v>7777</v>
      </c>
      <c r="AA33" s="262" t="s">
        <v>7778</v>
      </c>
      <c r="AB33" s="103" t="s">
        <v>6125</v>
      </c>
      <c r="AC33" s="103" t="s">
        <v>6126</v>
      </c>
      <c r="AD33" s="103" t="s">
        <v>6127</v>
      </c>
      <c r="AE33" s="103" t="s">
        <v>6128</v>
      </c>
      <c r="AF33" s="103" t="s">
        <v>6129</v>
      </c>
      <c r="AG33" s="103" t="s">
        <v>6130</v>
      </c>
      <c r="AH33" s="262"/>
    </row>
    <row r="34" spans="1:34" ht="14.4">
      <c r="A34" s="2">
        <v>291</v>
      </c>
      <c r="B34" s="294" t="s">
        <v>3656</v>
      </c>
      <c r="C34" s="2">
        <v>981</v>
      </c>
      <c r="D34" s="263" t="s">
        <v>2780</v>
      </c>
      <c r="E34" s="295" t="s">
        <v>2780</v>
      </c>
      <c r="F34" s="296" t="s">
        <v>2781</v>
      </c>
      <c r="G34" s="5" t="s">
        <v>39</v>
      </c>
      <c r="H34" s="280" t="s">
        <v>44</v>
      </c>
      <c r="I34" s="296" t="s">
        <v>3658</v>
      </c>
      <c r="J34" s="296" t="s">
        <v>7804</v>
      </c>
      <c r="K34" s="10" t="s">
        <v>44</v>
      </c>
      <c r="L34" s="296">
        <v>7400480852</v>
      </c>
      <c r="M34" s="9" t="s">
        <v>44</v>
      </c>
      <c r="N34" s="296">
        <v>7400480852</v>
      </c>
      <c r="O34" s="262" t="s">
        <v>2786</v>
      </c>
      <c r="P34" s="10" t="s">
        <v>44</v>
      </c>
      <c r="Q34" s="2" t="s">
        <v>47</v>
      </c>
      <c r="R34" s="101" t="s">
        <v>49</v>
      </c>
      <c r="S34" s="5" t="s">
        <v>2164</v>
      </c>
      <c r="T34" s="5" t="s">
        <v>7773</v>
      </c>
      <c r="U34" s="101" t="s">
        <v>7774</v>
      </c>
      <c r="V34" s="4" t="s">
        <v>71</v>
      </c>
      <c r="W34" s="4" t="s">
        <v>3547</v>
      </c>
      <c r="X34" s="262" t="s">
        <v>7775</v>
      </c>
      <c r="Y34" s="262" t="s">
        <v>7776</v>
      </c>
      <c r="Z34" s="262" t="s">
        <v>7777</v>
      </c>
      <c r="AA34" s="262" t="s">
        <v>7778</v>
      </c>
      <c r="AB34" s="103" t="s">
        <v>6125</v>
      </c>
      <c r="AC34" s="103" t="s">
        <v>6126</v>
      </c>
      <c r="AD34" s="103" t="s">
        <v>6127</v>
      </c>
      <c r="AE34" s="103" t="s">
        <v>6128</v>
      </c>
      <c r="AF34" s="103" t="s">
        <v>6129</v>
      </c>
      <c r="AG34" s="103" t="s">
        <v>6130</v>
      </c>
      <c r="AH34" s="262"/>
    </row>
    <row r="35" spans="1:34" ht="14.4">
      <c r="A35" s="2">
        <v>292</v>
      </c>
      <c r="B35" s="294" t="s">
        <v>3660</v>
      </c>
      <c r="C35" s="2">
        <v>982</v>
      </c>
      <c r="D35" s="295" t="s">
        <v>2780</v>
      </c>
      <c r="E35" s="295" t="s">
        <v>2780</v>
      </c>
      <c r="F35" s="296" t="s">
        <v>2781</v>
      </c>
      <c r="G35" s="5" t="s">
        <v>39</v>
      </c>
      <c r="H35" s="280" t="s">
        <v>44</v>
      </c>
      <c r="I35" s="296" t="s">
        <v>3662</v>
      </c>
      <c r="J35" s="296" t="s">
        <v>7804</v>
      </c>
      <c r="K35" s="10" t="s">
        <v>44</v>
      </c>
      <c r="L35" s="296">
        <v>7400480852</v>
      </c>
      <c r="M35" s="9" t="s">
        <v>44</v>
      </c>
      <c r="N35" s="296">
        <v>7400480852</v>
      </c>
      <c r="O35" s="262" t="s">
        <v>2786</v>
      </c>
      <c r="P35" s="10" t="s">
        <v>44</v>
      </c>
      <c r="Q35" s="2" t="s">
        <v>47</v>
      </c>
      <c r="R35" s="101" t="s">
        <v>49</v>
      </c>
      <c r="S35" s="5" t="s">
        <v>2164</v>
      </c>
      <c r="T35" s="5" t="s">
        <v>7773</v>
      </c>
      <c r="U35" s="101" t="s">
        <v>7774</v>
      </c>
      <c r="V35" s="4" t="s">
        <v>71</v>
      </c>
      <c r="W35" s="4" t="s">
        <v>3547</v>
      </c>
      <c r="X35" s="262" t="s">
        <v>7775</v>
      </c>
      <c r="Y35" s="262" t="s">
        <v>7776</v>
      </c>
      <c r="Z35" s="262" t="s">
        <v>7777</v>
      </c>
      <c r="AA35" s="262" t="s">
        <v>7778</v>
      </c>
      <c r="AB35" s="103" t="s">
        <v>6125</v>
      </c>
      <c r="AC35" s="103" t="s">
        <v>6126</v>
      </c>
      <c r="AD35" s="103" t="s">
        <v>6127</v>
      </c>
      <c r="AE35" s="103" t="s">
        <v>6128</v>
      </c>
      <c r="AF35" s="103" t="s">
        <v>6129</v>
      </c>
      <c r="AG35" s="103" t="s">
        <v>6130</v>
      </c>
      <c r="AH35" s="262"/>
    </row>
    <row r="36" spans="1:34" ht="14.4">
      <c r="A36" s="2">
        <v>293</v>
      </c>
      <c r="B36" s="294" t="s">
        <v>3664</v>
      </c>
      <c r="C36" s="2">
        <v>983</v>
      </c>
      <c r="D36" s="295" t="s">
        <v>2780</v>
      </c>
      <c r="E36" s="295" t="s">
        <v>2780</v>
      </c>
      <c r="F36" s="296" t="s">
        <v>2781</v>
      </c>
      <c r="G36" s="5" t="s">
        <v>39</v>
      </c>
      <c r="H36" s="280" t="s">
        <v>44</v>
      </c>
      <c r="I36" s="296" t="s">
        <v>3666</v>
      </c>
      <c r="J36" s="296" t="s">
        <v>7804</v>
      </c>
      <c r="K36" s="10" t="s">
        <v>44</v>
      </c>
      <c r="L36" s="296">
        <v>7400480852</v>
      </c>
      <c r="M36" s="9" t="s">
        <v>44</v>
      </c>
      <c r="N36" s="296">
        <v>7400480852</v>
      </c>
      <c r="O36" s="262" t="s">
        <v>2786</v>
      </c>
      <c r="P36" s="10" t="s">
        <v>44</v>
      </c>
      <c r="Q36" s="2" t="s">
        <v>47</v>
      </c>
      <c r="R36" s="101" t="s">
        <v>49</v>
      </c>
      <c r="S36" s="5" t="s">
        <v>2164</v>
      </c>
      <c r="T36" s="5" t="s">
        <v>7773</v>
      </c>
      <c r="U36" s="101" t="s">
        <v>7774</v>
      </c>
      <c r="V36" s="4" t="s">
        <v>71</v>
      </c>
      <c r="W36" s="4" t="s">
        <v>3547</v>
      </c>
      <c r="X36" s="262" t="s">
        <v>7775</v>
      </c>
      <c r="Y36" s="262" t="s">
        <v>7776</v>
      </c>
      <c r="Z36" s="262" t="s">
        <v>7777</v>
      </c>
      <c r="AA36" s="262" t="s">
        <v>7778</v>
      </c>
      <c r="AB36" s="103" t="s">
        <v>6125</v>
      </c>
      <c r="AC36" s="103" t="s">
        <v>6126</v>
      </c>
      <c r="AD36" s="103" t="s">
        <v>6127</v>
      </c>
      <c r="AE36" s="103" t="s">
        <v>6128</v>
      </c>
      <c r="AF36" s="103" t="s">
        <v>6129</v>
      </c>
      <c r="AG36" s="103" t="s">
        <v>6130</v>
      </c>
      <c r="AH36" s="262"/>
    </row>
    <row r="37" spans="1:34" ht="14.4">
      <c r="A37" s="2">
        <v>294</v>
      </c>
      <c r="B37" s="294" t="s">
        <v>3668</v>
      </c>
      <c r="C37" s="2">
        <v>984</v>
      </c>
      <c r="D37" s="263" t="s">
        <v>2780</v>
      </c>
      <c r="E37" s="295" t="s">
        <v>2780</v>
      </c>
      <c r="F37" s="296" t="s">
        <v>2781</v>
      </c>
      <c r="G37" s="5" t="s">
        <v>39</v>
      </c>
      <c r="H37" s="280" t="s">
        <v>44</v>
      </c>
      <c r="I37" s="296" t="s">
        <v>3670</v>
      </c>
      <c r="J37" s="296" t="s">
        <v>7804</v>
      </c>
      <c r="K37" s="10" t="s">
        <v>44</v>
      </c>
      <c r="L37" s="296">
        <v>7400480852</v>
      </c>
      <c r="M37" s="9" t="s">
        <v>44</v>
      </c>
      <c r="N37" s="296">
        <v>7400480852</v>
      </c>
      <c r="O37" s="262" t="s">
        <v>2786</v>
      </c>
      <c r="P37" s="10" t="s">
        <v>44</v>
      </c>
      <c r="Q37" s="2" t="s">
        <v>47</v>
      </c>
      <c r="R37" s="101" t="s">
        <v>49</v>
      </c>
      <c r="S37" s="5" t="s">
        <v>2164</v>
      </c>
      <c r="T37" s="5" t="s">
        <v>7773</v>
      </c>
      <c r="U37" s="101" t="s">
        <v>7774</v>
      </c>
      <c r="V37" s="4" t="s">
        <v>71</v>
      </c>
      <c r="W37" s="4" t="s">
        <v>3547</v>
      </c>
      <c r="X37" s="262" t="s">
        <v>7775</v>
      </c>
      <c r="Y37" s="262" t="s">
        <v>7776</v>
      </c>
      <c r="Z37" s="262" t="s">
        <v>7777</v>
      </c>
      <c r="AA37" s="262" t="s">
        <v>7778</v>
      </c>
      <c r="AB37" s="103" t="s">
        <v>6125</v>
      </c>
      <c r="AC37" s="103" t="s">
        <v>6126</v>
      </c>
      <c r="AD37" s="103" t="s">
        <v>6127</v>
      </c>
      <c r="AE37" s="103" t="s">
        <v>6128</v>
      </c>
      <c r="AF37" s="103" t="s">
        <v>6129</v>
      </c>
      <c r="AG37" s="103" t="s">
        <v>6130</v>
      </c>
      <c r="AH37" s="262"/>
    </row>
    <row r="38" spans="1:34" ht="14.4">
      <c r="A38" s="2">
        <v>295</v>
      </c>
      <c r="B38" s="294" t="s">
        <v>3672</v>
      </c>
      <c r="C38" s="2">
        <v>985</v>
      </c>
      <c r="D38" s="263" t="s">
        <v>2780</v>
      </c>
      <c r="E38" s="295" t="s">
        <v>2780</v>
      </c>
      <c r="F38" s="296" t="s">
        <v>2781</v>
      </c>
      <c r="G38" s="5" t="s">
        <v>39</v>
      </c>
      <c r="H38" s="280" t="s">
        <v>44</v>
      </c>
      <c r="I38" s="296" t="s">
        <v>3674</v>
      </c>
      <c r="J38" s="296" t="s">
        <v>7804</v>
      </c>
      <c r="K38" s="10" t="s">
        <v>44</v>
      </c>
      <c r="L38" s="296">
        <v>7400480852</v>
      </c>
      <c r="M38" s="9" t="s">
        <v>44</v>
      </c>
      <c r="N38" s="296">
        <v>7400480852</v>
      </c>
      <c r="O38" s="262" t="s">
        <v>2786</v>
      </c>
      <c r="P38" s="10" t="s">
        <v>44</v>
      </c>
      <c r="Q38" s="2" t="s">
        <v>47</v>
      </c>
      <c r="R38" s="101" t="s">
        <v>49</v>
      </c>
      <c r="S38" s="5" t="s">
        <v>2164</v>
      </c>
      <c r="T38" s="5" t="s">
        <v>7773</v>
      </c>
      <c r="U38" s="101" t="s">
        <v>7774</v>
      </c>
      <c r="V38" s="4" t="s">
        <v>71</v>
      </c>
      <c r="W38" s="4" t="s">
        <v>3547</v>
      </c>
      <c r="X38" s="262" t="s">
        <v>7775</v>
      </c>
      <c r="Y38" s="262" t="s">
        <v>7776</v>
      </c>
      <c r="Z38" s="262" t="s">
        <v>7777</v>
      </c>
      <c r="AA38" s="262" t="s">
        <v>7778</v>
      </c>
      <c r="AB38" s="103" t="s">
        <v>6125</v>
      </c>
      <c r="AC38" s="103" t="s">
        <v>6126</v>
      </c>
      <c r="AD38" s="103" t="s">
        <v>6127</v>
      </c>
      <c r="AE38" s="103" t="s">
        <v>6128</v>
      </c>
      <c r="AF38" s="103" t="s">
        <v>6129</v>
      </c>
      <c r="AG38" s="103" t="s">
        <v>6130</v>
      </c>
      <c r="AH38" s="262"/>
    </row>
    <row r="39" spans="1:34" ht="14.4">
      <c r="A39" s="2">
        <v>296</v>
      </c>
      <c r="B39" s="294" t="s">
        <v>3676</v>
      </c>
      <c r="C39" s="2">
        <v>988</v>
      </c>
      <c r="D39" s="295" t="s">
        <v>2780</v>
      </c>
      <c r="E39" s="295" t="s">
        <v>7805</v>
      </c>
      <c r="F39" s="296" t="s">
        <v>2781</v>
      </c>
      <c r="G39" s="5" t="s">
        <v>39</v>
      </c>
      <c r="H39" s="296" t="s">
        <v>3678</v>
      </c>
      <c r="I39" s="296" t="s">
        <v>3679</v>
      </c>
      <c r="J39" s="296" t="s">
        <v>78</v>
      </c>
      <c r="K39" s="10" t="s">
        <v>44</v>
      </c>
      <c r="L39" s="296">
        <v>9999666099</v>
      </c>
      <c r="M39" s="296">
        <v>9354910501</v>
      </c>
      <c r="N39" s="296">
        <v>9999666099</v>
      </c>
      <c r="O39" s="262" t="s">
        <v>2786</v>
      </c>
      <c r="P39" s="296" t="s">
        <v>3680</v>
      </c>
      <c r="Q39" s="2" t="s">
        <v>47</v>
      </c>
      <c r="R39" s="101" t="s">
        <v>49</v>
      </c>
      <c r="S39" s="5" t="s">
        <v>2164</v>
      </c>
      <c r="T39" s="5" t="s">
        <v>7773</v>
      </c>
      <c r="U39" s="101" t="s">
        <v>7774</v>
      </c>
      <c r="V39" s="4" t="s">
        <v>71</v>
      </c>
      <c r="W39" s="4" t="s">
        <v>3547</v>
      </c>
      <c r="X39" s="262" t="s">
        <v>7775</v>
      </c>
      <c r="Y39" s="262" t="s">
        <v>7776</v>
      </c>
      <c r="Z39" s="262" t="s">
        <v>7777</v>
      </c>
      <c r="AA39" s="262" t="s">
        <v>7778</v>
      </c>
      <c r="AB39" s="103" t="s">
        <v>6125</v>
      </c>
      <c r="AC39" s="103" t="s">
        <v>6126</v>
      </c>
      <c r="AD39" s="103" t="s">
        <v>6127</v>
      </c>
      <c r="AE39" s="103" t="s">
        <v>6128</v>
      </c>
      <c r="AF39" s="103" t="s">
        <v>6129</v>
      </c>
      <c r="AG39" s="103" t="s">
        <v>6130</v>
      </c>
      <c r="AH39" s="262"/>
    </row>
    <row r="40" spans="1:34" ht="14.4">
      <c r="A40" s="2">
        <v>297</v>
      </c>
      <c r="B40" s="294" t="s">
        <v>3681</v>
      </c>
      <c r="C40" s="2">
        <v>969</v>
      </c>
      <c r="D40" s="295" t="s">
        <v>2780</v>
      </c>
      <c r="E40" s="295" t="s">
        <v>7806</v>
      </c>
      <c r="F40" s="296" t="s">
        <v>2781</v>
      </c>
      <c r="G40" s="5" t="s">
        <v>39</v>
      </c>
      <c r="H40" s="296" t="s">
        <v>3683</v>
      </c>
      <c r="I40" s="296" t="s">
        <v>3684</v>
      </c>
      <c r="J40" s="296" t="s">
        <v>78</v>
      </c>
      <c r="K40" s="10" t="s">
        <v>44</v>
      </c>
      <c r="L40" s="296">
        <v>9289900999</v>
      </c>
      <c r="M40" s="9" t="s">
        <v>44</v>
      </c>
      <c r="N40" s="296">
        <v>9289900999</v>
      </c>
      <c r="O40" s="262" t="s">
        <v>2786</v>
      </c>
      <c r="P40" s="296" t="s">
        <v>3685</v>
      </c>
      <c r="Q40" s="2" t="s">
        <v>47</v>
      </c>
      <c r="R40" s="101" t="s">
        <v>49</v>
      </c>
      <c r="S40" s="5" t="s">
        <v>2164</v>
      </c>
      <c r="T40" s="5" t="s">
        <v>7773</v>
      </c>
      <c r="U40" s="101" t="s">
        <v>7774</v>
      </c>
      <c r="V40" s="4" t="s">
        <v>71</v>
      </c>
      <c r="W40" s="4" t="s">
        <v>3547</v>
      </c>
      <c r="X40" s="262" t="s">
        <v>7775</v>
      </c>
      <c r="Y40" s="262" t="s">
        <v>7776</v>
      </c>
      <c r="Z40" s="262" t="s">
        <v>7777</v>
      </c>
      <c r="AA40" s="262" t="s">
        <v>7778</v>
      </c>
      <c r="AB40" s="103" t="s">
        <v>6125</v>
      </c>
      <c r="AC40" s="103" t="s">
        <v>6126</v>
      </c>
      <c r="AD40" s="103" t="s">
        <v>6127</v>
      </c>
      <c r="AE40" s="103" t="s">
        <v>6128</v>
      </c>
      <c r="AF40" s="103" t="s">
        <v>6129</v>
      </c>
      <c r="AG40" s="103" t="s">
        <v>6130</v>
      </c>
      <c r="AH40" s="262"/>
    </row>
    <row r="41" spans="1:34" ht="14.4">
      <c r="A41" s="2">
        <v>298</v>
      </c>
      <c r="B41" s="294" t="s">
        <v>3686</v>
      </c>
      <c r="C41" s="2">
        <v>990</v>
      </c>
      <c r="D41" s="263" t="s">
        <v>2780</v>
      </c>
      <c r="E41" s="295" t="s">
        <v>7807</v>
      </c>
      <c r="F41" s="296" t="s">
        <v>2781</v>
      </c>
      <c r="G41" s="5" t="s">
        <v>39</v>
      </c>
      <c r="H41" s="296" t="s">
        <v>3688</v>
      </c>
      <c r="I41" s="296" t="s">
        <v>3689</v>
      </c>
      <c r="J41" s="296" t="s">
        <v>78</v>
      </c>
      <c r="K41" s="10" t="s">
        <v>44</v>
      </c>
      <c r="L41" s="296" t="s">
        <v>3690</v>
      </c>
      <c r="M41" s="9" t="s">
        <v>44</v>
      </c>
      <c r="N41" s="296" t="s">
        <v>3690</v>
      </c>
      <c r="O41" s="262" t="s">
        <v>2786</v>
      </c>
      <c r="P41" s="296" t="s">
        <v>3691</v>
      </c>
      <c r="Q41" s="2" t="s">
        <v>47</v>
      </c>
      <c r="R41" s="101" t="s">
        <v>49</v>
      </c>
      <c r="S41" s="5" t="s">
        <v>2164</v>
      </c>
      <c r="T41" s="5" t="s">
        <v>7773</v>
      </c>
      <c r="U41" s="101" t="s">
        <v>7774</v>
      </c>
      <c r="V41" s="4" t="s">
        <v>71</v>
      </c>
      <c r="W41" s="4" t="s">
        <v>3547</v>
      </c>
      <c r="X41" s="262" t="s">
        <v>7775</v>
      </c>
      <c r="Y41" s="262" t="s">
        <v>7776</v>
      </c>
      <c r="Z41" s="262" t="s">
        <v>7777</v>
      </c>
      <c r="AA41" s="262" t="s">
        <v>7778</v>
      </c>
      <c r="AB41" s="103" t="s">
        <v>6125</v>
      </c>
      <c r="AC41" s="103" t="s">
        <v>6126</v>
      </c>
      <c r="AD41" s="103" t="s">
        <v>6127</v>
      </c>
      <c r="AE41" s="103" t="s">
        <v>6128</v>
      </c>
      <c r="AF41" s="103" t="s">
        <v>6129</v>
      </c>
      <c r="AG41" s="103" t="s">
        <v>6130</v>
      </c>
      <c r="AH41" s="262"/>
    </row>
    <row r="42" spans="1:34" ht="14.4">
      <c r="A42" s="2">
        <v>299</v>
      </c>
      <c r="B42" s="294" t="s">
        <v>3692</v>
      </c>
      <c r="C42" s="2">
        <v>991</v>
      </c>
      <c r="D42" s="263" t="s">
        <v>2780</v>
      </c>
      <c r="E42" s="295" t="s">
        <v>7808</v>
      </c>
      <c r="F42" s="296" t="s">
        <v>2781</v>
      </c>
      <c r="G42" s="5" t="s">
        <v>39</v>
      </c>
      <c r="H42" s="296" t="s">
        <v>3694</v>
      </c>
      <c r="I42" s="296" t="s">
        <v>3695</v>
      </c>
      <c r="J42" s="296" t="s">
        <v>78</v>
      </c>
      <c r="K42" s="10" t="s">
        <v>44</v>
      </c>
      <c r="L42" s="296" t="s">
        <v>3696</v>
      </c>
      <c r="M42" s="296" t="s">
        <v>7809</v>
      </c>
      <c r="N42" s="296" t="s">
        <v>3696</v>
      </c>
      <c r="O42" s="262" t="s">
        <v>2786</v>
      </c>
      <c r="P42" s="296" t="s">
        <v>3697</v>
      </c>
      <c r="Q42" s="2" t="s">
        <v>47</v>
      </c>
      <c r="R42" s="101" t="s">
        <v>49</v>
      </c>
      <c r="S42" s="5" t="s">
        <v>2164</v>
      </c>
      <c r="T42" s="5" t="s">
        <v>7773</v>
      </c>
      <c r="U42" s="101" t="s">
        <v>7774</v>
      </c>
      <c r="V42" s="4" t="s">
        <v>71</v>
      </c>
      <c r="W42" s="4" t="s">
        <v>3547</v>
      </c>
      <c r="X42" s="262" t="s">
        <v>7775</v>
      </c>
      <c r="Y42" s="262" t="s">
        <v>7776</v>
      </c>
      <c r="Z42" s="262" t="s">
        <v>7777</v>
      </c>
      <c r="AA42" s="262" t="s">
        <v>7778</v>
      </c>
      <c r="AB42" s="103" t="s">
        <v>6125</v>
      </c>
      <c r="AC42" s="103" t="s">
        <v>6126</v>
      </c>
      <c r="AD42" s="103" t="s">
        <v>6127</v>
      </c>
      <c r="AE42" s="103" t="s">
        <v>6128</v>
      </c>
      <c r="AF42" s="103" t="s">
        <v>6129</v>
      </c>
      <c r="AG42" s="103" t="s">
        <v>6130</v>
      </c>
      <c r="AH42" s="262"/>
    </row>
    <row r="43" spans="1:34" ht="14.4">
      <c r="A43" s="2">
        <v>300</v>
      </c>
      <c r="B43" s="294" t="s">
        <v>3698</v>
      </c>
      <c r="C43" s="2">
        <v>992</v>
      </c>
      <c r="D43" s="295" t="s">
        <v>2780</v>
      </c>
      <c r="E43" s="295" t="s">
        <v>7810</v>
      </c>
      <c r="F43" s="296" t="s">
        <v>2781</v>
      </c>
      <c r="G43" s="5" t="s">
        <v>39</v>
      </c>
      <c r="H43" s="296" t="s">
        <v>3700</v>
      </c>
      <c r="I43" s="296" t="s">
        <v>3701</v>
      </c>
      <c r="J43" s="296" t="s">
        <v>78</v>
      </c>
      <c r="K43" s="10" t="s">
        <v>44</v>
      </c>
      <c r="L43" s="296" t="s">
        <v>3702</v>
      </c>
      <c r="M43" s="296">
        <v>9161111152</v>
      </c>
      <c r="N43" s="296" t="s">
        <v>3702</v>
      </c>
      <c r="O43" s="262" t="s">
        <v>2786</v>
      </c>
      <c r="P43" s="296" t="s">
        <v>3703</v>
      </c>
      <c r="Q43" s="2" t="s">
        <v>47</v>
      </c>
      <c r="R43" s="101" t="s">
        <v>49</v>
      </c>
      <c r="S43" s="5" t="s">
        <v>2164</v>
      </c>
      <c r="T43" s="5" t="s">
        <v>7773</v>
      </c>
      <c r="U43" s="101" t="s">
        <v>7774</v>
      </c>
      <c r="V43" s="4" t="s">
        <v>71</v>
      </c>
      <c r="W43" s="4" t="s">
        <v>3547</v>
      </c>
      <c r="X43" s="262" t="s">
        <v>7775</v>
      </c>
      <c r="Y43" s="262" t="s">
        <v>7776</v>
      </c>
      <c r="Z43" s="262" t="s">
        <v>7777</v>
      </c>
      <c r="AA43" s="262" t="s">
        <v>7778</v>
      </c>
      <c r="AB43" s="103" t="s">
        <v>6125</v>
      </c>
      <c r="AC43" s="103" t="s">
        <v>6126</v>
      </c>
      <c r="AD43" s="103" t="s">
        <v>6127</v>
      </c>
      <c r="AE43" s="103" t="s">
        <v>6128</v>
      </c>
      <c r="AF43" s="103" t="s">
        <v>6129</v>
      </c>
      <c r="AG43" s="103" t="s">
        <v>6130</v>
      </c>
      <c r="AH43" s="262"/>
    </row>
    <row r="44" spans="1:34" ht="14.4">
      <c r="A44" s="2">
        <v>301</v>
      </c>
      <c r="B44" s="294" t="s">
        <v>3704</v>
      </c>
      <c r="C44" s="2">
        <v>993</v>
      </c>
      <c r="D44" s="295" t="s">
        <v>2780</v>
      </c>
      <c r="E44" s="295" t="s">
        <v>7811</v>
      </c>
      <c r="F44" s="296" t="s">
        <v>2781</v>
      </c>
      <c r="G44" s="5" t="s">
        <v>39</v>
      </c>
      <c r="H44" s="296" t="s">
        <v>3706</v>
      </c>
      <c r="I44" s="296" t="s">
        <v>3707</v>
      </c>
      <c r="J44" s="296" t="s">
        <v>78</v>
      </c>
      <c r="K44" s="10" t="s">
        <v>44</v>
      </c>
      <c r="L44" s="296" t="s">
        <v>3708</v>
      </c>
      <c r="M44" s="9" t="s">
        <v>44</v>
      </c>
      <c r="N44" s="296" t="s">
        <v>3708</v>
      </c>
      <c r="O44" s="262" t="s">
        <v>2786</v>
      </c>
      <c r="P44" s="296" t="s">
        <v>3709</v>
      </c>
      <c r="Q44" s="2" t="s">
        <v>47</v>
      </c>
      <c r="R44" s="101" t="s">
        <v>49</v>
      </c>
      <c r="S44" s="5" t="s">
        <v>2164</v>
      </c>
      <c r="T44" s="5" t="s">
        <v>7773</v>
      </c>
      <c r="U44" s="101" t="s">
        <v>7774</v>
      </c>
      <c r="V44" s="4" t="s">
        <v>71</v>
      </c>
      <c r="W44" s="4" t="s">
        <v>3547</v>
      </c>
      <c r="X44" s="262" t="s">
        <v>7775</v>
      </c>
      <c r="Y44" s="262" t="s">
        <v>7776</v>
      </c>
      <c r="Z44" s="262" t="s">
        <v>7777</v>
      </c>
      <c r="AA44" s="262" t="s">
        <v>7778</v>
      </c>
      <c r="AB44" s="103" t="s">
        <v>6125</v>
      </c>
      <c r="AC44" s="103" t="s">
        <v>6126</v>
      </c>
      <c r="AD44" s="103" t="s">
        <v>6127</v>
      </c>
      <c r="AE44" s="103" t="s">
        <v>6128</v>
      </c>
      <c r="AF44" s="103" t="s">
        <v>6129</v>
      </c>
      <c r="AG44" s="103" t="s">
        <v>6130</v>
      </c>
      <c r="AH44" s="262"/>
    </row>
    <row r="45" spans="1:34" ht="14.4">
      <c r="A45" s="2">
        <v>302</v>
      </c>
      <c r="B45" s="294" t="s">
        <v>3710</v>
      </c>
      <c r="C45" s="2">
        <v>994</v>
      </c>
      <c r="D45" s="263" t="s">
        <v>2780</v>
      </c>
      <c r="E45" s="295" t="s">
        <v>7812</v>
      </c>
      <c r="F45" s="296" t="s">
        <v>2781</v>
      </c>
      <c r="G45" s="5" t="s">
        <v>39</v>
      </c>
      <c r="H45" s="296" t="s">
        <v>3712</v>
      </c>
      <c r="I45" s="296" t="s">
        <v>3713</v>
      </c>
      <c r="J45" s="296" t="s">
        <v>78</v>
      </c>
      <c r="K45" s="10" t="s">
        <v>44</v>
      </c>
      <c r="L45" s="296" t="s">
        <v>3714</v>
      </c>
      <c r="M45" s="296">
        <v>9781312244</v>
      </c>
      <c r="N45" s="296" t="s">
        <v>3714</v>
      </c>
      <c r="O45" s="262" t="s">
        <v>2786</v>
      </c>
      <c r="P45" s="296" t="s">
        <v>3715</v>
      </c>
      <c r="Q45" s="2" t="s">
        <v>47</v>
      </c>
      <c r="R45" s="101" t="s">
        <v>49</v>
      </c>
      <c r="S45" s="5" t="s">
        <v>2164</v>
      </c>
      <c r="T45" s="5" t="s">
        <v>7773</v>
      </c>
      <c r="U45" s="101" t="s">
        <v>7774</v>
      </c>
      <c r="V45" s="4" t="s">
        <v>71</v>
      </c>
      <c r="W45" s="4" t="s">
        <v>3547</v>
      </c>
      <c r="X45" s="262" t="s">
        <v>7775</v>
      </c>
      <c r="Y45" s="262" t="s">
        <v>7776</v>
      </c>
      <c r="Z45" s="262" t="s">
        <v>7777</v>
      </c>
      <c r="AA45" s="262" t="s">
        <v>7778</v>
      </c>
      <c r="AB45" s="103" t="s">
        <v>6125</v>
      </c>
      <c r="AC45" s="103" t="s">
        <v>6126</v>
      </c>
      <c r="AD45" s="103" t="s">
        <v>6127</v>
      </c>
      <c r="AE45" s="103" t="s">
        <v>6128</v>
      </c>
      <c r="AF45" s="103" t="s">
        <v>6129</v>
      </c>
      <c r="AG45" s="103" t="s">
        <v>6130</v>
      </c>
      <c r="AH45" s="262"/>
    </row>
    <row r="46" spans="1:34" ht="14.4">
      <c r="A46" s="2">
        <v>303</v>
      </c>
      <c r="B46" s="294" t="s">
        <v>3716</v>
      </c>
      <c r="C46" s="2">
        <v>995</v>
      </c>
      <c r="D46" s="263" t="s">
        <v>2780</v>
      </c>
      <c r="E46" s="295" t="s">
        <v>7813</v>
      </c>
      <c r="F46" s="296" t="s">
        <v>2781</v>
      </c>
      <c r="G46" s="5" t="s">
        <v>39</v>
      </c>
      <c r="H46" s="296" t="s">
        <v>3718</v>
      </c>
      <c r="I46" s="296" t="s">
        <v>3719</v>
      </c>
      <c r="J46" s="296" t="s">
        <v>78</v>
      </c>
      <c r="K46" s="10" t="s">
        <v>44</v>
      </c>
      <c r="L46" s="296" t="s">
        <v>3720</v>
      </c>
      <c r="M46" s="9" t="s">
        <v>44</v>
      </c>
      <c r="N46" s="296" t="s">
        <v>3720</v>
      </c>
      <c r="O46" s="262" t="s">
        <v>2786</v>
      </c>
      <c r="P46" s="296" t="s">
        <v>3721</v>
      </c>
      <c r="Q46" s="2" t="s">
        <v>47</v>
      </c>
      <c r="R46" s="101" t="s">
        <v>49</v>
      </c>
      <c r="S46" s="5" t="s">
        <v>2164</v>
      </c>
      <c r="T46" s="5" t="s">
        <v>7773</v>
      </c>
      <c r="U46" s="101" t="s">
        <v>7774</v>
      </c>
      <c r="V46" s="4" t="s">
        <v>71</v>
      </c>
      <c r="W46" s="4" t="s">
        <v>3547</v>
      </c>
      <c r="X46" s="262" t="s">
        <v>7775</v>
      </c>
      <c r="Y46" s="262" t="s">
        <v>7776</v>
      </c>
      <c r="Z46" s="262" t="s">
        <v>7777</v>
      </c>
      <c r="AA46" s="262" t="s">
        <v>7778</v>
      </c>
      <c r="AB46" s="103" t="s">
        <v>6125</v>
      </c>
      <c r="AC46" s="103" t="s">
        <v>6126</v>
      </c>
      <c r="AD46" s="103" t="s">
        <v>6127</v>
      </c>
      <c r="AE46" s="103" t="s">
        <v>6128</v>
      </c>
      <c r="AF46" s="103" t="s">
        <v>6129</v>
      </c>
      <c r="AG46" s="103" t="s">
        <v>6130</v>
      </c>
      <c r="AH46" s="262"/>
    </row>
    <row r="47" spans="1:34" ht="14.4">
      <c r="A47" s="2">
        <v>304</v>
      </c>
      <c r="B47" s="294" t="s">
        <v>3722</v>
      </c>
      <c r="C47" s="2">
        <v>996</v>
      </c>
      <c r="D47" s="295" t="s">
        <v>2780</v>
      </c>
      <c r="E47" s="299" t="s">
        <v>7814</v>
      </c>
      <c r="F47" s="296" t="s">
        <v>2781</v>
      </c>
      <c r="G47" s="5" t="s">
        <v>39</v>
      </c>
      <c r="H47" s="296" t="s">
        <v>3724</v>
      </c>
      <c r="I47" s="296" t="s">
        <v>3725</v>
      </c>
      <c r="J47" s="296" t="s">
        <v>78</v>
      </c>
      <c r="K47" s="10" t="s">
        <v>44</v>
      </c>
      <c r="L47" s="296" t="s">
        <v>3726</v>
      </c>
      <c r="M47" s="9" t="s">
        <v>44</v>
      </c>
      <c r="N47" s="296" t="s">
        <v>3726</v>
      </c>
      <c r="O47" s="262" t="s">
        <v>2786</v>
      </c>
      <c r="P47" s="296" t="s">
        <v>3727</v>
      </c>
      <c r="Q47" s="2" t="s">
        <v>47</v>
      </c>
      <c r="R47" s="101" t="s">
        <v>49</v>
      </c>
      <c r="S47" s="5" t="s">
        <v>2164</v>
      </c>
      <c r="T47" s="5" t="s">
        <v>7773</v>
      </c>
      <c r="U47" s="101" t="s">
        <v>7774</v>
      </c>
      <c r="V47" s="4" t="s">
        <v>71</v>
      </c>
      <c r="W47" s="4" t="s">
        <v>3547</v>
      </c>
      <c r="X47" s="262" t="s">
        <v>7775</v>
      </c>
      <c r="Y47" s="262" t="s">
        <v>7776</v>
      </c>
      <c r="Z47" s="262" t="s">
        <v>7777</v>
      </c>
      <c r="AA47" s="262" t="s">
        <v>7778</v>
      </c>
      <c r="AB47" s="103" t="s">
        <v>6125</v>
      </c>
      <c r="AC47" s="103" t="s">
        <v>6126</v>
      </c>
      <c r="AD47" s="103" t="s">
        <v>6127</v>
      </c>
      <c r="AE47" s="103" t="s">
        <v>6128</v>
      </c>
      <c r="AF47" s="103" t="s">
        <v>6129</v>
      </c>
      <c r="AG47" s="103" t="s">
        <v>6130</v>
      </c>
      <c r="AH47" s="262"/>
    </row>
    <row r="48" spans="1:34" ht="14.4">
      <c r="A48" s="2">
        <v>305</v>
      </c>
      <c r="B48" s="294" t="s">
        <v>3728</v>
      </c>
      <c r="C48" s="2">
        <v>997</v>
      </c>
      <c r="D48" s="295" t="s">
        <v>2780</v>
      </c>
      <c r="E48" s="299" t="s">
        <v>7815</v>
      </c>
      <c r="F48" s="296" t="s">
        <v>2781</v>
      </c>
      <c r="G48" s="5" t="s">
        <v>39</v>
      </c>
      <c r="H48" s="296" t="s">
        <v>3730</v>
      </c>
      <c r="I48" s="296" t="s">
        <v>3731</v>
      </c>
      <c r="J48" s="296" t="s">
        <v>78</v>
      </c>
      <c r="K48" s="10" t="s">
        <v>44</v>
      </c>
      <c r="L48" s="296" t="s">
        <v>3732</v>
      </c>
      <c r="M48" s="9" t="s">
        <v>44</v>
      </c>
      <c r="N48" s="296" t="s">
        <v>3732</v>
      </c>
      <c r="O48" s="262" t="s">
        <v>2786</v>
      </c>
      <c r="P48" s="296" t="s">
        <v>3733</v>
      </c>
      <c r="Q48" s="2" t="s">
        <v>47</v>
      </c>
      <c r="R48" s="101" t="s">
        <v>49</v>
      </c>
      <c r="S48" s="5" t="s">
        <v>2164</v>
      </c>
      <c r="T48" s="5" t="s">
        <v>7773</v>
      </c>
      <c r="U48" s="101" t="s">
        <v>7774</v>
      </c>
      <c r="V48" s="4" t="s">
        <v>71</v>
      </c>
      <c r="W48" s="4" t="s">
        <v>3547</v>
      </c>
      <c r="X48" s="262" t="s">
        <v>7775</v>
      </c>
      <c r="Y48" s="262" t="s">
        <v>7776</v>
      </c>
      <c r="Z48" s="262" t="s">
        <v>7777</v>
      </c>
      <c r="AA48" s="262" t="s">
        <v>7778</v>
      </c>
      <c r="AB48" s="103" t="s">
        <v>6125</v>
      </c>
      <c r="AC48" s="103" t="s">
        <v>6126</v>
      </c>
      <c r="AD48" s="103" t="s">
        <v>6127</v>
      </c>
      <c r="AE48" s="103" t="s">
        <v>6128</v>
      </c>
      <c r="AF48" s="103" t="s">
        <v>6129</v>
      </c>
      <c r="AG48" s="103" t="s">
        <v>6130</v>
      </c>
      <c r="AH48" s="262"/>
    </row>
    <row r="49" spans="1:34" ht="14.4">
      <c r="A49" s="2">
        <v>306</v>
      </c>
      <c r="B49" s="294" t="s">
        <v>3734</v>
      </c>
      <c r="C49" s="2">
        <v>998</v>
      </c>
      <c r="D49" s="263" t="s">
        <v>2780</v>
      </c>
      <c r="E49" s="299" t="s">
        <v>7816</v>
      </c>
      <c r="F49" s="296" t="s">
        <v>2781</v>
      </c>
      <c r="G49" s="5" t="s">
        <v>39</v>
      </c>
      <c r="H49" s="296" t="s">
        <v>3736</v>
      </c>
      <c r="I49" s="296" t="s">
        <v>3737</v>
      </c>
      <c r="J49" s="296" t="s">
        <v>78</v>
      </c>
      <c r="K49" s="10" t="s">
        <v>44</v>
      </c>
      <c r="L49" s="296" t="s">
        <v>3738</v>
      </c>
      <c r="M49" s="9" t="s">
        <v>44</v>
      </c>
      <c r="N49" s="296" t="s">
        <v>3738</v>
      </c>
      <c r="O49" s="262" t="s">
        <v>2786</v>
      </c>
      <c r="P49" s="296" t="s">
        <v>3739</v>
      </c>
      <c r="Q49" s="2" t="s">
        <v>47</v>
      </c>
      <c r="R49" s="101" t="s">
        <v>49</v>
      </c>
      <c r="S49" s="5" t="s">
        <v>2164</v>
      </c>
      <c r="T49" s="5" t="s">
        <v>7773</v>
      </c>
      <c r="U49" s="101" t="s">
        <v>7774</v>
      </c>
      <c r="V49" s="4" t="s">
        <v>71</v>
      </c>
      <c r="W49" s="4" t="s">
        <v>3547</v>
      </c>
      <c r="X49" s="262" t="s">
        <v>7775</v>
      </c>
      <c r="Y49" s="262" t="s">
        <v>7776</v>
      </c>
      <c r="Z49" s="262" t="s">
        <v>7777</v>
      </c>
      <c r="AA49" s="262" t="s">
        <v>7778</v>
      </c>
      <c r="AB49" s="103" t="s">
        <v>6125</v>
      </c>
      <c r="AC49" s="103" t="s">
        <v>6126</v>
      </c>
      <c r="AD49" s="103" t="s">
        <v>6127</v>
      </c>
      <c r="AE49" s="103" t="s">
        <v>6128</v>
      </c>
      <c r="AF49" s="103" t="s">
        <v>6129</v>
      </c>
      <c r="AG49" s="103" t="s">
        <v>6130</v>
      </c>
      <c r="AH49" s="262"/>
    </row>
    <row r="50" spans="1:34" ht="14.4">
      <c r="A50" s="2">
        <v>307</v>
      </c>
      <c r="B50" s="294" t="s">
        <v>3740</v>
      </c>
      <c r="C50" s="2">
        <v>999</v>
      </c>
      <c r="D50" s="263" t="s">
        <v>2780</v>
      </c>
      <c r="E50" s="10" t="s">
        <v>2780</v>
      </c>
      <c r="F50" s="296" t="s">
        <v>2781</v>
      </c>
      <c r="G50" s="5" t="s">
        <v>39</v>
      </c>
      <c r="H50" s="296" t="s">
        <v>3742</v>
      </c>
      <c r="I50" s="296" t="s">
        <v>3743</v>
      </c>
      <c r="J50" s="296" t="s">
        <v>78</v>
      </c>
      <c r="K50" s="10" t="s">
        <v>44</v>
      </c>
      <c r="L50" s="296" t="s">
        <v>3744</v>
      </c>
      <c r="M50" s="9" t="s">
        <v>44</v>
      </c>
      <c r="N50" s="296" t="s">
        <v>3744</v>
      </c>
      <c r="O50" s="262" t="s">
        <v>2786</v>
      </c>
      <c r="P50" s="296" t="s">
        <v>3745</v>
      </c>
      <c r="Q50" s="2" t="s">
        <v>47</v>
      </c>
      <c r="R50" s="101" t="s">
        <v>49</v>
      </c>
      <c r="S50" s="5" t="s">
        <v>2164</v>
      </c>
      <c r="T50" s="5" t="s">
        <v>7773</v>
      </c>
      <c r="U50" s="101" t="s">
        <v>7774</v>
      </c>
      <c r="V50" s="4" t="s">
        <v>71</v>
      </c>
      <c r="W50" s="4" t="s">
        <v>3547</v>
      </c>
      <c r="X50" s="262" t="s">
        <v>7775</v>
      </c>
      <c r="Y50" s="262" t="s">
        <v>7776</v>
      </c>
      <c r="Z50" s="262" t="s">
        <v>7777</v>
      </c>
      <c r="AA50" s="262" t="s">
        <v>7778</v>
      </c>
      <c r="AB50" s="103" t="s">
        <v>6125</v>
      </c>
      <c r="AC50" s="103" t="s">
        <v>6126</v>
      </c>
      <c r="AD50" s="103" t="s">
        <v>6127</v>
      </c>
      <c r="AE50" s="103" t="s">
        <v>6128</v>
      </c>
      <c r="AF50" s="103" t="s">
        <v>6129</v>
      </c>
      <c r="AG50" s="103" t="s">
        <v>6130</v>
      </c>
      <c r="AH50" s="262"/>
    </row>
    <row r="51" spans="1:34" ht="14.4">
      <c r="A51" s="2">
        <v>308</v>
      </c>
      <c r="B51" s="294" t="s">
        <v>3746</v>
      </c>
      <c r="C51" s="2">
        <v>1000</v>
      </c>
      <c r="D51" s="295" t="s">
        <v>2780</v>
      </c>
      <c r="E51" s="295" t="s">
        <v>7817</v>
      </c>
      <c r="F51" s="296" t="s">
        <v>2781</v>
      </c>
      <c r="G51" s="5" t="s">
        <v>39</v>
      </c>
      <c r="H51" s="296" t="s">
        <v>3748</v>
      </c>
      <c r="I51" s="296" t="s">
        <v>3749</v>
      </c>
      <c r="J51" s="296" t="s">
        <v>42</v>
      </c>
      <c r="K51" s="10" t="s">
        <v>44</v>
      </c>
      <c r="L51" s="296" t="s">
        <v>3750</v>
      </c>
      <c r="M51" s="296" t="s">
        <v>7818</v>
      </c>
      <c r="N51" s="296" t="s">
        <v>3750</v>
      </c>
      <c r="O51" s="262" t="s">
        <v>2786</v>
      </c>
      <c r="P51" s="296" t="s">
        <v>3751</v>
      </c>
      <c r="Q51" s="2" t="s">
        <v>47</v>
      </c>
      <c r="R51" s="101" t="s">
        <v>49</v>
      </c>
      <c r="S51" s="5" t="s">
        <v>2164</v>
      </c>
      <c r="T51" s="5" t="s">
        <v>7773</v>
      </c>
      <c r="U51" s="101" t="s">
        <v>7774</v>
      </c>
      <c r="V51" s="4" t="s">
        <v>71</v>
      </c>
      <c r="W51" s="4" t="s">
        <v>3547</v>
      </c>
      <c r="X51" s="262" t="s">
        <v>7775</v>
      </c>
      <c r="Y51" s="262" t="s">
        <v>7776</v>
      </c>
      <c r="Z51" s="262" t="s">
        <v>7777</v>
      </c>
      <c r="AA51" s="262" t="s">
        <v>7778</v>
      </c>
      <c r="AB51" s="103" t="s">
        <v>6125</v>
      </c>
      <c r="AC51" s="103" t="s">
        <v>6126</v>
      </c>
      <c r="AD51" s="103" t="s">
        <v>6127</v>
      </c>
      <c r="AE51" s="103" t="s">
        <v>6128</v>
      </c>
      <c r="AF51" s="103" t="s">
        <v>6129</v>
      </c>
      <c r="AG51" s="103" t="s">
        <v>6130</v>
      </c>
      <c r="AH51" s="262"/>
    </row>
    <row r="52" spans="1:34" ht="14.4">
      <c r="A52" s="2">
        <v>309</v>
      </c>
      <c r="B52" s="294" t="s">
        <v>3752</v>
      </c>
      <c r="C52" s="2">
        <v>1001</v>
      </c>
      <c r="D52" s="295" t="s">
        <v>2780</v>
      </c>
      <c r="E52" s="10" t="s">
        <v>2780</v>
      </c>
      <c r="F52" s="296" t="s">
        <v>2781</v>
      </c>
      <c r="G52" s="5" t="s">
        <v>39</v>
      </c>
      <c r="H52" s="296" t="s">
        <v>3754</v>
      </c>
      <c r="I52" s="296" t="s">
        <v>3755</v>
      </c>
      <c r="J52" s="296" t="s">
        <v>42</v>
      </c>
      <c r="K52" s="10" t="s">
        <v>44</v>
      </c>
      <c r="L52" s="296" t="s">
        <v>3756</v>
      </c>
      <c r="M52" s="296" t="s">
        <v>7819</v>
      </c>
      <c r="N52" s="296" t="s">
        <v>3756</v>
      </c>
      <c r="O52" s="262" t="s">
        <v>2786</v>
      </c>
      <c r="P52" s="296" t="s">
        <v>3757</v>
      </c>
      <c r="Q52" s="2" t="s">
        <v>47</v>
      </c>
      <c r="R52" s="101" t="s">
        <v>49</v>
      </c>
      <c r="S52" s="5" t="s">
        <v>2164</v>
      </c>
      <c r="T52" s="5" t="s">
        <v>7773</v>
      </c>
      <c r="U52" s="101" t="s">
        <v>7774</v>
      </c>
      <c r="V52" s="4" t="s">
        <v>71</v>
      </c>
      <c r="W52" s="4" t="s">
        <v>3547</v>
      </c>
      <c r="X52" s="262" t="s">
        <v>7775</v>
      </c>
      <c r="Y52" s="262" t="s">
        <v>7776</v>
      </c>
      <c r="Z52" s="262" t="s">
        <v>7777</v>
      </c>
      <c r="AA52" s="262" t="s">
        <v>7778</v>
      </c>
      <c r="AB52" s="103" t="s">
        <v>6125</v>
      </c>
      <c r="AC52" s="103" t="s">
        <v>6126</v>
      </c>
      <c r="AD52" s="103" t="s">
        <v>6127</v>
      </c>
      <c r="AE52" s="103" t="s">
        <v>6128</v>
      </c>
      <c r="AF52" s="103" t="s">
        <v>6129</v>
      </c>
      <c r="AG52" s="103" t="s">
        <v>6130</v>
      </c>
      <c r="AH52" s="262"/>
    </row>
    <row r="53" spans="1:34" ht="14.4">
      <c r="A53" s="2">
        <v>310</v>
      </c>
      <c r="B53" s="294" t="s">
        <v>3758</v>
      </c>
      <c r="C53" s="2">
        <v>1002</v>
      </c>
      <c r="D53" s="263" t="s">
        <v>2780</v>
      </c>
      <c r="E53" s="299" t="s">
        <v>7820</v>
      </c>
      <c r="F53" s="296" t="s">
        <v>2781</v>
      </c>
      <c r="G53" s="5" t="s">
        <v>39</v>
      </c>
      <c r="H53" s="296" t="s">
        <v>3760</v>
      </c>
      <c r="I53" s="296" t="s">
        <v>3761</v>
      </c>
      <c r="J53" s="296" t="s">
        <v>507</v>
      </c>
      <c r="K53" s="10" t="s">
        <v>44</v>
      </c>
      <c r="L53" s="296" t="s">
        <v>3762</v>
      </c>
      <c r="M53" s="9" t="s">
        <v>44</v>
      </c>
      <c r="N53" s="296" t="s">
        <v>3762</v>
      </c>
      <c r="O53" s="262" t="s">
        <v>2786</v>
      </c>
      <c r="P53" s="296" t="s">
        <v>3763</v>
      </c>
      <c r="Q53" s="2" t="s">
        <v>47</v>
      </c>
      <c r="R53" s="101" t="s">
        <v>49</v>
      </c>
      <c r="S53" s="5" t="s">
        <v>2164</v>
      </c>
      <c r="T53" s="5" t="s">
        <v>7773</v>
      </c>
      <c r="U53" s="101" t="s">
        <v>7774</v>
      </c>
      <c r="V53" s="4" t="s">
        <v>71</v>
      </c>
      <c r="W53" s="4" t="s">
        <v>3547</v>
      </c>
      <c r="X53" s="262" t="s">
        <v>7775</v>
      </c>
      <c r="Y53" s="262" t="s">
        <v>7776</v>
      </c>
      <c r="Z53" s="262" t="s">
        <v>7777</v>
      </c>
      <c r="AA53" s="262" t="s">
        <v>7778</v>
      </c>
      <c r="AB53" s="103" t="s">
        <v>6125</v>
      </c>
      <c r="AC53" s="103" t="s">
        <v>6126</v>
      </c>
      <c r="AD53" s="103" t="s">
        <v>6127</v>
      </c>
      <c r="AE53" s="103" t="s">
        <v>6128</v>
      </c>
      <c r="AF53" s="103" t="s">
        <v>6129</v>
      </c>
      <c r="AG53" s="103" t="s">
        <v>6130</v>
      </c>
      <c r="AH53" s="262"/>
    </row>
    <row r="54" spans="1:34" ht="14.4">
      <c r="A54" s="2">
        <v>311</v>
      </c>
      <c r="B54" s="294" t="s">
        <v>3764</v>
      </c>
      <c r="C54" s="2">
        <v>1003</v>
      </c>
      <c r="D54" s="263" t="s">
        <v>2780</v>
      </c>
      <c r="E54" s="10" t="s">
        <v>2780</v>
      </c>
      <c r="F54" s="296" t="s">
        <v>2781</v>
      </c>
      <c r="G54" s="5" t="s">
        <v>39</v>
      </c>
      <c r="H54" s="296" t="s">
        <v>3766</v>
      </c>
      <c r="I54" s="296" t="s">
        <v>3767</v>
      </c>
      <c r="J54" s="296" t="s">
        <v>507</v>
      </c>
      <c r="K54" s="10" t="s">
        <v>44</v>
      </c>
      <c r="L54" s="296" t="s">
        <v>3768</v>
      </c>
      <c r="M54" s="9" t="s">
        <v>44</v>
      </c>
      <c r="N54" s="296" t="s">
        <v>3768</v>
      </c>
      <c r="O54" s="262" t="s">
        <v>2786</v>
      </c>
      <c r="P54" s="296" t="s">
        <v>3769</v>
      </c>
      <c r="Q54" s="2" t="s">
        <v>47</v>
      </c>
      <c r="R54" s="101" t="s">
        <v>49</v>
      </c>
      <c r="S54" s="5" t="s">
        <v>2164</v>
      </c>
      <c r="T54" s="5" t="s">
        <v>7773</v>
      </c>
      <c r="U54" s="101" t="s">
        <v>7774</v>
      </c>
      <c r="V54" s="4" t="s">
        <v>71</v>
      </c>
      <c r="W54" s="4" t="s">
        <v>3547</v>
      </c>
      <c r="X54" s="262" t="s">
        <v>7775</v>
      </c>
      <c r="Y54" s="262" t="s">
        <v>7776</v>
      </c>
      <c r="Z54" s="262" t="s">
        <v>7777</v>
      </c>
      <c r="AA54" s="262" t="s">
        <v>7778</v>
      </c>
      <c r="AB54" s="103" t="s">
        <v>6125</v>
      </c>
      <c r="AC54" s="103" t="s">
        <v>6126</v>
      </c>
      <c r="AD54" s="103" t="s">
        <v>6127</v>
      </c>
      <c r="AE54" s="103" t="s">
        <v>6128</v>
      </c>
      <c r="AF54" s="103" t="s">
        <v>6129</v>
      </c>
      <c r="AG54" s="103" t="s">
        <v>6130</v>
      </c>
      <c r="AH54" s="262"/>
    </row>
    <row r="55" spans="1:34" ht="14.4">
      <c r="A55" s="2">
        <v>312</v>
      </c>
      <c r="B55" s="294" t="s">
        <v>3817</v>
      </c>
      <c r="C55" s="2">
        <v>1048</v>
      </c>
      <c r="D55" s="295" t="s">
        <v>2780</v>
      </c>
      <c r="E55" s="300" t="s">
        <v>7821</v>
      </c>
      <c r="F55" s="296" t="s">
        <v>2781</v>
      </c>
      <c r="G55" s="5" t="s">
        <v>39</v>
      </c>
      <c r="H55" s="296" t="s">
        <v>7822</v>
      </c>
      <c r="I55" s="296" t="s">
        <v>3820</v>
      </c>
      <c r="J55" s="296" t="s">
        <v>507</v>
      </c>
      <c r="K55" s="10" t="s">
        <v>44</v>
      </c>
      <c r="L55" s="296" t="s">
        <v>3774</v>
      </c>
      <c r="M55" s="9" t="s">
        <v>44</v>
      </c>
      <c r="N55" s="296" t="s">
        <v>3774</v>
      </c>
      <c r="O55" s="262" t="s">
        <v>2786</v>
      </c>
      <c r="P55" s="296" t="s">
        <v>7823</v>
      </c>
      <c r="Q55" s="2" t="s">
        <v>47</v>
      </c>
      <c r="R55" s="101" t="s">
        <v>49</v>
      </c>
      <c r="S55" s="5" t="s">
        <v>2164</v>
      </c>
      <c r="T55" s="5" t="s">
        <v>7773</v>
      </c>
      <c r="U55" s="101" t="s">
        <v>7774</v>
      </c>
      <c r="V55" s="4" t="s">
        <v>71</v>
      </c>
      <c r="W55" s="4" t="s">
        <v>3547</v>
      </c>
      <c r="X55" s="262" t="s">
        <v>7775</v>
      </c>
      <c r="Y55" s="262" t="s">
        <v>7776</v>
      </c>
      <c r="Z55" s="262" t="s">
        <v>7777</v>
      </c>
      <c r="AA55" s="262" t="s">
        <v>7778</v>
      </c>
      <c r="AB55" s="103" t="s">
        <v>6125</v>
      </c>
      <c r="AC55" s="103" t="s">
        <v>6126</v>
      </c>
      <c r="AD55" s="103" t="s">
        <v>6127</v>
      </c>
      <c r="AE55" s="103" t="s">
        <v>6128</v>
      </c>
      <c r="AF55" s="103" t="s">
        <v>6129</v>
      </c>
      <c r="AG55" s="103" t="s">
        <v>6130</v>
      </c>
      <c r="AH55" s="262"/>
    </row>
    <row r="56" spans="1:34" ht="14.4">
      <c r="A56" s="2">
        <v>313</v>
      </c>
      <c r="B56" s="294" t="s">
        <v>3770</v>
      </c>
      <c r="C56" s="2">
        <v>1004</v>
      </c>
      <c r="D56" s="295" t="s">
        <v>2780</v>
      </c>
      <c r="E56" s="10" t="s">
        <v>2780</v>
      </c>
      <c r="F56" s="296" t="s">
        <v>2781</v>
      </c>
      <c r="G56" s="5" t="s">
        <v>39</v>
      </c>
      <c r="H56" s="296" t="s">
        <v>3772</v>
      </c>
      <c r="I56" s="296" t="s">
        <v>3773</v>
      </c>
      <c r="J56" s="296" t="s">
        <v>507</v>
      </c>
      <c r="K56" s="10" t="s">
        <v>44</v>
      </c>
      <c r="L56" s="296" t="s">
        <v>3774</v>
      </c>
      <c r="M56" s="9" t="s">
        <v>44</v>
      </c>
      <c r="N56" s="296" t="s">
        <v>3774</v>
      </c>
      <c r="O56" s="262" t="s">
        <v>2786</v>
      </c>
      <c r="P56" s="296" t="s">
        <v>3775</v>
      </c>
      <c r="Q56" s="2" t="s">
        <v>47</v>
      </c>
      <c r="R56" s="101" t="s">
        <v>49</v>
      </c>
      <c r="S56" s="5" t="s">
        <v>2164</v>
      </c>
      <c r="T56" s="5" t="s">
        <v>7773</v>
      </c>
      <c r="U56" s="101" t="s">
        <v>7774</v>
      </c>
      <c r="V56" s="4" t="s">
        <v>71</v>
      </c>
      <c r="W56" s="4" t="s">
        <v>3547</v>
      </c>
      <c r="X56" s="262" t="s">
        <v>7775</v>
      </c>
      <c r="Y56" s="262" t="s">
        <v>7776</v>
      </c>
      <c r="Z56" s="262" t="s">
        <v>7777</v>
      </c>
      <c r="AA56" s="262" t="s">
        <v>7778</v>
      </c>
      <c r="AB56" s="103" t="s">
        <v>6125</v>
      </c>
      <c r="AC56" s="103" t="s">
        <v>6126</v>
      </c>
      <c r="AD56" s="103" t="s">
        <v>6127</v>
      </c>
      <c r="AE56" s="103" t="s">
        <v>6128</v>
      </c>
      <c r="AF56" s="103" t="s">
        <v>6129</v>
      </c>
      <c r="AG56" s="103" t="s">
        <v>6130</v>
      </c>
      <c r="AH56" s="262"/>
    </row>
    <row r="57" spans="1:34" ht="14.4">
      <c r="A57" s="2">
        <v>314</v>
      </c>
      <c r="B57" s="294" t="s">
        <v>3776</v>
      </c>
      <c r="C57" s="2">
        <v>1008</v>
      </c>
      <c r="D57" s="263" t="s">
        <v>2780</v>
      </c>
      <c r="E57" s="295" t="s">
        <v>7824</v>
      </c>
      <c r="F57" s="296" t="s">
        <v>2781</v>
      </c>
      <c r="G57" s="5" t="s">
        <v>39</v>
      </c>
      <c r="H57" s="296" t="s">
        <v>3778</v>
      </c>
      <c r="I57" s="296" t="s">
        <v>3779</v>
      </c>
      <c r="J57" s="296" t="s">
        <v>507</v>
      </c>
      <c r="K57" s="10" t="s">
        <v>44</v>
      </c>
      <c r="L57" s="296" t="s">
        <v>7825</v>
      </c>
      <c r="M57" s="9" t="s">
        <v>44</v>
      </c>
      <c r="N57" s="296" t="s">
        <v>7825</v>
      </c>
      <c r="O57" s="262" t="s">
        <v>2786</v>
      </c>
      <c r="P57" s="10" t="s">
        <v>44</v>
      </c>
      <c r="Q57" s="2" t="s">
        <v>47</v>
      </c>
      <c r="R57" s="101" t="s">
        <v>49</v>
      </c>
      <c r="S57" s="5" t="s">
        <v>2164</v>
      </c>
      <c r="T57" s="5" t="s">
        <v>7773</v>
      </c>
      <c r="U57" s="101" t="s">
        <v>7774</v>
      </c>
      <c r="V57" s="4" t="s">
        <v>71</v>
      </c>
      <c r="W57" s="4" t="s">
        <v>3547</v>
      </c>
      <c r="X57" s="262" t="s">
        <v>7775</v>
      </c>
      <c r="Y57" s="262" t="s">
        <v>7776</v>
      </c>
      <c r="Z57" s="262" t="s">
        <v>7777</v>
      </c>
      <c r="AA57" s="262" t="s">
        <v>7778</v>
      </c>
      <c r="AB57" s="103" t="s">
        <v>6125</v>
      </c>
      <c r="AC57" s="103" t="s">
        <v>6126</v>
      </c>
      <c r="AD57" s="103" t="s">
        <v>6127</v>
      </c>
      <c r="AE57" s="103" t="s">
        <v>6128</v>
      </c>
      <c r="AF57" s="103" t="s">
        <v>6129</v>
      </c>
      <c r="AG57" s="103" t="s">
        <v>6130</v>
      </c>
      <c r="AH57" s="262"/>
    </row>
    <row r="58" spans="1:34" ht="14.4">
      <c r="A58" s="2">
        <v>315</v>
      </c>
      <c r="B58" s="294" t="s">
        <v>3781</v>
      </c>
      <c r="C58" s="2">
        <v>1005</v>
      </c>
      <c r="D58" s="263" t="s">
        <v>2780</v>
      </c>
      <c r="E58" s="295" t="s">
        <v>7826</v>
      </c>
      <c r="F58" s="296" t="s">
        <v>2781</v>
      </c>
      <c r="G58" s="5" t="s">
        <v>39</v>
      </c>
      <c r="H58" s="296" t="s">
        <v>3783</v>
      </c>
      <c r="I58" s="296" t="s">
        <v>3784</v>
      </c>
      <c r="J58" s="296" t="s">
        <v>507</v>
      </c>
      <c r="K58" s="10" t="s">
        <v>44</v>
      </c>
      <c r="L58" s="296" t="s">
        <v>3785</v>
      </c>
      <c r="M58" s="9" t="s">
        <v>44</v>
      </c>
      <c r="N58" s="296" t="s">
        <v>3785</v>
      </c>
      <c r="O58" s="262" t="s">
        <v>2786</v>
      </c>
      <c r="P58" s="296" t="s">
        <v>3786</v>
      </c>
      <c r="Q58" s="2" t="s">
        <v>47</v>
      </c>
      <c r="R58" s="101" t="s">
        <v>49</v>
      </c>
      <c r="S58" s="5" t="s">
        <v>2164</v>
      </c>
      <c r="T58" s="5" t="s">
        <v>7773</v>
      </c>
      <c r="U58" s="101" t="s">
        <v>7774</v>
      </c>
      <c r="V58" s="4" t="s">
        <v>71</v>
      </c>
      <c r="W58" s="4" t="s">
        <v>3547</v>
      </c>
      <c r="X58" s="262" t="s">
        <v>7775</v>
      </c>
      <c r="Y58" s="262" t="s">
        <v>7776</v>
      </c>
      <c r="Z58" s="262" t="s">
        <v>7777</v>
      </c>
      <c r="AA58" s="262" t="s">
        <v>7778</v>
      </c>
      <c r="AB58" s="103" t="s">
        <v>6125</v>
      </c>
      <c r="AC58" s="103" t="s">
        <v>6126</v>
      </c>
      <c r="AD58" s="103" t="s">
        <v>6127</v>
      </c>
      <c r="AE58" s="103" t="s">
        <v>6128</v>
      </c>
      <c r="AF58" s="103" t="s">
        <v>6129</v>
      </c>
      <c r="AG58" s="103" t="s">
        <v>6130</v>
      </c>
      <c r="AH58" s="262"/>
    </row>
    <row r="59" spans="1:34" ht="14.4">
      <c r="A59" s="2">
        <v>316</v>
      </c>
      <c r="B59" s="294" t="s">
        <v>3787</v>
      </c>
      <c r="C59" s="2">
        <v>1006</v>
      </c>
      <c r="D59" s="295" t="s">
        <v>2780</v>
      </c>
      <c r="E59" s="295" t="s">
        <v>7827</v>
      </c>
      <c r="F59" s="296" t="s">
        <v>2781</v>
      </c>
      <c r="G59" s="5" t="s">
        <v>39</v>
      </c>
      <c r="H59" s="296" t="s">
        <v>3789</v>
      </c>
      <c r="I59" s="296" t="s">
        <v>3790</v>
      </c>
      <c r="J59" s="296" t="s">
        <v>191</v>
      </c>
      <c r="K59" s="10" t="s">
        <v>44</v>
      </c>
      <c r="L59" s="296" t="s">
        <v>3791</v>
      </c>
      <c r="M59" s="296">
        <v>9370313451</v>
      </c>
      <c r="N59" s="296" t="s">
        <v>3791</v>
      </c>
      <c r="O59" s="262" t="s">
        <v>2786</v>
      </c>
      <c r="P59" s="296" t="s">
        <v>3792</v>
      </c>
      <c r="Q59" s="2" t="s">
        <v>47</v>
      </c>
      <c r="R59" s="101" t="s">
        <v>49</v>
      </c>
      <c r="S59" s="5" t="s">
        <v>2164</v>
      </c>
      <c r="T59" s="5" t="s">
        <v>7773</v>
      </c>
      <c r="U59" s="101" t="s">
        <v>7774</v>
      </c>
      <c r="V59" s="4" t="s">
        <v>71</v>
      </c>
      <c r="W59" s="4" t="s">
        <v>3547</v>
      </c>
      <c r="X59" s="262" t="s">
        <v>7775</v>
      </c>
      <c r="Y59" s="262" t="s">
        <v>7776</v>
      </c>
      <c r="Z59" s="262" t="s">
        <v>7777</v>
      </c>
      <c r="AA59" s="262" t="s">
        <v>7778</v>
      </c>
      <c r="AB59" s="103" t="s">
        <v>6125</v>
      </c>
      <c r="AC59" s="103" t="s">
        <v>6126</v>
      </c>
      <c r="AD59" s="103" t="s">
        <v>6127</v>
      </c>
      <c r="AE59" s="103" t="s">
        <v>6128</v>
      </c>
      <c r="AF59" s="103" t="s">
        <v>6129</v>
      </c>
      <c r="AG59" s="103" t="s">
        <v>6130</v>
      </c>
      <c r="AH59" s="262"/>
    </row>
    <row r="60" spans="1:34" ht="16.8">
      <c r="A60" s="2">
        <v>317</v>
      </c>
      <c r="B60" s="294" t="s">
        <v>3793</v>
      </c>
      <c r="C60" s="2">
        <v>1042</v>
      </c>
      <c r="D60" s="295" t="s">
        <v>2780</v>
      </c>
      <c r="E60" s="10" t="s">
        <v>2780</v>
      </c>
      <c r="F60" s="296" t="s">
        <v>2781</v>
      </c>
      <c r="G60" s="5" t="s">
        <v>39</v>
      </c>
      <c r="H60" s="298" t="s">
        <v>3795</v>
      </c>
      <c r="I60" s="298" t="s">
        <v>3796</v>
      </c>
      <c r="J60" s="298" t="s">
        <v>42</v>
      </c>
      <c r="K60" s="10" t="s">
        <v>44</v>
      </c>
      <c r="L60" s="280">
        <v>860332787</v>
      </c>
      <c r="M60" s="9" t="s">
        <v>44</v>
      </c>
      <c r="N60" s="280">
        <v>860332787</v>
      </c>
      <c r="O60" s="262" t="s">
        <v>2786</v>
      </c>
      <c r="P60" s="10" t="s">
        <v>44</v>
      </c>
      <c r="Q60" s="2" t="s">
        <v>47</v>
      </c>
      <c r="R60" s="101" t="s">
        <v>49</v>
      </c>
      <c r="S60" s="5" t="s">
        <v>2164</v>
      </c>
      <c r="T60" s="5" t="s">
        <v>7773</v>
      </c>
      <c r="U60" s="101" t="s">
        <v>7774</v>
      </c>
      <c r="V60" s="4" t="s">
        <v>71</v>
      </c>
      <c r="W60" s="4" t="s">
        <v>3547</v>
      </c>
      <c r="X60" s="262" t="s">
        <v>7775</v>
      </c>
      <c r="Y60" s="262" t="s">
        <v>7776</v>
      </c>
      <c r="Z60" s="262" t="s">
        <v>7777</v>
      </c>
      <c r="AA60" s="262" t="s">
        <v>7778</v>
      </c>
      <c r="AB60" s="103" t="s">
        <v>6125</v>
      </c>
      <c r="AC60" s="103" t="s">
        <v>6126</v>
      </c>
      <c r="AD60" s="103" t="s">
        <v>6127</v>
      </c>
      <c r="AE60" s="103" t="s">
        <v>6128</v>
      </c>
      <c r="AF60" s="103" t="s">
        <v>6129</v>
      </c>
      <c r="AG60" s="103" t="s">
        <v>6130</v>
      </c>
      <c r="AH60" s="262"/>
    </row>
    <row r="61" spans="1:34" ht="16.8">
      <c r="A61" s="2">
        <v>318</v>
      </c>
      <c r="B61" s="286" t="s">
        <v>3797</v>
      </c>
      <c r="C61" s="2">
        <v>1043</v>
      </c>
      <c r="D61" s="263" t="s">
        <v>2780</v>
      </c>
      <c r="E61" s="10" t="s">
        <v>2780</v>
      </c>
      <c r="F61" s="296" t="s">
        <v>2781</v>
      </c>
      <c r="G61" s="5" t="s">
        <v>39</v>
      </c>
      <c r="H61" s="298" t="s">
        <v>3799</v>
      </c>
      <c r="I61" s="282" t="s">
        <v>7828</v>
      </c>
      <c r="J61" s="298" t="s">
        <v>42</v>
      </c>
      <c r="K61" s="10" t="s">
        <v>44</v>
      </c>
      <c r="L61" s="280">
        <v>9918686269</v>
      </c>
      <c r="M61" s="9" t="s">
        <v>44</v>
      </c>
      <c r="N61" s="280">
        <v>9918686269</v>
      </c>
      <c r="O61" s="262" t="s">
        <v>2786</v>
      </c>
      <c r="P61" s="10" t="s">
        <v>44</v>
      </c>
      <c r="Q61" s="2" t="s">
        <v>47</v>
      </c>
      <c r="R61" s="101" t="s">
        <v>49</v>
      </c>
      <c r="S61" s="5" t="s">
        <v>2164</v>
      </c>
      <c r="T61" s="5" t="s">
        <v>7773</v>
      </c>
      <c r="U61" s="101" t="s">
        <v>7774</v>
      </c>
      <c r="V61" s="4" t="s">
        <v>71</v>
      </c>
      <c r="W61" s="4" t="s">
        <v>3547</v>
      </c>
      <c r="X61" s="262" t="s">
        <v>7775</v>
      </c>
      <c r="Y61" s="262" t="s">
        <v>7776</v>
      </c>
      <c r="Z61" s="262" t="s">
        <v>7777</v>
      </c>
      <c r="AA61" s="262" t="s">
        <v>7778</v>
      </c>
      <c r="AB61" s="103" t="s">
        <v>6125</v>
      </c>
      <c r="AC61" s="103" t="s">
        <v>6126</v>
      </c>
      <c r="AD61" s="103" t="s">
        <v>6127</v>
      </c>
      <c r="AE61" s="103" t="s">
        <v>6128</v>
      </c>
      <c r="AF61" s="103" t="s">
        <v>6129</v>
      </c>
      <c r="AG61" s="103" t="s">
        <v>6130</v>
      </c>
      <c r="AH61" s="262"/>
    </row>
    <row r="62" spans="1:34" ht="16.8">
      <c r="A62" s="2">
        <v>319</v>
      </c>
      <c r="B62" s="286" t="s">
        <v>3801</v>
      </c>
      <c r="C62" s="2">
        <v>1044</v>
      </c>
      <c r="D62" s="263" t="s">
        <v>2780</v>
      </c>
      <c r="E62" s="10" t="s">
        <v>2780</v>
      </c>
      <c r="F62" s="296" t="s">
        <v>2781</v>
      </c>
      <c r="G62" s="5" t="s">
        <v>39</v>
      </c>
      <c r="H62" s="298" t="s">
        <v>3803</v>
      </c>
      <c r="I62" s="282" t="s">
        <v>7829</v>
      </c>
      <c r="J62" s="298" t="s">
        <v>706</v>
      </c>
      <c r="K62" s="10" t="s">
        <v>44</v>
      </c>
      <c r="L62" s="280">
        <v>9354910500</v>
      </c>
      <c r="M62" s="9" t="s">
        <v>44</v>
      </c>
      <c r="N62" s="280">
        <v>9354910500</v>
      </c>
      <c r="O62" s="262" t="s">
        <v>2786</v>
      </c>
      <c r="P62" s="10" t="s">
        <v>44</v>
      </c>
      <c r="Q62" s="2" t="s">
        <v>47</v>
      </c>
      <c r="R62" s="101" t="s">
        <v>49</v>
      </c>
      <c r="S62" s="5" t="s">
        <v>2164</v>
      </c>
      <c r="T62" s="5" t="s">
        <v>7773</v>
      </c>
      <c r="U62" s="101" t="s">
        <v>7774</v>
      </c>
      <c r="V62" s="4" t="s">
        <v>71</v>
      </c>
      <c r="W62" s="4" t="s">
        <v>3547</v>
      </c>
      <c r="X62" s="262" t="s">
        <v>7775</v>
      </c>
      <c r="Y62" s="262" t="s">
        <v>7776</v>
      </c>
      <c r="Z62" s="262" t="s">
        <v>7777</v>
      </c>
      <c r="AA62" s="262" t="s">
        <v>7778</v>
      </c>
      <c r="AB62" s="103" t="s">
        <v>6125</v>
      </c>
      <c r="AC62" s="103" t="s">
        <v>6126</v>
      </c>
      <c r="AD62" s="103" t="s">
        <v>6127</v>
      </c>
      <c r="AE62" s="103" t="s">
        <v>6128</v>
      </c>
      <c r="AF62" s="103" t="s">
        <v>6129</v>
      </c>
      <c r="AG62" s="103" t="s">
        <v>6130</v>
      </c>
      <c r="AH62" s="262"/>
    </row>
    <row r="63" spans="1:34" ht="16.8">
      <c r="A63" s="2">
        <v>320</v>
      </c>
      <c r="B63" s="286" t="s">
        <v>3805</v>
      </c>
      <c r="C63" s="2">
        <v>1045</v>
      </c>
      <c r="D63" s="295" t="s">
        <v>2780</v>
      </c>
      <c r="E63" s="10" t="s">
        <v>2780</v>
      </c>
      <c r="F63" s="296" t="s">
        <v>2781</v>
      </c>
      <c r="G63" s="5" t="s">
        <v>39</v>
      </c>
      <c r="H63" s="298" t="s">
        <v>3807</v>
      </c>
      <c r="I63" s="282" t="s">
        <v>7830</v>
      </c>
      <c r="J63" s="280" t="s">
        <v>706</v>
      </c>
      <c r="K63" s="10" t="s">
        <v>44</v>
      </c>
      <c r="L63" s="280">
        <v>9760137397</v>
      </c>
      <c r="M63" s="9" t="s">
        <v>44</v>
      </c>
      <c r="N63" s="280">
        <v>9760137397</v>
      </c>
      <c r="O63" s="262" t="s">
        <v>2786</v>
      </c>
      <c r="P63" s="10" t="s">
        <v>44</v>
      </c>
      <c r="Q63" s="2" t="s">
        <v>47</v>
      </c>
      <c r="R63" s="101" t="s">
        <v>49</v>
      </c>
      <c r="S63" s="5" t="s">
        <v>2164</v>
      </c>
      <c r="T63" s="5" t="s">
        <v>7773</v>
      </c>
      <c r="U63" s="101" t="s">
        <v>7774</v>
      </c>
      <c r="V63" s="4" t="s">
        <v>71</v>
      </c>
      <c r="W63" s="4" t="s">
        <v>3547</v>
      </c>
      <c r="X63" s="262" t="s">
        <v>7775</v>
      </c>
      <c r="Y63" s="262" t="s">
        <v>7776</v>
      </c>
      <c r="Z63" s="262" t="s">
        <v>7777</v>
      </c>
      <c r="AA63" s="262" t="s">
        <v>7778</v>
      </c>
      <c r="AB63" s="103" t="s">
        <v>6125</v>
      </c>
      <c r="AC63" s="103" t="s">
        <v>6126</v>
      </c>
      <c r="AD63" s="103" t="s">
        <v>6127</v>
      </c>
      <c r="AE63" s="103" t="s">
        <v>6128</v>
      </c>
      <c r="AF63" s="103" t="s">
        <v>6129</v>
      </c>
      <c r="AG63" s="103" t="s">
        <v>6130</v>
      </c>
      <c r="AH63" s="262"/>
    </row>
    <row r="64" spans="1:34" ht="16.8">
      <c r="A64" s="2">
        <v>321</v>
      </c>
      <c r="B64" s="286" t="s">
        <v>3809</v>
      </c>
      <c r="C64" s="2">
        <v>1046</v>
      </c>
      <c r="D64" s="295" t="s">
        <v>2780</v>
      </c>
      <c r="E64" s="10" t="s">
        <v>2780</v>
      </c>
      <c r="F64" s="296" t="s">
        <v>2781</v>
      </c>
      <c r="G64" s="5" t="s">
        <v>39</v>
      </c>
      <c r="H64" s="298" t="s">
        <v>3811</v>
      </c>
      <c r="I64" s="282" t="s">
        <v>7831</v>
      </c>
      <c r="J64" s="298" t="s">
        <v>507</v>
      </c>
      <c r="K64" s="10" t="s">
        <v>44</v>
      </c>
      <c r="L64" s="280">
        <v>9560003770</v>
      </c>
      <c r="M64" s="9" t="s">
        <v>44</v>
      </c>
      <c r="N64" s="280">
        <v>9560003770</v>
      </c>
      <c r="O64" s="262" t="s">
        <v>2786</v>
      </c>
      <c r="P64" s="10" t="s">
        <v>44</v>
      </c>
      <c r="Q64" s="2" t="s">
        <v>47</v>
      </c>
      <c r="R64" s="101" t="s">
        <v>49</v>
      </c>
      <c r="S64" s="5" t="s">
        <v>2164</v>
      </c>
      <c r="T64" s="5" t="s">
        <v>7773</v>
      </c>
      <c r="U64" s="101" t="s">
        <v>7774</v>
      </c>
      <c r="V64" s="4" t="s">
        <v>71</v>
      </c>
      <c r="W64" s="4" t="s">
        <v>3547</v>
      </c>
      <c r="X64" s="262" t="s">
        <v>7775</v>
      </c>
      <c r="Y64" s="262" t="s">
        <v>7776</v>
      </c>
      <c r="Z64" s="262" t="s">
        <v>7777</v>
      </c>
      <c r="AA64" s="262" t="s">
        <v>7778</v>
      </c>
      <c r="AB64" s="103" t="s">
        <v>6125</v>
      </c>
      <c r="AC64" s="103" t="s">
        <v>6126</v>
      </c>
      <c r="AD64" s="103" t="s">
        <v>6127</v>
      </c>
      <c r="AE64" s="103" t="s">
        <v>6128</v>
      </c>
      <c r="AF64" s="103" t="s">
        <v>6129</v>
      </c>
      <c r="AG64" s="103" t="s">
        <v>6130</v>
      </c>
      <c r="AH64" s="262"/>
    </row>
    <row r="65" spans="1:34" ht="16.8">
      <c r="A65" s="2">
        <v>322</v>
      </c>
      <c r="B65" s="286" t="s">
        <v>3813</v>
      </c>
      <c r="C65" s="2">
        <v>1047</v>
      </c>
      <c r="D65" s="263" t="s">
        <v>2780</v>
      </c>
      <c r="E65" s="10" t="s">
        <v>2780</v>
      </c>
      <c r="F65" s="296" t="s">
        <v>2781</v>
      </c>
      <c r="G65" s="5" t="s">
        <v>39</v>
      </c>
      <c r="H65" s="298" t="s">
        <v>3815</v>
      </c>
      <c r="I65" s="298" t="s">
        <v>3816</v>
      </c>
      <c r="J65" s="298" t="s">
        <v>706</v>
      </c>
      <c r="K65" s="10" t="s">
        <v>44</v>
      </c>
      <c r="L65" s="280">
        <v>9999415021</v>
      </c>
      <c r="M65" s="9" t="s">
        <v>44</v>
      </c>
      <c r="N65" s="280">
        <v>9999415021</v>
      </c>
      <c r="O65" s="262" t="s">
        <v>2786</v>
      </c>
      <c r="P65" s="10" t="s">
        <v>44</v>
      </c>
      <c r="Q65" s="2" t="s">
        <v>47</v>
      </c>
      <c r="R65" s="101" t="s">
        <v>49</v>
      </c>
      <c r="S65" s="5" t="s">
        <v>2164</v>
      </c>
      <c r="T65" s="5" t="s">
        <v>7773</v>
      </c>
      <c r="U65" s="101" t="s">
        <v>7774</v>
      </c>
      <c r="V65" s="4" t="s">
        <v>71</v>
      </c>
      <c r="W65" s="4" t="s">
        <v>3547</v>
      </c>
      <c r="X65" s="262" t="s">
        <v>7775</v>
      </c>
      <c r="Y65" s="262" t="s">
        <v>7776</v>
      </c>
      <c r="Z65" s="262" t="s">
        <v>7777</v>
      </c>
      <c r="AA65" s="262" t="s">
        <v>7778</v>
      </c>
      <c r="AB65" s="103" t="s">
        <v>6125</v>
      </c>
      <c r="AC65" s="103" t="s">
        <v>6126</v>
      </c>
      <c r="AD65" s="103" t="s">
        <v>6127</v>
      </c>
      <c r="AE65" s="103" t="s">
        <v>6128</v>
      </c>
      <c r="AF65" s="103" t="s">
        <v>6129</v>
      </c>
      <c r="AG65" s="103" t="s">
        <v>6130</v>
      </c>
      <c r="AH65" s="262"/>
    </row>
    <row r="66" spans="1:34" ht="16.8">
      <c r="A66" s="2">
        <v>323</v>
      </c>
      <c r="B66" s="286" t="s">
        <v>3817</v>
      </c>
      <c r="C66" s="2">
        <v>1048</v>
      </c>
      <c r="D66" s="263" t="s">
        <v>2780</v>
      </c>
      <c r="E66" s="10" t="s">
        <v>2780</v>
      </c>
      <c r="F66" s="296" t="s">
        <v>2781</v>
      </c>
      <c r="G66" s="5" t="s">
        <v>39</v>
      </c>
      <c r="H66" s="298" t="s">
        <v>3819</v>
      </c>
      <c r="I66" s="282" t="s">
        <v>7832</v>
      </c>
      <c r="J66" s="298" t="s">
        <v>42</v>
      </c>
      <c r="K66" s="10" t="s">
        <v>44</v>
      </c>
      <c r="L66" s="280">
        <v>9586461141</v>
      </c>
      <c r="M66" s="9" t="s">
        <v>44</v>
      </c>
      <c r="N66" s="280">
        <v>9586461141</v>
      </c>
      <c r="O66" s="262" t="s">
        <v>2786</v>
      </c>
      <c r="P66" s="10" t="s">
        <v>44</v>
      </c>
      <c r="Q66" s="2" t="s">
        <v>47</v>
      </c>
      <c r="R66" s="101" t="s">
        <v>49</v>
      </c>
      <c r="S66" s="5" t="s">
        <v>2164</v>
      </c>
      <c r="T66" s="5" t="s">
        <v>7773</v>
      </c>
      <c r="U66" s="101" t="s">
        <v>7774</v>
      </c>
      <c r="V66" s="4" t="s">
        <v>71</v>
      </c>
      <c r="W66" s="4" t="s">
        <v>3547</v>
      </c>
      <c r="X66" s="262" t="s">
        <v>7775</v>
      </c>
      <c r="Y66" s="262" t="s">
        <v>7776</v>
      </c>
      <c r="Z66" s="262" t="s">
        <v>7777</v>
      </c>
      <c r="AA66" s="262" t="s">
        <v>7778</v>
      </c>
      <c r="AB66" s="103" t="s">
        <v>6125</v>
      </c>
      <c r="AC66" s="103" t="s">
        <v>6126</v>
      </c>
      <c r="AD66" s="103" t="s">
        <v>6127</v>
      </c>
      <c r="AE66" s="103" t="s">
        <v>6128</v>
      </c>
      <c r="AF66" s="103" t="s">
        <v>6129</v>
      </c>
      <c r="AG66" s="103" t="s">
        <v>6130</v>
      </c>
      <c r="AH66" s="262"/>
    </row>
    <row r="67" spans="1:34" ht="16.8">
      <c r="A67" s="2">
        <v>324</v>
      </c>
      <c r="B67" s="286" t="s">
        <v>3821</v>
      </c>
      <c r="C67" s="2">
        <v>1049</v>
      </c>
      <c r="D67" s="295" t="s">
        <v>2780</v>
      </c>
      <c r="E67" s="10" t="s">
        <v>2780</v>
      </c>
      <c r="F67" s="296" t="s">
        <v>2781</v>
      </c>
      <c r="G67" s="5" t="s">
        <v>39</v>
      </c>
      <c r="H67" s="298" t="s">
        <v>3823</v>
      </c>
      <c r="I67" s="282" t="s">
        <v>7833</v>
      </c>
      <c r="J67" s="298" t="s">
        <v>42</v>
      </c>
      <c r="K67" s="10" t="s">
        <v>44</v>
      </c>
      <c r="L67" s="280">
        <v>8605001401</v>
      </c>
      <c r="M67" s="9" t="s">
        <v>44</v>
      </c>
      <c r="N67" s="280">
        <v>8605001401</v>
      </c>
      <c r="O67" s="262" t="s">
        <v>2786</v>
      </c>
      <c r="P67" s="10" t="s">
        <v>44</v>
      </c>
      <c r="Q67" s="2" t="s">
        <v>47</v>
      </c>
      <c r="R67" s="101" t="s">
        <v>49</v>
      </c>
      <c r="S67" s="5" t="s">
        <v>2164</v>
      </c>
      <c r="T67" s="5" t="s">
        <v>7773</v>
      </c>
      <c r="U67" s="101" t="s">
        <v>7774</v>
      </c>
      <c r="V67" s="4" t="s">
        <v>71</v>
      </c>
      <c r="W67" s="4" t="s">
        <v>3547</v>
      </c>
      <c r="X67" s="262" t="s">
        <v>7775</v>
      </c>
      <c r="Y67" s="262" t="s">
        <v>7776</v>
      </c>
      <c r="Z67" s="262" t="s">
        <v>7777</v>
      </c>
      <c r="AA67" s="262" t="s">
        <v>7778</v>
      </c>
      <c r="AB67" s="103" t="s">
        <v>6125</v>
      </c>
      <c r="AC67" s="103" t="s">
        <v>6126</v>
      </c>
      <c r="AD67" s="103" t="s">
        <v>6127</v>
      </c>
      <c r="AE67" s="103" t="s">
        <v>6128</v>
      </c>
      <c r="AF67" s="103" t="s">
        <v>6129</v>
      </c>
      <c r="AG67" s="103" t="s">
        <v>6130</v>
      </c>
      <c r="AH67" s="262"/>
    </row>
    <row r="68" spans="1:34" ht="14.4">
      <c r="A68" s="2">
        <v>325</v>
      </c>
      <c r="B68" s="286" t="s">
        <v>3825</v>
      </c>
      <c r="C68" s="2">
        <v>1056</v>
      </c>
      <c r="D68" s="295" t="s">
        <v>2780</v>
      </c>
      <c r="E68" s="10" t="s">
        <v>2780</v>
      </c>
      <c r="F68" s="296" t="s">
        <v>2781</v>
      </c>
      <c r="G68" s="5" t="s">
        <v>39</v>
      </c>
      <c r="H68" s="10" t="s">
        <v>3827</v>
      </c>
      <c r="I68" s="10" t="s">
        <v>3828</v>
      </c>
      <c r="J68" s="280" t="s">
        <v>3829</v>
      </c>
      <c r="K68" s="10" t="s">
        <v>44</v>
      </c>
      <c r="L68" s="280">
        <v>9370313451</v>
      </c>
      <c r="M68" s="9" t="s">
        <v>44</v>
      </c>
      <c r="N68" s="280">
        <v>9370313451</v>
      </c>
      <c r="O68" s="262" t="s">
        <v>2786</v>
      </c>
      <c r="P68" s="10" t="s">
        <v>44</v>
      </c>
      <c r="Q68" s="2" t="s">
        <v>47</v>
      </c>
      <c r="R68" s="101" t="s">
        <v>49</v>
      </c>
      <c r="S68" s="5" t="s">
        <v>2164</v>
      </c>
      <c r="T68" s="5" t="s">
        <v>7773</v>
      </c>
      <c r="U68" s="101" t="s">
        <v>7774</v>
      </c>
      <c r="V68" s="4" t="s">
        <v>71</v>
      </c>
      <c r="W68" s="4" t="s">
        <v>3547</v>
      </c>
      <c r="X68" s="262" t="s">
        <v>7775</v>
      </c>
      <c r="Y68" s="262" t="s">
        <v>7776</v>
      </c>
      <c r="Z68" s="262" t="s">
        <v>7777</v>
      </c>
      <c r="AA68" s="262" t="s">
        <v>7778</v>
      </c>
      <c r="AB68" s="103" t="s">
        <v>6125</v>
      </c>
      <c r="AC68" s="103" t="s">
        <v>6126</v>
      </c>
      <c r="AD68" s="103" t="s">
        <v>6127</v>
      </c>
      <c r="AE68" s="103" t="s">
        <v>6128</v>
      </c>
      <c r="AF68" s="103" t="s">
        <v>6129</v>
      </c>
      <c r="AG68" s="103" t="s">
        <v>6130</v>
      </c>
      <c r="AH68" s="262"/>
    </row>
    <row r="69" spans="1:34" ht="16.8">
      <c r="A69" s="2">
        <v>326</v>
      </c>
      <c r="B69" s="286" t="s">
        <v>3830</v>
      </c>
      <c r="C69" s="2">
        <v>1057</v>
      </c>
      <c r="D69" s="263" t="s">
        <v>2780</v>
      </c>
      <c r="E69" s="10" t="s">
        <v>2780</v>
      </c>
      <c r="F69" s="296" t="s">
        <v>2781</v>
      </c>
      <c r="G69" s="5" t="s">
        <v>39</v>
      </c>
      <c r="H69" s="95" t="s">
        <v>3832</v>
      </c>
      <c r="I69" s="95" t="s">
        <v>7834</v>
      </c>
      <c r="J69" s="301" t="s">
        <v>507</v>
      </c>
      <c r="K69" s="10" t="s">
        <v>44</v>
      </c>
      <c r="L69" s="280">
        <v>7828947823</v>
      </c>
      <c r="M69" s="9" t="s">
        <v>44</v>
      </c>
      <c r="N69" s="280">
        <v>7828947823</v>
      </c>
      <c r="O69" s="262" t="s">
        <v>2786</v>
      </c>
      <c r="P69" s="10" t="s">
        <v>44</v>
      </c>
      <c r="Q69" s="2" t="s">
        <v>47</v>
      </c>
      <c r="R69" s="101" t="s">
        <v>49</v>
      </c>
      <c r="S69" s="5" t="s">
        <v>2164</v>
      </c>
      <c r="T69" s="5" t="s">
        <v>7773</v>
      </c>
      <c r="U69" s="101" t="s">
        <v>7774</v>
      </c>
      <c r="V69" s="4" t="s">
        <v>71</v>
      </c>
      <c r="W69" s="4" t="s">
        <v>3547</v>
      </c>
      <c r="X69" s="262" t="s">
        <v>7775</v>
      </c>
      <c r="Y69" s="262" t="s">
        <v>7776</v>
      </c>
      <c r="Z69" s="262" t="s">
        <v>7777</v>
      </c>
      <c r="AA69" s="262" t="s">
        <v>7778</v>
      </c>
      <c r="AB69" s="103" t="s">
        <v>6125</v>
      </c>
      <c r="AC69" s="103" t="s">
        <v>6126</v>
      </c>
      <c r="AD69" s="103" t="s">
        <v>6127</v>
      </c>
      <c r="AE69" s="103" t="s">
        <v>6128</v>
      </c>
      <c r="AF69" s="103" t="s">
        <v>6129</v>
      </c>
      <c r="AG69" s="103" t="s">
        <v>6130</v>
      </c>
      <c r="AH69" s="262"/>
    </row>
    <row r="70" spans="1:34" ht="16.8">
      <c r="A70" s="2">
        <v>327</v>
      </c>
      <c r="B70" s="286" t="s">
        <v>3834</v>
      </c>
      <c r="C70" s="2">
        <v>1127</v>
      </c>
      <c r="D70" s="263" t="s">
        <v>2780</v>
      </c>
      <c r="E70" s="10" t="s">
        <v>2780</v>
      </c>
      <c r="F70" s="296" t="s">
        <v>2781</v>
      </c>
      <c r="G70" s="5" t="s">
        <v>39</v>
      </c>
      <c r="H70" s="95" t="s">
        <v>3836</v>
      </c>
      <c r="I70" s="95" t="s">
        <v>7835</v>
      </c>
      <c r="J70" s="10" t="s">
        <v>44</v>
      </c>
      <c r="K70" s="10" t="s">
        <v>44</v>
      </c>
      <c r="L70" s="280">
        <v>9819499143</v>
      </c>
      <c r="M70" s="9" t="s">
        <v>44</v>
      </c>
      <c r="N70" s="280">
        <v>9819499143</v>
      </c>
      <c r="O70" s="262" t="s">
        <v>2786</v>
      </c>
      <c r="P70" s="10" t="s">
        <v>44</v>
      </c>
      <c r="Q70" s="2" t="s">
        <v>47</v>
      </c>
      <c r="R70" s="101" t="s">
        <v>49</v>
      </c>
      <c r="S70" s="5" t="s">
        <v>2164</v>
      </c>
      <c r="T70" s="5" t="s">
        <v>7773</v>
      </c>
      <c r="U70" s="101" t="s">
        <v>7774</v>
      </c>
      <c r="V70" s="4" t="s">
        <v>71</v>
      </c>
      <c r="W70" s="4" t="s">
        <v>3547</v>
      </c>
      <c r="X70" s="262" t="s">
        <v>7775</v>
      </c>
      <c r="Y70" s="262" t="s">
        <v>7776</v>
      </c>
      <c r="Z70" s="262" t="s">
        <v>7777</v>
      </c>
      <c r="AA70" s="262" t="s">
        <v>7778</v>
      </c>
      <c r="AB70" s="103" t="s">
        <v>6125</v>
      </c>
      <c r="AC70" s="103" t="s">
        <v>6126</v>
      </c>
      <c r="AD70" s="103" t="s">
        <v>6127</v>
      </c>
      <c r="AE70" s="103" t="s">
        <v>6128</v>
      </c>
      <c r="AF70" s="103" t="s">
        <v>6129</v>
      </c>
      <c r="AG70" s="103" t="s">
        <v>6130</v>
      </c>
      <c r="AH70" s="262"/>
    </row>
    <row r="71" spans="1:34" ht="16.8">
      <c r="A71" s="2">
        <v>328</v>
      </c>
      <c r="B71" s="286" t="s">
        <v>3838</v>
      </c>
      <c r="C71" s="2">
        <v>1129</v>
      </c>
      <c r="D71" s="295" t="s">
        <v>2780</v>
      </c>
      <c r="E71" s="10" t="s">
        <v>2780</v>
      </c>
      <c r="F71" s="296" t="s">
        <v>2781</v>
      </c>
      <c r="G71" s="5" t="s">
        <v>39</v>
      </c>
      <c r="H71" s="95" t="s">
        <v>3840</v>
      </c>
      <c r="I71" s="95" t="s">
        <v>7836</v>
      </c>
      <c r="J71" s="298" t="s">
        <v>42</v>
      </c>
      <c r="K71" s="10" t="s">
        <v>44</v>
      </c>
      <c r="L71" s="280">
        <v>9099077028</v>
      </c>
      <c r="M71" s="9" t="s">
        <v>44</v>
      </c>
      <c r="N71" s="280">
        <v>9099077028</v>
      </c>
      <c r="O71" s="262" t="s">
        <v>2786</v>
      </c>
      <c r="P71" s="10" t="s">
        <v>44</v>
      </c>
      <c r="Q71" s="2" t="s">
        <v>47</v>
      </c>
      <c r="R71" s="101" t="s">
        <v>49</v>
      </c>
      <c r="S71" s="5" t="s">
        <v>2164</v>
      </c>
      <c r="T71" s="5" t="s">
        <v>7773</v>
      </c>
      <c r="U71" s="101" t="s">
        <v>7774</v>
      </c>
      <c r="V71" s="4" t="s">
        <v>71</v>
      </c>
      <c r="W71" s="4" t="s">
        <v>3547</v>
      </c>
      <c r="X71" s="262" t="s">
        <v>7775</v>
      </c>
      <c r="Y71" s="262" t="s">
        <v>7776</v>
      </c>
      <c r="Z71" s="262" t="s">
        <v>7777</v>
      </c>
      <c r="AA71" s="262" t="s">
        <v>7778</v>
      </c>
      <c r="AB71" s="103" t="s">
        <v>6125</v>
      </c>
      <c r="AC71" s="103" t="s">
        <v>6126</v>
      </c>
      <c r="AD71" s="103" t="s">
        <v>6127</v>
      </c>
      <c r="AE71" s="103" t="s">
        <v>6128</v>
      </c>
      <c r="AF71" s="103" t="s">
        <v>6129</v>
      </c>
      <c r="AG71" s="103" t="s">
        <v>6130</v>
      </c>
      <c r="AH71" s="262"/>
    </row>
    <row r="72" spans="1:34" ht="16.8">
      <c r="A72" s="2">
        <v>329</v>
      </c>
      <c r="B72" s="286" t="s">
        <v>3842</v>
      </c>
      <c r="C72" s="2">
        <v>1167</v>
      </c>
      <c r="D72" s="295" t="s">
        <v>2780</v>
      </c>
      <c r="E72" s="10" t="s">
        <v>2780</v>
      </c>
      <c r="F72" s="296" t="s">
        <v>2781</v>
      </c>
      <c r="G72" s="5" t="s">
        <v>39</v>
      </c>
      <c r="H72" s="10" t="s">
        <v>3844</v>
      </c>
      <c r="I72" s="95" t="s">
        <v>7837</v>
      </c>
      <c r="J72" s="298" t="s">
        <v>507</v>
      </c>
      <c r="K72" s="10" t="s">
        <v>44</v>
      </c>
      <c r="L72" s="280">
        <v>9534114404</v>
      </c>
      <c r="M72" s="9" t="s">
        <v>44</v>
      </c>
      <c r="N72" s="280">
        <v>9534114404</v>
      </c>
      <c r="O72" s="262" t="s">
        <v>2786</v>
      </c>
      <c r="P72" s="10" t="s">
        <v>44</v>
      </c>
      <c r="Q72" s="2" t="s">
        <v>47</v>
      </c>
      <c r="R72" s="101" t="s">
        <v>49</v>
      </c>
      <c r="S72" s="5" t="s">
        <v>2164</v>
      </c>
      <c r="T72" s="5" t="s">
        <v>7773</v>
      </c>
      <c r="U72" s="101" t="s">
        <v>7774</v>
      </c>
      <c r="V72" s="4" t="s">
        <v>71</v>
      </c>
      <c r="W72" s="4" t="s">
        <v>3547</v>
      </c>
      <c r="X72" s="262" t="s">
        <v>7775</v>
      </c>
      <c r="Y72" s="262" t="s">
        <v>7776</v>
      </c>
      <c r="Z72" s="262" t="s">
        <v>7777</v>
      </c>
      <c r="AA72" s="262" t="s">
        <v>7778</v>
      </c>
      <c r="AB72" s="103" t="s">
        <v>6125</v>
      </c>
      <c r="AC72" s="103" t="s">
        <v>6126</v>
      </c>
      <c r="AD72" s="103" t="s">
        <v>6127</v>
      </c>
      <c r="AE72" s="103" t="s">
        <v>6128</v>
      </c>
      <c r="AF72" s="103" t="s">
        <v>6129</v>
      </c>
      <c r="AG72" s="103" t="s">
        <v>6130</v>
      </c>
      <c r="AH72" s="262"/>
    </row>
    <row r="73" spans="1:34" ht="14.4">
      <c r="A73" s="2">
        <v>330</v>
      </c>
      <c r="B73" s="286" t="s">
        <v>3846</v>
      </c>
      <c r="C73" s="2">
        <v>1194</v>
      </c>
      <c r="D73" s="263" t="s">
        <v>2780</v>
      </c>
      <c r="E73" s="9" t="s">
        <v>7838</v>
      </c>
      <c r="F73" s="296" t="s">
        <v>2781</v>
      </c>
      <c r="G73" s="5" t="s">
        <v>39</v>
      </c>
      <c r="H73" s="280" t="s">
        <v>3848</v>
      </c>
      <c r="I73" s="280" t="s">
        <v>3849</v>
      </c>
      <c r="J73" s="280" t="s">
        <v>191</v>
      </c>
      <c r="K73" s="10" t="s">
        <v>44</v>
      </c>
      <c r="L73" s="280">
        <v>9123426199</v>
      </c>
      <c r="M73" s="9" t="s">
        <v>44</v>
      </c>
      <c r="N73" s="280">
        <v>9123426199</v>
      </c>
      <c r="O73" s="262" t="s">
        <v>2786</v>
      </c>
      <c r="P73" s="10" t="s">
        <v>44</v>
      </c>
      <c r="Q73" s="2" t="s">
        <v>47</v>
      </c>
      <c r="R73" s="101" t="s">
        <v>49</v>
      </c>
      <c r="S73" s="5" t="s">
        <v>2164</v>
      </c>
      <c r="T73" s="5" t="s">
        <v>7773</v>
      </c>
      <c r="U73" s="101" t="s">
        <v>7774</v>
      </c>
      <c r="V73" s="4" t="s">
        <v>71</v>
      </c>
      <c r="W73" s="4" t="s">
        <v>3547</v>
      </c>
      <c r="X73" s="262" t="s">
        <v>7775</v>
      </c>
      <c r="Y73" s="262" t="s">
        <v>7776</v>
      </c>
      <c r="Z73" s="262" t="s">
        <v>7777</v>
      </c>
      <c r="AA73" s="262" t="s">
        <v>7778</v>
      </c>
      <c r="AB73" s="103" t="s">
        <v>6125</v>
      </c>
      <c r="AC73" s="103" t="s">
        <v>6126</v>
      </c>
      <c r="AD73" s="103" t="s">
        <v>6127</v>
      </c>
      <c r="AE73" s="103" t="s">
        <v>6128</v>
      </c>
      <c r="AF73" s="103" t="s">
        <v>6129</v>
      </c>
      <c r="AG73" s="103" t="s">
        <v>6130</v>
      </c>
      <c r="AH73" s="262"/>
    </row>
    <row r="74" spans="1:34" ht="14.4">
      <c r="A74" s="2">
        <v>331</v>
      </c>
      <c r="B74" s="286" t="s">
        <v>3850</v>
      </c>
      <c r="C74" s="2">
        <v>1218</v>
      </c>
      <c r="D74" s="263" t="s">
        <v>2780</v>
      </c>
      <c r="E74" s="9" t="s">
        <v>7839</v>
      </c>
      <c r="F74" s="296" t="s">
        <v>2781</v>
      </c>
      <c r="G74" s="5" t="s">
        <v>39</v>
      </c>
      <c r="H74" s="280" t="s">
        <v>3852</v>
      </c>
      <c r="I74" s="280" t="s">
        <v>3853</v>
      </c>
      <c r="J74" s="280" t="s">
        <v>534</v>
      </c>
      <c r="K74" s="10" t="s">
        <v>44</v>
      </c>
      <c r="L74" s="280">
        <v>9903896480</v>
      </c>
      <c r="M74" s="9" t="s">
        <v>44</v>
      </c>
      <c r="N74" s="280">
        <v>9903896480</v>
      </c>
      <c r="O74" s="262" t="s">
        <v>2786</v>
      </c>
      <c r="P74" s="10" t="s">
        <v>44</v>
      </c>
      <c r="Q74" s="2" t="s">
        <v>47</v>
      </c>
      <c r="R74" s="101" t="s">
        <v>49</v>
      </c>
      <c r="S74" s="5" t="s">
        <v>2164</v>
      </c>
      <c r="T74" s="5" t="s">
        <v>7773</v>
      </c>
      <c r="U74" s="101" t="s">
        <v>7774</v>
      </c>
      <c r="V74" s="4" t="s">
        <v>71</v>
      </c>
      <c r="W74" s="4" t="s">
        <v>3547</v>
      </c>
      <c r="X74" s="262" t="s">
        <v>7775</v>
      </c>
      <c r="Y74" s="262" t="s">
        <v>7776</v>
      </c>
      <c r="Z74" s="262" t="s">
        <v>7777</v>
      </c>
      <c r="AA74" s="262" t="s">
        <v>7778</v>
      </c>
      <c r="AB74" s="103" t="s">
        <v>6125</v>
      </c>
      <c r="AC74" s="103" t="s">
        <v>6126</v>
      </c>
      <c r="AD74" s="103" t="s">
        <v>6127</v>
      </c>
      <c r="AE74" s="103" t="s">
        <v>6128</v>
      </c>
      <c r="AF74" s="103" t="s">
        <v>6129</v>
      </c>
      <c r="AG74" s="103" t="s">
        <v>6130</v>
      </c>
      <c r="AH74" s="262"/>
    </row>
    <row r="75" spans="1:34" ht="14.4">
      <c r="A75" s="2">
        <v>332</v>
      </c>
      <c r="B75" s="286" t="s">
        <v>3854</v>
      </c>
      <c r="C75" s="2">
        <v>1219</v>
      </c>
      <c r="D75" s="295" t="s">
        <v>2780</v>
      </c>
      <c r="E75" s="9" t="s">
        <v>7840</v>
      </c>
      <c r="F75" s="296" t="s">
        <v>2781</v>
      </c>
      <c r="G75" s="5" t="s">
        <v>39</v>
      </c>
      <c r="H75" s="280" t="s">
        <v>3852</v>
      </c>
      <c r="I75" s="280" t="s">
        <v>3856</v>
      </c>
      <c r="J75" s="280" t="s">
        <v>534</v>
      </c>
      <c r="K75" s="10" t="s">
        <v>44</v>
      </c>
      <c r="L75" s="280">
        <v>9423681546</v>
      </c>
      <c r="M75" s="9" t="s">
        <v>44</v>
      </c>
      <c r="N75" s="280">
        <v>9423681546</v>
      </c>
      <c r="O75" s="262" t="s">
        <v>2786</v>
      </c>
      <c r="P75" s="10" t="s">
        <v>44</v>
      </c>
      <c r="Q75" s="2" t="s">
        <v>47</v>
      </c>
      <c r="R75" s="101" t="s">
        <v>49</v>
      </c>
      <c r="S75" s="5" t="s">
        <v>2164</v>
      </c>
      <c r="T75" s="5" t="s">
        <v>7773</v>
      </c>
      <c r="U75" s="101" t="s">
        <v>7774</v>
      </c>
      <c r="V75" s="4" t="s">
        <v>71</v>
      </c>
      <c r="W75" s="4" t="s">
        <v>3547</v>
      </c>
      <c r="X75" s="262" t="s">
        <v>7775</v>
      </c>
      <c r="Y75" s="262" t="s">
        <v>7776</v>
      </c>
      <c r="Z75" s="262" t="s">
        <v>7777</v>
      </c>
      <c r="AA75" s="262" t="s">
        <v>7778</v>
      </c>
      <c r="AB75" s="103" t="s">
        <v>6125</v>
      </c>
      <c r="AC75" s="103" t="s">
        <v>6126</v>
      </c>
      <c r="AD75" s="103" t="s">
        <v>6127</v>
      </c>
      <c r="AE75" s="103" t="s">
        <v>6128</v>
      </c>
      <c r="AF75" s="103" t="s">
        <v>6129</v>
      </c>
      <c r="AG75" s="103" t="s">
        <v>6130</v>
      </c>
      <c r="AH75" s="262"/>
    </row>
    <row r="76" spans="1:34" ht="14.4">
      <c r="A76" s="2">
        <v>333</v>
      </c>
      <c r="B76" s="286" t="s">
        <v>3857</v>
      </c>
      <c r="C76" s="2">
        <v>1220</v>
      </c>
      <c r="D76" s="295" t="s">
        <v>2780</v>
      </c>
      <c r="E76" s="9" t="s">
        <v>7841</v>
      </c>
      <c r="F76" s="296" t="s">
        <v>2781</v>
      </c>
      <c r="G76" s="5" t="s">
        <v>39</v>
      </c>
      <c r="H76" s="280" t="s">
        <v>3859</v>
      </c>
      <c r="I76" s="280" t="s">
        <v>3860</v>
      </c>
      <c r="J76" s="280" t="s">
        <v>534</v>
      </c>
      <c r="K76" s="10" t="s">
        <v>44</v>
      </c>
      <c r="L76" s="280">
        <v>9825309838</v>
      </c>
      <c r="M76" s="9" t="s">
        <v>44</v>
      </c>
      <c r="N76" s="280">
        <v>9825309838</v>
      </c>
      <c r="O76" s="262" t="s">
        <v>2786</v>
      </c>
      <c r="P76" s="10" t="s">
        <v>44</v>
      </c>
      <c r="Q76" s="2" t="s">
        <v>47</v>
      </c>
      <c r="R76" s="101" t="s">
        <v>49</v>
      </c>
      <c r="S76" s="5" t="s">
        <v>2164</v>
      </c>
      <c r="T76" s="5" t="s">
        <v>7773</v>
      </c>
      <c r="U76" s="101" t="s">
        <v>7774</v>
      </c>
      <c r="V76" s="4" t="s">
        <v>71</v>
      </c>
      <c r="W76" s="4" t="s">
        <v>3547</v>
      </c>
      <c r="X76" s="262" t="s">
        <v>7775</v>
      </c>
      <c r="Y76" s="262" t="s">
        <v>7776</v>
      </c>
      <c r="Z76" s="262" t="s">
        <v>7777</v>
      </c>
      <c r="AA76" s="262" t="s">
        <v>7778</v>
      </c>
      <c r="AB76" s="103" t="s">
        <v>6125</v>
      </c>
      <c r="AC76" s="103" t="s">
        <v>6126</v>
      </c>
      <c r="AD76" s="103" t="s">
        <v>6127</v>
      </c>
      <c r="AE76" s="103" t="s">
        <v>6128</v>
      </c>
      <c r="AF76" s="103" t="s">
        <v>6129</v>
      </c>
      <c r="AG76" s="103" t="s">
        <v>6130</v>
      </c>
      <c r="AH76" s="262"/>
    </row>
  </sheetData>
  <hyperlinks>
    <hyperlink ref="B4" r:id="rId1" xr:uid="{00000000-0004-0000-1200-000000000000}"/>
    <hyperlink ref="O4" r:id="rId2" xr:uid="{00000000-0004-0000-1200-000001000000}"/>
    <hyperlink ref="X4" r:id="rId3" xr:uid="{00000000-0004-0000-1200-000002000000}"/>
    <hyperlink ref="Y4" r:id="rId4" xr:uid="{00000000-0004-0000-1200-000003000000}"/>
    <hyperlink ref="Z4" r:id="rId5" xr:uid="{00000000-0004-0000-1200-000004000000}"/>
    <hyperlink ref="AA4" r:id="rId6" xr:uid="{00000000-0004-0000-1200-000005000000}"/>
    <hyperlink ref="B5" r:id="rId7" xr:uid="{00000000-0004-0000-1200-000006000000}"/>
    <hyperlink ref="O5" r:id="rId8" xr:uid="{00000000-0004-0000-1200-000007000000}"/>
    <hyperlink ref="X5" r:id="rId9" xr:uid="{00000000-0004-0000-1200-000008000000}"/>
    <hyperlink ref="Y5" r:id="rId10" xr:uid="{00000000-0004-0000-1200-000009000000}"/>
    <hyperlink ref="Z5" r:id="rId11" xr:uid="{00000000-0004-0000-1200-00000A000000}"/>
    <hyperlink ref="AA5" r:id="rId12" xr:uid="{00000000-0004-0000-1200-00000B000000}"/>
    <hyperlink ref="B6" r:id="rId13" xr:uid="{00000000-0004-0000-1200-00000C000000}"/>
    <hyperlink ref="O6" r:id="rId14" xr:uid="{00000000-0004-0000-1200-00000D000000}"/>
    <hyperlink ref="X6" r:id="rId15" xr:uid="{00000000-0004-0000-1200-00000E000000}"/>
    <hyperlink ref="Y6" r:id="rId16" xr:uid="{00000000-0004-0000-1200-00000F000000}"/>
    <hyperlink ref="Z6" r:id="rId17" xr:uid="{00000000-0004-0000-1200-000010000000}"/>
    <hyperlink ref="AA6" r:id="rId18" xr:uid="{00000000-0004-0000-1200-000011000000}"/>
    <hyperlink ref="B7" r:id="rId19" xr:uid="{00000000-0004-0000-1200-000012000000}"/>
    <hyperlink ref="O7" r:id="rId20" xr:uid="{00000000-0004-0000-1200-000013000000}"/>
    <hyperlink ref="X7" r:id="rId21" xr:uid="{00000000-0004-0000-1200-000014000000}"/>
    <hyperlink ref="Y7" r:id="rId22" xr:uid="{00000000-0004-0000-1200-000015000000}"/>
    <hyperlink ref="Z7" r:id="rId23" xr:uid="{00000000-0004-0000-1200-000016000000}"/>
    <hyperlink ref="AA7" r:id="rId24" xr:uid="{00000000-0004-0000-1200-000017000000}"/>
    <hyperlink ref="B8" r:id="rId25" xr:uid="{00000000-0004-0000-1200-000018000000}"/>
    <hyperlink ref="O8" r:id="rId26" xr:uid="{00000000-0004-0000-1200-000019000000}"/>
    <hyperlink ref="X8" r:id="rId27" xr:uid="{00000000-0004-0000-1200-00001A000000}"/>
    <hyperlink ref="Y8" r:id="rId28" xr:uid="{00000000-0004-0000-1200-00001B000000}"/>
    <hyperlink ref="Z8" r:id="rId29" xr:uid="{00000000-0004-0000-1200-00001C000000}"/>
    <hyperlink ref="AA8" r:id="rId30" xr:uid="{00000000-0004-0000-1200-00001D000000}"/>
    <hyperlink ref="B9" r:id="rId31" xr:uid="{00000000-0004-0000-1200-00001E000000}"/>
    <hyperlink ref="O9" r:id="rId32" xr:uid="{00000000-0004-0000-1200-00001F000000}"/>
    <hyperlink ref="X9" r:id="rId33" xr:uid="{00000000-0004-0000-1200-000020000000}"/>
    <hyperlink ref="Y9" r:id="rId34" xr:uid="{00000000-0004-0000-1200-000021000000}"/>
    <hyperlink ref="Z9" r:id="rId35" xr:uid="{00000000-0004-0000-1200-000022000000}"/>
    <hyperlink ref="AA9" r:id="rId36" xr:uid="{00000000-0004-0000-1200-000023000000}"/>
    <hyperlink ref="B10" r:id="rId37" xr:uid="{00000000-0004-0000-1200-000024000000}"/>
    <hyperlink ref="O10" r:id="rId38" xr:uid="{00000000-0004-0000-1200-000025000000}"/>
    <hyperlink ref="X10" r:id="rId39" xr:uid="{00000000-0004-0000-1200-000026000000}"/>
    <hyperlink ref="Y10" r:id="rId40" xr:uid="{00000000-0004-0000-1200-000027000000}"/>
    <hyperlink ref="Z10" r:id="rId41" xr:uid="{00000000-0004-0000-1200-000028000000}"/>
    <hyperlink ref="AA10" r:id="rId42" xr:uid="{00000000-0004-0000-1200-000029000000}"/>
    <hyperlink ref="B11" r:id="rId43" xr:uid="{00000000-0004-0000-1200-00002A000000}"/>
    <hyperlink ref="O11" r:id="rId44" xr:uid="{00000000-0004-0000-1200-00002B000000}"/>
    <hyperlink ref="X11" r:id="rId45" xr:uid="{00000000-0004-0000-1200-00002C000000}"/>
    <hyperlink ref="Y11" r:id="rId46" xr:uid="{00000000-0004-0000-1200-00002D000000}"/>
    <hyperlink ref="Z11" r:id="rId47" xr:uid="{00000000-0004-0000-1200-00002E000000}"/>
    <hyperlink ref="AA11" r:id="rId48" xr:uid="{00000000-0004-0000-1200-00002F000000}"/>
    <hyperlink ref="B12" r:id="rId49" xr:uid="{00000000-0004-0000-1200-000030000000}"/>
    <hyperlink ref="O12" r:id="rId50" xr:uid="{00000000-0004-0000-1200-000031000000}"/>
    <hyperlink ref="X12" r:id="rId51" xr:uid="{00000000-0004-0000-1200-000032000000}"/>
    <hyperlink ref="Y12" r:id="rId52" xr:uid="{00000000-0004-0000-1200-000033000000}"/>
    <hyperlink ref="Z12" r:id="rId53" xr:uid="{00000000-0004-0000-1200-000034000000}"/>
    <hyperlink ref="AA12" r:id="rId54" xr:uid="{00000000-0004-0000-1200-000035000000}"/>
    <hyperlink ref="B13" r:id="rId55" xr:uid="{00000000-0004-0000-1200-000036000000}"/>
    <hyperlink ref="O13" r:id="rId56" xr:uid="{00000000-0004-0000-1200-000037000000}"/>
    <hyperlink ref="X13" r:id="rId57" xr:uid="{00000000-0004-0000-1200-000038000000}"/>
    <hyperlink ref="Y13" r:id="rId58" xr:uid="{00000000-0004-0000-1200-000039000000}"/>
    <hyperlink ref="Z13" r:id="rId59" xr:uid="{00000000-0004-0000-1200-00003A000000}"/>
    <hyperlink ref="AA13" r:id="rId60" xr:uid="{00000000-0004-0000-1200-00003B000000}"/>
    <hyperlink ref="B14" r:id="rId61" xr:uid="{00000000-0004-0000-1200-00003C000000}"/>
    <hyperlink ref="O14" r:id="rId62" xr:uid="{00000000-0004-0000-1200-00003D000000}"/>
    <hyperlink ref="X14" r:id="rId63" xr:uid="{00000000-0004-0000-1200-00003E000000}"/>
    <hyperlink ref="Y14" r:id="rId64" xr:uid="{00000000-0004-0000-1200-00003F000000}"/>
    <hyperlink ref="Z14" r:id="rId65" xr:uid="{00000000-0004-0000-1200-000040000000}"/>
    <hyperlink ref="AA14" r:id="rId66" xr:uid="{00000000-0004-0000-1200-000041000000}"/>
    <hyperlink ref="B15" r:id="rId67" xr:uid="{00000000-0004-0000-1200-000042000000}"/>
    <hyperlink ref="O15" r:id="rId68" xr:uid="{00000000-0004-0000-1200-000043000000}"/>
    <hyperlink ref="X15" r:id="rId69" xr:uid="{00000000-0004-0000-1200-000044000000}"/>
    <hyperlink ref="Y15" r:id="rId70" xr:uid="{00000000-0004-0000-1200-000045000000}"/>
    <hyperlink ref="Z15" r:id="rId71" xr:uid="{00000000-0004-0000-1200-000046000000}"/>
    <hyperlink ref="AA15" r:id="rId72" xr:uid="{00000000-0004-0000-1200-000047000000}"/>
    <hyperlink ref="B16" r:id="rId73" xr:uid="{00000000-0004-0000-1200-000048000000}"/>
    <hyperlink ref="O16" r:id="rId74" xr:uid="{00000000-0004-0000-1200-000049000000}"/>
    <hyperlink ref="X16" r:id="rId75" xr:uid="{00000000-0004-0000-1200-00004A000000}"/>
    <hyperlink ref="Y16" r:id="rId76" xr:uid="{00000000-0004-0000-1200-00004B000000}"/>
    <hyperlink ref="Z16" r:id="rId77" xr:uid="{00000000-0004-0000-1200-00004C000000}"/>
    <hyperlink ref="AA16" r:id="rId78" xr:uid="{00000000-0004-0000-1200-00004D000000}"/>
    <hyperlink ref="B17" r:id="rId79" xr:uid="{00000000-0004-0000-1200-00004E000000}"/>
    <hyperlink ref="O17" r:id="rId80" xr:uid="{00000000-0004-0000-1200-00004F000000}"/>
    <hyperlink ref="X17" r:id="rId81" xr:uid="{00000000-0004-0000-1200-000050000000}"/>
    <hyperlink ref="Y17" r:id="rId82" xr:uid="{00000000-0004-0000-1200-000051000000}"/>
    <hyperlink ref="Z17" r:id="rId83" xr:uid="{00000000-0004-0000-1200-000052000000}"/>
    <hyperlink ref="AA17" r:id="rId84" xr:uid="{00000000-0004-0000-1200-000053000000}"/>
    <hyperlink ref="B18" r:id="rId85" xr:uid="{00000000-0004-0000-1200-000054000000}"/>
    <hyperlink ref="O18" r:id="rId86" xr:uid="{00000000-0004-0000-1200-000055000000}"/>
    <hyperlink ref="X18" r:id="rId87" xr:uid="{00000000-0004-0000-1200-000056000000}"/>
    <hyperlink ref="Y18" r:id="rId88" xr:uid="{00000000-0004-0000-1200-000057000000}"/>
    <hyperlink ref="Z18" r:id="rId89" xr:uid="{00000000-0004-0000-1200-000058000000}"/>
    <hyperlink ref="AA18" r:id="rId90" xr:uid="{00000000-0004-0000-1200-000059000000}"/>
    <hyperlink ref="B19" r:id="rId91" xr:uid="{00000000-0004-0000-1200-00005A000000}"/>
    <hyperlink ref="O19" r:id="rId92" xr:uid="{00000000-0004-0000-1200-00005B000000}"/>
    <hyperlink ref="X19" r:id="rId93" xr:uid="{00000000-0004-0000-1200-00005C000000}"/>
    <hyperlink ref="Y19" r:id="rId94" xr:uid="{00000000-0004-0000-1200-00005D000000}"/>
    <hyperlink ref="Z19" r:id="rId95" xr:uid="{00000000-0004-0000-1200-00005E000000}"/>
    <hyperlink ref="AA19" r:id="rId96" xr:uid="{00000000-0004-0000-1200-00005F000000}"/>
    <hyperlink ref="B20" r:id="rId97" xr:uid="{00000000-0004-0000-1200-000060000000}"/>
    <hyperlink ref="O20" r:id="rId98" xr:uid="{00000000-0004-0000-1200-000061000000}"/>
    <hyperlink ref="X20" r:id="rId99" xr:uid="{00000000-0004-0000-1200-000062000000}"/>
    <hyperlink ref="Y20" r:id="rId100" xr:uid="{00000000-0004-0000-1200-000063000000}"/>
    <hyperlink ref="Z20" r:id="rId101" xr:uid="{00000000-0004-0000-1200-000064000000}"/>
    <hyperlink ref="AA20" r:id="rId102" xr:uid="{00000000-0004-0000-1200-000065000000}"/>
    <hyperlink ref="B21" r:id="rId103" xr:uid="{00000000-0004-0000-1200-000066000000}"/>
    <hyperlink ref="O21" r:id="rId104" xr:uid="{00000000-0004-0000-1200-000067000000}"/>
    <hyperlink ref="X21" r:id="rId105" xr:uid="{00000000-0004-0000-1200-000068000000}"/>
    <hyperlink ref="Y21" r:id="rId106" xr:uid="{00000000-0004-0000-1200-000069000000}"/>
    <hyperlink ref="Z21" r:id="rId107" xr:uid="{00000000-0004-0000-1200-00006A000000}"/>
    <hyperlink ref="AA21" r:id="rId108" xr:uid="{00000000-0004-0000-1200-00006B000000}"/>
    <hyperlink ref="B22" r:id="rId109" xr:uid="{00000000-0004-0000-1200-00006C000000}"/>
    <hyperlink ref="O22" r:id="rId110" xr:uid="{00000000-0004-0000-1200-00006D000000}"/>
    <hyperlink ref="X22" r:id="rId111" xr:uid="{00000000-0004-0000-1200-00006E000000}"/>
    <hyperlink ref="Y22" r:id="rId112" xr:uid="{00000000-0004-0000-1200-00006F000000}"/>
    <hyperlink ref="Z22" r:id="rId113" xr:uid="{00000000-0004-0000-1200-000070000000}"/>
    <hyperlink ref="AA22" r:id="rId114" xr:uid="{00000000-0004-0000-1200-000071000000}"/>
    <hyperlink ref="B23" r:id="rId115" xr:uid="{00000000-0004-0000-1200-000072000000}"/>
    <hyperlink ref="O23" r:id="rId116" xr:uid="{00000000-0004-0000-1200-000073000000}"/>
    <hyperlink ref="X23" r:id="rId117" xr:uid="{00000000-0004-0000-1200-000074000000}"/>
    <hyperlink ref="Y23" r:id="rId118" xr:uid="{00000000-0004-0000-1200-000075000000}"/>
    <hyperlink ref="Z23" r:id="rId119" xr:uid="{00000000-0004-0000-1200-000076000000}"/>
    <hyperlink ref="AA23" r:id="rId120" xr:uid="{00000000-0004-0000-1200-000077000000}"/>
    <hyperlink ref="B24" r:id="rId121" xr:uid="{00000000-0004-0000-1200-000078000000}"/>
    <hyperlink ref="O24" r:id="rId122" xr:uid="{00000000-0004-0000-1200-000079000000}"/>
    <hyperlink ref="X24" r:id="rId123" xr:uid="{00000000-0004-0000-1200-00007A000000}"/>
    <hyperlink ref="Y24" r:id="rId124" xr:uid="{00000000-0004-0000-1200-00007B000000}"/>
    <hyperlink ref="Z24" r:id="rId125" xr:uid="{00000000-0004-0000-1200-00007C000000}"/>
    <hyperlink ref="AA24" r:id="rId126" xr:uid="{00000000-0004-0000-1200-00007D000000}"/>
    <hyperlink ref="B25" r:id="rId127" xr:uid="{00000000-0004-0000-1200-00007E000000}"/>
    <hyperlink ref="O25" r:id="rId128" xr:uid="{00000000-0004-0000-1200-00007F000000}"/>
    <hyperlink ref="X25" r:id="rId129" xr:uid="{00000000-0004-0000-1200-000080000000}"/>
    <hyperlink ref="Y25" r:id="rId130" xr:uid="{00000000-0004-0000-1200-000081000000}"/>
    <hyperlink ref="Z25" r:id="rId131" xr:uid="{00000000-0004-0000-1200-000082000000}"/>
    <hyperlink ref="AA25" r:id="rId132" xr:uid="{00000000-0004-0000-1200-000083000000}"/>
    <hyperlink ref="B26" r:id="rId133" xr:uid="{00000000-0004-0000-1200-000084000000}"/>
    <hyperlink ref="O26" r:id="rId134" xr:uid="{00000000-0004-0000-1200-000085000000}"/>
    <hyperlink ref="X26" r:id="rId135" xr:uid="{00000000-0004-0000-1200-000086000000}"/>
    <hyperlink ref="Y26" r:id="rId136" xr:uid="{00000000-0004-0000-1200-000087000000}"/>
    <hyperlink ref="Z26" r:id="rId137" xr:uid="{00000000-0004-0000-1200-000088000000}"/>
    <hyperlink ref="AA26" r:id="rId138" xr:uid="{00000000-0004-0000-1200-000089000000}"/>
    <hyperlink ref="B27" r:id="rId139" xr:uid="{00000000-0004-0000-1200-00008A000000}"/>
    <hyperlink ref="O27" r:id="rId140" xr:uid="{00000000-0004-0000-1200-00008B000000}"/>
    <hyperlink ref="X27" r:id="rId141" xr:uid="{00000000-0004-0000-1200-00008C000000}"/>
    <hyperlink ref="Y27" r:id="rId142" xr:uid="{00000000-0004-0000-1200-00008D000000}"/>
    <hyperlink ref="Z27" r:id="rId143" xr:uid="{00000000-0004-0000-1200-00008E000000}"/>
    <hyperlink ref="AA27" r:id="rId144" xr:uid="{00000000-0004-0000-1200-00008F000000}"/>
    <hyperlink ref="B28" r:id="rId145" xr:uid="{00000000-0004-0000-1200-000090000000}"/>
    <hyperlink ref="O28" r:id="rId146" xr:uid="{00000000-0004-0000-1200-000091000000}"/>
    <hyperlink ref="X28" r:id="rId147" xr:uid="{00000000-0004-0000-1200-000092000000}"/>
    <hyperlink ref="Y28" r:id="rId148" xr:uid="{00000000-0004-0000-1200-000093000000}"/>
    <hyperlink ref="Z28" r:id="rId149" xr:uid="{00000000-0004-0000-1200-000094000000}"/>
    <hyperlink ref="AA28" r:id="rId150" xr:uid="{00000000-0004-0000-1200-000095000000}"/>
    <hyperlink ref="B29" r:id="rId151" xr:uid="{00000000-0004-0000-1200-000096000000}"/>
    <hyperlink ref="O29" r:id="rId152" xr:uid="{00000000-0004-0000-1200-000097000000}"/>
    <hyperlink ref="X29" r:id="rId153" xr:uid="{00000000-0004-0000-1200-000098000000}"/>
    <hyperlink ref="Y29" r:id="rId154" xr:uid="{00000000-0004-0000-1200-000099000000}"/>
    <hyperlink ref="Z29" r:id="rId155" xr:uid="{00000000-0004-0000-1200-00009A000000}"/>
    <hyperlink ref="AA29" r:id="rId156" xr:uid="{00000000-0004-0000-1200-00009B000000}"/>
    <hyperlink ref="B30" r:id="rId157" xr:uid="{00000000-0004-0000-1200-00009C000000}"/>
    <hyperlink ref="O30" r:id="rId158" xr:uid="{00000000-0004-0000-1200-00009D000000}"/>
    <hyperlink ref="X30" r:id="rId159" xr:uid="{00000000-0004-0000-1200-00009E000000}"/>
    <hyperlink ref="Y30" r:id="rId160" xr:uid="{00000000-0004-0000-1200-00009F000000}"/>
    <hyperlink ref="Z30" r:id="rId161" xr:uid="{00000000-0004-0000-1200-0000A0000000}"/>
    <hyperlink ref="AA30" r:id="rId162" xr:uid="{00000000-0004-0000-1200-0000A1000000}"/>
    <hyperlink ref="B31" r:id="rId163" xr:uid="{00000000-0004-0000-1200-0000A2000000}"/>
    <hyperlink ref="O31" r:id="rId164" xr:uid="{00000000-0004-0000-1200-0000A3000000}"/>
    <hyperlink ref="X31" r:id="rId165" xr:uid="{00000000-0004-0000-1200-0000A4000000}"/>
    <hyperlink ref="Y31" r:id="rId166" xr:uid="{00000000-0004-0000-1200-0000A5000000}"/>
    <hyperlink ref="Z31" r:id="rId167" xr:uid="{00000000-0004-0000-1200-0000A6000000}"/>
    <hyperlink ref="AA31" r:id="rId168" xr:uid="{00000000-0004-0000-1200-0000A7000000}"/>
    <hyperlink ref="B32" r:id="rId169" xr:uid="{00000000-0004-0000-1200-0000A8000000}"/>
    <hyperlink ref="O32" r:id="rId170" xr:uid="{00000000-0004-0000-1200-0000A9000000}"/>
    <hyperlink ref="X32" r:id="rId171" xr:uid="{00000000-0004-0000-1200-0000AA000000}"/>
    <hyperlink ref="Y32" r:id="rId172" xr:uid="{00000000-0004-0000-1200-0000AB000000}"/>
    <hyperlink ref="Z32" r:id="rId173" xr:uid="{00000000-0004-0000-1200-0000AC000000}"/>
    <hyperlink ref="AA32" r:id="rId174" xr:uid="{00000000-0004-0000-1200-0000AD000000}"/>
    <hyperlink ref="B33" r:id="rId175" xr:uid="{00000000-0004-0000-1200-0000AE000000}"/>
    <hyperlink ref="O33" r:id="rId176" xr:uid="{00000000-0004-0000-1200-0000AF000000}"/>
    <hyperlink ref="X33" r:id="rId177" xr:uid="{00000000-0004-0000-1200-0000B0000000}"/>
    <hyperlink ref="Y33" r:id="rId178" xr:uid="{00000000-0004-0000-1200-0000B1000000}"/>
    <hyperlink ref="Z33" r:id="rId179" xr:uid="{00000000-0004-0000-1200-0000B2000000}"/>
    <hyperlink ref="AA33" r:id="rId180" xr:uid="{00000000-0004-0000-1200-0000B3000000}"/>
    <hyperlink ref="B34" r:id="rId181" xr:uid="{00000000-0004-0000-1200-0000B4000000}"/>
    <hyperlink ref="O34" r:id="rId182" xr:uid="{00000000-0004-0000-1200-0000B5000000}"/>
    <hyperlink ref="X34" r:id="rId183" xr:uid="{00000000-0004-0000-1200-0000B6000000}"/>
    <hyperlink ref="Y34" r:id="rId184" xr:uid="{00000000-0004-0000-1200-0000B7000000}"/>
    <hyperlink ref="Z34" r:id="rId185" xr:uid="{00000000-0004-0000-1200-0000B8000000}"/>
    <hyperlink ref="AA34" r:id="rId186" xr:uid="{00000000-0004-0000-1200-0000B9000000}"/>
    <hyperlink ref="B35" r:id="rId187" xr:uid="{00000000-0004-0000-1200-0000BA000000}"/>
    <hyperlink ref="O35" r:id="rId188" xr:uid="{00000000-0004-0000-1200-0000BB000000}"/>
    <hyperlink ref="X35" r:id="rId189" xr:uid="{00000000-0004-0000-1200-0000BC000000}"/>
    <hyperlink ref="Y35" r:id="rId190" xr:uid="{00000000-0004-0000-1200-0000BD000000}"/>
    <hyperlink ref="Z35" r:id="rId191" xr:uid="{00000000-0004-0000-1200-0000BE000000}"/>
    <hyperlink ref="AA35" r:id="rId192" xr:uid="{00000000-0004-0000-1200-0000BF000000}"/>
    <hyperlink ref="B36" r:id="rId193" xr:uid="{00000000-0004-0000-1200-0000C0000000}"/>
    <hyperlink ref="O36" r:id="rId194" xr:uid="{00000000-0004-0000-1200-0000C1000000}"/>
    <hyperlink ref="X36" r:id="rId195" xr:uid="{00000000-0004-0000-1200-0000C2000000}"/>
    <hyperlink ref="Y36" r:id="rId196" xr:uid="{00000000-0004-0000-1200-0000C3000000}"/>
    <hyperlink ref="Z36" r:id="rId197" xr:uid="{00000000-0004-0000-1200-0000C4000000}"/>
    <hyperlink ref="AA36" r:id="rId198" xr:uid="{00000000-0004-0000-1200-0000C5000000}"/>
    <hyperlink ref="B37" r:id="rId199" xr:uid="{00000000-0004-0000-1200-0000C6000000}"/>
    <hyperlink ref="O37" r:id="rId200" xr:uid="{00000000-0004-0000-1200-0000C7000000}"/>
    <hyperlink ref="X37" r:id="rId201" xr:uid="{00000000-0004-0000-1200-0000C8000000}"/>
    <hyperlink ref="Y37" r:id="rId202" xr:uid="{00000000-0004-0000-1200-0000C9000000}"/>
    <hyperlink ref="Z37" r:id="rId203" xr:uid="{00000000-0004-0000-1200-0000CA000000}"/>
    <hyperlink ref="AA37" r:id="rId204" xr:uid="{00000000-0004-0000-1200-0000CB000000}"/>
    <hyperlink ref="B38" r:id="rId205" xr:uid="{00000000-0004-0000-1200-0000CC000000}"/>
    <hyperlink ref="O38" r:id="rId206" xr:uid="{00000000-0004-0000-1200-0000CD000000}"/>
    <hyperlink ref="X38" r:id="rId207" xr:uid="{00000000-0004-0000-1200-0000CE000000}"/>
    <hyperlink ref="Y38" r:id="rId208" xr:uid="{00000000-0004-0000-1200-0000CF000000}"/>
    <hyperlink ref="Z38" r:id="rId209" xr:uid="{00000000-0004-0000-1200-0000D0000000}"/>
    <hyperlink ref="AA38" r:id="rId210" xr:uid="{00000000-0004-0000-1200-0000D1000000}"/>
    <hyperlink ref="B39" r:id="rId211" xr:uid="{00000000-0004-0000-1200-0000D2000000}"/>
    <hyperlink ref="O39" r:id="rId212" xr:uid="{00000000-0004-0000-1200-0000D3000000}"/>
    <hyperlink ref="X39" r:id="rId213" xr:uid="{00000000-0004-0000-1200-0000D4000000}"/>
    <hyperlink ref="Y39" r:id="rId214" xr:uid="{00000000-0004-0000-1200-0000D5000000}"/>
    <hyperlink ref="Z39" r:id="rId215" xr:uid="{00000000-0004-0000-1200-0000D6000000}"/>
    <hyperlink ref="AA39" r:id="rId216" xr:uid="{00000000-0004-0000-1200-0000D7000000}"/>
    <hyperlink ref="B40" r:id="rId217" xr:uid="{00000000-0004-0000-1200-0000D8000000}"/>
    <hyperlink ref="O40" r:id="rId218" xr:uid="{00000000-0004-0000-1200-0000D9000000}"/>
    <hyperlink ref="X40" r:id="rId219" xr:uid="{00000000-0004-0000-1200-0000DA000000}"/>
    <hyperlink ref="Y40" r:id="rId220" xr:uid="{00000000-0004-0000-1200-0000DB000000}"/>
    <hyperlink ref="Z40" r:id="rId221" xr:uid="{00000000-0004-0000-1200-0000DC000000}"/>
    <hyperlink ref="AA40" r:id="rId222" xr:uid="{00000000-0004-0000-1200-0000DD000000}"/>
    <hyperlink ref="B41" r:id="rId223" xr:uid="{00000000-0004-0000-1200-0000DE000000}"/>
    <hyperlink ref="O41" r:id="rId224" xr:uid="{00000000-0004-0000-1200-0000DF000000}"/>
    <hyperlink ref="X41" r:id="rId225" xr:uid="{00000000-0004-0000-1200-0000E0000000}"/>
    <hyperlink ref="Y41" r:id="rId226" xr:uid="{00000000-0004-0000-1200-0000E1000000}"/>
    <hyperlink ref="Z41" r:id="rId227" xr:uid="{00000000-0004-0000-1200-0000E2000000}"/>
    <hyperlink ref="AA41" r:id="rId228" xr:uid="{00000000-0004-0000-1200-0000E3000000}"/>
    <hyperlink ref="B42" r:id="rId229" xr:uid="{00000000-0004-0000-1200-0000E4000000}"/>
    <hyperlink ref="O42" r:id="rId230" xr:uid="{00000000-0004-0000-1200-0000E5000000}"/>
    <hyperlink ref="X42" r:id="rId231" xr:uid="{00000000-0004-0000-1200-0000E6000000}"/>
    <hyperlink ref="Y42" r:id="rId232" xr:uid="{00000000-0004-0000-1200-0000E7000000}"/>
    <hyperlink ref="Z42" r:id="rId233" xr:uid="{00000000-0004-0000-1200-0000E8000000}"/>
    <hyperlink ref="AA42" r:id="rId234" xr:uid="{00000000-0004-0000-1200-0000E9000000}"/>
    <hyperlink ref="B43" r:id="rId235" xr:uid="{00000000-0004-0000-1200-0000EA000000}"/>
    <hyperlink ref="O43" r:id="rId236" xr:uid="{00000000-0004-0000-1200-0000EB000000}"/>
    <hyperlink ref="X43" r:id="rId237" xr:uid="{00000000-0004-0000-1200-0000EC000000}"/>
    <hyperlink ref="Y43" r:id="rId238" xr:uid="{00000000-0004-0000-1200-0000ED000000}"/>
    <hyperlink ref="Z43" r:id="rId239" xr:uid="{00000000-0004-0000-1200-0000EE000000}"/>
    <hyperlink ref="AA43" r:id="rId240" xr:uid="{00000000-0004-0000-1200-0000EF000000}"/>
    <hyperlink ref="B44" r:id="rId241" xr:uid="{00000000-0004-0000-1200-0000F0000000}"/>
    <hyperlink ref="O44" r:id="rId242" xr:uid="{00000000-0004-0000-1200-0000F1000000}"/>
    <hyperlink ref="X44" r:id="rId243" xr:uid="{00000000-0004-0000-1200-0000F2000000}"/>
    <hyperlink ref="Y44" r:id="rId244" xr:uid="{00000000-0004-0000-1200-0000F3000000}"/>
    <hyperlink ref="Z44" r:id="rId245" xr:uid="{00000000-0004-0000-1200-0000F4000000}"/>
    <hyperlink ref="AA44" r:id="rId246" xr:uid="{00000000-0004-0000-1200-0000F5000000}"/>
    <hyperlink ref="B45" r:id="rId247" xr:uid="{00000000-0004-0000-1200-0000F6000000}"/>
    <hyperlink ref="O45" r:id="rId248" xr:uid="{00000000-0004-0000-1200-0000F7000000}"/>
    <hyperlink ref="X45" r:id="rId249" xr:uid="{00000000-0004-0000-1200-0000F8000000}"/>
    <hyperlink ref="Y45" r:id="rId250" xr:uid="{00000000-0004-0000-1200-0000F9000000}"/>
    <hyperlink ref="Z45" r:id="rId251" xr:uid="{00000000-0004-0000-1200-0000FA000000}"/>
    <hyperlink ref="AA45" r:id="rId252" xr:uid="{00000000-0004-0000-1200-0000FB000000}"/>
    <hyperlink ref="B46" r:id="rId253" xr:uid="{00000000-0004-0000-1200-0000FC000000}"/>
    <hyperlink ref="O46" r:id="rId254" xr:uid="{00000000-0004-0000-1200-0000FD000000}"/>
    <hyperlink ref="X46" r:id="rId255" xr:uid="{00000000-0004-0000-1200-0000FE000000}"/>
    <hyperlink ref="Y46" r:id="rId256" xr:uid="{00000000-0004-0000-1200-0000FF000000}"/>
    <hyperlink ref="Z46" r:id="rId257" xr:uid="{00000000-0004-0000-1200-000000010000}"/>
    <hyperlink ref="AA46" r:id="rId258" xr:uid="{00000000-0004-0000-1200-000001010000}"/>
    <hyperlink ref="B47" r:id="rId259" xr:uid="{00000000-0004-0000-1200-000002010000}"/>
    <hyperlink ref="E47" r:id="rId260" xr:uid="{00000000-0004-0000-1200-000003010000}"/>
    <hyperlink ref="O47" r:id="rId261" xr:uid="{00000000-0004-0000-1200-000004010000}"/>
    <hyperlink ref="X47" r:id="rId262" xr:uid="{00000000-0004-0000-1200-000005010000}"/>
    <hyperlink ref="Y47" r:id="rId263" xr:uid="{00000000-0004-0000-1200-000006010000}"/>
    <hyperlink ref="Z47" r:id="rId264" xr:uid="{00000000-0004-0000-1200-000007010000}"/>
    <hyperlink ref="AA47" r:id="rId265" xr:uid="{00000000-0004-0000-1200-000008010000}"/>
    <hyperlink ref="B48" r:id="rId266" xr:uid="{00000000-0004-0000-1200-000009010000}"/>
    <hyperlink ref="E48" r:id="rId267" xr:uid="{00000000-0004-0000-1200-00000A010000}"/>
    <hyperlink ref="O48" r:id="rId268" xr:uid="{00000000-0004-0000-1200-00000B010000}"/>
    <hyperlink ref="X48" r:id="rId269" xr:uid="{00000000-0004-0000-1200-00000C010000}"/>
    <hyperlink ref="Y48" r:id="rId270" xr:uid="{00000000-0004-0000-1200-00000D010000}"/>
    <hyperlink ref="Z48" r:id="rId271" xr:uid="{00000000-0004-0000-1200-00000E010000}"/>
    <hyperlink ref="AA48" r:id="rId272" xr:uid="{00000000-0004-0000-1200-00000F010000}"/>
    <hyperlink ref="B49" r:id="rId273" xr:uid="{00000000-0004-0000-1200-000010010000}"/>
    <hyperlink ref="E49" r:id="rId274" xr:uid="{00000000-0004-0000-1200-000011010000}"/>
    <hyperlink ref="O49" r:id="rId275" xr:uid="{00000000-0004-0000-1200-000012010000}"/>
    <hyperlink ref="X49" r:id="rId276" xr:uid="{00000000-0004-0000-1200-000013010000}"/>
    <hyperlink ref="Y49" r:id="rId277" xr:uid="{00000000-0004-0000-1200-000014010000}"/>
    <hyperlink ref="Z49" r:id="rId278" xr:uid="{00000000-0004-0000-1200-000015010000}"/>
    <hyperlink ref="AA49" r:id="rId279" xr:uid="{00000000-0004-0000-1200-000016010000}"/>
    <hyperlink ref="B50" r:id="rId280" xr:uid="{00000000-0004-0000-1200-000017010000}"/>
    <hyperlink ref="O50" r:id="rId281" xr:uid="{00000000-0004-0000-1200-000018010000}"/>
    <hyperlink ref="X50" r:id="rId282" xr:uid="{00000000-0004-0000-1200-000019010000}"/>
    <hyperlink ref="Y50" r:id="rId283" xr:uid="{00000000-0004-0000-1200-00001A010000}"/>
    <hyperlink ref="Z50" r:id="rId284" xr:uid="{00000000-0004-0000-1200-00001B010000}"/>
    <hyperlink ref="AA50" r:id="rId285" xr:uid="{00000000-0004-0000-1200-00001C010000}"/>
    <hyperlink ref="B51" r:id="rId286" xr:uid="{00000000-0004-0000-1200-00001D010000}"/>
    <hyperlink ref="O51" r:id="rId287" xr:uid="{00000000-0004-0000-1200-00001E010000}"/>
    <hyperlink ref="X51" r:id="rId288" xr:uid="{00000000-0004-0000-1200-00001F010000}"/>
    <hyperlink ref="Y51" r:id="rId289" xr:uid="{00000000-0004-0000-1200-000020010000}"/>
    <hyperlink ref="Z51" r:id="rId290" xr:uid="{00000000-0004-0000-1200-000021010000}"/>
    <hyperlink ref="AA51" r:id="rId291" xr:uid="{00000000-0004-0000-1200-000022010000}"/>
    <hyperlink ref="B52" r:id="rId292" xr:uid="{00000000-0004-0000-1200-000023010000}"/>
    <hyperlink ref="O52" r:id="rId293" xr:uid="{00000000-0004-0000-1200-000024010000}"/>
    <hyperlink ref="X52" r:id="rId294" xr:uid="{00000000-0004-0000-1200-000025010000}"/>
    <hyperlink ref="Y52" r:id="rId295" xr:uid="{00000000-0004-0000-1200-000026010000}"/>
    <hyperlink ref="Z52" r:id="rId296" xr:uid="{00000000-0004-0000-1200-000027010000}"/>
    <hyperlink ref="AA52" r:id="rId297" xr:uid="{00000000-0004-0000-1200-000028010000}"/>
    <hyperlink ref="B53" r:id="rId298" xr:uid="{00000000-0004-0000-1200-000029010000}"/>
    <hyperlink ref="E53" r:id="rId299" xr:uid="{00000000-0004-0000-1200-00002A010000}"/>
    <hyperlink ref="O53" r:id="rId300" xr:uid="{00000000-0004-0000-1200-00002B010000}"/>
    <hyperlink ref="X53" r:id="rId301" xr:uid="{00000000-0004-0000-1200-00002C010000}"/>
    <hyperlink ref="Y53" r:id="rId302" xr:uid="{00000000-0004-0000-1200-00002D010000}"/>
    <hyperlink ref="Z53" r:id="rId303" xr:uid="{00000000-0004-0000-1200-00002E010000}"/>
    <hyperlink ref="AA53" r:id="rId304" xr:uid="{00000000-0004-0000-1200-00002F010000}"/>
    <hyperlink ref="B54" r:id="rId305" xr:uid="{00000000-0004-0000-1200-000030010000}"/>
    <hyperlink ref="O54" r:id="rId306" xr:uid="{00000000-0004-0000-1200-000031010000}"/>
    <hyperlink ref="X54" r:id="rId307" xr:uid="{00000000-0004-0000-1200-000032010000}"/>
    <hyperlink ref="Y54" r:id="rId308" xr:uid="{00000000-0004-0000-1200-000033010000}"/>
    <hyperlink ref="Z54" r:id="rId309" xr:uid="{00000000-0004-0000-1200-000034010000}"/>
    <hyperlink ref="AA54" r:id="rId310" xr:uid="{00000000-0004-0000-1200-000035010000}"/>
    <hyperlink ref="B55" r:id="rId311" xr:uid="{00000000-0004-0000-1200-000036010000}"/>
    <hyperlink ref="O55" r:id="rId312" xr:uid="{00000000-0004-0000-1200-000037010000}"/>
    <hyperlink ref="X55" r:id="rId313" xr:uid="{00000000-0004-0000-1200-000038010000}"/>
    <hyperlink ref="Y55" r:id="rId314" xr:uid="{00000000-0004-0000-1200-000039010000}"/>
    <hyperlink ref="Z55" r:id="rId315" xr:uid="{00000000-0004-0000-1200-00003A010000}"/>
    <hyperlink ref="AA55" r:id="rId316" xr:uid="{00000000-0004-0000-1200-00003B010000}"/>
    <hyperlink ref="B56" r:id="rId317" xr:uid="{00000000-0004-0000-1200-00003C010000}"/>
    <hyperlink ref="O56" r:id="rId318" xr:uid="{00000000-0004-0000-1200-00003D010000}"/>
    <hyperlink ref="X56" r:id="rId319" xr:uid="{00000000-0004-0000-1200-00003E010000}"/>
    <hyperlink ref="Y56" r:id="rId320" xr:uid="{00000000-0004-0000-1200-00003F010000}"/>
    <hyperlink ref="Z56" r:id="rId321" xr:uid="{00000000-0004-0000-1200-000040010000}"/>
    <hyperlink ref="AA56" r:id="rId322" xr:uid="{00000000-0004-0000-1200-000041010000}"/>
    <hyperlink ref="B57" r:id="rId323" xr:uid="{00000000-0004-0000-1200-000042010000}"/>
    <hyperlink ref="O57" r:id="rId324" xr:uid="{00000000-0004-0000-1200-000043010000}"/>
    <hyperlink ref="X57" r:id="rId325" xr:uid="{00000000-0004-0000-1200-000044010000}"/>
    <hyperlink ref="Y57" r:id="rId326" xr:uid="{00000000-0004-0000-1200-000045010000}"/>
    <hyperlink ref="Z57" r:id="rId327" xr:uid="{00000000-0004-0000-1200-000046010000}"/>
    <hyperlink ref="AA57" r:id="rId328" xr:uid="{00000000-0004-0000-1200-000047010000}"/>
    <hyperlink ref="B58" r:id="rId329" xr:uid="{00000000-0004-0000-1200-000048010000}"/>
    <hyperlink ref="O58" r:id="rId330" xr:uid="{00000000-0004-0000-1200-000049010000}"/>
    <hyperlink ref="X58" r:id="rId331" xr:uid="{00000000-0004-0000-1200-00004A010000}"/>
    <hyperlink ref="Y58" r:id="rId332" xr:uid="{00000000-0004-0000-1200-00004B010000}"/>
    <hyperlink ref="Z58" r:id="rId333" xr:uid="{00000000-0004-0000-1200-00004C010000}"/>
    <hyperlink ref="AA58" r:id="rId334" xr:uid="{00000000-0004-0000-1200-00004D010000}"/>
    <hyperlink ref="B59" r:id="rId335" xr:uid="{00000000-0004-0000-1200-00004E010000}"/>
    <hyperlink ref="O59" r:id="rId336" xr:uid="{00000000-0004-0000-1200-00004F010000}"/>
    <hyperlink ref="X59" r:id="rId337" xr:uid="{00000000-0004-0000-1200-000050010000}"/>
    <hyperlink ref="Y59" r:id="rId338" xr:uid="{00000000-0004-0000-1200-000051010000}"/>
    <hyperlink ref="Z59" r:id="rId339" xr:uid="{00000000-0004-0000-1200-000052010000}"/>
    <hyperlink ref="AA59" r:id="rId340" xr:uid="{00000000-0004-0000-1200-000053010000}"/>
    <hyperlink ref="B60" r:id="rId341" xr:uid="{00000000-0004-0000-1200-000054010000}"/>
    <hyperlink ref="O60" r:id="rId342" xr:uid="{00000000-0004-0000-1200-000055010000}"/>
    <hyperlink ref="X60" r:id="rId343" xr:uid="{00000000-0004-0000-1200-000056010000}"/>
    <hyperlink ref="Y60" r:id="rId344" xr:uid="{00000000-0004-0000-1200-000057010000}"/>
    <hyperlink ref="Z60" r:id="rId345" xr:uid="{00000000-0004-0000-1200-000058010000}"/>
    <hyperlink ref="AA60" r:id="rId346" xr:uid="{00000000-0004-0000-1200-000059010000}"/>
    <hyperlink ref="B61" r:id="rId347" xr:uid="{00000000-0004-0000-1200-00005A010000}"/>
    <hyperlink ref="O61" r:id="rId348" xr:uid="{00000000-0004-0000-1200-00005B010000}"/>
    <hyperlink ref="X61" r:id="rId349" xr:uid="{00000000-0004-0000-1200-00005C010000}"/>
    <hyperlink ref="Y61" r:id="rId350" xr:uid="{00000000-0004-0000-1200-00005D010000}"/>
    <hyperlink ref="Z61" r:id="rId351" xr:uid="{00000000-0004-0000-1200-00005E010000}"/>
    <hyperlink ref="AA61" r:id="rId352" xr:uid="{00000000-0004-0000-1200-00005F010000}"/>
    <hyperlink ref="B62" r:id="rId353" xr:uid="{00000000-0004-0000-1200-000060010000}"/>
    <hyperlink ref="O62" r:id="rId354" xr:uid="{00000000-0004-0000-1200-000061010000}"/>
    <hyperlink ref="X62" r:id="rId355" xr:uid="{00000000-0004-0000-1200-000062010000}"/>
    <hyperlink ref="Y62" r:id="rId356" xr:uid="{00000000-0004-0000-1200-000063010000}"/>
    <hyperlink ref="Z62" r:id="rId357" xr:uid="{00000000-0004-0000-1200-000064010000}"/>
    <hyperlink ref="AA62" r:id="rId358" xr:uid="{00000000-0004-0000-1200-000065010000}"/>
    <hyperlink ref="B63" r:id="rId359" xr:uid="{00000000-0004-0000-1200-000066010000}"/>
    <hyperlink ref="O63" r:id="rId360" xr:uid="{00000000-0004-0000-1200-000067010000}"/>
    <hyperlink ref="X63" r:id="rId361" xr:uid="{00000000-0004-0000-1200-000068010000}"/>
    <hyperlink ref="Y63" r:id="rId362" xr:uid="{00000000-0004-0000-1200-000069010000}"/>
    <hyperlink ref="Z63" r:id="rId363" xr:uid="{00000000-0004-0000-1200-00006A010000}"/>
    <hyperlink ref="AA63" r:id="rId364" xr:uid="{00000000-0004-0000-1200-00006B010000}"/>
    <hyperlink ref="B64" r:id="rId365" xr:uid="{00000000-0004-0000-1200-00006C010000}"/>
    <hyperlink ref="O64" r:id="rId366" xr:uid="{00000000-0004-0000-1200-00006D010000}"/>
    <hyperlink ref="X64" r:id="rId367" xr:uid="{00000000-0004-0000-1200-00006E010000}"/>
    <hyperlink ref="Y64" r:id="rId368" xr:uid="{00000000-0004-0000-1200-00006F010000}"/>
    <hyperlink ref="Z64" r:id="rId369" xr:uid="{00000000-0004-0000-1200-000070010000}"/>
    <hyperlink ref="AA64" r:id="rId370" xr:uid="{00000000-0004-0000-1200-000071010000}"/>
    <hyperlink ref="B65" r:id="rId371" xr:uid="{00000000-0004-0000-1200-000072010000}"/>
    <hyperlink ref="O65" r:id="rId372" xr:uid="{00000000-0004-0000-1200-000073010000}"/>
    <hyperlink ref="X65" r:id="rId373" xr:uid="{00000000-0004-0000-1200-000074010000}"/>
    <hyperlink ref="Y65" r:id="rId374" xr:uid="{00000000-0004-0000-1200-000075010000}"/>
    <hyperlink ref="Z65" r:id="rId375" xr:uid="{00000000-0004-0000-1200-000076010000}"/>
    <hyperlink ref="AA65" r:id="rId376" xr:uid="{00000000-0004-0000-1200-000077010000}"/>
    <hyperlink ref="B66" r:id="rId377" xr:uid="{00000000-0004-0000-1200-000078010000}"/>
    <hyperlink ref="O66" r:id="rId378" xr:uid="{00000000-0004-0000-1200-000079010000}"/>
    <hyperlink ref="X66" r:id="rId379" xr:uid="{00000000-0004-0000-1200-00007A010000}"/>
    <hyperlink ref="Y66" r:id="rId380" xr:uid="{00000000-0004-0000-1200-00007B010000}"/>
    <hyperlink ref="Z66" r:id="rId381" xr:uid="{00000000-0004-0000-1200-00007C010000}"/>
    <hyperlink ref="AA66" r:id="rId382" xr:uid="{00000000-0004-0000-1200-00007D010000}"/>
    <hyperlink ref="B67" r:id="rId383" xr:uid="{00000000-0004-0000-1200-00007E010000}"/>
    <hyperlink ref="O67" r:id="rId384" xr:uid="{00000000-0004-0000-1200-00007F010000}"/>
    <hyperlink ref="X67" r:id="rId385" xr:uid="{00000000-0004-0000-1200-000080010000}"/>
    <hyperlink ref="Y67" r:id="rId386" xr:uid="{00000000-0004-0000-1200-000081010000}"/>
    <hyperlink ref="Z67" r:id="rId387" xr:uid="{00000000-0004-0000-1200-000082010000}"/>
    <hyperlink ref="AA67" r:id="rId388" xr:uid="{00000000-0004-0000-1200-000083010000}"/>
    <hyperlink ref="B68" r:id="rId389" xr:uid="{00000000-0004-0000-1200-000084010000}"/>
    <hyperlink ref="O68" r:id="rId390" xr:uid="{00000000-0004-0000-1200-000085010000}"/>
    <hyperlink ref="X68" r:id="rId391" xr:uid="{00000000-0004-0000-1200-000086010000}"/>
    <hyperlink ref="Y68" r:id="rId392" xr:uid="{00000000-0004-0000-1200-000087010000}"/>
    <hyperlink ref="Z68" r:id="rId393" xr:uid="{00000000-0004-0000-1200-000088010000}"/>
    <hyperlink ref="AA68" r:id="rId394" xr:uid="{00000000-0004-0000-1200-000089010000}"/>
    <hyperlink ref="B69" r:id="rId395" xr:uid="{00000000-0004-0000-1200-00008A010000}"/>
    <hyperlink ref="O69" r:id="rId396" xr:uid="{00000000-0004-0000-1200-00008B010000}"/>
    <hyperlink ref="X69" r:id="rId397" xr:uid="{00000000-0004-0000-1200-00008C010000}"/>
    <hyperlink ref="Y69" r:id="rId398" xr:uid="{00000000-0004-0000-1200-00008D010000}"/>
    <hyperlink ref="Z69" r:id="rId399" xr:uid="{00000000-0004-0000-1200-00008E010000}"/>
    <hyperlink ref="AA69" r:id="rId400" xr:uid="{00000000-0004-0000-1200-00008F010000}"/>
    <hyperlink ref="B70" r:id="rId401" xr:uid="{00000000-0004-0000-1200-000090010000}"/>
    <hyperlink ref="O70" r:id="rId402" xr:uid="{00000000-0004-0000-1200-000091010000}"/>
    <hyperlink ref="X70" r:id="rId403" xr:uid="{00000000-0004-0000-1200-000092010000}"/>
    <hyperlink ref="Y70" r:id="rId404" xr:uid="{00000000-0004-0000-1200-000093010000}"/>
    <hyperlink ref="Z70" r:id="rId405" xr:uid="{00000000-0004-0000-1200-000094010000}"/>
    <hyperlink ref="AA70" r:id="rId406" xr:uid="{00000000-0004-0000-1200-000095010000}"/>
    <hyperlink ref="B71" r:id="rId407" xr:uid="{00000000-0004-0000-1200-000096010000}"/>
    <hyperlink ref="O71" r:id="rId408" xr:uid="{00000000-0004-0000-1200-000097010000}"/>
    <hyperlink ref="X71" r:id="rId409" xr:uid="{00000000-0004-0000-1200-000098010000}"/>
    <hyperlink ref="Y71" r:id="rId410" xr:uid="{00000000-0004-0000-1200-000099010000}"/>
    <hyperlink ref="Z71" r:id="rId411" xr:uid="{00000000-0004-0000-1200-00009A010000}"/>
    <hyperlink ref="AA71" r:id="rId412" xr:uid="{00000000-0004-0000-1200-00009B010000}"/>
    <hyperlink ref="B72" r:id="rId413" xr:uid="{00000000-0004-0000-1200-00009C010000}"/>
    <hyperlink ref="O72" r:id="rId414" xr:uid="{00000000-0004-0000-1200-00009D010000}"/>
    <hyperlink ref="X72" r:id="rId415" xr:uid="{00000000-0004-0000-1200-00009E010000}"/>
    <hyperlink ref="Y72" r:id="rId416" xr:uid="{00000000-0004-0000-1200-00009F010000}"/>
    <hyperlink ref="Z72" r:id="rId417" xr:uid="{00000000-0004-0000-1200-0000A0010000}"/>
    <hyperlink ref="AA72" r:id="rId418" xr:uid="{00000000-0004-0000-1200-0000A1010000}"/>
    <hyperlink ref="B73" r:id="rId419" xr:uid="{00000000-0004-0000-1200-0000A2010000}"/>
    <hyperlink ref="O73" r:id="rId420" xr:uid="{00000000-0004-0000-1200-0000A3010000}"/>
    <hyperlink ref="X73" r:id="rId421" xr:uid="{00000000-0004-0000-1200-0000A4010000}"/>
    <hyperlink ref="Y73" r:id="rId422" xr:uid="{00000000-0004-0000-1200-0000A5010000}"/>
    <hyperlink ref="Z73" r:id="rId423" xr:uid="{00000000-0004-0000-1200-0000A6010000}"/>
    <hyperlink ref="AA73" r:id="rId424" xr:uid="{00000000-0004-0000-1200-0000A7010000}"/>
    <hyperlink ref="B74" r:id="rId425" xr:uid="{00000000-0004-0000-1200-0000A8010000}"/>
    <hyperlink ref="O74" r:id="rId426" xr:uid="{00000000-0004-0000-1200-0000A9010000}"/>
    <hyperlink ref="X74" r:id="rId427" xr:uid="{00000000-0004-0000-1200-0000AA010000}"/>
    <hyperlink ref="Y74" r:id="rId428" xr:uid="{00000000-0004-0000-1200-0000AB010000}"/>
    <hyperlink ref="Z74" r:id="rId429" xr:uid="{00000000-0004-0000-1200-0000AC010000}"/>
    <hyperlink ref="AA74" r:id="rId430" xr:uid="{00000000-0004-0000-1200-0000AD010000}"/>
    <hyperlink ref="B75" r:id="rId431" xr:uid="{00000000-0004-0000-1200-0000AE010000}"/>
    <hyperlink ref="O75" r:id="rId432" xr:uid="{00000000-0004-0000-1200-0000AF010000}"/>
    <hyperlink ref="X75" r:id="rId433" xr:uid="{00000000-0004-0000-1200-0000B0010000}"/>
    <hyperlink ref="Y75" r:id="rId434" xr:uid="{00000000-0004-0000-1200-0000B1010000}"/>
    <hyperlink ref="Z75" r:id="rId435" xr:uid="{00000000-0004-0000-1200-0000B2010000}"/>
    <hyperlink ref="AA75" r:id="rId436" xr:uid="{00000000-0004-0000-1200-0000B3010000}"/>
    <hyperlink ref="B76" r:id="rId437" xr:uid="{00000000-0004-0000-1200-0000B4010000}"/>
    <hyperlink ref="O76" r:id="rId438" xr:uid="{00000000-0004-0000-1200-0000B5010000}"/>
    <hyperlink ref="X76" r:id="rId439" xr:uid="{00000000-0004-0000-1200-0000B6010000}"/>
    <hyperlink ref="Y76" r:id="rId440" xr:uid="{00000000-0004-0000-1200-0000B7010000}"/>
    <hyperlink ref="Z76" r:id="rId441" xr:uid="{00000000-0004-0000-1200-0000B8010000}"/>
    <hyperlink ref="AA76" r:id="rId442" xr:uid="{00000000-0004-0000-1200-0000B901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3:AO23"/>
  <sheetViews>
    <sheetView workbookViewId="0">
      <selection activeCell="D4" sqref="D4"/>
    </sheetView>
  </sheetViews>
  <sheetFormatPr defaultColWidth="12.6640625" defaultRowHeight="15.75" customHeight="1"/>
  <cols>
    <col min="1" max="1" width="7.109375" bestFit="1" customWidth="1"/>
    <col min="2" max="2" width="64.21875" bestFit="1" customWidth="1"/>
    <col min="3" max="3" width="37.109375" bestFit="1" customWidth="1"/>
    <col min="4" max="4" width="34.77734375" customWidth="1"/>
    <col min="5" max="5" width="38.44140625" bestFit="1" customWidth="1"/>
    <col min="6" max="6" width="17.33203125" bestFit="1" customWidth="1"/>
    <col min="7" max="7" width="13.44140625" bestFit="1" customWidth="1"/>
    <col min="8" max="8" width="23.88671875" bestFit="1" customWidth="1"/>
    <col min="9" max="9" width="29" bestFit="1" customWidth="1"/>
    <col min="10" max="10" width="57.109375" bestFit="1" customWidth="1"/>
    <col min="11" max="11" width="255.77734375" bestFit="1" customWidth="1"/>
    <col min="12" max="12" width="15.77734375" bestFit="1" customWidth="1"/>
    <col min="13" max="13" width="11.33203125" bestFit="1" customWidth="1"/>
    <col min="14" max="14" width="15.77734375" bestFit="1" customWidth="1"/>
    <col min="15" max="15" width="29.6640625" bestFit="1" customWidth="1"/>
    <col min="22" max="22" width="13.6640625" bestFit="1" customWidth="1"/>
  </cols>
  <sheetData>
    <row r="3" spans="1:41" ht="13.8">
      <c r="A3" s="2" t="s">
        <v>1</v>
      </c>
      <c r="B3" t="s">
        <v>8286</v>
      </c>
      <c r="C3" s="367" t="s">
        <v>8286</v>
      </c>
      <c r="D3" s="367" t="s">
        <v>8285</v>
      </c>
      <c r="E3" s="2" t="s">
        <v>4</v>
      </c>
      <c r="F3" s="2" t="s">
        <v>5</v>
      </c>
      <c r="G3" s="2" t="s">
        <v>6</v>
      </c>
      <c r="H3" s="2" t="s">
        <v>7</v>
      </c>
      <c r="I3" s="2" t="s">
        <v>8292</v>
      </c>
      <c r="J3" s="2" t="s">
        <v>9</v>
      </c>
      <c r="K3" s="2" t="s">
        <v>10</v>
      </c>
      <c r="L3" s="2" t="s">
        <v>11</v>
      </c>
      <c r="M3" s="1" t="s">
        <v>12</v>
      </c>
      <c r="N3" s="2" t="s">
        <v>13</v>
      </c>
      <c r="O3" s="2" t="s">
        <v>14</v>
      </c>
      <c r="P3" s="2" t="s">
        <v>15</v>
      </c>
      <c r="Q3" s="2" t="s">
        <v>16</v>
      </c>
      <c r="R3" s="3" t="s">
        <v>17</v>
      </c>
      <c r="S3" s="3" t="s">
        <v>18</v>
      </c>
      <c r="T3" s="3" t="s">
        <v>19</v>
      </c>
      <c r="U3" s="3" t="s">
        <v>20</v>
      </c>
      <c r="V3" s="4" t="s">
        <v>21</v>
      </c>
      <c r="W3" s="4" t="s">
        <v>22</v>
      </c>
      <c r="X3" s="5"/>
      <c r="Y3" s="5"/>
      <c r="Z3" s="5"/>
      <c r="AA3" s="5"/>
      <c r="AB3" s="5"/>
      <c r="AC3" s="5"/>
      <c r="AD3" s="5"/>
      <c r="AE3" s="5"/>
      <c r="AF3" s="5"/>
      <c r="AG3" s="5"/>
      <c r="AH3" s="5"/>
      <c r="AI3" s="5"/>
      <c r="AJ3" s="5"/>
      <c r="AK3" s="5"/>
      <c r="AL3" s="5"/>
      <c r="AM3" s="5"/>
      <c r="AN3" s="5"/>
      <c r="AO3" s="5"/>
    </row>
    <row r="4" spans="1:41" ht="15.75" customHeight="1">
      <c r="A4" s="93">
        <v>126</v>
      </c>
      <c r="B4" s="99" t="s">
        <v>1398</v>
      </c>
      <c r="C4" t="s">
        <v>3279</v>
      </c>
      <c r="D4" t="s">
        <v>8313</v>
      </c>
      <c r="E4" s="100" t="s">
        <v>6068</v>
      </c>
      <c r="F4" s="2" t="s">
        <v>1400</v>
      </c>
      <c r="G4" s="5" t="s">
        <v>39</v>
      </c>
      <c r="H4" s="95" t="s">
        <v>1401</v>
      </c>
      <c r="I4" s="95" t="s">
        <v>1402</v>
      </c>
      <c r="J4" s="95" t="s">
        <v>1403</v>
      </c>
      <c r="K4" s="96" t="s">
        <v>1404</v>
      </c>
      <c r="L4" s="95">
        <v>8657006837</v>
      </c>
      <c r="M4" s="9" t="s">
        <v>44</v>
      </c>
      <c r="N4" s="95">
        <v>8657006837</v>
      </c>
      <c r="O4" s="12" t="s">
        <v>1405</v>
      </c>
      <c r="P4" s="10" t="s">
        <v>3301</v>
      </c>
      <c r="Q4" s="2" t="s">
        <v>47</v>
      </c>
      <c r="R4" s="5" t="s">
        <v>1406</v>
      </c>
      <c r="S4" s="101" t="s">
        <v>49</v>
      </c>
      <c r="T4" s="101" t="s">
        <v>1407</v>
      </c>
      <c r="U4" s="101" t="s">
        <v>1408</v>
      </c>
      <c r="V4" s="4" t="s">
        <v>1409</v>
      </c>
      <c r="W4" s="4" t="s">
        <v>1410</v>
      </c>
      <c r="X4" s="175"/>
      <c r="Y4" s="175"/>
      <c r="Z4" s="175"/>
    </row>
    <row r="5" spans="1:41" ht="15.75" customHeight="1">
      <c r="A5" s="93">
        <v>127</v>
      </c>
      <c r="B5" s="99" t="s">
        <v>1411</v>
      </c>
      <c r="C5" t="s">
        <v>3266</v>
      </c>
      <c r="D5" t="s">
        <v>8314</v>
      </c>
      <c r="E5" s="100" t="s">
        <v>6069</v>
      </c>
      <c r="F5" s="2" t="s">
        <v>1400</v>
      </c>
      <c r="G5" s="5" t="s">
        <v>39</v>
      </c>
      <c r="H5" s="95" t="s">
        <v>1401</v>
      </c>
      <c r="I5" s="95" t="s">
        <v>1413</v>
      </c>
      <c r="J5" s="95" t="s">
        <v>1414</v>
      </c>
      <c r="K5" s="96" t="s">
        <v>1404</v>
      </c>
      <c r="L5" s="95">
        <v>7045358783</v>
      </c>
      <c r="M5" s="9" t="s">
        <v>44</v>
      </c>
      <c r="N5" s="95">
        <v>7045358783</v>
      </c>
      <c r="O5" s="12" t="s">
        <v>1405</v>
      </c>
      <c r="P5" s="10" t="s">
        <v>3301</v>
      </c>
      <c r="Q5" s="2" t="s">
        <v>47</v>
      </c>
      <c r="R5" s="5" t="s">
        <v>1415</v>
      </c>
      <c r="S5" s="101" t="s">
        <v>301</v>
      </c>
      <c r="T5" s="101" t="s">
        <v>1416</v>
      </c>
      <c r="U5" s="101" t="s">
        <v>1417</v>
      </c>
      <c r="V5" s="4" t="s">
        <v>71</v>
      </c>
      <c r="W5" s="4" t="s">
        <v>1410</v>
      </c>
      <c r="X5" s="175"/>
      <c r="Y5" s="175"/>
      <c r="Z5" s="175"/>
    </row>
    <row r="6" spans="1:41" ht="15.75" customHeight="1">
      <c r="A6" s="93">
        <v>128</v>
      </c>
      <c r="B6" s="99" t="s">
        <v>1418</v>
      </c>
      <c r="C6" t="s">
        <v>3269</v>
      </c>
      <c r="D6" t="s">
        <v>8315</v>
      </c>
      <c r="E6" s="100" t="s">
        <v>6070</v>
      </c>
      <c r="F6" s="2" t="s">
        <v>1400</v>
      </c>
      <c r="G6" s="5" t="s">
        <v>39</v>
      </c>
      <c r="H6" s="95" t="s">
        <v>1401</v>
      </c>
      <c r="I6" s="95" t="s">
        <v>1420</v>
      </c>
      <c r="J6" s="95" t="s">
        <v>1421</v>
      </c>
      <c r="K6" s="96" t="s">
        <v>1404</v>
      </c>
      <c r="L6" s="95">
        <v>7506407720</v>
      </c>
      <c r="M6" s="9" t="s">
        <v>44</v>
      </c>
      <c r="N6" s="95">
        <v>7506407720</v>
      </c>
      <c r="O6" s="12" t="s">
        <v>1405</v>
      </c>
      <c r="P6" s="10" t="s">
        <v>3301</v>
      </c>
      <c r="Q6" s="2" t="s">
        <v>47</v>
      </c>
      <c r="R6" s="5" t="s">
        <v>1422</v>
      </c>
      <c r="S6" s="101" t="s">
        <v>312</v>
      </c>
      <c r="T6" s="101" t="s">
        <v>1423</v>
      </c>
      <c r="U6" s="101" t="s">
        <v>1424</v>
      </c>
      <c r="V6" s="4" t="s">
        <v>71</v>
      </c>
      <c r="W6" s="4" t="s">
        <v>1410</v>
      </c>
      <c r="X6" s="175"/>
      <c r="Y6" s="175"/>
      <c r="Z6" s="175"/>
    </row>
    <row r="7" spans="1:41" ht="15.75" customHeight="1">
      <c r="A7" s="93">
        <v>129</v>
      </c>
      <c r="B7" s="99" t="s">
        <v>1425</v>
      </c>
      <c r="C7" t="s">
        <v>3271</v>
      </c>
      <c r="D7" t="s">
        <v>8316</v>
      </c>
      <c r="E7" s="100" t="s">
        <v>6071</v>
      </c>
      <c r="F7" s="2" t="s">
        <v>1400</v>
      </c>
      <c r="G7" s="5" t="s">
        <v>39</v>
      </c>
      <c r="H7" s="95" t="s">
        <v>1401</v>
      </c>
      <c r="I7" s="95" t="s">
        <v>1427</v>
      </c>
      <c r="J7" s="95" t="s">
        <v>1428</v>
      </c>
      <c r="K7" s="96" t="s">
        <v>1404</v>
      </c>
      <c r="L7" s="95">
        <v>7506965545</v>
      </c>
      <c r="M7" s="9" t="s">
        <v>44</v>
      </c>
      <c r="N7" s="95">
        <v>7506965545</v>
      </c>
      <c r="O7" s="12" t="s">
        <v>1405</v>
      </c>
      <c r="P7" s="10" t="s">
        <v>3301</v>
      </c>
      <c r="Q7" s="2" t="s">
        <v>47</v>
      </c>
      <c r="R7" s="5" t="s">
        <v>1429</v>
      </c>
      <c r="S7" s="101" t="s">
        <v>322</v>
      </c>
      <c r="T7" s="101" t="s">
        <v>1430</v>
      </c>
      <c r="U7" s="101" t="s">
        <v>1431</v>
      </c>
      <c r="V7" s="4" t="s">
        <v>71</v>
      </c>
      <c r="W7" s="4" t="s">
        <v>1410</v>
      </c>
      <c r="X7" s="175"/>
      <c r="Y7" s="175"/>
      <c r="Z7" s="175"/>
    </row>
    <row r="8" spans="1:41" ht="15.75" customHeight="1">
      <c r="A8" s="93">
        <v>130</v>
      </c>
      <c r="B8" s="99" t="s">
        <v>1432</v>
      </c>
      <c r="C8" t="s">
        <v>3273</v>
      </c>
      <c r="D8" t="s">
        <v>8317</v>
      </c>
      <c r="E8" s="100" t="s">
        <v>6072</v>
      </c>
      <c r="F8" s="2" t="s">
        <v>1400</v>
      </c>
      <c r="G8" s="5" t="s">
        <v>39</v>
      </c>
      <c r="H8" s="95" t="s">
        <v>1401</v>
      </c>
      <c r="I8" s="95" t="s">
        <v>1434</v>
      </c>
      <c r="J8" s="95" t="s">
        <v>1435</v>
      </c>
      <c r="K8" s="96" t="s">
        <v>1404</v>
      </c>
      <c r="L8" s="95">
        <v>8657968797</v>
      </c>
      <c r="M8" s="9" t="s">
        <v>44</v>
      </c>
      <c r="N8" s="95">
        <v>8657968797</v>
      </c>
      <c r="O8" s="12" t="s">
        <v>1405</v>
      </c>
      <c r="P8" s="10" t="s">
        <v>3301</v>
      </c>
      <c r="Q8" s="2" t="s">
        <v>47</v>
      </c>
      <c r="R8" s="5" t="s">
        <v>1436</v>
      </c>
      <c r="S8" s="101" t="s">
        <v>1437</v>
      </c>
      <c r="T8" s="101" t="s">
        <v>1438</v>
      </c>
      <c r="U8" s="101" t="s">
        <v>1439</v>
      </c>
      <c r="V8" s="4" t="s">
        <v>1440</v>
      </c>
      <c r="W8" s="4" t="s">
        <v>1410</v>
      </c>
      <c r="X8" s="175"/>
      <c r="Y8" s="175"/>
      <c r="Z8" s="175"/>
    </row>
    <row r="9" spans="1:41" ht="15.75" customHeight="1">
      <c r="A9" s="93">
        <v>131</v>
      </c>
      <c r="B9" s="99" t="s">
        <v>1441</v>
      </c>
      <c r="C9" t="s">
        <v>3275</v>
      </c>
      <c r="D9" t="s">
        <v>8318</v>
      </c>
      <c r="E9" s="100" t="s">
        <v>6073</v>
      </c>
      <c r="F9" s="2" t="s">
        <v>1400</v>
      </c>
      <c r="G9" s="5" t="s">
        <v>39</v>
      </c>
      <c r="H9" s="95" t="s">
        <v>1401</v>
      </c>
      <c r="I9" s="95" t="s">
        <v>1443</v>
      </c>
      <c r="J9" s="95" t="s">
        <v>1435</v>
      </c>
      <c r="K9" s="96" t="s">
        <v>1404</v>
      </c>
      <c r="L9" s="95">
        <v>8657968796</v>
      </c>
      <c r="M9" s="9" t="s">
        <v>44</v>
      </c>
      <c r="N9" s="95">
        <v>8657968796</v>
      </c>
      <c r="O9" s="12" t="s">
        <v>1405</v>
      </c>
      <c r="P9" s="10" t="s">
        <v>3301</v>
      </c>
      <c r="Q9" s="2" t="s">
        <v>47</v>
      </c>
      <c r="R9" s="5" t="s">
        <v>1444</v>
      </c>
      <c r="S9" s="101" t="s">
        <v>1445</v>
      </c>
      <c r="T9" s="101" t="s">
        <v>1446</v>
      </c>
      <c r="U9" s="101" t="s">
        <v>1447</v>
      </c>
      <c r="V9" s="4" t="s">
        <v>71</v>
      </c>
      <c r="W9" s="4" t="s">
        <v>1410</v>
      </c>
      <c r="X9" s="175"/>
      <c r="Y9" s="175"/>
      <c r="Z9" s="175"/>
    </row>
    <row r="10" spans="1:41" ht="15.75" customHeight="1">
      <c r="A10" s="93">
        <v>132</v>
      </c>
      <c r="B10" s="94" t="s">
        <v>1448</v>
      </c>
      <c r="C10" t="s">
        <v>3277</v>
      </c>
      <c r="D10" t="s">
        <v>8319</v>
      </c>
      <c r="E10" s="100" t="s">
        <v>6074</v>
      </c>
      <c r="F10" s="2" t="s">
        <v>1400</v>
      </c>
      <c r="G10" s="5" t="s">
        <v>39</v>
      </c>
      <c r="H10" s="95" t="s">
        <v>1401</v>
      </c>
      <c r="I10" s="95" t="s">
        <v>1450</v>
      </c>
      <c r="J10" s="95" t="s">
        <v>1451</v>
      </c>
      <c r="K10" s="96" t="s">
        <v>1404</v>
      </c>
      <c r="L10" s="95">
        <v>8657601586</v>
      </c>
      <c r="M10" s="9" t="s">
        <v>44</v>
      </c>
      <c r="N10" s="95">
        <v>8657601586</v>
      </c>
      <c r="O10" s="12" t="s">
        <v>1405</v>
      </c>
      <c r="P10" s="10" t="s">
        <v>3301</v>
      </c>
      <c r="Q10" s="2" t="s">
        <v>47</v>
      </c>
      <c r="R10" s="5" t="s">
        <v>1452</v>
      </c>
      <c r="S10" s="101" t="s">
        <v>1453</v>
      </c>
      <c r="T10" s="101" t="s">
        <v>1454</v>
      </c>
      <c r="U10" s="101" t="s">
        <v>1455</v>
      </c>
      <c r="V10" s="4" t="s">
        <v>1410</v>
      </c>
      <c r="W10" s="4" t="s">
        <v>1410</v>
      </c>
      <c r="X10" s="175"/>
      <c r="Y10" s="175"/>
      <c r="Z10" s="175"/>
    </row>
    <row r="11" spans="1:41" ht="15.75" customHeight="1">
      <c r="A11" s="93">
        <v>133</v>
      </c>
      <c r="B11" s="99" t="s">
        <v>1398</v>
      </c>
      <c r="C11" t="s">
        <v>3279</v>
      </c>
      <c r="D11" t="s">
        <v>8313</v>
      </c>
      <c r="E11" s="100" t="s">
        <v>6075</v>
      </c>
      <c r="F11" s="2" t="s">
        <v>1400</v>
      </c>
      <c r="G11" s="5" t="s">
        <v>39</v>
      </c>
      <c r="H11" s="95" t="s">
        <v>1401</v>
      </c>
      <c r="I11" s="95" t="s">
        <v>1402</v>
      </c>
      <c r="J11" s="95" t="s">
        <v>1403</v>
      </c>
      <c r="K11" s="96" t="s">
        <v>1404</v>
      </c>
      <c r="L11" s="95">
        <v>8657006837</v>
      </c>
      <c r="M11" s="9" t="s">
        <v>44</v>
      </c>
      <c r="N11" s="95">
        <v>8657006837</v>
      </c>
      <c r="O11" s="12" t="s">
        <v>1405</v>
      </c>
      <c r="P11" s="10" t="s">
        <v>3301</v>
      </c>
      <c r="Q11" s="2" t="s">
        <v>47</v>
      </c>
      <c r="R11" s="5" t="s">
        <v>1457</v>
      </c>
      <c r="S11" s="101" t="s">
        <v>1458</v>
      </c>
      <c r="T11" s="101" t="s">
        <v>1459</v>
      </c>
      <c r="U11" s="101" t="s">
        <v>1460</v>
      </c>
      <c r="V11" s="4" t="s">
        <v>71</v>
      </c>
      <c r="W11" s="4" t="s">
        <v>1410</v>
      </c>
      <c r="X11" s="175"/>
      <c r="Y11" s="175"/>
      <c r="Z11" s="175"/>
    </row>
    <row r="12" spans="1:41" ht="15.75" customHeight="1">
      <c r="A12" s="93">
        <v>134</v>
      </c>
      <c r="B12" s="348" t="s">
        <v>8290</v>
      </c>
      <c r="C12" t="s">
        <v>8329</v>
      </c>
      <c r="D12" t="s">
        <v>8320</v>
      </c>
      <c r="E12" s="100" t="s">
        <v>6076</v>
      </c>
      <c r="F12" s="2" t="s">
        <v>1400</v>
      </c>
      <c r="G12" s="5" t="s">
        <v>39</v>
      </c>
      <c r="H12" s="95" t="s">
        <v>1401</v>
      </c>
      <c r="I12" s="95" t="s">
        <v>1463</v>
      </c>
      <c r="J12" s="95" t="s">
        <v>1464</v>
      </c>
      <c r="K12" s="96" t="s">
        <v>1404</v>
      </c>
      <c r="L12" s="95">
        <v>8657913169</v>
      </c>
      <c r="M12" s="9" t="s">
        <v>44</v>
      </c>
      <c r="N12" s="95">
        <v>8657913169</v>
      </c>
      <c r="O12" s="12" t="s">
        <v>1405</v>
      </c>
      <c r="P12" s="10" t="s">
        <v>3301</v>
      </c>
      <c r="Q12" s="2" t="s">
        <v>47</v>
      </c>
      <c r="R12" s="5" t="s">
        <v>1465</v>
      </c>
      <c r="S12" s="101" t="s">
        <v>1466</v>
      </c>
      <c r="T12" s="101" t="s">
        <v>1467</v>
      </c>
      <c r="U12" s="101" t="s">
        <v>1468</v>
      </c>
      <c r="V12" s="4" t="s">
        <v>71</v>
      </c>
      <c r="W12" s="4" t="s">
        <v>1410</v>
      </c>
      <c r="X12" s="175"/>
      <c r="Y12" s="175"/>
      <c r="Z12" s="175"/>
    </row>
    <row r="13" spans="1:41" ht="15.75" customHeight="1">
      <c r="A13" s="93">
        <v>135</v>
      </c>
      <c r="B13" s="99" t="s">
        <v>1469</v>
      </c>
      <c r="C13" t="s">
        <v>3283</v>
      </c>
      <c r="D13" t="s">
        <v>8321</v>
      </c>
      <c r="E13" s="100" t="s">
        <v>6077</v>
      </c>
      <c r="F13" s="2" t="s">
        <v>1400</v>
      </c>
      <c r="G13" s="5" t="s">
        <v>39</v>
      </c>
      <c r="H13" s="95" t="s">
        <v>1401</v>
      </c>
      <c r="I13" s="95" t="s">
        <v>1471</v>
      </c>
      <c r="J13" s="95" t="s">
        <v>1472</v>
      </c>
      <c r="K13" s="96" t="s">
        <v>1404</v>
      </c>
      <c r="L13" s="95">
        <v>8657052649</v>
      </c>
      <c r="M13" s="9" t="s">
        <v>44</v>
      </c>
      <c r="N13" s="95">
        <v>8657052649</v>
      </c>
      <c r="O13" s="12" t="s">
        <v>1405</v>
      </c>
      <c r="P13" s="10" t="s">
        <v>3301</v>
      </c>
      <c r="Q13" s="2" t="s">
        <v>47</v>
      </c>
      <c r="R13" s="5" t="s">
        <v>1473</v>
      </c>
      <c r="S13" s="101" t="s">
        <v>1474</v>
      </c>
      <c r="T13" s="101" t="s">
        <v>1475</v>
      </c>
      <c r="U13" s="101" t="s">
        <v>1476</v>
      </c>
      <c r="V13" s="4" t="s">
        <v>1477</v>
      </c>
      <c r="W13" s="4" t="s">
        <v>1410</v>
      </c>
      <c r="X13" s="175"/>
      <c r="Y13" s="175"/>
      <c r="Z13" s="175"/>
    </row>
    <row r="14" spans="1:41" ht="15.75" customHeight="1">
      <c r="A14" s="93">
        <v>136</v>
      </c>
      <c r="B14" s="99" t="s">
        <v>1478</v>
      </c>
      <c r="C14" t="s">
        <v>3285</v>
      </c>
      <c r="D14" t="s">
        <v>8322</v>
      </c>
      <c r="E14" s="100" t="s">
        <v>6078</v>
      </c>
      <c r="F14" s="2" t="s">
        <v>1400</v>
      </c>
      <c r="G14" s="5" t="s">
        <v>39</v>
      </c>
      <c r="H14" s="95" t="s">
        <v>1401</v>
      </c>
      <c r="I14" s="95" t="s">
        <v>1480</v>
      </c>
      <c r="J14" s="95" t="s">
        <v>1481</v>
      </c>
      <c r="K14" s="96" t="s">
        <v>1404</v>
      </c>
      <c r="L14" s="95">
        <v>8657962271</v>
      </c>
      <c r="M14" s="9" t="s">
        <v>44</v>
      </c>
      <c r="N14" s="95">
        <v>8657962271</v>
      </c>
      <c r="O14" s="12" t="s">
        <v>1405</v>
      </c>
      <c r="P14" s="10" t="s">
        <v>3301</v>
      </c>
      <c r="Q14" s="2" t="s">
        <v>47</v>
      </c>
      <c r="R14" s="5" t="s">
        <v>1482</v>
      </c>
      <c r="S14" s="101" t="s">
        <v>1483</v>
      </c>
      <c r="T14" s="101" t="s">
        <v>1484</v>
      </c>
      <c r="U14" s="101" t="s">
        <v>1485</v>
      </c>
      <c r="V14" s="4" t="s">
        <v>71</v>
      </c>
      <c r="W14" s="4" t="s">
        <v>1410</v>
      </c>
      <c r="X14" s="175"/>
      <c r="Y14" s="175"/>
      <c r="Z14" s="175"/>
    </row>
    <row r="15" spans="1:41" ht="15.75" customHeight="1">
      <c r="A15" s="93">
        <v>137</v>
      </c>
      <c r="B15" s="99" t="s">
        <v>1486</v>
      </c>
      <c r="C15" t="s">
        <v>3287</v>
      </c>
      <c r="D15" t="s">
        <v>8323</v>
      </c>
      <c r="E15" s="100" t="s">
        <v>6079</v>
      </c>
      <c r="F15" s="2" t="s">
        <v>1400</v>
      </c>
      <c r="G15" s="5" t="s">
        <v>39</v>
      </c>
      <c r="H15" s="95" t="s">
        <v>1401</v>
      </c>
      <c r="I15" s="95" t="s">
        <v>1488</v>
      </c>
      <c r="J15" s="95" t="s">
        <v>78</v>
      </c>
      <c r="K15" s="96" t="s">
        <v>1404</v>
      </c>
      <c r="L15" s="95">
        <v>9820989960</v>
      </c>
      <c r="M15" s="9" t="s">
        <v>44</v>
      </c>
      <c r="N15" s="95">
        <v>9820989960</v>
      </c>
      <c r="O15" s="12" t="s">
        <v>1405</v>
      </c>
      <c r="P15" s="10" t="s">
        <v>3301</v>
      </c>
      <c r="Q15" s="2" t="s">
        <v>47</v>
      </c>
      <c r="R15" s="5" t="s">
        <v>1489</v>
      </c>
      <c r="S15" s="101" t="s">
        <v>1490</v>
      </c>
      <c r="T15" s="101" t="s">
        <v>1491</v>
      </c>
      <c r="U15" s="101" t="s">
        <v>1492</v>
      </c>
      <c r="V15" s="4" t="s">
        <v>71</v>
      </c>
      <c r="W15" s="4" t="s">
        <v>1410</v>
      </c>
      <c r="X15" s="175"/>
      <c r="Y15" s="175"/>
      <c r="Z15" s="175"/>
    </row>
    <row r="16" spans="1:41" ht="15.75" customHeight="1">
      <c r="A16" s="93">
        <v>138</v>
      </c>
      <c r="B16" s="99" t="s">
        <v>1493</v>
      </c>
      <c r="C16" t="s">
        <v>3289</v>
      </c>
      <c r="D16" t="s">
        <v>8324</v>
      </c>
      <c r="E16" s="100" t="s">
        <v>6080</v>
      </c>
      <c r="F16" s="2" t="s">
        <v>1400</v>
      </c>
      <c r="G16" s="5" t="s">
        <v>39</v>
      </c>
      <c r="H16" s="95" t="s">
        <v>1401</v>
      </c>
      <c r="I16" s="95" t="s">
        <v>1495</v>
      </c>
      <c r="J16" s="95" t="s">
        <v>1496</v>
      </c>
      <c r="K16" s="96" t="s">
        <v>1404</v>
      </c>
      <c r="L16" s="95">
        <v>8657031693</v>
      </c>
      <c r="M16" s="9" t="s">
        <v>44</v>
      </c>
      <c r="N16" s="95">
        <v>8657031693</v>
      </c>
      <c r="O16" s="12" t="s">
        <v>1405</v>
      </c>
      <c r="P16" s="10" t="s">
        <v>3301</v>
      </c>
      <c r="Q16" s="2" t="s">
        <v>47</v>
      </c>
      <c r="R16" s="5" t="s">
        <v>1497</v>
      </c>
      <c r="S16" s="101" t="s">
        <v>1498</v>
      </c>
      <c r="T16" s="101" t="s">
        <v>1499</v>
      </c>
      <c r="U16" s="101" t="s">
        <v>1500</v>
      </c>
      <c r="V16" s="4" t="s">
        <v>1501</v>
      </c>
      <c r="W16" s="4" t="s">
        <v>1410</v>
      </c>
      <c r="X16" s="175"/>
      <c r="Y16" s="175"/>
      <c r="Z16" s="175"/>
    </row>
    <row r="17" spans="1:26" ht="15.75" customHeight="1">
      <c r="A17" s="93">
        <v>139</v>
      </c>
      <c r="B17" s="99" t="s">
        <v>1502</v>
      </c>
      <c r="C17" t="s">
        <v>3291</v>
      </c>
      <c r="D17" t="s">
        <v>8325</v>
      </c>
      <c r="E17" s="100" t="s">
        <v>6081</v>
      </c>
      <c r="F17" s="2" t="s">
        <v>1400</v>
      </c>
      <c r="G17" s="5" t="s">
        <v>39</v>
      </c>
      <c r="H17" s="95" t="s">
        <v>1401</v>
      </c>
      <c r="I17" s="95" t="s">
        <v>1504</v>
      </c>
      <c r="J17" s="95" t="s">
        <v>1505</v>
      </c>
      <c r="K17" s="96" t="s">
        <v>1404</v>
      </c>
      <c r="L17" s="95">
        <v>8657713033</v>
      </c>
      <c r="M17" s="9" t="s">
        <v>44</v>
      </c>
      <c r="N17" s="95">
        <v>8657713033</v>
      </c>
      <c r="O17" s="12" t="s">
        <v>1405</v>
      </c>
      <c r="P17" s="10" t="s">
        <v>3301</v>
      </c>
      <c r="Q17" s="2" t="s">
        <v>47</v>
      </c>
      <c r="R17" s="5" t="s">
        <v>1506</v>
      </c>
      <c r="S17" s="101" t="s">
        <v>1507</v>
      </c>
      <c r="T17" s="101" t="s">
        <v>1508</v>
      </c>
      <c r="U17" s="101" t="s">
        <v>1509</v>
      </c>
      <c r="V17" s="4" t="s">
        <v>71</v>
      </c>
      <c r="W17" s="4" t="s">
        <v>1410</v>
      </c>
      <c r="X17" s="175"/>
      <c r="Y17" s="175"/>
      <c r="Z17" s="175"/>
    </row>
    <row r="18" spans="1:26" ht="15.75" customHeight="1">
      <c r="A18" s="93">
        <v>140</v>
      </c>
      <c r="B18" s="348" t="s">
        <v>8291</v>
      </c>
      <c r="C18" t="s">
        <v>3293</v>
      </c>
      <c r="D18" t="s">
        <v>8326</v>
      </c>
      <c r="E18" s="100" t="s">
        <v>6082</v>
      </c>
      <c r="F18" s="2" t="s">
        <v>1400</v>
      </c>
      <c r="G18" s="5" t="s">
        <v>39</v>
      </c>
      <c r="H18" s="95" t="s">
        <v>1401</v>
      </c>
      <c r="I18" s="95" t="s">
        <v>1512</v>
      </c>
      <c r="J18" s="95" t="s">
        <v>1513</v>
      </c>
      <c r="K18" s="96" t="s">
        <v>1404</v>
      </c>
      <c r="L18" s="95">
        <v>9819516937</v>
      </c>
      <c r="M18" s="9" t="s">
        <v>44</v>
      </c>
      <c r="N18" s="95">
        <v>9819516937</v>
      </c>
      <c r="O18" s="12" t="s">
        <v>1405</v>
      </c>
      <c r="P18" s="10" t="s">
        <v>3301</v>
      </c>
      <c r="Q18" s="2" t="s">
        <v>47</v>
      </c>
      <c r="R18" s="5" t="s">
        <v>1514</v>
      </c>
      <c r="S18" s="101" t="s">
        <v>1515</v>
      </c>
      <c r="T18" s="101" t="s">
        <v>1516</v>
      </c>
      <c r="U18" s="101" t="s">
        <v>1517</v>
      </c>
      <c r="V18" s="4" t="s">
        <v>71</v>
      </c>
      <c r="W18" s="4" t="s">
        <v>1410</v>
      </c>
      <c r="X18" s="175"/>
      <c r="Y18" s="175"/>
      <c r="Z18" s="175"/>
    </row>
    <row r="19" spans="1:26" ht="15.75" customHeight="1">
      <c r="A19" s="93">
        <v>141</v>
      </c>
      <c r="B19" s="99" t="s">
        <v>1411</v>
      </c>
      <c r="C19" t="s">
        <v>3266</v>
      </c>
      <c r="D19" t="s">
        <v>8314</v>
      </c>
      <c r="E19" s="109" t="s">
        <v>6083</v>
      </c>
      <c r="F19" s="2" t="s">
        <v>1400</v>
      </c>
      <c r="G19" s="5" t="s">
        <v>39</v>
      </c>
      <c r="H19" s="95" t="s">
        <v>1401</v>
      </c>
      <c r="I19" s="110" t="s">
        <v>1519</v>
      </c>
      <c r="J19" s="110" t="s">
        <v>1414</v>
      </c>
      <c r="K19" s="96" t="s">
        <v>1404</v>
      </c>
      <c r="L19" s="110">
        <v>7045358783</v>
      </c>
      <c r="M19" s="9" t="s">
        <v>44</v>
      </c>
      <c r="N19" s="110">
        <v>7045358783</v>
      </c>
      <c r="O19" s="12" t="s">
        <v>1405</v>
      </c>
      <c r="P19" s="10" t="s">
        <v>3301</v>
      </c>
      <c r="Q19" s="2" t="s">
        <v>47</v>
      </c>
      <c r="R19" s="5" t="s">
        <v>1520</v>
      </c>
      <c r="S19" s="101" t="s">
        <v>1521</v>
      </c>
      <c r="T19" s="101" t="s">
        <v>1522</v>
      </c>
      <c r="U19" s="101" t="s">
        <v>1523</v>
      </c>
      <c r="V19" s="4" t="s">
        <v>1409</v>
      </c>
      <c r="W19" s="4" t="s">
        <v>1410</v>
      </c>
      <c r="X19" s="175"/>
      <c r="Y19" s="175"/>
      <c r="Z19" s="175"/>
    </row>
    <row r="20" spans="1:26" ht="15.75" customHeight="1">
      <c r="A20" s="93">
        <v>142</v>
      </c>
      <c r="B20" s="99" t="s">
        <v>1524</v>
      </c>
      <c r="C20" t="s">
        <v>3295</v>
      </c>
      <c r="D20" t="s">
        <v>8327</v>
      </c>
      <c r="E20" s="109" t="s">
        <v>6084</v>
      </c>
      <c r="F20" s="2" t="s">
        <v>1400</v>
      </c>
      <c r="G20" s="5" t="s">
        <v>39</v>
      </c>
      <c r="H20" s="95" t="s">
        <v>1401</v>
      </c>
      <c r="I20" s="110" t="s">
        <v>1526</v>
      </c>
      <c r="J20" s="110" t="s">
        <v>1527</v>
      </c>
      <c r="K20" s="96" t="s">
        <v>1404</v>
      </c>
      <c r="L20" s="110">
        <v>8657962272</v>
      </c>
      <c r="M20" s="9" t="s">
        <v>44</v>
      </c>
      <c r="N20" s="110">
        <v>8657962272</v>
      </c>
      <c r="O20" s="12" t="s">
        <v>1405</v>
      </c>
      <c r="P20" s="10" t="s">
        <v>3301</v>
      </c>
      <c r="Q20" s="2" t="s">
        <v>47</v>
      </c>
      <c r="R20" s="5" t="s">
        <v>1528</v>
      </c>
      <c r="S20" s="101" t="s">
        <v>1529</v>
      </c>
      <c r="T20" s="101" t="s">
        <v>1530</v>
      </c>
      <c r="U20" s="101" t="s">
        <v>1531</v>
      </c>
      <c r="V20" s="4" t="s">
        <v>71</v>
      </c>
      <c r="W20" s="4" t="s">
        <v>1410</v>
      </c>
      <c r="X20" s="175"/>
      <c r="Y20" s="175"/>
      <c r="Z20" s="175"/>
    </row>
    <row r="21" spans="1:26" ht="15.75" customHeight="1">
      <c r="A21" s="93">
        <v>143</v>
      </c>
      <c r="B21" s="12" t="s">
        <v>1532</v>
      </c>
      <c r="C21" t="s">
        <v>8330</v>
      </c>
      <c r="D21" t="s">
        <v>8328</v>
      </c>
      <c r="E21" s="100" t="s">
        <v>6085</v>
      </c>
      <c r="F21" s="2" t="s">
        <v>1400</v>
      </c>
      <c r="G21" s="5" t="s">
        <v>39</v>
      </c>
      <c r="H21" s="95" t="s">
        <v>1401</v>
      </c>
      <c r="I21" t="s">
        <v>8280</v>
      </c>
      <c r="J21" t="s">
        <v>191</v>
      </c>
      <c r="K21" s="347" t="s">
        <v>8281</v>
      </c>
      <c r="L21" s="95">
        <f>79260902265</f>
        <v>79260902265</v>
      </c>
      <c r="M21" s="9" t="s">
        <v>44</v>
      </c>
      <c r="N21" s="95">
        <f>79260902265</f>
        <v>79260902265</v>
      </c>
      <c r="O21" s="12" t="s">
        <v>1405</v>
      </c>
      <c r="P21" s="10" t="s">
        <v>3301</v>
      </c>
      <c r="Q21" s="2" t="s">
        <v>47</v>
      </c>
      <c r="R21" s="5" t="s">
        <v>1538</v>
      </c>
      <c r="S21" s="101" t="s">
        <v>1539</v>
      </c>
      <c r="T21" s="101" t="s">
        <v>1540</v>
      </c>
      <c r="U21" s="101" t="s">
        <v>1541</v>
      </c>
      <c r="V21" s="4" t="s">
        <v>71</v>
      </c>
      <c r="W21" s="4" t="s">
        <v>1410</v>
      </c>
      <c r="X21" s="175"/>
      <c r="Y21" s="175"/>
      <c r="Z21" s="175"/>
    </row>
    <row r="22" spans="1:26" ht="15.75" customHeight="1">
      <c r="H22" s="95"/>
      <c r="K22" s="347" t="s">
        <v>8282</v>
      </c>
    </row>
    <row r="23" spans="1:26" ht="15.75" customHeight="1">
      <c r="K23" s="347" t="s">
        <v>8283</v>
      </c>
    </row>
  </sheetData>
  <hyperlinks>
    <hyperlink ref="B4" r:id="rId1" xr:uid="{00000000-0004-0000-0A00-000000000000}"/>
    <hyperlink ref="E4" r:id="rId2" xr:uid="{00000000-0004-0000-0A00-000001000000}"/>
    <hyperlink ref="O4" r:id="rId3" xr:uid="{00000000-0004-0000-0A00-000002000000}"/>
    <hyperlink ref="B5" r:id="rId4" xr:uid="{00000000-0004-0000-0A00-000006000000}"/>
    <hyperlink ref="E5" r:id="rId5" xr:uid="{00000000-0004-0000-0A00-000007000000}"/>
    <hyperlink ref="O5" r:id="rId6" xr:uid="{00000000-0004-0000-0A00-000008000000}"/>
    <hyperlink ref="B6" r:id="rId7" xr:uid="{00000000-0004-0000-0A00-00000C000000}"/>
    <hyperlink ref="E6" r:id="rId8" xr:uid="{00000000-0004-0000-0A00-00000D000000}"/>
    <hyperlink ref="O6" r:id="rId9" xr:uid="{00000000-0004-0000-0A00-00000E000000}"/>
    <hyperlink ref="B7" r:id="rId10" xr:uid="{00000000-0004-0000-0A00-000012000000}"/>
    <hyperlink ref="E7" r:id="rId11" xr:uid="{00000000-0004-0000-0A00-000013000000}"/>
    <hyperlink ref="O7" r:id="rId12" xr:uid="{00000000-0004-0000-0A00-000014000000}"/>
    <hyperlink ref="B8" r:id="rId13" xr:uid="{00000000-0004-0000-0A00-000018000000}"/>
    <hyperlink ref="E8" r:id="rId14" xr:uid="{00000000-0004-0000-0A00-000019000000}"/>
    <hyperlink ref="O8" r:id="rId15" xr:uid="{00000000-0004-0000-0A00-00001A000000}"/>
    <hyperlink ref="B9" r:id="rId16" xr:uid="{00000000-0004-0000-0A00-00001E000000}"/>
    <hyperlink ref="E9" r:id="rId17" xr:uid="{00000000-0004-0000-0A00-00001F000000}"/>
    <hyperlink ref="O9" r:id="rId18" xr:uid="{00000000-0004-0000-0A00-000020000000}"/>
    <hyperlink ref="B10" r:id="rId19" xr:uid="{00000000-0004-0000-0A00-000024000000}"/>
    <hyperlink ref="E10" r:id="rId20" xr:uid="{00000000-0004-0000-0A00-000025000000}"/>
    <hyperlink ref="O10" r:id="rId21" xr:uid="{00000000-0004-0000-0A00-000026000000}"/>
    <hyperlink ref="B11" r:id="rId22" xr:uid="{00000000-0004-0000-0A00-00002A000000}"/>
    <hyperlink ref="E11" r:id="rId23" xr:uid="{00000000-0004-0000-0A00-00002B000000}"/>
    <hyperlink ref="O11" r:id="rId24" xr:uid="{00000000-0004-0000-0A00-00002C000000}"/>
    <hyperlink ref="B12" r:id="rId25" xr:uid="{00000000-0004-0000-0A00-000030000000}"/>
    <hyperlink ref="E12" r:id="rId26" xr:uid="{00000000-0004-0000-0A00-000031000000}"/>
    <hyperlink ref="O12" r:id="rId27" xr:uid="{00000000-0004-0000-0A00-000032000000}"/>
    <hyperlink ref="B13" r:id="rId28" xr:uid="{00000000-0004-0000-0A00-000036000000}"/>
    <hyperlink ref="E13" r:id="rId29" xr:uid="{00000000-0004-0000-0A00-000037000000}"/>
    <hyperlink ref="O13" r:id="rId30" xr:uid="{00000000-0004-0000-0A00-000038000000}"/>
    <hyperlink ref="B14" r:id="rId31" xr:uid="{00000000-0004-0000-0A00-00003C000000}"/>
    <hyperlink ref="E14" r:id="rId32" xr:uid="{00000000-0004-0000-0A00-00003D000000}"/>
    <hyperlink ref="O14" r:id="rId33" xr:uid="{00000000-0004-0000-0A00-00003E000000}"/>
    <hyperlink ref="B15" r:id="rId34" xr:uid="{00000000-0004-0000-0A00-000042000000}"/>
    <hyperlink ref="E15" r:id="rId35" xr:uid="{00000000-0004-0000-0A00-000043000000}"/>
    <hyperlink ref="O15" r:id="rId36" xr:uid="{00000000-0004-0000-0A00-000044000000}"/>
    <hyperlink ref="B16" r:id="rId37" xr:uid="{00000000-0004-0000-0A00-000048000000}"/>
    <hyperlink ref="E16" r:id="rId38" xr:uid="{00000000-0004-0000-0A00-000049000000}"/>
    <hyperlink ref="O16" r:id="rId39" xr:uid="{00000000-0004-0000-0A00-00004A000000}"/>
    <hyperlink ref="B17" r:id="rId40" xr:uid="{00000000-0004-0000-0A00-00004E000000}"/>
    <hyperlink ref="E17" r:id="rId41" xr:uid="{00000000-0004-0000-0A00-00004F000000}"/>
    <hyperlink ref="O17" r:id="rId42" xr:uid="{00000000-0004-0000-0A00-000050000000}"/>
    <hyperlink ref="B18" r:id="rId43" xr:uid="{00000000-0004-0000-0A00-000054000000}"/>
    <hyperlink ref="E18" r:id="rId44" xr:uid="{00000000-0004-0000-0A00-000055000000}"/>
    <hyperlink ref="O18" r:id="rId45" xr:uid="{00000000-0004-0000-0A00-000056000000}"/>
    <hyperlink ref="B19" r:id="rId46" xr:uid="{00000000-0004-0000-0A00-00005A000000}"/>
    <hyperlink ref="E19" r:id="rId47" xr:uid="{00000000-0004-0000-0A00-00005B000000}"/>
    <hyperlink ref="O19" r:id="rId48" xr:uid="{00000000-0004-0000-0A00-00005C000000}"/>
    <hyperlink ref="B20" r:id="rId49" xr:uid="{00000000-0004-0000-0A00-000060000000}"/>
    <hyperlink ref="E20" r:id="rId50" xr:uid="{00000000-0004-0000-0A00-000061000000}"/>
    <hyperlink ref="O20" r:id="rId51" xr:uid="{00000000-0004-0000-0A00-000062000000}"/>
    <hyperlink ref="B21" r:id="rId52" xr:uid="{00000000-0004-0000-0A00-000066000000}"/>
    <hyperlink ref="E21" r:id="rId53" xr:uid="{00000000-0004-0000-0A00-000067000000}"/>
    <hyperlink ref="O21" r:id="rId54" xr:uid="{00000000-0004-0000-0A00-000068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5F4A7-C6BF-4D0B-8E0B-C902CC07B030}">
  <dimension ref="A1:AB785"/>
  <sheetViews>
    <sheetView tabSelected="1" zoomScaleNormal="100" workbookViewId="0">
      <pane ySplit="1" topLeftCell="A730" activePane="bottomLeft" state="frozen"/>
      <selection pane="bottomLeft" sqref="A1:XFD1048576"/>
    </sheetView>
  </sheetViews>
  <sheetFormatPr defaultRowHeight="13.2"/>
  <cols>
    <col min="1" max="1" width="10.5546875" style="387" bestFit="1" customWidth="1"/>
    <col min="2" max="2" width="83.33203125" style="387" bestFit="1" customWidth="1"/>
    <col min="3" max="3" width="18.21875" style="387" bestFit="1" customWidth="1"/>
    <col min="4" max="4" width="40.5546875" style="387" bestFit="1" customWidth="1"/>
    <col min="5" max="5" width="57.21875" style="387" bestFit="1" customWidth="1"/>
    <col min="6" max="6" width="12.5546875" style="387" bestFit="1" customWidth="1"/>
    <col min="7" max="7" width="41.109375" style="387" bestFit="1" customWidth="1"/>
    <col min="8" max="8" width="41.5546875" style="387" bestFit="1" customWidth="1"/>
    <col min="9" max="9" width="52.6640625" style="387" customWidth="1"/>
    <col min="10" max="10" width="47.77734375" style="387" customWidth="1"/>
    <col min="11" max="11" width="66.21875" style="387" customWidth="1"/>
    <col min="12" max="12" width="22.33203125" style="387" customWidth="1"/>
    <col min="13" max="13" width="20.44140625" style="387" bestFit="1" customWidth="1"/>
    <col min="14" max="14" width="23.44140625" style="387" bestFit="1" customWidth="1"/>
    <col min="15" max="15" width="22.6640625" style="387" bestFit="1" customWidth="1"/>
    <col min="16" max="16" width="39" style="387" customWidth="1"/>
    <col min="17" max="17" width="25.109375" style="387" customWidth="1"/>
    <col min="18" max="18" width="22.77734375" style="387" bestFit="1" customWidth="1"/>
    <col min="19" max="19" width="27" style="387" bestFit="1" customWidth="1"/>
    <col min="20" max="20" width="25.21875" style="387" bestFit="1" customWidth="1"/>
    <col min="21" max="21" width="46.77734375" style="387" customWidth="1"/>
    <col min="22" max="22" width="35.33203125" style="387" customWidth="1"/>
    <col min="23" max="23" width="12.21875" style="387" bestFit="1" customWidth="1"/>
    <col min="24" max="25" width="8.88671875" style="387"/>
    <col min="26" max="26" width="12.88671875" style="387" bestFit="1" customWidth="1"/>
    <col min="27" max="27" width="15.6640625" style="387" bestFit="1" customWidth="1"/>
    <col min="28" max="16384" width="8.88671875" style="387"/>
  </cols>
  <sheetData>
    <row r="1" spans="1:28" ht="13.8">
      <c r="A1" s="387" t="s">
        <v>8296</v>
      </c>
      <c r="B1" s="388" t="s">
        <v>639</v>
      </c>
      <c r="C1" s="388" t="s">
        <v>10708</v>
      </c>
      <c r="D1" s="388" t="s">
        <v>5</v>
      </c>
      <c r="E1" s="389" t="s">
        <v>8286</v>
      </c>
      <c r="F1" s="389" t="s">
        <v>8285</v>
      </c>
      <c r="G1" s="389" t="s">
        <v>8335</v>
      </c>
      <c r="H1" s="389" t="s">
        <v>8336</v>
      </c>
      <c r="I1" s="389" t="s">
        <v>7</v>
      </c>
      <c r="J1" s="389" t="s">
        <v>8292</v>
      </c>
      <c r="K1" s="389" t="s">
        <v>9</v>
      </c>
      <c r="L1" s="389" t="s">
        <v>8287</v>
      </c>
      <c r="M1" s="389" t="s">
        <v>8284</v>
      </c>
      <c r="N1" s="389" t="s">
        <v>8288</v>
      </c>
      <c r="O1" s="389" t="s">
        <v>10706</v>
      </c>
      <c r="P1" s="389" t="s">
        <v>10539</v>
      </c>
      <c r="Q1" s="389" t="s">
        <v>2941</v>
      </c>
      <c r="R1" s="389" t="s">
        <v>8289</v>
      </c>
      <c r="S1" s="389" t="s">
        <v>10540</v>
      </c>
      <c r="T1" s="389" t="s">
        <v>10707</v>
      </c>
      <c r="U1" s="389" t="s">
        <v>8301</v>
      </c>
      <c r="V1" s="389" t="s">
        <v>14</v>
      </c>
      <c r="W1" s="389" t="s">
        <v>10705</v>
      </c>
      <c r="X1" s="390" t="s">
        <v>8303</v>
      </c>
      <c r="Y1" s="390" t="s">
        <v>8304</v>
      </c>
      <c r="Z1" s="390" t="s">
        <v>8305</v>
      </c>
      <c r="AA1" s="390" t="s">
        <v>8306</v>
      </c>
      <c r="AB1" s="390" t="s">
        <v>10749</v>
      </c>
    </row>
    <row r="2" spans="1:28" ht="13.8">
      <c r="A2" s="387">
        <v>1</v>
      </c>
      <c r="B2" s="391" t="s">
        <v>35</v>
      </c>
      <c r="C2" s="383" t="s">
        <v>10709</v>
      </c>
      <c r="D2" s="387" t="s">
        <v>10714</v>
      </c>
      <c r="E2" s="383" t="s">
        <v>8589</v>
      </c>
      <c r="F2" s="383">
        <v>149</v>
      </c>
      <c r="G2" s="383" t="s">
        <v>52</v>
      </c>
      <c r="H2" s="383" t="s">
        <v>52</v>
      </c>
      <c r="I2" s="383" t="s">
        <v>8337</v>
      </c>
      <c r="J2" s="383" t="s">
        <v>41</v>
      </c>
      <c r="K2" s="383" t="s">
        <v>42</v>
      </c>
      <c r="L2" s="383" t="s">
        <v>9605</v>
      </c>
      <c r="M2" s="383" t="s">
        <v>9880</v>
      </c>
      <c r="N2" s="392" t="s">
        <v>44</v>
      </c>
      <c r="O2" s="383" t="str">
        <f>IF(LEN(SUBSTITUTE(Table3937[[#This Row],[PRIMARY CONTACT]]," ",""))=10,SUBSTITUTE(Table3937[[#This Row],[PRIMARY CONTACT]]," ","") &amp; " - Proper","- Follow Up")</f>
        <v>9892891823 - Proper</v>
      </c>
      <c r="P2" s="383" t="s">
        <v>37</v>
      </c>
      <c r="Q2" s="383">
        <v>9892891823</v>
      </c>
      <c r="R2" s="383" t="str">
        <f>SUBSTITUTE(Table3937[[#This Row],[whatsapp_number]]," ","")</f>
        <v>9892891823</v>
      </c>
      <c r="S2" s="383" t="str">
        <f>IF(Table3937[[#This Row],[PRIMARY CONTACT]]=Table3937[[#This Row],[WHATSAPP CONTACT]],"Same Contact","Different Contact")</f>
        <v>Same Contact</v>
      </c>
      <c r="T2" s="383" t="str">
        <f>IF(LEN(SUBSTITUTE(Table3937[[#This Row],[PRIMARY CONTACT]]," ",""))=10,SUBSTITUTE(Table3937[[#This Row],[PRIMARY CONTACT]]," ","") &amp; " - Proper","- Follow Up")</f>
        <v>9892891823 - Proper</v>
      </c>
      <c r="U2" s="383" t="s">
        <v>2947</v>
      </c>
      <c r="V2" s="393" t="s">
        <v>45</v>
      </c>
      <c r="W2" s="383" t="s">
        <v>47</v>
      </c>
      <c r="X2" s="394" t="s">
        <v>48</v>
      </c>
      <c r="Y2" s="394" t="s">
        <v>49</v>
      </c>
      <c r="Z2" s="394" t="s">
        <v>50</v>
      </c>
      <c r="AA2" s="394" t="s">
        <v>51</v>
      </c>
      <c r="AB2" s="383"/>
    </row>
    <row r="3" spans="1:28" ht="13.8">
      <c r="A3" s="387">
        <v>2</v>
      </c>
      <c r="B3" s="395" t="s">
        <v>53</v>
      </c>
      <c r="C3" s="383" t="s">
        <v>10709</v>
      </c>
      <c r="D3" s="396" t="s">
        <v>10715</v>
      </c>
      <c r="E3" s="383" t="s">
        <v>8590</v>
      </c>
      <c r="F3" s="383">
        <v>150</v>
      </c>
      <c r="G3" s="383" t="s">
        <v>62</v>
      </c>
      <c r="H3" s="383" t="s">
        <v>52</v>
      </c>
      <c r="I3" s="383" t="s">
        <v>8337</v>
      </c>
      <c r="J3" s="383" t="s">
        <v>57</v>
      </c>
      <c r="K3" s="383" t="s">
        <v>58</v>
      </c>
      <c r="L3" s="383" t="s">
        <v>9606</v>
      </c>
      <c r="M3" s="383">
        <v>9845520982</v>
      </c>
      <c r="N3" s="361" t="s">
        <v>44</v>
      </c>
      <c r="O3" s="383" t="str">
        <f>IF(LEN(SUBSTITUTE(Table3937[[#This Row],[PRIMARY CONTACT]]," ",""))=10,SUBSTITUTE(Table3937[[#This Row],[PRIMARY CONTACT]]," ","") &amp; " - Proper","- Follow Up")</f>
        <v>9845520982 - Proper</v>
      </c>
      <c r="P3" s="383" t="s">
        <v>2948</v>
      </c>
      <c r="Q3" s="383" t="s">
        <v>60</v>
      </c>
      <c r="R3" s="383" t="str">
        <f>SUBSTITUTE(Table3937[[#This Row],[whatsapp_number]]," ","")</f>
        <v>9845520982</v>
      </c>
      <c r="S3" s="383" t="str">
        <f>IF(Table3937[[#This Row],[PRIMARY CONTACT]]=Table3937[[#This Row],[WHATSAPP CONTACT]],"Same Contact","Different Contact")</f>
        <v>Different Contact</v>
      </c>
      <c r="T3" s="383" t="str">
        <f>IF(LEN(SUBSTITUTE(Table3937[[#This Row],[PRIMARY CONTACT]]," ",""))=10,SUBSTITUTE(Table3937[[#This Row],[PRIMARY CONTACT]]," ","") &amp; " - Proper","- Follow Up")</f>
        <v>9845520982 - Proper</v>
      </c>
      <c r="U3" s="383" t="s">
        <v>10541</v>
      </c>
      <c r="V3" s="393" t="s">
        <v>45</v>
      </c>
      <c r="W3" s="383" t="s">
        <v>47</v>
      </c>
      <c r="X3" s="362" t="s">
        <v>48</v>
      </c>
      <c r="Y3" s="362" t="s">
        <v>49</v>
      </c>
      <c r="Z3" s="362" t="s">
        <v>50</v>
      </c>
      <c r="AA3" s="362" t="s">
        <v>51</v>
      </c>
      <c r="AB3" s="383"/>
    </row>
    <row r="4" spans="1:28" ht="13.8">
      <c r="A4" s="387">
        <v>3</v>
      </c>
      <c r="B4" s="397" t="s">
        <v>63</v>
      </c>
      <c r="C4" s="383" t="s">
        <v>10709</v>
      </c>
      <c r="D4" s="383" t="str">
        <f>MID(B4, FIND(".com/",B4)+5, FIND("/",B4,FIND(".com/",B4)+5) - (FIND(".com/",B4)+5))</f>
        <v>BRIJESH-RATHOD</v>
      </c>
      <c r="E4" s="383" t="s">
        <v>8591</v>
      </c>
      <c r="F4" s="383">
        <v>157</v>
      </c>
      <c r="G4" s="383" t="s">
        <v>71</v>
      </c>
      <c r="H4" s="383" t="s">
        <v>71</v>
      </c>
      <c r="I4" s="383" t="s">
        <v>8338</v>
      </c>
      <c r="J4" s="383" t="s">
        <v>67</v>
      </c>
      <c r="K4" s="383" t="s">
        <v>68</v>
      </c>
      <c r="L4" s="383" t="s">
        <v>8341</v>
      </c>
      <c r="M4" s="383" t="s">
        <v>9881</v>
      </c>
      <c r="N4" s="386" t="s">
        <v>44</v>
      </c>
      <c r="O4" s="383" t="str">
        <f>IF(LEN(SUBSTITUTE(Table3937[[#This Row],[PRIMARY CONTACT]]," ",""))=10,SUBSTITUTE(Table3937[[#This Row],[PRIMARY CONTACT]]," ","") &amp; " - Proper","- Follow Up")</f>
        <v>7506194091 - Proper</v>
      </c>
      <c r="P4" s="383" t="s">
        <v>2952</v>
      </c>
      <c r="Q4" s="383">
        <v>7506194091</v>
      </c>
      <c r="R4" s="383" t="str">
        <f>SUBSTITUTE(Table3937[[#This Row],[whatsapp_number]]," ","")</f>
        <v>7506194091</v>
      </c>
      <c r="S4" s="383" t="str">
        <f>IF(Table3937[[#This Row],[PRIMARY CONTACT]]=Table3937[[#This Row],[WHATSAPP CONTACT]],"Same Contact","Different Contact")</f>
        <v>Same Contact</v>
      </c>
      <c r="T4" s="383" t="str">
        <f>IF(LEN(SUBSTITUTE(Table3937[[#This Row],[PRIMARY CONTACT]]," ",""))=10,SUBSTITUTE(Table3937[[#This Row],[PRIMARY CONTACT]]," ","") &amp; " - Proper","- Follow Up")</f>
        <v>7506194091 - Proper</v>
      </c>
      <c r="U4" s="383" t="s">
        <v>2953</v>
      </c>
      <c r="V4" s="383" t="s">
        <v>71</v>
      </c>
      <c r="W4" s="383" t="s">
        <v>47</v>
      </c>
      <c r="X4" s="398" t="s">
        <v>69</v>
      </c>
      <c r="Y4" s="398" t="s">
        <v>49</v>
      </c>
      <c r="Z4" s="398" t="s">
        <v>70</v>
      </c>
      <c r="AA4" s="398" t="s">
        <v>49</v>
      </c>
      <c r="AB4" s="383"/>
    </row>
    <row r="5" spans="1:28" ht="13.8">
      <c r="A5" s="387">
        <v>4</v>
      </c>
      <c r="B5" s="397" t="s">
        <v>72</v>
      </c>
      <c r="C5" s="383" t="s">
        <v>10709</v>
      </c>
      <c r="D5" s="399" t="s">
        <v>75</v>
      </c>
      <c r="E5" s="383" t="s">
        <v>8592</v>
      </c>
      <c r="F5" s="383">
        <v>158</v>
      </c>
      <c r="G5" s="383" t="s">
        <v>83</v>
      </c>
      <c r="H5" s="383" t="s">
        <v>83</v>
      </c>
      <c r="I5" s="383" t="s">
        <v>8339</v>
      </c>
      <c r="J5" s="383" t="s">
        <v>77</v>
      </c>
      <c r="K5" s="383" t="s">
        <v>78</v>
      </c>
      <c r="L5" s="383" t="s">
        <v>9607</v>
      </c>
      <c r="M5" s="383" t="s">
        <v>9882</v>
      </c>
      <c r="N5" s="386">
        <v>8433939393</v>
      </c>
      <c r="O5" s="383" t="str">
        <f>IF(LEN(SUBSTITUTE(Table3937[[#This Row],[PRIMARY CONTACT]]," ",""))=10,SUBSTITUTE(Table3937[[#This Row],[PRIMARY CONTACT]]," ","") &amp; " - Proper","- Follow Up")</f>
        <v>9930141714 - Proper</v>
      </c>
      <c r="P5" s="383" t="s">
        <v>74</v>
      </c>
      <c r="Q5" s="383">
        <v>9930141714</v>
      </c>
      <c r="R5" s="383" t="str">
        <f>SUBSTITUTE(Table3937[[#This Row],[whatsapp_number]]," ","")</f>
        <v>9930141714</v>
      </c>
      <c r="S5" s="383" t="str">
        <f>IF(Table3937[[#This Row],[PRIMARY CONTACT]]=Table3937[[#This Row],[WHATSAPP CONTACT]],"Same Contact","Different Contact")</f>
        <v>Same Contact</v>
      </c>
      <c r="T5" s="383" t="str">
        <f>IF(LEN(SUBSTITUTE(Table3937[[#This Row],[PRIMARY CONTACT]]," ",""))=10,SUBSTITUTE(Table3937[[#This Row],[PRIMARY CONTACT]]," ","") &amp; " - Proper","- Follow Up")</f>
        <v>9930141714 - Proper</v>
      </c>
      <c r="U5" s="383" t="s">
        <v>10542</v>
      </c>
      <c r="V5" s="393" t="s">
        <v>80</v>
      </c>
      <c r="W5" s="383" t="s">
        <v>47</v>
      </c>
      <c r="X5" s="398" t="s">
        <v>48</v>
      </c>
      <c r="Y5" s="398" t="s">
        <v>49</v>
      </c>
      <c r="Z5" s="398" t="s">
        <v>82</v>
      </c>
      <c r="AA5" s="386" t="s">
        <v>49</v>
      </c>
      <c r="AB5" s="383"/>
    </row>
    <row r="6" spans="1:28" ht="13.8">
      <c r="A6" s="387">
        <v>5</v>
      </c>
      <c r="B6" s="400" t="s">
        <v>85</v>
      </c>
      <c r="C6" s="383" t="s">
        <v>10713</v>
      </c>
      <c r="D6" s="401" t="s">
        <v>88</v>
      </c>
      <c r="E6" s="383" t="s">
        <v>8593</v>
      </c>
      <c r="F6" s="383">
        <v>161</v>
      </c>
      <c r="G6" s="383" t="s">
        <v>94</v>
      </c>
      <c r="H6" s="383" t="s">
        <v>94</v>
      </c>
      <c r="I6" s="383" t="s">
        <v>8340</v>
      </c>
      <c r="J6" s="383" t="s">
        <v>9248</v>
      </c>
      <c r="K6" s="383" t="s">
        <v>9497</v>
      </c>
      <c r="L6" s="383" t="s">
        <v>8341</v>
      </c>
      <c r="M6" s="383" t="s">
        <v>9883</v>
      </c>
      <c r="N6" s="385" t="s">
        <v>44</v>
      </c>
      <c r="O6" s="383" t="str">
        <f>IF(LEN(SUBSTITUTE(Table3937[[#This Row],[PRIMARY CONTACT]]," ",""))=10,SUBSTITUTE(Table3937[[#This Row],[PRIMARY CONTACT]]," ","") &amp; " - Proper","- Follow Up")</f>
        <v>9769401691 - Proper</v>
      </c>
      <c r="P6" s="383" t="s">
        <v>87</v>
      </c>
      <c r="Q6" s="383">
        <v>9769401691</v>
      </c>
      <c r="R6" s="383" t="str">
        <f>SUBSTITUTE(Table3937[[#This Row],[whatsapp_number]]," ","")</f>
        <v>9769401691</v>
      </c>
      <c r="S6" s="383" t="str">
        <f>IF(Table3937[[#This Row],[PRIMARY CONTACT]]=Table3937[[#This Row],[WHATSAPP CONTACT]],"Same Contact","Different Contact")</f>
        <v>Same Contact</v>
      </c>
      <c r="T6" s="383" t="str">
        <f>IF(LEN(SUBSTITUTE(Table3937[[#This Row],[PRIMARY CONTACT]]," ",""))=10,SUBSTITUTE(Table3937[[#This Row],[PRIMARY CONTACT]]," ","") &amp; " - Proper","- Follow Up")</f>
        <v>9769401691 - Proper</v>
      </c>
      <c r="U6" s="383" t="s">
        <v>8341</v>
      </c>
      <c r="V6" s="383" t="s">
        <v>71</v>
      </c>
      <c r="W6" s="383" t="s">
        <v>47</v>
      </c>
      <c r="X6" s="402" t="s">
        <v>48</v>
      </c>
      <c r="Y6" s="402" t="s">
        <v>49</v>
      </c>
      <c r="Z6" s="402" t="s">
        <v>92</v>
      </c>
      <c r="AA6" s="402" t="s">
        <v>93</v>
      </c>
      <c r="AB6" s="383"/>
    </row>
    <row r="7" spans="1:28" ht="13.8">
      <c r="A7" s="387">
        <v>6</v>
      </c>
      <c r="B7" s="400" t="s">
        <v>95</v>
      </c>
      <c r="C7" s="383" t="s">
        <v>10709</v>
      </c>
      <c r="D7" s="401" t="s">
        <v>98</v>
      </c>
      <c r="E7" s="383" t="s">
        <v>8594</v>
      </c>
      <c r="F7" s="383">
        <v>211</v>
      </c>
      <c r="G7" s="383" t="s">
        <v>102</v>
      </c>
      <c r="H7" s="383" t="s">
        <v>52</v>
      </c>
      <c r="I7" s="383" t="s">
        <v>8337</v>
      </c>
      <c r="J7" s="383" t="s">
        <v>9249</v>
      </c>
      <c r="K7" s="383" t="s">
        <v>100</v>
      </c>
      <c r="L7" s="383" t="s">
        <v>9608</v>
      </c>
      <c r="M7" s="383" t="s">
        <v>9884</v>
      </c>
      <c r="N7" s="385" t="s">
        <v>44</v>
      </c>
      <c r="O7" s="383" t="str">
        <f>IF(LEN(SUBSTITUTE(Table3937[[#This Row],[PRIMARY CONTACT]]," ",""))=10,SUBSTITUTE(Table3937[[#This Row],[PRIMARY CONTACT]]," ","") &amp; " - Proper","- Follow Up")</f>
        <v>9324545101 - Proper</v>
      </c>
      <c r="P7" s="383" t="s">
        <v>97</v>
      </c>
      <c r="Q7" s="383">
        <v>9324545101</v>
      </c>
      <c r="R7" s="383" t="str">
        <f>SUBSTITUTE(Table3937[[#This Row],[whatsapp_number]]," ","")</f>
        <v>9324545101</v>
      </c>
      <c r="S7" s="383" t="str">
        <f>IF(Table3937[[#This Row],[PRIMARY CONTACT]]=Table3937[[#This Row],[WHATSAPP CONTACT]],"Same Contact","Different Contact")</f>
        <v>Same Contact</v>
      </c>
      <c r="T7" s="383" t="str">
        <f>IF(LEN(SUBSTITUTE(Table3937[[#This Row],[PRIMARY CONTACT]]," ",""))=10,SUBSTITUTE(Table3937[[#This Row],[PRIMARY CONTACT]]," ","") &amp; " - Proper","- Follow Up")</f>
        <v>9324545101 - Proper</v>
      </c>
      <c r="U7" s="383" t="s">
        <v>2947</v>
      </c>
      <c r="V7" s="393" t="s">
        <v>45</v>
      </c>
      <c r="W7" s="383" t="s">
        <v>47</v>
      </c>
      <c r="X7" s="402" t="s">
        <v>48</v>
      </c>
      <c r="Y7" s="402" t="s">
        <v>49</v>
      </c>
      <c r="Z7" s="402" t="s">
        <v>50</v>
      </c>
      <c r="AA7" s="402" t="s">
        <v>51</v>
      </c>
      <c r="AB7" s="383"/>
    </row>
    <row r="8" spans="1:28" ht="13.8">
      <c r="A8" s="387">
        <v>7</v>
      </c>
      <c r="B8" s="397" t="s">
        <v>103</v>
      </c>
      <c r="C8" s="383" t="s">
        <v>10709</v>
      </c>
      <c r="D8" s="399" t="s">
        <v>106</v>
      </c>
      <c r="E8" s="383" t="s">
        <v>8595</v>
      </c>
      <c r="F8" s="383">
        <v>233</v>
      </c>
      <c r="G8" s="383" t="s">
        <v>71</v>
      </c>
      <c r="H8" s="383" t="s">
        <v>71</v>
      </c>
      <c r="I8" s="383" t="s">
        <v>8341</v>
      </c>
      <c r="J8" s="383" t="s">
        <v>107</v>
      </c>
      <c r="K8" s="383" t="s">
        <v>108</v>
      </c>
      <c r="L8" s="383" t="s">
        <v>9609</v>
      </c>
      <c r="M8" s="383" t="s">
        <v>9885</v>
      </c>
      <c r="N8" s="386" t="s">
        <v>44</v>
      </c>
      <c r="O8" s="383" t="str">
        <f>IF(LEN(SUBSTITUTE(Table3937[[#This Row],[PRIMARY CONTACT]]," ",""))=10,SUBSTITUTE(Table3937[[#This Row],[PRIMARY CONTACT]]," ","") &amp; " - Proper","- Follow Up")</f>
        <v>7208186169 - Proper</v>
      </c>
      <c r="P8" s="383" t="s">
        <v>2958</v>
      </c>
      <c r="Q8" s="383">
        <v>7208186169</v>
      </c>
      <c r="R8" s="383" t="str">
        <f>SUBSTITUTE(Table3937[[#This Row],[whatsapp_number]]," ","")</f>
        <v>7208186169</v>
      </c>
      <c r="S8" s="383" t="str">
        <f>IF(Table3937[[#This Row],[PRIMARY CONTACT]]=Table3937[[#This Row],[WHATSAPP CONTACT]],"Same Contact","Different Contact")</f>
        <v>Same Contact</v>
      </c>
      <c r="T8" s="383" t="str">
        <f>IF(LEN(SUBSTITUTE(Table3937[[#This Row],[PRIMARY CONTACT]]," ",""))=10,SUBSTITUTE(Table3937[[#This Row],[PRIMARY CONTACT]]," ","") &amp; " - Proper","- Follow Up")</f>
        <v>7208186169 - Proper</v>
      </c>
      <c r="U8" s="383" t="s">
        <v>8341</v>
      </c>
      <c r="V8" s="383" t="s">
        <v>71</v>
      </c>
      <c r="W8" s="383" t="s">
        <v>47</v>
      </c>
      <c r="X8" s="398" t="s">
        <v>69</v>
      </c>
      <c r="Y8" s="398" t="s">
        <v>49</v>
      </c>
      <c r="Z8" s="398" t="s">
        <v>70</v>
      </c>
      <c r="AA8" s="398" t="s">
        <v>49</v>
      </c>
      <c r="AB8" s="383"/>
    </row>
    <row r="9" spans="1:28" ht="13.8">
      <c r="A9" s="387">
        <v>8</v>
      </c>
      <c r="B9" s="397" t="s">
        <v>110</v>
      </c>
      <c r="C9" s="383" t="s">
        <v>10709</v>
      </c>
      <c r="D9" s="399" t="s">
        <v>113</v>
      </c>
      <c r="E9" s="383" t="s">
        <v>8596</v>
      </c>
      <c r="F9" s="383">
        <v>238</v>
      </c>
      <c r="G9" s="383" t="s">
        <v>118</v>
      </c>
      <c r="H9" s="383" t="s">
        <v>118</v>
      </c>
      <c r="I9" s="383" t="s">
        <v>8342</v>
      </c>
      <c r="J9" s="383" t="s">
        <v>9250</v>
      </c>
      <c r="K9" s="383" t="s">
        <v>116</v>
      </c>
      <c r="L9" s="383" t="s">
        <v>9610</v>
      </c>
      <c r="M9" s="383" t="s">
        <v>9886</v>
      </c>
      <c r="N9" s="386">
        <v>9869050179</v>
      </c>
      <c r="O9" s="383" t="str">
        <f>IF(LEN(SUBSTITUTE(Table3937[[#This Row],[PRIMARY CONTACT]]," ",""))=10,SUBSTITUTE(Table3937[[#This Row],[PRIMARY CONTACT]]," ","") &amp; " - Proper","- Follow Up")</f>
        <v>9820160166 - Proper</v>
      </c>
      <c r="P9" s="383" t="s">
        <v>2961</v>
      </c>
      <c r="Q9" s="383">
        <v>9820160166</v>
      </c>
      <c r="R9" s="383" t="str">
        <f>SUBSTITUTE(Table3937[[#This Row],[whatsapp_number]]," ","")</f>
        <v>9820160166</v>
      </c>
      <c r="S9" s="383" t="str">
        <f>IF(Table3937[[#This Row],[PRIMARY CONTACT]]=Table3937[[#This Row],[WHATSAPP CONTACT]],"Same Contact","Different Contact")</f>
        <v>Same Contact</v>
      </c>
      <c r="T9" s="383" t="str">
        <f>IF(LEN(SUBSTITUTE(Table3937[[#This Row],[PRIMARY CONTACT]]," ",""))=10,SUBSTITUTE(Table3937[[#This Row],[PRIMARY CONTACT]]," ","") &amp; " - Proper","- Follow Up")</f>
        <v>9820160166 - Proper</v>
      </c>
      <c r="U9" s="383" t="s">
        <v>8341</v>
      </c>
      <c r="V9" s="383" t="s">
        <v>71</v>
      </c>
      <c r="W9" s="383" t="s">
        <v>47</v>
      </c>
      <c r="X9" s="398" t="s">
        <v>69</v>
      </c>
      <c r="Y9" s="398" t="s">
        <v>49</v>
      </c>
      <c r="Z9" s="398" t="s">
        <v>70</v>
      </c>
      <c r="AA9" s="398" t="s">
        <v>49</v>
      </c>
      <c r="AB9" s="383"/>
    </row>
    <row r="10" spans="1:28" ht="13.8">
      <c r="A10" s="387">
        <v>9</v>
      </c>
      <c r="B10" s="397" t="s">
        <v>119</v>
      </c>
      <c r="C10" s="383" t="s">
        <v>10709</v>
      </c>
      <c r="D10" s="399" t="s">
        <v>122</v>
      </c>
      <c r="E10" s="383" t="s">
        <v>8597</v>
      </c>
      <c r="F10" s="383">
        <v>270</v>
      </c>
      <c r="G10" s="383" t="s">
        <v>71</v>
      </c>
      <c r="H10" s="383" t="s">
        <v>129</v>
      </c>
      <c r="I10" s="383" t="s">
        <v>123</v>
      </c>
      <c r="J10" s="383" t="s">
        <v>124</v>
      </c>
      <c r="K10" s="383" t="s">
        <v>116</v>
      </c>
      <c r="L10" s="383" t="s">
        <v>9611</v>
      </c>
      <c r="M10" s="383" t="s">
        <v>9887</v>
      </c>
      <c r="N10" s="386" t="s">
        <v>44</v>
      </c>
      <c r="O10" s="383" t="str">
        <f>IF(LEN(SUBSTITUTE(Table3937[[#This Row],[PRIMARY CONTACT]]," ",""))=10,SUBSTITUTE(Table3937[[#This Row],[PRIMARY CONTACT]]," ","") &amp; " - Proper","- Follow Up")</f>
        <v>9146534013 - Proper</v>
      </c>
      <c r="P10" s="383" t="s">
        <v>2963</v>
      </c>
      <c r="Q10" s="383">
        <v>9146534013</v>
      </c>
      <c r="R10" s="383" t="str">
        <f>SUBSTITUTE(Table3937[[#This Row],[whatsapp_number]]," ","")</f>
        <v>9146534013</v>
      </c>
      <c r="S10" s="383" t="str">
        <f>IF(Table3937[[#This Row],[PRIMARY CONTACT]]=Table3937[[#This Row],[WHATSAPP CONTACT]],"Same Contact","Different Contact")</f>
        <v>Same Contact</v>
      </c>
      <c r="T10" s="383" t="str">
        <f>IF(LEN(SUBSTITUTE(Table3937[[#This Row],[PRIMARY CONTACT]]," ",""))=10,SUBSTITUTE(Table3937[[#This Row],[PRIMARY CONTACT]]," ","") &amp; " - Proper","- Follow Up")</f>
        <v>9146534013 - Proper</v>
      </c>
      <c r="U10" s="383" t="s">
        <v>2964</v>
      </c>
      <c r="V10" s="383" t="s">
        <v>71</v>
      </c>
      <c r="W10" s="383" t="s">
        <v>47</v>
      </c>
      <c r="X10" s="398" t="s">
        <v>48</v>
      </c>
      <c r="Y10" s="398" t="s">
        <v>49</v>
      </c>
      <c r="Z10" s="398" t="s">
        <v>127</v>
      </c>
      <c r="AA10" s="398" t="s">
        <v>128</v>
      </c>
      <c r="AB10" s="383"/>
    </row>
    <row r="11" spans="1:28" ht="13.8">
      <c r="A11" s="387">
        <v>10</v>
      </c>
      <c r="B11" s="397" t="s">
        <v>146</v>
      </c>
      <c r="C11" s="383" t="s">
        <v>10709</v>
      </c>
      <c r="D11" s="399" t="s">
        <v>149</v>
      </c>
      <c r="E11" s="383" t="s">
        <v>8598</v>
      </c>
      <c r="F11" s="383">
        <v>278</v>
      </c>
      <c r="G11" s="383" t="s">
        <v>71</v>
      </c>
      <c r="H11" s="383" t="s">
        <v>159</v>
      </c>
      <c r="I11" s="383" t="s">
        <v>8343</v>
      </c>
      <c r="J11" s="383" t="s">
        <v>151</v>
      </c>
      <c r="K11" s="383" t="s">
        <v>78</v>
      </c>
      <c r="L11" s="383" t="s">
        <v>9612</v>
      </c>
      <c r="M11" s="383" t="s">
        <v>9888</v>
      </c>
      <c r="N11" s="386" t="s">
        <v>44</v>
      </c>
      <c r="O11" s="383" t="str">
        <f>IF(LEN(SUBSTITUTE(Table3937[[#This Row],[PRIMARY CONTACT]]," ",""))=10,SUBSTITUTE(Table3937[[#This Row],[PRIMARY CONTACT]]," ","") &amp; " - Proper","- Follow Up")</f>
        <v>9323280709 - Proper</v>
      </c>
      <c r="P11" s="383" t="s">
        <v>2966</v>
      </c>
      <c r="Q11" s="383">
        <v>9323280709</v>
      </c>
      <c r="R11" s="383" t="str">
        <f>SUBSTITUTE(Table3937[[#This Row],[whatsapp_number]]," ","")</f>
        <v>9323280709</v>
      </c>
      <c r="S11" s="383" t="str">
        <f>IF(Table3937[[#This Row],[PRIMARY CONTACT]]=Table3937[[#This Row],[WHATSAPP CONTACT]],"Same Contact","Different Contact")</f>
        <v>Same Contact</v>
      </c>
      <c r="T11" s="383" t="str">
        <f>IF(LEN(SUBSTITUTE(Table3937[[#This Row],[PRIMARY CONTACT]]," ",""))=10,SUBSTITUTE(Table3937[[#This Row],[PRIMARY CONTACT]]," ","") &amp; " - Proper","- Follow Up")</f>
        <v>9323280709 - Proper</v>
      </c>
      <c r="U11" s="383" t="s">
        <v>10543</v>
      </c>
      <c r="V11" s="393" t="s">
        <v>153</v>
      </c>
      <c r="W11" s="383" t="s">
        <v>47</v>
      </c>
      <c r="X11" s="398" t="s">
        <v>155</v>
      </c>
      <c r="Y11" s="398" t="s">
        <v>156</v>
      </c>
      <c r="Z11" s="398" t="s">
        <v>157</v>
      </c>
      <c r="AA11" s="398" t="s">
        <v>158</v>
      </c>
      <c r="AB11" s="383"/>
    </row>
    <row r="12" spans="1:28" ht="13.8">
      <c r="A12" s="387">
        <v>11</v>
      </c>
      <c r="B12" s="391" t="s">
        <v>160</v>
      </c>
      <c r="C12" s="383" t="s">
        <v>10709</v>
      </c>
      <c r="D12" s="403" t="s">
        <v>163</v>
      </c>
      <c r="E12" s="383" t="s">
        <v>8599</v>
      </c>
      <c r="F12" s="383">
        <v>279</v>
      </c>
      <c r="G12" s="383" t="s">
        <v>71</v>
      </c>
      <c r="H12" s="383" t="s">
        <v>71</v>
      </c>
      <c r="I12" s="383" t="s">
        <v>8344</v>
      </c>
      <c r="J12" s="383" t="s">
        <v>9251</v>
      </c>
      <c r="K12" s="383" t="s">
        <v>9498</v>
      </c>
      <c r="L12" s="383" t="s">
        <v>9613</v>
      </c>
      <c r="M12" s="383" t="s">
        <v>9889</v>
      </c>
      <c r="N12" s="361" t="s">
        <v>44</v>
      </c>
      <c r="O12" s="383" t="str">
        <f>IF(LEN(SUBSTITUTE(Table3937[[#This Row],[PRIMARY CONTACT]]," ",""))=10,SUBSTITUTE(Table3937[[#This Row],[PRIMARY CONTACT]]," ","") &amp; " - Proper","- Follow Up")</f>
        <v>8452040352 - Proper</v>
      </c>
      <c r="P12" s="383" t="s">
        <v>2969</v>
      </c>
      <c r="Q12" s="383">
        <v>8452040352</v>
      </c>
      <c r="R12" s="383" t="str">
        <f>SUBSTITUTE(Table3937[[#This Row],[whatsapp_number]]," ","")</f>
        <v>8452040352</v>
      </c>
      <c r="S12" s="383" t="str">
        <f>IF(Table3937[[#This Row],[PRIMARY CONTACT]]=Table3937[[#This Row],[WHATSAPP CONTACT]],"Same Contact","Different Contact")</f>
        <v>Same Contact</v>
      </c>
      <c r="T12" s="383" t="str">
        <f>IF(LEN(SUBSTITUTE(Table3937[[#This Row],[PRIMARY CONTACT]]," ",""))=10,SUBSTITUTE(Table3937[[#This Row],[PRIMARY CONTACT]]," ","") &amp; " - Proper","- Follow Up")</f>
        <v>8452040352 - Proper</v>
      </c>
      <c r="U12" s="383" t="s">
        <v>2970</v>
      </c>
      <c r="V12" s="393" t="s">
        <v>168</v>
      </c>
      <c r="W12" s="383" t="s">
        <v>47</v>
      </c>
      <c r="X12" s="362" t="s">
        <v>170</v>
      </c>
      <c r="Y12" s="362" t="s">
        <v>49</v>
      </c>
      <c r="Z12" s="362" t="s">
        <v>171</v>
      </c>
      <c r="AA12" s="362" t="s">
        <v>172</v>
      </c>
      <c r="AB12" s="383"/>
    </row>
    <row r="13" spans="1:28" ht="13.8">
      <c r="A13" s="387">
        <v>12</v>
      </c>
      <c r="B13" s="387" t="s">
        <v>10710</v>
      </c>
      <c r="C13" s="383" t="s">
        <v>10710</v>
      </c>
      <c r="D13" s="383" t="s">
        <v>10711</v>
      </c>
      <c r="E13" s="383" t="s">
        <v>10712</v>
      </c>
      <c r="F13" s="383">
        <v>282</v>
      </c>
      <c r="G13" s="383" t="s">
        <v>71</v>
      </c>
      <c r="H13" s="383" t="s">
        <v>71</v>
      </c>
      <c r="I13" s="383" t="s">
        <v>2875</v>
      </c>
      <c r="J13" s="383" t="s">
        <v>2876</v>
      </c>
      <c r="K13" s="383" t="s">
        <v>9499</v>
      </c>
      <c r="L13" s="383" t="s">
        <v>8341</v>
      </c>
      <c r="M13" s="383" t="s">
        <v>9890</v>
      </c>
      <c r="N13" s="386" t="s">
        <v>44</v>
      </c>
      <c r="O13" s="383" t="str">
        <f>IF(LEN(SUBSTITUTE(Table3937[[#This Row],[PRIMARY CONTACT]]," ",""))=10,SUBSTITUTE(Table3937[[#This Row],[PRIMARY CONTACT]]," ","") &amp; " - Proper","- Follow Up")</f>
        <v>9887540065 - Proper</v>
      </c>
      <c r="P13" s="383" t="s">
        <v>6045</v>
      </c>
      <c r="Q13" s="383">
        <v>7304976221</v>
      </c>
      <c r="R13" s="383" t="str">
        <f>SUBSTITUTE(Table3937[[#This Row],[whatsapp_number]]," ","")</f>
        <v>7304976221</v>
      </c>
      <c r="S13" s="383" t="str">
        <f>IF(Table3937[[#This Row],[PRIMARY CONTACT]]=Table3937[[#This Row],[WHATSAPP CONTACT]],"Same Contact","Different Contact")</f>
        <v>Different Contact</v>
      </c>
      <c r="T13" s="383" t="str">
        <f>IF(LEN(SUBSTITUTE(Table3937[[#This Row],[PRIMARY CONTACT]]," ",""))=10,SUBSTITUTE(Table3937[[#This Row],[PRIMARY CONTACT]]," ","") &amp; " - Proper","- Follow Up")</f>
        <v>9887540065 - Proper</v>
      </c>
      <c r="U13" s="383" t="s">
        <v>8341</v>
      </c>
      <c r="V13" s="393" t="s">
        <v>2877</v>
      </c>
      <c r="W13" s="383" t="s">
        <v>47</v>
      </c>
      <c r="X13" s="404" t="s">
        <v>48</v>
      </c>
      <c r="Y13" s="404" t="s">
        <v>2878</v>
      </c>
      <c r="Z13" s="404" t="s">
        <v>2878</v>
      </c>
      <c r="AA13" s="404" t="s">
        <v>48</v>
      </c>
      <c r="AB13" s="383"/>
    </row>
    <row r="14" spans="1:28" ht="13.8">
      <c r="A14" s="387">
        <v>13</v>
      </c>
      <c r="B14" s="397" t="s">
        <v>173</v>
      </c>
      <c r="C14" s="383" t="s">
        <v>10709</v>
      </c>
      <c r="D14" s="383" t="str">
        <f>MID(Table3937[[#This Row],[URL]], FIND("_", Table3937[[#This Row],[URL]]) + 1, FIND("/", Table3937[[#This Row],[URL]], FIND("_", Table3937[[#This Row],[URL]])) - FIND("_", Table3937[[#This Row],[URL]]) - 1)</f>
        <v>Sahil-Jain</v>
      </c>
      <c r="E14" s="383" t="s">
        <v>8600</v>
      </c>
      <c r="F14" s="383">
        <v>300</v>
      </c>
      <c r="G14" s="383" t="s">
        <v>71</v>
      </c>
      <c r="H14" s="383" t="s">
        <v>184</v>
      </c>
      <c r="I14" s="383" t="s">
        <v>8345</v>
      </c>
      <c r="J14" s="383" t="s">
        <v>178</v>
      </c>
      <c r="K14" s="383" t="s">
        <v>8341</v>
      </c>
      <c r="L14" s="383" t="s">
        <v>9614</v>
      </c>
      <c r="M14" s="383" t="s">
        <v>9891</v>
      </c>
      <c r="N14" s="386" t="s">
        <v>44</v>
      </c>
      <c r="O14" s="383" t="str">
        <f>IF(LEN(SUBSTITUTE(Table3937[[#This Row],[PRIMARY CONTACT]]," ",""))=10,SUBSTITUTE(Table3937[[#This Row],[PRIMARY CONTACT]]," ","") &amp; " - Proper","- Follow Up")</f>
        <v>9930589029 - Proper</v>
      </c>
      <c r="P14" s="383" t="s">
        <v>2971</v>
      </c>
      <c r="Q14" s="383">
        <v>9930589029</v>
      </c>
      <c r="R14" s="383" t="str">
        <f>SUBSTITUTE(Table3937[[#This Row],[whatsapp_number]]," ","")</f>
        <v>9930589029</v>
      </c>
      <c r="S14" s="383" t="str">
        <f>IF(Table3937[[#This Row],[PRIMARY CONTACT]]=Table3937[[#This Row],[WHATSAPP CONTACT]],"Same Contact","Different Contact")</f>
        <v>Same Contact</v>
      </c>
      <c r="T14" s="383" t="str">
        <f>IF(LEN(SUBSTITUTE(Table3937[[#This Row],[PRIMARY CONTACT]]," ",""))=10,SUBSTITUTE(Table3937[[#This Row],[PRIMARY CONTACT]]," ","") &amp; " - Proper","- Follow Up")</f>
        <v>9930589029 - Proper</v>
      </c>
      <c r="U14" s="383" t="s">
        <v>2972</v>
      </c>
      <c r="V14" s="393" t="s">
        <v>180</v>
      </c>
      <c r="W14" s="383" t="s">
        <v>47</v>
      </c>
      <c r="X14" s="398" t="s">
        <v>170</v>
      </c>
      <c r="Y14" s="398" t="s">
        <v>49</v>
      </c>
      <c r="Z14" s="398" t="s">
        <v>182</v>
      </c>
      <c r="AA14" s="386" t="s">
        <v>183</v>
      </c>
      <c r="AB14" s="383"/>
    </row>
    <row r="15" spans="1:28" ht="13.8">
      <c r="A15" s="387">
        <v>14</v>
      </c>
      <c r="B15" s="395" t="s">
        <v>185</v>
      </c>
      <c r="C15" s="387" t="s">
        <v>10709</v>
      </c>
      <c r="D15" s="387" t="str">
        <f>MID(Table3937[[#This Row],[URL]],FIND(".com/",Table3937[[#This Row],[URL]])+5,FIND("/",Table3937[[#This Row],[URL]],FIND(".com/",Table3937[[#This Row],[URL]])+5)-FIND(".com/",Table3937[[#This Row],[URL]])-5)</f>
        <v>SCS-BEARINGS</v>
      </c>
      <c r="E15" s="383" t="s">
        <v>8601</v>
      </c>
      <c r="F15" s="383">
        <v>301</v>
      </c>
      <c r="G15" s="383" t="s">
        <v>71</v>
      </c>
      <c r="H15" s="383" t="s">
        <v>199</v>
      </c>
      <c r="I15" s="383" t="s">
        <v>8346</v>
      </c>
      <c r="J15" s="383" t="s">
        <v>190</v>
      </c>
      <c r="K15" s="383" t="s">
        <v>191</v>
      </c>
      <c r="L15" s="383" t="s">
        <v>9615</v>
      </c>
      <c r="M15" s="383" t="s">
        <v>9892</v>
      </c>
      <c r="N15" s="361">
        <v>8369034659</v>
      </c>
      <c r="O15" s="383" t="str">
        <f>IF(LEN(SUBSTITUTE(Table3937[[#This Row],[PRIMARY CONTACT]]," ",""))=10,SUBSTITUTE(Table3937[[#This Row],[PRIMARY CONTACT]]," ","") &amp; " - Proper","- Follow Up")</f>
        <v>9821300401 - Proper</v>
      </c>
      <c r="P15" s="383" t="s">
        <v>187</v>
      </c>
      <c r="Q15" s="383">
        <v>9821300401</v>
      </c>
      <c r="R15" s="383" t="str">
        <f>SUBSTITUTE(Table3937[[#This Row],[whatsapp_number]]," ","")</f>
        <v>9821300401</v>
      </c>
      <c r="S15" s="383" t="str">
        <f>IF(Table3937[[#This Row],[PRIMARY CONTACT]]=Table3937[[#This Row],[WHATSAPP CONTACT]],"Same Contact","Different Contact")</f>
        <v>Same Contact</v>
      </c>
      <c r="T15" s="383" t="str">
        <f>IF(LEN(SUBSTITUTE(Table3937[[#This Row],[PRIMARY CONTACT]]," ",""))=10,SUBSTITUTE(Table3937[[#This Row],[PRIMARY CONTACT]]," ","") &amp; " - Proper","- Follow Up")</f>
        <v>9821300401 - Proper</v>
      </c>
      <c r="U15" s="383" t="s">
        <v>10544</v>
      </c>
      <c r="V15" s="393" t="s">
        <v>193</v>
      </c>
      <c r="W15" s="383" t="s">
        <v>47</v>
      </c>
      <c r="X15" s="404" t="s">
        <v>195</v>
      </c>
      <c r="Y15" s="404" t="s">
        <v>196</v>
      </c>
      <c r="Z15" s="404" t="s">
        <v>197</v>
      </c>
      <c r="AA15" s="404" t="s">
        <v>198</v>
      </c>
      <c r="AB15" s="383"/>
    </row>
    <row r="16" spans="1:28" ht="13.8">
      <c r="A16" s="387">
        <v>15</v>
      </c>
      <c r="B16" s="395" t="s">
        <v>201</v>
      </c>
      <c r="C16" s="387" t="s">
        <v>10709</v>
      </c>
      <c r="D16" s="387" t="str">
        <f>MID(Table3937[[#This Row],[URL]],FIND(".com/",Table3937[[#This Row],[URL]])+5,FIND("/",Table3937[[#This Row],[URL]],FIND(".com/",Table3937[[#This Row],[URL]])+5)-FIND(".com/",Table3937[[#This Row],[URL]])-5)</f>
        <v>VLITE-FURNITECH</v>
      </c>
      <c r="E16" s="383" t="s">
        <v>8602</v>
      </c>
      <c r="F16" s="383">
        <v>302</v>
      </c>
      <c r="G16" s="383" t="s">
        <v>71</v>
      </c>
      <c r="H16" s="383" t="s">
        <v>213</v>
      </c>
      <c r="I16" s="383" t="s">
        <v>8347</v>
      </c>
      <c r="J16" s="383" t="s">
        <v>9252</v>
      </c>
      <c r="K16" s="383" t="s">
        <v>207</v>
      </c>
      <c r="L16" s="383" t="s">
        <v>9616</v>
      </c>
      <c r="M16" s="383" t="s">
        <v>9893</v>
      </c>
      <c r="N16" s="361" t="s">
        <v>44</v>
      </c>
      <c r="O16" s="383" t="str">
        <f>IF(LEN(SUBSTITUTE(Table3937[[#This Row],[PRIMARY CONTACT]]," ",""))=10,SUBSTITUTE(Table3937[[#This Row],[PRIMARY CONTACT]]," ","") &amp; " - Proper","- Follow Up")</f>
        <v>9702255504 - Proper</v>
      </c>
      <c r="P16" s="383" t="s">
        <v>2976</v>
      </c>
      <c r="Q16" s="383">
        <v>9702255504</v>
      </c>
      <c r="R16" s="383" t="str">
        <f>SUBSTITUTE(Table3937[[#This Row],[whatsapp_number]]," ","")</f>
        <v>9702255504</v>
      </c>
      <c r="S16" s="383" t="str">
        <f>IF(Table3937[[#This Row],[PRIMARY CONTACT]]=Table3937[[#This Row],[WHATSAPP CONTACT]],"Same Contact","Different Contact")</f>
        <v>Same Contact</v>
      </c>
      <c r="T16" s="383" t="str">
        <f>IF(LEN(SUBSTITUTE(Table3937[[#This Row],[PRIMARY CONTACT]]," ",""))=10,SUBSTITUTE(Table3937[[#This Row],[PRIMARY CONTACT]]," ","") &amp; " - Proper","- Follow Up")</f>
        <v>9702255504 - Proper</v>
      </c>
      <c r="U16" s="383" t="s">
        <v>10545</v>
      </c>
      <c r="V16" s="393" t="s">
        <v>209</v>
      </c>
      <c r="W16" s="383" t="s">
        <v>47</v>
      </c>
      <c r="X16" s="404" t="s">
        <v>170</v>
      </c>
      <c r="Y16" s="404" t="s">
        <v>49</v>
      </c>
      <c r="Z16" s="404" t="s">
        <v>211</v>
      </c>
      <c r="AA16" s="404" t="s">
        <v>212</v>
      </c>
      <c r="AB16" s="383"/>
    </row>
    <row r="17" spans="1:28" ht="13.8">
      <c r="A17" s="387">
        <v>16</v>
      </c>
      <c r="B17" s="405" t="s">
        <v>214</v>
      </c>
      <c r="C17" s="387" t="s">
        <v>10713</v>
      </c>
      <c r="D17" s="387" t="str">
        <f>MID(Table3937[[#This Row],[URL]], FIND("_", Table3937[[#This Row],[URL]]) + 1, FIND("/", Table3937[[#This Row],[URL]], FIND("_", Table3937[[#This Row],[URL]])) - FIND("_", Table3937[[#This Row],[URL]]) - 1)</f>
        <v>TUSHAR-MAROLIA</v>
      </c>
      <c r="E17" s="383" t="s">
        <v>8603</v>
      </c>
      <c r="F17" s="383">
        <v>306</v>
      </c>
      <c r="G17" s="383" t="s">
        <v>71</v>
      </c>
      <c r="H17" s="383" t="s">
        <v>225</v>
      </c>
      <c r="I17" s="383" t="s">
        <v>218</v>
      </c>
      <c r="J17" s="383" t="s">
        <v>219</v>
      </c>
      <c r="K17" s="383" t="s">
        <v>8341</v>
      </c>
      <c r="L17" s="383" t="s">
        <v>8341</v>
      </c>
      <c r="M17" s="383" t="s">
        <v>9894</v>
      </c>
      <c r="N17" s="385" t="s">
        <v>44</v>
      </c>
      <c r="O17" s="383" t="str">
        <f>IF(LEN(SUBSTITUTE(Table3937[[#This Row],[PRIMARY CONTACT]]," ",""))=10,SUBSTITUTE(Table3937[[#This Row],[PRIMARY CONTACT]]," ","") &amp; " - Proper","- Follow Up")</f>
        <v>9833178484 - Proper</v>
      </c>
      <c r="P17" s="383" t="s">
        <v>2977</v>
      </c>
      <c r="Q17" s="383">
        <v>9833178484</v>
      </c>
      <c r="R17" s="383" t="str">
        <f>SUBSTITUTE(Table3937[[#This Row],[whatsapp_number]]," ","")</f>
        <v>9833178484</v>
      </c>
      <c r="S17" s="383" t="str">
        <f>IF(Table3937[[#This Row],[PRIMARY CONTACT]]=Table3937[[#This Row],[WHATSAPP CONTACT]],"Same Contact","Different Contact")</f>
        <v>Same Contact</v>
      </c>
      <c r="T17" s="383" t="str">
        <f>IF(LEN(SUBSTITUTE(Table3937[[#This Row],[PRIMARY CONTACT]]," ",""))=10,SUBSTITUTE(Table3937[[#This Row],[PRIMARY CONTACT]]," ","") &amp; " - Proper","- Follow Up")</f>
        <v>9833178484 - Proper</v>
      </c>
      <c r="U17" s="383" t="s">
        <v>10546</v>
      </c>
      <c r="V17" s="393" t="s">
        <v>220</v>
      </c>
      <c r="W17" s="383" t="s">
        <v>47</v>
      </c>
      <c r="X17" s="406" t="s">
        <v>222</v>
      </c>
      <c r="Y17" s="406" t="s">
        <v>48</v>
      </c>
      <c r="Z17" s="406" t="s">
        <v>223</v>
      </c>
      <c r="AA17" s="406" t="s">
        <v>224</v>
      </c>
      <c r="AB17" s="383"/>
    </row>
    <row r="18" spans="1:28" ht="13.8">
      <c r="A18" s="387">
        <v>17</v>
      </c>
      <c r="B18" s="413" t="s">
        <v>131</v>
      </c>
      <c r="C18" s="387" t="s">
        <v>10709</v>
      </c>
      <c r="D18" s="387" t="str">
        <f>MID(Table3937[[#This Row],[URL]], FIND("_", Table3937[[#This Row],[URL]]) + 1, FIND("/", Table3937[[#This Row],[URL]], FIND("_", Table3937[[#This Row],[URL]])) - FIND("_", Table3937[[#This Row],[URL]]) - 1)</f>
        <v>SRISHTI-KOTHARI</v>
      </c>
      <c r="E18" s="383" t="s">
        <v>8604</v>
      </c>
      <c r="F18" s="383">
        <v>326</v>
      </c>
      <c r="G18" s="383" t="s">
        <v>71</v>
      </c>
      <c r="H18" s="383" t="s">
        <v>144</v>
      </c>
      <c r="I18" s="383" t="s">
        <v>135</v>
      </c>
      <c r="J18" s="383" t="s">
        <v>2980</v>
      </c>
      <c r="K18" s="383" t="s">
        <v>137</v>
      </c>
      <c r="L18" s="383" t="s">
        <v>9617</v>
      </c>
      <c r="M18" s="383" t="s">
        <v>9895</v>
      </c>
      <c r="N18" s="361" t="s">
        <v>44</v>
      </c>
      <c r="O18" s="383" t="str">
        <f>IF(LEN(SUBSTITUTE(Table3937[[#This Row],[PRIMARY CONTACT]]," ",""))=10,SUBSTITUTE(Table3937[[#This Row],[PRIMARY CONTACT]]," ","") &amp; " - Proper","- Follow Up")</f>
        <v>9167372039 - Proper</v>
      </c>
      <c r="P18" s="383" t="s">
        <v>2981</v>
      </c>
      <c r="Q18" s="383">
        <v>9167372039</v>
      </c>
      <c r="R18" s="383" t="str">
        <f>SUBSTITUTE(Table3937[[#This Row],[whatsapp_number]]," ","")</f>
        <v>9167372039</v>
      </c>
      <c r="S18" s="383" t="str">
        <f>IF(Table3937[[#This Row],[PRIMARY CONTACT]]=Table3937[[#This Row],[WHATSAPP CONTACT]],"Same Contact","Different Contact")</f>
        <v>Same Contact</v>
      </c>
      <c r="T18" s="383" t="str">
        <f>IF(LEN(SUBSTITUTE(Table3937[[#This Row],[PRIMARY CONTACT]]," ",""))=10,SUBSTITUTE(Table3937[[#This Row],[PRIMARY CONTACT]]," ","") &amp; " - Proper","- Follow Up")</f>
        <v>9167372039 - Proper</v>
      </c>
      <c r="U18" s="383" t="s">
        <v>10547</v>
      </c>
      <c r="V18" s="393" t="s">
        <v>139</v>
      </c>
      <c r="W18" s="383" t="s">
        <v>47</v>
      </c>
      <c r="X18" s="362" t="s">
        <v>141</v>
      </c>
      <c r="Y18" s="362" t="s">
        <v>49</v>
      </c>
      <c r="Z18" s="362" t="s">
        <v>142</v>
      </c>
      <c r="AA18" s="362" t="s">
        <v>143</v>
      </c>
      <c r="AB18" s="383"/>
    </row>
    <row r="19" spans="1:28" ht="13.8">
      <c r="A19" s="387">
        <v>18</v>
      </c>
      <c r="B19" s="387" t="s">
        <v>10710</v>
      </c>
      <c r="C19" s="387" t="s">
        <v>10710</v>
      </c>
      <c r="D19" s="387" t="s">
        <v>10710</v>
      </c>
      <c r="E19" s="383" t="s">
        <v>8605</v>
      </c>
      <c r="F19" s="383">
        <v>326</v>
      </c>
      <c r="G19" s="383" t="s">
        <v>71</v>
      </c>
      <c r="H19" s="383" t="s">
        <v>71</v>
      </c>
      <c r="I19" s="383" t="s">
        <v>2890</v>
      </c>
      <c r="J19" s="383" t="s">
        <v>2891</v>
      </c>
      <c r="K19" s="383" t="s">
        <v>8341</v>
      </c>
      <c r="L19" s="383" t="s">
        <v>8341</v>
      </c>
      <c r="M19" s="383" t="s">
        <v>2892</v>
      </c>
      <c r="N19" s="387" t="s">
        <v>44</v>
      </c>
      <c r="O19" s="383" t="str">
        <f>IF(LEN(SUBSTITUTE(Table3937[[#This Row],[PRIMARY CONTACT]]," ",""))=10,SUBSTITUTE(Table3937[[#This Row],[PRIMARY CONTACT]]," ","") &amp; " - Proper","- Follow Up")</f>
        <v>9821422333 - Proper</v>
      </c>
      <c r="P19" s="383" t="s">
        <v>6053</v>
      </c>
      <c r="Q19" s="383" t="s">
        <v>71</v>
      </c>
      <c r="R19" s="383" t="str">
        <f>SUBSTITUTE(Table3937[[#This Row],[whatsapp_number]]," ","")</f>
        <v>UNDEFINED</v>
      </c>
      <c r="S19" s="383" t="str">
        <f>IF(Table3937[[#This Row],[PRIMARY CONTACT]]=Table3937[[#This Row],[WHATSAPP CONTACT]],"Same Contact","Different Contact")</f>
        <v>Different Contact</v>
      </c>
      <c r="T19" s="383" t="str">
        <f>IF(LEN(SUBSTITUTE(Table3937[[#This Row],[PRIMARY CONTACT]]," ",""))=10,SUBSTITUTE(Table3937[[#This Row],[PRIMARY CONTACT]]," ","") &amp; " - Proper","- Follow Up")</f>
        <v>9821422333 - Proper</v>
      </c>
      <c r="U19" s="383" t="s">
        <v>8341</v>
      </c>
      <c r="V19" s="383" t="s">
        <v>71</v>
      </c>
      <c r="W19" s="383" t="s">
        <v>47</v>
      </c>
      <c r="X19" s="404" t="s">
        <v>48</v>
      </c>
      <c r="Y19" s="404" t="s">
        <v>2899</v>
      </c>
      <c r="Z19" s="404" t="s">
        <v>2899</v>
      </c>
      <c r="AA19" s="404" t="s">
        <v>48</v>
      </c>
      <c r="AB19" s="383"/>
    </row>
    <row r="20" spans="1:28" ht="13.8">
      <c r="A20" s="387">
        <v>19</v>
      </c>
      <c r="B20" s="397" t="s">
        <v>226</v>
      </c>
      <c r="C20" s="387" t="s">
        <v>10709</v>
      </c>
      <c r="D20" s="387" t="str">
        <f>MID(Table3937[[#This Row],[URL]], FIND("_", Table3937[[#This Row],[URL]]) + 1, FIND("/", Table3937[[#This Row],[URL]], FIND("_", Table3937[[#This Row],[URL]])) - FIND("_", Table3937[[#This Row],[URL]]) - 1)</f>
        <v>NAYAN-DOSHI</v>
      </c>
      <c r="E20" s="383" t="s">
        <v>8606</v>
      </c>
      <c r="F20" s="383">
        <v>387</v>
      </c>
      <c r="G20" s="383" t="s">
        <v>71</v>
      </c>
      <c r="H20" s="383" t="s">
        <v>239</v>
      </c>
      <c r="I20" s="383" t="s">
        <v>8348</v>
      </c>
      <c r="J20" s="383" t="s">
        <v>231</v>
      </c>
      <c r="K20" s="383" t="s">
        <v>232</v>
      </c>
      <c r="L20" s="383" t="s">
        <v>2984</v>
      </c>
      <c r="M20" s="383" t="s">
        <v>9896</v>
      </c>
      <c r="N20" s="386" t="s">
        <v>44</v>
      </c>
      <c r="O20" s="383" t="str">
        <f>IF(LEN(SUBSTITUTE(Table3937[[#This Row],[PRIMARY CONTACT]]," ",""))=10,SUBSTITUTE(Table3937[[#This Row],[PRIMARY CONTACT]]," ","") &amp; " - Proper","- Follow Up")</f>
        <v>8879950624 - Proper</v>
      </c>
      <c r="P20" s="383" t="s">
        <v>228</v>
      </c>
      <c r="Q20" s="383">
        <v>8879950624</v>
      </c>
      <c r="R20" s="383" t="str">
        <f>SUBSTITUTE(Table3937[[#This Row],[whatsapp_number]]," ","")</f>
        <v>8879950624</v>
      </c>
      <c r="S20" s="383" t="str">
        <f>IF(Table3937[[#This Row],[PRIMARY CONTACT]]=Table3937[[#This Row],[WHATSAPP CONTACT]],"Same Contact","Different Contact")</f>
        <v>Same Contact</v>
      </c>
      <c r="T20" s="383" t="str">
        <f>IF(LEN(SUBSTITUTE(Table3937[[#This Row],[PRIMARY CONTACT]]," ",""))=10,SUBSTITUTE(Table3937[[#This Row],[PRIMARY CONTACT]]," ","") &amp; " - Proper","- Follow Up")</f>
        <v>8879950624 - Proper</v>
      </c>
      <c r="U20" s="383" t="s">
        <v>2985</v>
      </c>
      <c r="V20" s="383" t="s">
        <v>71</v>
      </c>
      <c r="W20" s="383" t="s">
        <v>47</v>
      </c>
      <c r="X20" s="398" t="s">
        <v>235</v>
      </c>
      <c r="Y20" s="398" t="s">
        <v>236</v>
      </c>
      <c r="Z20" s="398" t="s">
        <v>237</v>
      </c>
      <c r="AA20" s="398" t="s">
        <v>238</v>
      </c>
      <c r="AB20" s="383"/>
    </row>
    <row r="21" spans="1:28" ht="13.8">
      <c r="A21" s="387">
        <v>20</v>
      </c>
      <c r="B21" s="397" t="s">
        <v>240</v>
      </c>
      <c r="C21" s="387" t="s">
        <v>10709</v>
      </c>
      <c r="D21" s="387" t="str">
        <f>MID(Table3937[[#This Row],[URL]], FIND("_", Table3937[[#This Row],[URL]]) + 1, FIND("/", Table3937[[#This Row],[URL]], FIND("_", Table3937[[#This Row],[URL]])) - FIND("_", Table3937[[#This Row],[URL]]) - 1)</f>
        <v>NAMDEV-DESHMUKH</v>
      </c>
      <c r="E21" s="383" t="s">
        <v>8607</v>
      </c>
      <c r="F21" s="383">
        <v>402</v>
      </c>
      <c r="G21" s="383" t="s">
        <v>71</v>
      </c>
      <c r="H21" s="383" t="s">
        <v>239</v>
      </c>
      <c r="I21" s="383" t="s">
        <v>8348</v>
      </c>
      <c r="J21" s="383" t="s">
        <v>244</v>
      </c>
      <c r="K21" s="383" t="s">
        <v>58</v>
      </c>
      <c r="L21" s="383" t="s">
        <v>245</v>
      </c>
      <c r="M21" s="383" t="s">
        <v>9897</v>
      </c>
      <c r="N21" s="386" t="s">
        <v>44</v>
      </c>
      <c r="O21" s="383" t="str">
        <f>IF(LEN(SUBSTITUTE(Table3937[[#This Row],[PRIMARY CONTACT]]," ",""))=10,SUBSTITUTE(Table3937[[#This Row],[PRIMARY CONTACT]]," ","") &amp; " - Proper","- Follow Up")</f>
        <v>9869804124 - Proper</v>
      </c>
      <c r="P21" s="383" t="s">
        <v>228</v>
      </c>
      <c r="Q21" s="383">
        <v>9869804124</v>
      </c>
      <c r="R21" s="383" t="str">
        <f>SUBSTITUTE(Table3937[[#This Row],[whatsapp_number]]," ","")</f>
        <v>9869804124</v>
      </c>
      <c r="S21" s="383" t="str">
        <f>IF(Table3937[[#This Row],[PRIMARY CONTACT]]=Table3937[[#This Row],[WHATSAPP CONTACT]],"Same Contact","Different Contact")</f>
        <v>Same Contact</v>
      </c>
      <c r="T21" s="383" t="str">
        <f>IF(LEN(SUBSTITUTE(Table3937[[#This Row],[PRIMARY CONTACT]]," ",""))=10,SUBSTITUTE(Table3937[[#This Row],[PRIMARY CONTACT]]," ","") &amp; " - Proper","- Follow Up")</f>
        <v>9869804124 - Proper</v>
      </c>
      <c r="U21" s="383" t="s">
        <v>2985</v>
      </c>
      <c r="V21" s="383" t="s">
        <v>71</v>
      </c>
      <c r="W21" s="383" t="s">
        <v>47</v>
      </c>
      <c r="X21" s="398" t="s">
        <v>235</v>
      </c>
      <c r="Y21" s="398" t="s">
        <v>236</v>
      </c>
      <c r="Z21" s="398" t="s">
        <v>246</v>
      </c>
      <c r="AA21" s="398" t="s">
        <v>247</v>
      </c>
      <c r="AB21" s="383"/>
    </row>
    <row r="22" spans="1:28" ht="13.8">
      <c r="A22" s="387">
        <v>21</v>
      </c>
      <c r="B22" s="395" t="s">
        <v>248</v>
      </c>
      <c r="C22" s="387" t="s">
        <v>10709</v>
      </c>
      <c r="D22" s="387" t="str">
        <f>MID(Table3937[[#This Row],[URL]], FIND("_", Table3937[[#This Row],[URL]]) + 1, FIND("/", Table3937[[#This Row],[URL]], FIND("_", Table3937[[#This Row],[URL]])) - FIND("_", Table3937[[#This Row],[URL]]) - 1)</f>
        <v>AVNIP-KOTHARI</v>
      </c>
      <c r="E22" s="383" t="s">
        <v>8608</v>
      </c>
      <c r="F22" s="383">
        <v>403</v>
      </c>
      <c r="G22" s="383" t="s">
        <v>71</v>
      </c>
      <c r="H22" s="383" t="s">
        <v>144</v>
      </c>
      <c r="I22" s="383" t="s">
        <v>135</v>
      </c>
      <c r="J22" s="383" t="s">
        <v>9253</v>
      </c>
      <c r="K22" s="383" t="s">
        <v>9500</v>
      </c>
      <c r="L22" s="383" t="s">
        <v>9617</v>
      </c>
      <c r="M22" s="383" t="s">
        <v>9898</v>
      </c>
      <c r="N22" s="361" t="s">
        <v>44</v>
      </c>
      <c r="O22" s="383" t="str">
        <f>IF(LEN(SUBSTITUTE(Table3937[[#This Row],[PRIMARY CONTACT]]," ",""))=10,SUBSTITUTE(Table3937[[#This Row],[PRIMARY CONTACT]]," ","") &amp; " - Proper","- Follow Up")</f>
        <v>9662336578 - Proper</v>
      </c>
      <c r="P22" s="383" t="s">
        <v>2981</v>
      </c>
      <c r="Q22" s="383">
        <v>9662336578</v>
      </c>
      <c r="R22" s="383" t="str">
        <f>SUBSTITUTE(Table3937[[#This Row],[whatsapp_number]]," ","")</f>
        <v>9662336578</v>
      </c>
      <c r="S22" s="383" t="str">
        <f>IF(Table3937[[#This Row],[PRIMARY CONTACT]]=Table3937[[#This Row],[WHATSAPP CONTACT]],"Same Contact","Different Contact")</f>
        <v>Same Contact</v>
      </c>
      <c r="T22" s="383" t="str">
        <f>IF(LEN(SUBSTITUTE(Table3937[[#This Row],[PRIMARY CONTACT]]," ",""))=10,SUBSTITUTE(Table3937[[#This Row],[PRIMARY CONTACT]]," ","") &amp; " - Proper","- Follow Up")</f>
        <v>9662336578 - Proper</v>
      </c>
      <c r="U22" s="383" t="s">
        <v>10548</v>
      </c>
      <c r="V22" s="393" t="s">
        <v>139</v>
      </c>
      <c r="W22" s="383" t="s">
        <v>47</v>
      </c>
      <c r="X22" s="362" t="s">
        <v>141</v>
      </c>
      <c r="Y22" s="362" t="s">
        <v>49</v>
      </c>
      <c r="Z22" s="362" t="s">
        <v>142</v>
      </c>
      <c r="AA22" s="362" t="s">
        <v>143</v>
      </c>
      <c r="AB22" s="383"/>
    </row>
    <row r="23" spans="1:28" ht="13.8">
      <c r="A23" s="387">
        <v>22</v>
      </c>
      <c r="B23" s="395" t="s">
        <v>255</v>
      </c>
      <c r="C23" s="387" t="s">
        <v>10709</v>
      </c>
      <c r="D23" s="387" t="str">
        <f>MID(Table3937[[#This Row],[URL]], FIND("_", Table3937[[#This Row],[URL]]) + 1, FIND("/", Table3937[[#This Row],[URL]], FIND("_", Table3937[[#This Row],[URL]])) - FIND("_", Table3937[[#This Row],[URL]]) - 1)</f>
        <v>MUKESH-KOTHARI</v>
      </c>
      <c r="E23" s="383" t="s">
        <v>8609</v>
      </c>
      <c r="F23" s="383">
        <v>404</v>
      </c>
      <c r="G23" s="383" t="s">
        <v>71</v>
      </c>
      <c r="H23" s="383" t="s">
        <v>144</v>
      </c>
      <c r="I23" s="383" t="s">
        <v>135</v>
      </c>
      <c r="J23" s="383" t="s">
        <v>9254</v>
      </c>
      <c r="K23" s="383" t="s">
        <v>191</v>
      </c>
      <c r="L23" s="383" t="s">
        <v>9617</v>
      </c>
      <c r="M23" s="383" t="s">
        <v>9899</v>
      </c>
      <c r="N23" s="361" t="s">
        <v>44</v>
      </c>
      <c r="O23" s="383" t="str">
        <f>IF(LEN(SUBSTITUTE(Table3937[[#This Row],[PRIMARY CONTACT]]," ",""))=10,SUBSTITUTE(Table3937[[#This Row],[PRIMARY CONTACT]]," ","") &amp; " - Proper","- Follow Up")</f>
        <v>9324226442 - Proper</v>
      </c>
      <c r="P23" s="383" t="s">
        <v>2981</v>
      </c>
      <c r="Q23" s="383">
        <v>9324226442</v>
      </c>
      <c r="R23" s="383" t="str">
        <f>SUBSTITUTE(Table3937[[#This Row],[whatsapp_number]]," ","")</f>
        <v>9324226442</v>
      </c>
      <c r="S23" s="383" t="str">
        <f>IF(Table3937[[#This Row],[PRIMARY CONTACT]]=Table3937[[#This Row],[WHATSAPP CONTACT]],"Same Contact","Different Contact")</f>
        <v>Same Contact</v>
      </c>
      <c r="T23" s="383" t="str">
        <f>IF(LEN(SUBSTITUTE(Table3937[[#This Row],[PRIMARY CONTACT]]," ",""))=10,SUBSTITUTE(Table3937[[#This Row],[PRIMARY CONTACT]]," ","") &amp; " - Proper","- Follow Up")</f>
        <v>9324226442 - Proper</v>
      </c>
      <c r="U23" s="383" t="s">
        <v>10548</v>
      </c>
      <c r="V23" s="393" t="s">
        <v>139</v>
      </c>
      <c r="W23" s="383" t="s">
        <v>47</v>
      </c>
      <c r="X23" s="362" t="s">
        <v>141</v>
      </c>
      <c r="Y23" s="362" t="s">
        <v>49</v>
      </c>
      <c r="Z23" s="362" t="s">
        <v>142</v>
      </c>
      <c r="AA23" s="362" t="s">
        <v>143</v>
      </c>
      <c r="AB23" s="383"/>
    </row>
    <row r="24" spans="1:28" ht="13.8">
      <c r="A24" s="387">
        <v>23</v>
      </c>
      <c r="B24" s="395" t="s">
        <v>261</v>
      </c>
      <c r="C24" s="387" t="s">
        <v>10709</v>
      </c>
      <c r="D24" s="387" t="str">
        <f>MID(Table3937[[#This Row],[URL]], FIND("_", Table3937[[#This Row],[URL]]) + 1, FIND("/", Table3937[[#This Row],[URL]], FIND("_", Table3937[[#This Row],[URL]])) - FIND("_", Table3937[[#This Row],[URL]]) - 1)</f>
        <v>MANSUKH-KOTHARI</v>
      </c>
      <c r="E24" s="383" t="s">
        <v>8610</v>
      </c>
      <c r="F24" s="383">
        <v>405</v>
      </c>
      <c r="G24" s="383" t="s">
        <v>71</v>
      </c>
      <c r="H24" s="383" t="s">
        <v>144</v>
      </c>
      <c r="I24" s="383" t="s">
        <v>135</v>
      </c>
      <c r="J24" s="383" t="s">
        <v>9255</v>
      </c>
      <c r="K24" s="383" t="s">
        <v>191</v>
      </c>
      <c r="L24" s="383" t="s">
        <v>9617</v>
      </c>
      <c r="M24" s="383" t="s">
        <v>9900</v>
      </c>
      <c r="N24" s="361" t="s">
        <v>44</v>
      </c>
      <c r="O24" s="383" t="str">
        <f>IF(LEN(SUBSTITUTE(Table3937[[#This Row],[PRIMARY CONTACT]]," ",""))=10,SUBSTITUTE(Table3937[[#This Row],[PRIMARY CONTACT]]," ","") &amp; " - Proper","- Follow Up")</f>
        <v>9821004738 - Proper</v>
      </c>
      <c r="P24" s="383" t="s">
        <v>2981</v>
      </c>
      <c r="Q24" s="383">
        <v>9821004738</v>
      </c>
      <c r="R24" s="383" t="str">
        <f>SUBSTITUTE(Table3937[[#This Row],[whatsapp_number]]," ","")</f>
        <v>9821004738</v>
      </c>
      <c r="S24" s="383" t="str">
        <f>IF(Table3937[[#This Row],[PRIMARY CONTACT]]=Table3937[[#This Row],[WHATSAPP CONTACT]],"Same Contact","Different Contact")</f>
        <v>Same Contact</v>
      </c>
      <c r="T24" s="383" t="str">
        <f>IF(LEN(SUBSTITUTE(Table3937[[#This Row],[PRIMARY CONTACT]]," ",""))=10,SUBSTITUTE(Table3937[[#This Row],[PRIMARY CONTACT]]," ","") &amp; " - Proper","- Follow Up")</f>
        <v>9821004738 - Proper</v>
      </c>
      <c r="U24" s="383" t="s">
        <v>10548</v>
      </c>
      <c r="V24" s="393" t="s">
        <v>139</v>
      </c>
      <c r="W24" s="383" t="s">
        <v>47</v>
      </c>
      <c r="X24" s="362" t="s">
        <v>141</v>
      </c>
      <c r="Y24" s="362" t="s">
        <v>49</v>
      </c>
      <c r="Z24" s="362" t="s">
        <v>142</v>
      </c>
      <c r="AA24" s="362" t="s">
        <v>143</v>
      </c>
      <c r="AB24" s="383"/>
    </row>
    <row r="25" spans="1:28" ht="13.8">
      <c r="A25" s="387">
        <v>24</v>
      </c>
      <c r="B25" s="395" t="s">
        <v>266</v>
      </c>
      <c r="C25" s="387" t="s">
        <v>10709</v>
      </c>
      <c r="D25" s="387" t="str">
        <f>MID(Table3937[[#This Row],[URL]], FIND("_", Table3937[[#This Row],[URL]]) + 1, FIND("/", Table3937[[#This Row],[URL]], FIND("_", Table3937[[#This Row],[URL]])) - FIND("_", Table3937[[#This Row],[URL]]) - 1)</f>
        <v>NISHI-KOTHARI</v>
      </c>
      <c r="E25" s="383" t="s">
        <v>8611</v>
      </c>
      <c r="F25" s="383">
        <v>406</v>
      </c>
      <c r="G25" s="383" t="s">
        <v>71</v>
      </c>
      <c r="H25" s="383" t="s">
        <v>144</v>
      </c>
      <c r="I25" s="383" t="s">
        <v>135</v>
      </c>
      <c r="J25" s="383" t="s">
        <v>2995</v>
      </c>
      <c r="K25" s="383" t="s">
        <v>271</v>
      </c>
      <c r="L25" s="383" t="s">
        <v>9617</v>
      </c>
      <c r="M25" s="383" t="s">
        <v>9901</v>
      </c>
      <c r="N25" s="361" t="s">
        <v>44</v>
      </c>
      <c r="O25" s="383" t="str">
        <f>IF(LEN(SUBSTITUTE(Table3937[[#This Row],[PRIMARY CONTACT]]," ",""))=10,SUBSTITUTE(Table3937[[#This Row],[PRIMARY CONTACT]]," ","") &amp; " - Proper","- Follow Up")</f>
        <v>7738294928 - Proper</v>
      </c>
      <c r="P25" s="383" t="s">
        <v>2981</v>
      </c>
      <c r="Q25" s="383">
        <v>7738294928</v>
      </c>
      <c r="R25" s="383" t="str">
        <f>SUBSTITUTE(Table3937[[#This Row],[whatsapp_number]]," ","")</f>
        <v>7738294928</v>
      </c>
      <c r="S25" s="383" t="str">
        <f>IF(Table3937[[#This Row],[PRIMARY CONTACT]]=Table3937[[#This Row],[WHATSAPP CONTACT]],"Same Contact","Different Contact")</f>
        <v>Same Contact</v>
      </c>
      <c r="T25" s="383" t="str">
        <f>IF(LEN(SUBSTITUTE(Table3937[[#This Row],[PRIMARY CONTACT]]," ",""))=10,SUBSTITUTE(Table3937[[#This Row],[PRIMARY CONTACT]]," ","") &amp; " - Proper","- Follow Up")</f>
        <v>7738294928 - Proper</v>
      </c>
      <c r="U25" s="383" t="s">
        <v>10548</v>
      </c>
      <c r="V25" s="393" t="s">
        <v>139</v>
      </c>
      <c r="W25" s="383" t="s">
        <v>47</v>
      </c>
      <c r="X25" s="362" t="s">
        <v>141</v>
      </c>
      <c r="Y25" s="362" t="s">
        <v>49</v>
      </c>
      <c r="Z25" s="362" t="s">
        <v>142</v>
      </c>
      <c r="AA25" s="362" t="s">
        <v>143</v>
      </c>
      <c r="AB25" s="383"/>
    </row>
    <row r="26" spans="1:28" ht="13.8">
      <c r="A26" s="387">
        <v>25</v>
      </c>
      <c r="B26" s="397" t="s">
        <v>272</v>
      </c>
      <c r="C26" s="387" t="s">
        <v>10709</v>
      </c>
      <c r="D26" s="387" t="str">
        <f>MID(Table3937[[#This Row],[URL]], FIND("_", Table3937[[#This Row],[URL]]) + 1, FIND("/", Table3937[[#This Row],[URL]], FIND("_", Table3937[[#This Row],[URL]])) - FIND("_", Table3937[[#This Row],[URL]]) - 1)</f>
        <v>BHAVESH-SOLANKI</v>
      </c>
      <c r="E26" s="383" t="s">
        <v>8612</v>
      </c>
      <c r="F26" s="383">
        <v>424</v>
      </c>
      <c r="G26" s="383" t="s">
        <v>71</v>
      </c>
      <c r="H26" s="383" t="s">
        <v>283</v>
      </c>
      <c r="I26" s="383" t="s">
        <v>8349</v>
      </c>
      <c r="J26" s="383" t="s">
        <v>9256</v>
      </c>
      <c r="K26" s="383" t="s">
        <v>9501</v>
      </c>
      <c r="L26" s="383" t="s">
        <v>9618</v>
      </c>
      <c r="M26" s="383" t="s">
        <v>9902</v>
      </c>
      <c r="N26" s="386" t="s">
        <v>44</v>
      </c>
      <c r="O26" s="383" t="str">
        <f>IF(LEN(SUBSTITUTE(Table3937[[#This Row],[PRIMARY CONTACT]]," ",""))=10,SUBSTITUTE(Table3937[[#This Row],[PRIMARY CONTACT]]," ","") &amp; " - Proper","- Follow Up")</f>
        <v>9867770001 - Proper</v>
      </c>
      <c r="P26" s="383" t="s">
        <v>2998</v>
      </c>
      <c r="Q26" s="383">
        <v>9867770001</v>
      </c>
      <c r="R26" s="383" t="str">
        <f>SUBSTITUTE(Table3937[[#This Row],[whatsapp_number]]," ","")</f>
        <v>9867770001</v>
      </c>
      <c r="S26" s="383" t="str">
        <f>IF(Table3937[[#This Row],[PRIMARY CONTACT]]=Table3937[[#This Row],[WHATSAPP CONTACT]],"Same Contact","Different Contact")</f>
        <v>Same Contact</v>
      </c>
      <c r="T26" s="383" t="str">
        <f>IF(LEN(SUBSTITUTE(Table3937[[#This Row],[PRIMARY CONTACT]]," ",""))=10,SUBSTITUTE(Table3937[[#This Row],[PRIMARY CONTACT]]," ","") &amp; " - Proper","- Follow Up")</f>
        <v>9867770001 - Proper</v>
      </c>
      <c r="U26" s="383" t="s">
        <v>10549</v>
      </c>
      <c r="V26" s="383" t="s">
        <v>71</v>
      </c>
      <c r="W26" s="383" t="s">
        <v>47</v>
      </c>
      <c r="X26" s="407" t="s">
        <v>170</v>
      </c>
      <c r="Y26" s="407" t="s">
        <v>49</v>
      </c>
      <c r="Z26" s="407" t="s">
        <v>281</v>
      </c>
      <c r="AA26" s="407" t="s">
        <v>282</v>
      </c>
      <c r="AB26" s="383"/>
    </row>
    <row r="27" spans="1:28" ht="13.8">
      <c r="A27" s="387">
        <v>26</v>
      </c>
      <c r="B27" s="395" t="s">
        <v>284</v>
      </c>
      <c r="C27" s="387" t="s">
        <v>10709</v>
      </c>
      <c r="D27" s="387" t="str">
        <f>MID(Table3937[[#This Row],[URL]], FIND("_", Table3937[[#This Row],[URL]]) + 1, FIND("/", Table3937[[#This Row],[URL]], FIND("_", Table3937[[#This Row],[URL]])) - FIND("_", Table3937[[#This Row],[URL]]) - 1)</f>
        <v>VISHAL-JAIN</v>
      </c>
      <c r="E27" s="383" t="s">
        <v>8613</v>
      </c>
      <c r="F27" s="383">
        <v>448</v>
      </c>
      <c r="G27" s="383" t="s">
        <v>71</v>
      </c>
      <c r="H27" s="383" t="s">
        <v>293</v>
      </c>
      <c r="I27" s="383" t="s">
        <v>288</v>
      </c>
      <c r="J27" s="383" t="s">
        <v>3000</v>
      </c>
      <c r="K27" s="383" t="s">
        <v>8341</v>
      </c>
      <c r="L27" s="383" t="s">
        <v>9619</v>
      </c>
      <c r="M27" s="383" t="s">
        <v>9903</v>
      </c>
      <c r="N27" s="361" t="s">
        <v>44</v>
      </c>
      <c r="O27" s="383" t="str">
        <f>IF(LEN(SUBSTITUTE(Table3937[[#This Row],[PRIMARY CONTACT]]," ",""))=10,SUBSTITUTE(Table3937[[#This Row],[PRIMARY CONTACT]]," ","") &amp; " - Proper","- Follow Up")</f>
        <v>9867308841 - Proper</v>
      </c>
      <c r="P27" s="383" t="s">
        <v>286</v>
      </c>
      <c r="Q27" s="383">
        <v>9867308841</v>
      </c>
      <c r="R27" s="383" t="str">
        <f>SUBSTITUTE(Table3937[[#This Row],[whatsapp_number]]," ","")</f>
        <v>9867308841</v>
      </c>
      <c r="S27" s="383" t="str">
        <f>IF(Table3937[[#This Row],[PRIMARY CONTACT]]=Table3937[[#This Row],[WHATSAPP CONTACT]],"Same Contact","Different Contact")</f>
        <v>Same Contact</v>
      </c>
      <c r="T27" s="383" t="str">
        <f>IF(LEN(SUBSTITUTE(Table3937[[#This Row],[PRIMARY CONTACT]]," ",""))=10,SUBSTITUTE(Table3937[[#This Row],[PRIMARY CONTACT]]," ","") &amp; " - Proper","- Follow Up")</f>
        <v>9867308841 - Proper</v>
      </c>
      <c r="U27" s="383" t="s">
        <v>8341</v>
      </c>
      <c r="V27" s="383" t="s">
        <v>71</v>
      </c>
      <c r="W27" s="383" t="s">
        <v>47</v>
      </c>
      <c r="X27" s="362" t="s">
        <v>170</v>
      </c>
      <c r="Y27" s="362" t="s">
        <v>49</v>
      </c>
      <c r="Z27" s="362" t="s">
        <v>291</v>
      </c>
      <c r="AA27" s="362" t="s">
        <v>292</v>
      </c>
      <c r="AB27" s="383"/>
    </row>
    <row r="28" spans="1:28" ht="13.8">
      <c r="A28" s="387">
        <v>27</v>
      </c>
      <c r="B28" s="395" t="s">
        <v>294</v>
      </c>
      <c r="C28" s="387" t="s">
        <v>10709</v>
      </c>
      <c r="D28" s="387" t="str">
        <f>MID(Table3937[[#This Row],[URL]], FIND("_", Table3937[[#This Row],[URL]]) + 1, FIND("/", Table3937[[#This Row],[URL]], FIND("_", Table3937[[#This Row],[URL]])) - FIND("_", Table3937[[#This Row],[URL]]) - 1)</f>
        <v>MANISH-JAIN</v>
      </c>
      <c r="E28" s="383" t="s">
        <v>8614</v>
      </c>
      <c r="F28" s="383">
        <v>449</v>
      </c>
      <c r="G28" s="383" t="s">
        <v>71</v>
      </c>
      <c r="H28" s="383" t="s">
        <v>293</v>
      </c>
      <c r="I28" s="383" t="s">
        <v>288</v>
      </c>
      <c r="J28" s="383" t="s">
        <v>3002</v>
      </c>
      <c r="K28" s="383" t="s">
        <v>8341</v>
      </c>
      <c r="L28" s="383" t="s">
        <v>9619</v>
      </c>
      <c r="M28" s="383" t="s">
        <v>9904</v>
      </c>
      <c r="N28" s="361" t="s">
        <v>44</v>
      </c>
      <c r="O28" s="383" t="str">
        <f>IF(LEN(SUBSTITUTE(Table3937[[#This Row],[PRIMARY CONTACT]]," ",""))=10,SUBSTITUTE(Table3937[[#This Row],[PRIMARY CONTACT]]," ","") &amp; " - Proper","- Follow Up")</f>
        <v>8850703667 - Proper</v>
      </c>
      <c r="P28" s="383" t="s">
        <v>3003</v>
      </c>
      <c r="Q28" s="383">
        <v>8850703667</v>
      </c>
      <c r="R28" s="383" t="str">
        <f>SUBSTITUTE(Table3937[[#This Row],[whatsapp_number]]," ","")</f>
        <v>8850703667</v>
      </c>
      <c r="S28" s="383" t="str">
        <f>IF(Table3937[[#This Row],[PRIMARY CONTACT]]=Table3937[[#This Row],[WHATSAPP CONTACT]],"Same Contact","Different Contact")</f>
        <v>Same Contact</v>
      </c>
      <c r="T28" s="383" t="str">
        <f>IF(LEN(SUBSTITUTE(Table3937[[#This Row],[PRIMARY CONTACT]]," ",""))=10,SUBSTITUTE(Table3937[[#This Row],[PRIMARY CONTACT]]," ","") &amp; " - Proper","- Follow Up")</f>
        <v>8850703667 - Proper</v>
      </c>
      <c r="U28" s="383" t="s">
        <v>8341</v>
      </c>
      <c r="V28" s="383" t="s">
        <v>71</v>
      </c>
      <c r="W28" s="383" t="s">
        <v>47</v>
      </c>
      <c r="X28" s="362" t="s">
        <v>300</v>
      </c>
      <c r="Y28" s="362" t="s">
        <v>301</v>
      </c>
      <c r="Z28" s="362" t="s">
        <v>302</v>
      </c>
      <c r="AA28" s="362" t="s">
        <v>303</v>
      </c>
      <c r="AB28" s="383"/>
    </row>
    <row r="29" spans="1:28" ht="13.8">
      <c r="A29" s="387">
        <v>28</v>
      </c>
      <c r="B29" s="395" t="s">
        <v>304</v>
      </c>
      <c r="C29" s="383" t="s">
        <v>10709</v>
      </c>
      <c r="D29" s="387" t="str">
        <f>MID(Table3937[[#This Row],[URL]], FIND(".com/", Table3937[[#This Row],[URL]]) + 5, FIND("/", Table3937[[#This Row],[URL]], FIND(".com/", Table3937[[#This Row],[URL]]) + 5) - (FIND(".com/", Table3937[[#This Row],[URL]]) + 5))</f>
        <v>KASHISH-FURNISHING</v>
      </c>
      <c r="E29" s="383" t="s">
        <v>8615</v>
      </c>
      <c r="F29" s="383">
        <v>450</v>
      </c>
      <c r="G29" s="383" t="s">
        <v>71</v>
      </c>
      <c r="H29" s="383" t="s">
        <v>293</v>
      </c>
      <c r="I29" s="383" t="s">
        <v>288</v>
      </c>
      <c r="J29" s="383" t="s">
        <v>5874</v>
      </c>
      <c r="K29" s="383" t="s">
        <v>309</v>
      </c>
      <c r="L29" s="383" t="s">
        <v>9619</v>
      </c>
      <c r="M29" s="383" t="s">
        <v>9904</v>
      </c>
      <c r="N29" s="361" t="s">
        <v>44</v>
      </c>
      <c r="O29" s="383" t="str">
        <f>IF(LEN(SUBSTITUTE(Table3937[[#This Row],[PRIMARY CONTACT]]," ",""))=10,SUBSTITUTE(Table3937[[#This Row],[PRIMARY CONTACT]]," ","") &amp; " - Proper","- Follow Up")</f>
        <v>8850703667 - Proper</v>
      </c>
      <c r="P29" s="383" t="s">
        <v>286</v>
      </c>
      <c r="Q29" s="383">
        <v>8850703667</v>
      </c>
      <c r="R29" s="383" t="str">
        <f>SUBSTITUTE(Table3937[[#This Row],[whatsapp_number]]," ","")</f>
        <v>8850703667</v>
      </c>
      <c r="S29" s="383" t="str">
        <f>IF(Table3937[[#This Row],[PRIMARY CONTACT]]=Table3937[[#This Row],[WHATSAPP CONTACT]],"Same Contact","Different Contact")</f>
        <v>Same Contact</v>
      </c>
      <c r="T29" s="383" t="str">
        <f>IF(LEN(SUBSTITUTE(Table3937[[#This Row],[PRIMARY CONTACT]]," ",""))=10,SUBSTITUTE(Table3937[[#This Row],[PRIMARY CONTACT]]," ","") &amp; " - Proper","- Follow Up")</f>
        <v>8850703667 - Proper</v>
      </c>
      <c r="U29" s="383" t="s">
        <v>8341</v>
      </c>
      <c r="V29" s="383" t="s">
        <v>71</v>
      </c>
      <c r="W29" s="383" t="s">
        <v>47</v>
      </c>
      <c r="X29" s="362" t="s">
        <v>311</v>
      </c>
      <c r="Y29" s="362" t="s">
        <v>312</v>
      </c>
      <c r="Z29" s="362" t="s">
        <v>313</v>
      </c>
      <c r="AA29" s="362" t="s">
        <v>314</v>
      </c>
      <c r="AB29" s="383"/>
    </row>
    <row r="30" spans="1:28" ht="13.8">
      <c r="A30" s="423">
        <v>29</v>
      </c>
      <c r="B30" s="395" t="s">
        <v>315</v>
      </c>
      <c r="C30" s="383" t="s">
        <v>10709</v>
      </c>
      <c r="D30" s="387" t="str">
        <f>MID(Table3937[[#This Row],[URL]], FIND("_", Table3937[[#This Row],[URL]]) + 1, FIND("/", Table3937[[#This Row],[URL]], FIND("_", Table3937[[#This Row],[URL]])) - FIND("_", Table3937[[#This Row],[URL]]) - 1)</f>
        <v>RAVI-JAIN</v>
      </c>
      <c r="E30" s="383" t="s">
        <v>8616</v>
      </c>
      <c r="F30" s="383">
        <v>451</v>
      </c>
      <c r="G30" s="383" t="s">
        <v>71</v>
      </c>
      <c r="H30" s="383" t="s">
        <v>293</v>
      </c>
      <c r="I30" s="383" t="s">
        <v>288</v>
      </c>
      <c r="J30" s="383" t="s">
        <v>9257</v>
      </c>
      <c r="K30" s="383" t="s">
        <v>8341</v>
      </c>
      <c r="L30" s="383" t="s">
        <v>9619</v>
      </c>
      <c r="M30" s="383" t="s">
        <v>9905</v>
      </c>
      <c r="N30" s="361" t="s">
        <v>44</v>
      </c>
      <c r="O30" s="383" t="str">
        <f>IF(LEN(SUBSTITUTE(Table3937[[#This Row],[PRIMARY CONTACT]]," ",""))=10,SUBSTITUTE(Table3937[[#This Row],[PRIMARY CONTACT]]," ","") &amp; " - Proper","- Follow Up")</f>
        <v>9819042381 - Proper</v>
      </c>
      <c r="P30" s="383" t="s">
        <v>286</v>
      </c>
      <c r="Q30" s="383">
        <v>9819042381</v>
      </c>
      <c r="R30" s="383" t="str">
        <f>SUBSTITUTE(Table3937[[#This Row],[whatsapp_number]]," ","")</f>
        <v>9819042381</v>
      </c>
      <c r="S30" s="383" t="str">
        <f>IF(Table3937[[#This Row],[PRIMARY CONTACT]]=Table3937[[#This Row],[WHATSAPP CONTACT]],"Same Contact","Different Contact")</f>
        <v>Same Contact</v>
      </c>
      <c r="T30" s="383" t="str">
        <f>IF(LEN(SUBSTITUTE(Table3937[[#This Row],[PRIMARY CONTACT]]," ",""))=10,SUBSTITUTE(Table3937[[#This Row],[PRIMARY CONTACT]]," ","") &amp; " - Proper","- Follow Up")</f>
        <v>9819042381 - Proper</v>
      </c>
      <c r="U30" s="383" t="s">
        <v>8341</v>
      </c>
      <c r="V30" s="383" t="s">
        <v>71</v>
      </c>
      <c r="W30" s="383" t="s">
        <v>47</v>
      </c>
      <c r="X30" s="362" t="s">
        <v>321</v>
      </c>
      <c r="Y30" s="362" t="s">
        <v>322</v>
      </c>
      <c r="Z30" s="362" t="s">
        <v>323</v>
      </c>
      <c r="AA30" s="362" t="s">
        <v>324</v>
      </c>
      <c r="AB30" s="383"/>
    </row>
    <row r="31" spans="1:28" ht="13.8">
      <c r="A31" s="387">
        <v>30</v>
      </c>
      <c r="B31" s="408" t="s">
        <v>327</v>
      </c>
      <c r="C31" s="383" t="s">
        <v>10713</v>
      </c>
      <c r="D31" s="387" t="str">
        <f>MID(Table3937[[#This Row],[URL]], FIND("_", Table3937[[#This Row],[URL]]) + 1, FIND("/", Table3937[[#This Row],[URL]], FIND("_", Table3937[[#This Row],[URL]])) - FIND("_", Table3937[[#This Row],[URL]]) - 1)</f>
        <v>KUUNJAL-PAAL</v>
      </c>
      <c r="E31" s="383" t="s">
        <v>8617</v>
      </c>
      <c r="F31" s="383">
        <v>452</v>
      </c>
      <c r="G31" s="383" t="s">
        <v>71</v>
      </c>
      <c r="H31" s="383" t="s">
        <v>338</v>
      </c>
      <c r="I31" s="383" t="s">
        <v>8350</v>
      </c>
      <c r="J31" s="383" t="s">
        <v>332</v>
      </c>
      <c r="K31" s="383" t="s">
        <v>333</v>
      </c>
      <c r="L31" s="383" t="s">
        <v>9620</v>
      </c>
      <c r="M31" s="383" t="s">
        <v>8341</v>
      </c>
      <c r="N31" s="385" t="s">
        <v>44</v>
      </c>
      <c r="O31" s="383" t="str">
        <f>IF(LEN(SUBSTITUTE(Table3937[[#This Row],[PRIMARY CONTACT]]," ",""))=10,SUBSTITUTE(Table3937[[#This Row],[PRIMARY CONTACT]]," ","") &amp; " - Proper","- Follow Up")</f>
        <v>- Follow Up</v>
      </c>
      <c r="P31" s="383" t="s">
        <v>3006</v>
      </c>
      <c r="Q31" s="383" t="s">
        <v>71</v>
      </c>
      <c r="R31" s="383" t="str">
        <f>SUBSTITUTE(Table3937[[#This Row],[whatsapp_number]]," ","")</f>
        <v>UNDEFINED</v>
      </c>
      <c r="S31" s="383" t="str">
        <f>IF(Table3937[[#This Row],[PRIMARY CONTACT]]=Table3937[[#This Row],[WHATSAPP CONTACT]],"Same Contact","Different Contact")</f>
        <v>Same Contact</v>
      </c>
      <c r="T31" s="383" t="str">
        <f>IF(LEN(SUBSTITUTE(Table3937[[#This Row],[PRIMARY CONTACT]]," ",""))=10,SUBSTITUTE(Table3937[[#This Row],[PRIMARY CONTACT]]," ","") &amp; " - Proper","- Follow Up")</f>
        <v>- Follow Up</v>
      </c>
      <c r="U31" s="383" t="s">
        <v>8341</v>
      </c>
      <c r="V31" s="383" t="s">
        <v>71</v>
      </c>
      <c r="W31" s="383" t="s">
        <v>47</v>
      </c>
      <c r="X31" s="406" t="s">
        <v>170</v>
      </c>
      <c r="Y31" s="406" t="s">
        <v>335</v>
      </c>
      <c r="Z31" s="406" t="s">
        <v>336</v>
      </c>
      <c r="AA31" s="406" t="s">
        <v>337</v>
      </c>
      <c r="AB31" s="383"/>
    </row>
    <row r="32" spans="1:28" ht="13.8">
      <c r="A32" s="387">
        <v>31</v>
      </c>
      <c r="B32" s="397" t="s">
        <v>339</v>
      </c>
      <c r="C32" s="383" t="s">
        <v>10709</v>
      </c>
      <c r="D32" s="387" t="str">
        <f>MID(Table3937[[#This Row],[URL]], FIND("_", Table3937[[#This Row],[URL]]) + 1, FIND("/", Table3937[[#This Row],[URL]], FIND("_", Table3937[[#This Row],[URL]])) - FIND("_", Table3937[[#This Row],[URL]]) - 1)</f>
        <v>MALLICKPAREKH</v>
      </c>
      <c r="E32" s="383" t="s">
        <v>8618</v>
      </c>
      <c r="F32" s="383">
        <v>458</v>
      </c>
      <c r="G32" s="383" t="s">
        <v>71</v>
      </c>
      <c r="H32" s="383" t="s">
        <v>71</v>
      </c>
      <c r="I32" s="383" t="s">
        <v>8351</v>
      </c>
      <c r="J32" s="383" t="s">
        <v>9258</v>
      </c>
      <c r="K32" s="383" t="s">
        <v>345</v>
      </c>
      <c r="L32" s="383" t="s">
        <v>9621</v>
      </c>
      <c r="M32" s="383" t="s">
        <v>8341</v>
      </c>
      <c r="N32" s="386">
        <v>9819701940</v>
      </c>
      <c r="O32" s="383" t="str">
        <f>IF(LEN(SUBSTITUTE(Table3937[[#This Row],[PRIMARY CONTACT]]," ",""))=10,SUBSTITUTE(Table3937[[#This Row],[PRIMARY CONTACT]]," ","") &amp; " - Proper","- Follow Up")</f>
        <v>- Follow Up</v>
      </c>
      <c r="P32" s="383" t="s">
        <v>341</v>
      </c>
      <c r="Q32" s="383" t="s">
        <v>71</v>
      </c>
      <c r="R32" s="383" t="str">
        <f>SUBSTITUTE(Table3937[[#This Row],[whatsapp_number]]," ","")</f>
        <v>UNDEFINED</v>
      </c>
      <c r="S32" s="383" t="str">
        <f>IF(Table3937[[#This Row],[PRIMARY CONTACT]]=Table3937[[#This Row],[WHATSAPP CONTACT]],"Same Contact","Different Contact")</f>
        <v>Same Contact</v>
      </c>
      <c r="T32" s="383" t="str">
        <f>IF(LEN(SUBSTITUTE(Table3937[[#This Row],[PRIMARY CONTACT]]," ",""))=10,SUBSTITUTE(Table3937[[#This Row],[PRIMARY CONTACT]]," ","") &amp; " - Proper","- Follow Up")</f>
        <v>- Follow Up</v>
      </c>
      <c r="U32" s="383" t="s">
        <v>3009</v>
      </c>
      <c r="V32" s="383" t="s">
        <v>71</v>
      </c>
      <c r="W32" s="383" t="s">
        <v>47</v>
      </c>
      <c r="X32" s="407" t="s">
        <v>348</v>
      </c>
      <c r="Y32" s="407" t="s">
        <v>49</v>
      </c>
      <c r="Z32" s="407" t="s">
        <v>349</v>
      </c>
      <c r="AA32" s="407" t="s">
        <v>350</v>
      </c>
      <c r="AB32" s="383"/>
    </row>
    <row r="33" spans="1:28" ht="13.8">
      <c r="A33" s="387">
        <v>32</v>
      </c>
      <c r="B33" s="397" t="s">
        <v>351</v>
      </c>
      <c r="C33" s="383" t="s">
        <v>10709</v>
      </c>
      <c r="D33" s="387" t="str">
        <f>MID(Table3937[[#This Row],[URL]], FIND("_", Table3937[[#This Row],[URL]]) + 1, FIND("/", Table3937[[#This Row],[URL]], FIND("_", Table3937[[#This Row],[URL]])) - FIND("_", Table3937[[#This Row],[URL]]) - 1)</f>
        <v>AMIT-ROY</v>
      </c>
      <c r="E33" s="383" t="s">
        <v>8619</v>
      </c>
      <c r="F33" s="383">
        <v>459</v>
      </c>
      <c r="G33" s="383" t="s">
        <v>71</v>
      </c>
      <c r="H33" s="383" t="s">
        <v>71</v>
      </c>
      <c r="I33" s="383" t="s">
        <v>8351</v>
      </c>
      <c r="J33" s="383" t="s">
        <v>355</v>
      </c>
      <c r="K33" s="383" t="s">
        <v>9502</v>
      </c>
      <c r="L33" s="383" t="s">
        <v>9621</v>
      </c>
      <c r="M33" s="383" t="s">
        <v>8341</v>
      </c>
      <c r="N33" s="386">
        <v>9820888508</v>
      </c>
      <c r="O33" s="383" t="str">
        <f>IF(LEN(SUBSTITUTE(Table3937[[#This Row],[PRIMARY CONTACT]]," ",""))=10,SUBSTITUTE(Table3937[[#This Row],[PRIMARY CONTACT]]," ","") &amp; " - Proper","- Follow Up")</f>
        <v>- Follow Up</v>
      </c>
      <c r="P33" s="383" t="s">
        <v>3011</v>
      </c>
      <c r="Q33" s="383" t="s">
        <v>71</v>
      </c>
      <c r="R33" s="383" t="str">
        <f>SUBSTITUTE(Table3937[[#This Row],[whatsapp_number]]," ","")</f>
        <v>UNDEFINED</v>
      </c>
      <c r="S33" s="383" t="str">
        <f>IF(Table3937[[#This Row],[PRIMARY CONTACT]]=Table3937[[#This Row],[WHATSAPP CONTACT]],"Same Contact","Different Contact")</f>
        <v>Same Contact</v>
      </c>
      <c r="T33" s="383" t="str">
        <f>IF(LEN(SUBSTITUTE(Table3937[[#This Row],[PRIMARY CONTACT]]," ",""))=10,SUBSTITUTE(Table3937[[#This Row],[PRIMARY CONTACT]]," ","") &amp; " - Proper","- Follow Up")</f>
        <v>- Follow Up</v>
      </c>
      <c r="U33" s="383" t="s">
        <v>3009</v>
      </c>
      <c r="V33" s="383" t="s">
        <v>71</v>
      </c>
      <c r="W33" s="383" t="s">
        <v>47</v>
      </c>
      <c r="X33" s="407" t="s">
        <v>170</v>
      </c>
      <c r="Y33" s="407" t="s">
        <v>49</v>
      </c>
      <c r="Z33" s="407" t="s">
        <v>197</v>
      </c>
      <c r="AA33" s="407" t="s">
        <v>357</v>
      </c>
      <c r="AB33" s="383"/>
    </row>
    <row r="34" spans="1:28" ht="13.8">
      <c r="A34" s="387">
        <v>33</v>
      </c>
      <c r="B34" s="397" t="s">
        <v>358</v>
      </c>
      <c r="C34" s="383" t="s">
        <v>10713</v>
      </c>
      <c r="D34" s="387" t="str">
        <f>MID(Table3937[[#This Row],[URL]], FIND("_", Table3937[[#This Row],[URL]]) + 1, FIND("/", Table3937[[#This Row],[URL]], FIND("_", Table3937[[#This Row],[URL]])) - FIND("_", Table3937[[#This Row],[URL]]) - 1)</f>
        <v>NAVEENKHANNA</v>
      </c>
      <c r="E34" s="383" t="s">
        <v>8620</v>
      </c>
      <c r="F34" s="383">
        <v>460</v>
      </c>
      <c r="G34" s="383" t="s">
        <v>71</v>
      </c>
      <c r="H34" s="383" t="s">
        <v>71</v>
      </c>
      <c r="I34" s="383" t="s">
        <v>8351</v>
      </c>
      <c r="J34" s="383" t="s">
        <v>362</v>
      </c>
      <c r="K34" s="383" t="s">
        <v>345</v>
      </c>
      <c r="L34" s="383" t="s">
        <v>9621</v>
      </c>
      <c r="M34" s="383" t="s">
        <v>9906</v>
      </c>
      <c r="N34" s="386" t="s">
        <v>44</v>
      </c>
      <c r="O34" s="383" t="str">
        <f>IF(LEN(SUBSTITUTE(Table3937[[#This Row],[PRIMARY CONTACT]]," ",""))=10,SUBSTITUTE(Table3937[[#This Row],[PRIMARY CONTACT]]," ","") &amp; " - Proper","- Follow Up")</f>
        <v>9920449944 - Proper</v>
      </c>
      <c r="P34" s="383" t="s">
        <v>3012</v>
      </c>
      <c r="Q34" s="383">
        <v>9920449944</v>
      </c>
      <c r="R34" s="383" t="str">
        <f>SUBSTITUTE(Table3937[[#This Row],[whatsapp_number]]," ","")</f>
        <v>9920449944</v>
      </c>
      <c r="S34" s="383" t="str">
        <f>IF(Table3937[[#This Row],[PRIMARY CONTACT]]=Table3937[[#This Row],[WHATSAPP CONTACT]],"Same Contact","Different Contact")</f>
        <v>Same Contact</v>
      </c>
      <c r="T34" s="383" t="str">
        <f>IF(LEN(SUBSTITUTE(Table3937[[#This Row],[PRIMARY CONTACT]]," ",""))=10,SUBSTITUTE(Table3937[[#This Row],[PRIMARY CONTACT]]," ","") &amp; " - Proper","- Follow Up")</f>
        <v>9920449944 - Proper</v>
      </c>
      <c r="U34" s="383" t="s">
        <v>3009</v>
      </c>
      <c r="V34" s="383" t="s">
        <v>71</v>
      </c>
      <c r="W34" s="383" t="s">
        <v>47</v>
      </c>
      <c r="X34" s="407" t="s">
        <v>170</v>
      </c>
      <c r="Y34" s="407" t="s">
        <v>363</v>
      </c>
      <c r="Z34" s="407" t="s">
        <v>364</v>
      </c>
      <c r="AA34" s="407" t="s">
        <v>365</v>
      </c>
      <c r="AB34" s="383"/>
    </row>
    <row r="35" spans="1:28" ht="13.8">
      <c r="A35" s="387">
        <v>34</v>
      </c>
      <c r="B35" s="397" t="s">
        <v>366</v>
      </c>
      <c r="C35" s="383" t="s">
        <v>10709</v>
      </c>
      <c r="D35" s="387" t="str">
        <f>MID(Table3937[[#This Row],[URL]], FIND("_", Table3937[[#This Row],[URL]]) + 1, FIND("/", Table3937[[#This Row],[URL]], FIND("_", Table3937[[#This Row],[URL]])) - FIND("_", Table3937[[#This Row],[URL]]) - 1)</f>
        <v>SANJAY-GOYAL</v>
      </c>
      <c r="E35" s="383" t="s">
        <v>8621</v>
      </c>
      <c r="F35" s="383">
        <v>488</v>
      </c>
      <c r="G35" s="383" t="s">
        <v>71</v>
      </c>
      <c r="H35" s="383" t="s">
        <v>377</v>
      </c>
      <c r="I35" s="383" t="s">
        <v>8352</v>
      </c>
      <c r="J35" s="383" t="s">
        <v>371</v>
      </c>
      <c r="K35" s="383" t="s">
        <v>8341</v>
      </c>
      <c r="L35" s="383" t="s">
        <v>9622</v>
      </c>
      <c r="M35" s="383" t="s">
        <v>9907</v>
      </c>
      <c r="N35" s="386">
        <v>9322691333</v>
      </c>
      <c r="O35" s="383" t="str">
        <f>IF(LEN(SUBSTITUTE(Table3937[[#This Row],[PRIMARY CONTACT]]," ",""))=10,SUBSTITUTE(Table3937[[#This Row],[PRIMARY CONTACT]]," ","") &amp; " - Proper","- Follow Up")</f>
        <v>9820291283 - Proper</v>
      </c>
      <c r="P35" s="383" t="s">
        <v>3015</v>
      </c>
      <c r="Q35" s="383">
        <v>9820291283</v>
      </c>
      <c r="R35" s="383" t="str">
        <f>SUBSTITUTE(Table3937[[#This Row],[whatsapp_number]]," ","")</f>
        <v>9820291283</v>
      </c>
      <c r="S35" s="383" t="str">
        <f>IF(Table3937[[#This Row],[PRIMARY CONTACT]]=Table3937[[#This Row],[WHATSAPP CONTACT]],"Same Contact","Different Contact")</f>
        <v>Same Contact</v>
      </c>
      <c r="T35" s="383" t="str">
        <f>IF(LEN(SUBSTITUTE(Table3937[[#This Row],[PRIMARY CONTACT]]," ",""))=10,SUBSTITUTE(Table3937[[#This Row],[PRIMARY CONTACT]]," ","") &amp; " - Proper","- Follow Up")</f>
        <v>9820291283 - Proper</v>
      </c>
      <c r="U35" s="383" t="s">
        <v>10550</v>
      </c>
      <c r="V35" s="383" t="s">
        <v>71</v>
      </c>
      <c r="W35" s="383" t="s">
        <v>47</v>
      </c>
      <c r="X35" s="407" t="s">
        <v>170</v>
      </c>
      <c r="Y35" s="407" t="s">
        <v>374</v>
      </c>
      <c r="Z35" s="407" t="s">
        <v>375</v>
      </c>
      <c r="AA35" s="407" t="s">
        <v>376</v>
      </c>
      <c r="AB35" s="383"/>
    </row>
    <row r="36" spans="1:28" ht="13.8">
      <c r="A36" s="387">
        <v>35</v>
      </c>
      <c r="B36" s="387" t="s">
        <v>10710</v>
      </c>
      <c r="C36" s="383" t="s">
        <v>10710</v>
      </c>
      <c r="D36" s="387" t="s">
        <v>10710</v>
      </c>
      <c r="E36" s="383" t="s">
        <v>8622</v>
      </c>
      <c r="F36" s="383">
        <v>502</v>
      </c>
      <c r="G36" s="383" t="s">
        <v>71</v>
      </c>
      <c r="H36" s="383" t="s">
        <v>5096</v>
      </c>
      <c r="I36" s="383" t="s">
        <v>8353</v>
      </c>
      <c r="J36" s="383" t="s">
        <v>9259</v>
      </c>
      <c r="K36" s="383" t="s">
        <v>8341</v>
      </c>
      <c r="L36" s="383" t="s">
        <v>8341</v>
      </c>
      <c r="M36" s="383" t="s">
        <v>9908</v>
      </c>
      <c r="N36" s="420" t="s">
        <v>44</v>
      </c>
      <c r="O36" s="383" t="str">
        <f>IF(LEN(SUBSTITUTE(Table3937[[#This Row],[PRIMARY CONTACT]]," ",""))=10,SUBSTITUTE(Table3937[[#This Row],[PRIMARY CONTACT]]," ","") &amp; " - Proper","- Follow Up")</f>
        <v>9824077142 - Proper</v>
      </c>
      <c r="P36" s="383" t="s">
        <v>5099</v>
      </c>
      <c r="Q36" s="383">
        <v>9824077142</v>
      </c>
      <c r="R36" s="383" t="str">
        <f>SUBSTITUTE(Table3937[[#This Row],[whatsapp_number]]," ","")</f>
        <v>9824077142</v>
      </c>
      <c r="S36" s="383" t="str">
        <f>IF(Table3937[[#This Row],[PRIMARY CONTACT]]=Table3937[[#This Row],[WHATSAPP CONTACT]],"Same Contact","Different Contact")</f>
        <v>Same Contact</v>
      </c>
      <c r="T36" s="383" t="str">
        <f>IF(LEN(SUBSTITUTE(Table3937[[#This Row],[PRIMARY CONTACT]]," ",""))=10,SUBSTITUTE(Table3937[[#This Row],[PRIMARY CONTACT]]," ","") &amp; " - Proper","- Follow Up")</f>
        <v>9824077142 - Proper</v>
      </c>
      <c r="U36" s="383" t="s">
        <v>8341</v>
      </c>
      <c r="V36" s="393" t="s">
        <v>5100</v>
      </c>
      <c r="W36" s="383" t="s">
        <v>47</v>
      </c>
      <c r="X36" s="420" t="s">
        <v>44</v>
      </c>
      <c r="Y36" s="420" t="s">
        <v>44</v>
      </c>
      <c r="Z36" s="420" t="s">
        <v>44</v>
      </c>
      <c r="AA36" s="420" t="s">
        <v>44</v>
      </c>
      <c r="AB36" s="383"/>
    </row>
    <row r="37" spans="1:28" ht="13.8">
      <c r="A37" s="387">
        <v>36</v>
      </c>
      <c r="B37" s="387" t="s">
        <v>10710</v>
      </c>
      <c r="C37" s="387" t="s">
        <v>10710</v>
      </c>
      <c r="D37" s="387" t="s">
        <v>10710</v>
      </c>
      <c r="E37" s="383" t="s">
        <v>8623</v>
      </c>
      <c r="F37" s="383">
        <v>503</v>
      </c>
      <c r="G37" s="383" t="s">
        <v>71</v>
      </c>
      <c r="H37" s="383" t="s">
        <v>5096</v>
      </c>
      <c r="I37" s="383" t="s">
        <v>8353</v>
      </c>
      <c r="J37" s="383" t="s">
        <v>9260</v>
      </c>
      <c r="K37" s="383" t="s">
        <v>8341</v>
      </c>
      <c r="L37" s="383" t="s">
        <v>8341</v>
      </c>
      <c r="M37" s="383" t="s">
        <v>9909</v>
      </c>
      <c r="N37" s="420" t="s">
        <v>44</v>
      </c>
      <c r="O37" s="383" t="str">
        <f>IF(LEN(SUBSTITUTE(Table3937[[#This Row],[PRIMARY CONTACT]]," ",""))=10,SUBSTITUTE(Table3937[[#This Row],[PRIMARY CONTACT]]," ","") &amp; " - Proper","- Follow Up")</f>
        <v>9824068796 - Proper</v>
      </c>
      <c r="P37" s="383" t="s">
        <v>5104</v>
      </c>
      <c r="Q37" s="383">
        <v>9824068796</v>
      </c>
      <c r="R37" s="383" t="str">
        <f>SUBSTITUTE(Table3937[[#This Row],[whatsapp_number]]," ","")</f>
        <v>9824068796</v>
      </c>
      <c r="S37" s="383" t="str">
        <f>IF(Table3937[[#This Row],[PRIMARY CONTACT]]=Table3937[[#This Row],[WHATSAPP CONTACT]],"Same Contact","Different Contact")</f>
        <v>Same Contact</v>
      </c>
      <c r="T37" s="383" t="str">
        <f>IF(LEN(SUBSTITUTE(Table3937[[#This Row],[PRIMARY CONTACT]]," ",""))=10,SUBSTITUTE(Table3937[[#This Row],[PRIMARY CONTACT]]," ","") &amp; " - Proper","- Follow Up")</f>
        <v>9824068796 - Proper</v>
      </c>
      <c r="U37" s="383" t="s">
        <v>8341</v>
      </c>
      <c r="V37" s="393" t="s">
        <v>5100</v>
      </c>
      <c r="W37" s="383" t="s">
        <v>47</v>
      </c>
      <c r="X37" s="420" t="s">
        <v>44</v>
      </c>
      <c r="Y37" s="420" t="s">
        <v>44</v>
      </c>
      <c r="Z37" s="420" t="s">
        <v>44</v>
      </c>
      <c r="AA37" s="420" t="s">
        <v>44</v>
      </c>
      <c r="AB37" s="383"/>
    </row>
    <row r="38" spans="1:28" ht="13.8">
      <c r="A38" s="387">
        <v>37</v>
      </c>
      <c r="B38" s="387" t="s">
        <v>10710</v>
      </c>
      <c r="C38" s="387" t="s">
        <v>10710</v>
      </c>
      <c r="D38" s="387" t="s">
        <v>10710</v>
      </c>
      <c r="E38" s="383" t="s">
        <v>8624</v>
      </c>
      <c r="F38" s="383">
        <v>504</v>
      </c>
      <c r="G38" s="383" t="s">
        <v>71</v>
      </c>
      <c r="H38" s="383" t="s">
        <v>5096</v>
      </c>
      <c r="I38" s="383" t="s">
        <v>8353</v>
      </c>
      <c r="J38" s="383" t="s">
        <v>9261</v>
      </c>
      <c r="K38" s="383" t="s">
        <v>8341</v>
      </c>
      <c r="L38" s="383" t="s">
        <v>8341</v>
      </c>
      <c r="M38" s="383" t="s">
        <v>9910</v>
      </c>
      <c r="N38" s="420" t="s">
        <v>44</v>
      </c>
      <c r="O38" s="383" t="str">
        <f>IF(LEN(SUBSTITUTE(Table3937[[#This Row],[PRIMARY CONTACT]]," ",""))=10,SUBSTITUTE(Table3937[[#This Row],[PRIMARY CONTACT]]," ","") &amp; " - Proper","- Follow Up")</f>
        <v>9727056000 - Proper</v>
      </c>
      <c r="P38" s="383" t="s">
        <v>5107</v>
      </c>
      <c r="Q38" s="383">
        <v>9727056000</v>
      </c>
      <c r="R38" s="383" t="str">
        <f>SUBSTITUTE(Table3937[[#This Row],[whatsapp_number]]," ","")</f>
        <v>9727056000</v>
      </c>
      <c r="S38" s="383" t="str">
        <f>IF(Table3937[[#This Row],[PRIMARY CONTACT]]=Table3937[[#This Row],[WHATSAPP CONTACT]],"Same Contact","Different Contact")</f>
        <v>Same Contact</v>
      </c>
      <c r="T38" s="383" t="str">
        <f>IF(LEN(SUBSTITUTE(Table3937[[#This Row],[PRIMARY CONTACT]]," ",""))=10,SUBSTITUTE(Table3937[[#This Row],[PRIMARY CONTACT]]," ","") &amp; " - Proper","- Follow Up")</f>
        <v>9727056000 - Proper</v>
      </c>
      <c r="U38" s="383" t="s">
        <v>8341</v>
      </c>
      <c r="V38" s="393" t="s">
        <v>5100</v>
      </c>
      <c r="W38" s="383" t="s">
        <v>47</v>
      </c>
      <c r="X38" s="420" t="s">
        <v>44</v>
      </c>
      <c r="Y38" s="420" t="s">
        <v>44</v>
      </c>
      <c r="Z38" s="420" t="s">
        <v>44</v>
      </c>
      <c r="AA38" s="420" t="s">
        <v>44</v>
      </c>
      <c r="AB38" s="383"/>
    </row>
    <row r="39" spans="1:28" ht="13.8">
      <c r="A39" s="387">
        <v>38</v>
      </c>
      <c r="B39" s="387" t="s">
        <v>10710</v>
      </c>
      <c r="C39" s="387" t="s">
        <v>10710</v>
      </c>
      <c r="D39" s="387" t="s">
        <v>10710</v>
      </c>
      <c r="E39" s="383" t="s">
        <v>8625</v>
      </c>
      <c r="F39" s="383">
        <v>505</v>
      </c>
      <c r="G39" s="383" t="s">
        <v>71</v>
      </c>
      <c r="H39" s="383" t="s">
        <v>5096</v>
      </c>
      <c r="I39" s="383" t="s">
        <v>8353</v>
      </c>
      <c r="J39" s="383" t="s">
        <v>5109</v>
      </c>
      <c r="K39" s="383" t="s">
        <v>8341</v>
      </c>
      <c r="L39" s="383" t="s">
        <v>8341</v>
      </c>
      <c r="M39" s="383" t="s">
        <v>9911</v>
      </c>
      <c r="N39" s="420" t="s">
        <v>44</v>
      </c>
      <c r="O39" s="383" t="str">
        <f>IF(LEN(SUBSTITUTE(Table3937[[#This Row],[PRIMARY CONTACT]]," ",""))=10,SUBSTITUTE(Table3937[[#This Row],[PRIMARY CONTACT]]," ","") &amp; " - Proper","- Follow Up")</f>
        <v>9909281199 - Proper</v>
      </c>
      <c r="P39" s="383" t="s">
        <v>5110</v>
      </c>
      <c r="Q39" s="383">
        <v>9909281199</v>
      </c>
      <c r="R39" s="383" t="str">
        <f>SUBSTITUTE(Table3937[[#This Row],[whatsapp_number]]," ","")</f>
        <v>9909281199</v>
      </c>
      <c r="S39" s="383" t="str">
        <f>IF(Table3937[[#This Row],[PRIMARY CONTACT]]=Table3937[[#This Row],[WHATSAPP CONTACT]],"Same Contact","Different Contact")</f>
        <v>Same Contact</v>
      </c>
      <c r="T39" s="383" t="str">
        <f>IF(LEN(SUBSTITUTE(Table3937[[#This Row],[PRIMARY CONTACT]]," ",""))=10,SUBSTITUTE(Table3937[[#This Row],[PRIMARY CONTACT]]," ","") &amp; " - Proper","- Follow Up")</f>
        <v>9909281199 - Proper</v>
      </c>
      <c r="U39" s="383" t="s">
        <v>8341</v>
      </c>
      <c r="V39" s="393" t="s">
        <v>5100</v>
      </c>
      <c r="W39" s="383" t="s">
        <v>47</v>
      </c>
      <c r="X39" s="420" t="s">
        <v>44</v>
      </c>
      <c r="Y39" s="420" t="s">
        <v>44</v>
      </c>
      <c r="Z39" s="420" t="s">
        <v>44</v>
      </c>
      <c r="AA39" s="420" t="s">
        <v>44</v>
      </c>
      <c r="AB39" s="383"/>
    </row>
    <row r="40" spans="1:28" ht="13.8">
      <c r="A40" s="387">
        <v>39</v>
      </c>
      <c r="B40" s="387" t="s">
        <v>10710</v>
      </c>
      <c r="C40" s="387" t="s">
        <v>10710</v>
      </c>
      <c r="D40" s="387" t="s">
        <v>10710</v>
      </c>
      <c r="E40" s="383" t="s">
        <v>8626</v>
      </c>
      <c r="F40" s="383">
        <v>506</v>
      </c>
      <c r="G40" s="383" t="s">
        <v>71</v>
      </c>
      <c r="H40" s="383" t="s">
        <v>71</v>
      </c>
      <c r="I40" s="383" t="s">
        <v>8354</v>
      </c>
      <c r="J40" s="383" t="s">
        <v>9262</v>
      </c>
      <c r="K40" s="383" t="s">
        <v>8341</v>
      </c>
      <c r="L40" s="383" t="s">
        <v>8341</v>
      </c>
      <c r="M40" s="383" t="s">
        <v>9912</v>
      </c>
      <c r="N40" s="420" t="s">
        <v>44</v>
      </c>
      <c r="O40" s="383" t="str">
        <f>IF(LEN(SUBSTITUTE(Table3937[[#This Row],[PRIMARY CONTACT]]," ",""))=10,SUBSTITUTE(Table3937[[#This Row],[PRIMARY CONTACT]]," ","") &amp; " - Proper","- Follow Up")</f>
        <v>9837080987 - Proper</v>
      </c>
      <c r="P40" s="383" t="s">
        <v>5115</v>
      </c>
      <c r="Q40" s="383">
        <v>9837080987</v>
      </c>
      <c r="R40" s="383" t="str">
        <f>SUBSTITUTE(Table3937[[#This Row],[whatsapp_number]]," ","")</f>
        <v>9837080987</v>
      </c>
      <c r="S40" s="383" t="str">
        <f>IF(Table3937[[#This Row],[PRIMARY CONTACT]]=Table3937[[#This Row],[WHATSAPP CONTACT]],"Same Contact","Different Contact")</f>
        <v>Same Contact</v>
      </c>
      <c r="T40" s="383" t="str">
        <f>IF(LEN(SUBSTITUTE(Table3937[[#This Row],[PRIMARY CONTACT]]," ",""))=10,SUBSTITUTE(Table3937[[#This Row],[PRIMARY CONTACT]]," ","") &amp; " - Proper","- Follow Up")</f>
        <v>9837080987 - Proper</v>
      </c>
      <c r="U40" s="383" t="s">
        <v>8341</v>
      </c>
      <c r="V40" s="383" t="s">
        <v>71</v>
      </c>
      <c r="W40" s="383" t="s">
        <v>47</v>
      </c>
      <c r="X40" s="420" t="s">
        <v>44</v>
      </c>
      <c r="Y40" s="420" t="s">
        <v>44</v>
      </c>
      <c r="Z40" s="420" t="s">
        <v>44</v>
      </c>
      <c r="AA40" s="420" t="s">
        <v>44</v>
      </c>
      <c r="AB40" s="383"/>
    </row>
    <row r="41" spans="1:28" ht="13.8">
      <c r="A41" s="387">
        <v>40</v>
      </c>
      <c r="B41" s="387" t="s">
        <v>10710</v>
      </c>
      <c r="C41" s="387" t="s">
        <v>10710</v>
      </c>
      <c r="D41" s="387" t="s">
        <v>10710</v>
      </c>
      <c r="E41" s="383" t="s">
        <v>8627</v>
      </c>
      <c r="F41" s="383">
        <v>507</v>
      </c>
      <c r="G41" s="383" t="s">
        <v>71</v>
      </c>
      <c r="H41" s="383" t="s">
        <v>71</v>
      </c>
      <c r="I41" s="383" t="s">
        <v>8355</v>
      </c>
      <c r="J41" s="383" t="s">
        <v>9263</v>
      </c>
      <c r="K41" s="383" t="s">
        <v>8341</v>
      </c>
      <c r="L41" s="383" t="s">
        <v>8341</v>
      </c>
      <c r="M41" s="383" t="s">
        <v>9913</v>
      </c>
      <c r="N41" s="420" t="s">
        <v>44</v>
      </c>
      <c r="O41" s="383" t="str">
        <f>IF(LEN(SUBSTITUTE(Table3937[[#This Row],[PRIMARY CONTACT]]," ",""))=10,SUBSTITUTE(Table3937[[#This Row],[PRIMARY CONTACT]]," ","") &amp; " - Proper","- Follow Up")</f>
        <v>9810033158 - Proper</v>
      </c>
      <c r="P41" s="383" t="s">
        <v>5120</v>
      </c>
      <c r="Q41" s="383">
        <v>9810033158</v>
      </c>
      <c r="R41" s="383" t="str">
        <f>SUBSTITUTE(Table3937[[#This Row],[whatsapp_number]]," ","")</f>
        <v>9810033158</v>
      </c>
      <c r="S41" s="383" t="str">
        <f>IF(Table3937[[#This Row],[PRIMARY CONTACT]]=Table3937[[#This Row],[WHATSAPP CONTACT]],"Same Contact","Different Contact")</f>
        <v>Same Contact</v>
      </c>
      <c r="T41" s="383" t="str">
        <f>IF(LEN(SUBSTITUTE(Table3937[[#This Row],[PRIMARY CONTACT]]," ",""))=10,SUBSTITUTE(Table3937[[#This Row],[PRIMARY CONTACT]]," ","") &amp; " - Proper","- Follow Up")</f>
        <v>9810033158 - Proper</v>
      </c>
      <c r="U41" s="383" t="s">
        <v>8341</v>
      </c>
      <c r="V41" s="393" t="s">
        <v>5121</v>
      </c>
      <c r="W41" s="383" t="s">
        <v>47</v>
      </c>
      <c r="X41" s="420" t="s">
        <v>44</v>
      </c>
      <c r="Y41" s="420" t="s">
        <v>44</v>
      </c>
      <c r="Z41" s="420" t="s">
        <v>44</v>
      </c>
      <c r="AA41" s="420" t="s">
        <v>44</v>
      </c>
      <c r="AB41" s="383"/>
    </row>
    <row r="42" spans="1:28" ht="13.8">
      <c r="A42" s="387">
        <v>41</v>
      </c>
      <c r="B42" s="387" t="s">
        <v>10710</v>
      </c>
      <c r="C42" s="387" t="s">
        <v>10710</v>
      </c>
      <c r="D42" s="387" t="s">
        <v>10710</v>
      </c>
      <c r="E42" s="383" t="s">
        <v>8628</v>
      </c>
      <c r="F42" s="383">
        <v>508</v>
      </c>
      <c r="G42" s="383" t="s">
        <v>71</v>
      </c>
      <c r="H42" s="383" t="s">
        <v>5124</v>
      </c>
      <c r="I42" s="383" t="s">
        <v>8356</v>
      </c>
      <c r="J42" s="383" t="s">
        <v>9264</v>
      </c>
      <c r="K42" s="383" t="s">
        <v>8341</v>
      </c>
      <c r="L42" s="383" t="s">
        <v>8341</v>
      </c>
      <c r="M42" s="383" t="s">
        <v>9914</v>
      </c>
      <c r="N42" s="420" t="s">
        <v>44</v>
      </c>
      <c r="O42" s="383" t="str">
        <f>IF(LEN(SUBSTITUTE(Table3937[[#This Row],[PRIMARY CONTACT]]," ",""))=10,SUBSTITUTE(Table3937[[#This Row],[PRIMARY CONTACT]]," ","") &amp; " - Proper","- Follow Up")</f>
        <v>9460544444 - Proper</v>
      </c>
      <c r="P42" s="383" t="s">
        <v>5127</v>
      </c>
      <c r="Q42" s="383">
        <v>9460544444</v>
      </c>
      <c r="R42" s="383" t="str">
        <f>SUBSTITUTE(Table3937[[#This Row],[whatsapp_number]]," ","")</f>
        <v>9460544444</v>
      </c>
      <c r="S42" s="383" t="str">
        <f>IF(Table3937[[#This Row],[PRIMARY CONTACT]]=Table3937[[#This Row],[WHATSAPP CONTACT]],"Same Contact","Different Contact")</f>
        <v>Same Contact</v>
      </c>
      <c r="T42" s="383" t="str">
        <f>IF(LEN(SUBSTITUTE(Table3937[[#This Row],[PRIMARY CONTACT]]," ",""))=10,SUBSTITUTE(Table3937[[#This Row],[PRIMARY CONTACT]]," ","") &amp; " - Proper","- Follow Up")</f>
        <v>9460544444 - Proper</v>
      </c>
      <c r="U42" s="383" t="s">
        <v>8341</v>
      </c>
      <c r="V42" s="393" t="s">
        <v>5128</v>
      </c>
      <c r="W42" s="383" t="s">
        <v>47</v>
      </c>
      <c r="X42" s="420" t="s">
        <v>44</v>
      </c>
      <c r="Y42" s="420" t="s">
        <v>44</v>
      </c>
      <c r="Z42" s="420" t="s">
        <v>44</v>
      </c>
      <c r="AA42" s="420" t="s">
        <v>44</v>
      </c>
      <c r="AB42" s="383"/>
    </row>
    <row r="43" spans="1:28" ht="13.8">
      <c r="A43" s="387">
        <v>42</v>
      </c>
      <c r="B43" s="387" t="s">
        <v>10710</v>
      </c>
      <c r="C43" s="387" t="s">
        <v>10710</v>
      </c>
      <c r="D43" s="387" t="s">
        <v>10710</v>
      </c>
      <c r="E43" s="383" t="s">
        <v>8629</v>
      </c>
      <c r="F43" s="383">
        <v>509</v>
      </c>
      <c r="G43" s="383" t="s">
        <v>71</v>
      </c>
      <c r="H43" s="383" t="s">
        <v>5124</v>
      </c>
      <c r="I43" s="383" t="s">
        <v>8356</v>
      </c>
      <c r="J43" s="383" t="s">
        <v>9265</v>
      </c>
      <c r="K43" s="383" t="s">
        <v>8341</v>
      </c>
      <c r="L43" s="383" t="s">
        <v>8341</v>
      </c>
      <c r="M43" s="383" t="s">
        <v>9915</v>
      </c>
      <c r="N43" s="420" t="s">
        <v>44</v>
      </c>
      <c r="O43" s="383" t="str">
        <f>IF(LEN(SUBSTITUTE(Table3937[[#This Row],[PRIMARY CONTACT]]," ",""))=10,SUBSTITUTE(Table3937[[#This Row],[PRIMARY CONTACT]]," ","") &amp; " - Proper","- Follow Up")</f>
        <v>9414095266 - Proper</v>
      </c>
      <c r="P43" s="383" t="s">
        <v>5132</v>
      </c>
      <c r="Q43" s="383">
        <v>9414095266</v>
      </c>
      <c r="R43" s="383" t="str">
        <f>SUBSTITUTE(Table3937[[#This Row],[whatsapp_number]]," ","")</f>
        <v>9414095266</v>
      </c>
      <c r="S43" s="383" t="str">
        <f>IF(Table3937[[#This Row],[PRIMARY CONTACT]]=Table3937[[#This Row],[WHATSAPP CONTACT]],"Same Contact","Different Contact")</f>
        <v>Same Contact</v>
      </c>
      <c r="T43" s="383" t="str">
        <f>IF(LEN(SUBSTITUTE(Table3937[[#This Row],[PRIMARY CONTACT]]," ",""))=10,SUBSTITUTE(Table3937[[#This Row],[PRIMARY CONTACT]]," ","") &amp; " - Proper","- Follow Up")</f>
        <v>9414095266 - Proper</v>
      </c>
      <c r="U43" s="383" t="s">
        <v>8341</v>
      </c>
      <c r="V43" s="393" t="s">
        <v>5128</v>
      </c>
      <c r="W43" s="383" t="s">
        <v>47</v>
      </c>
      <c r="X43" s="420" t="s">
        <v>44</v>
      </c>
      <c r="Y43" s="420" t="s">
        <v>44</v>
      </c>
      <c r="Z43" s="420" t="s">
        <v>44</v>
      </c>
      <c r="AA43" s="420" t="s">
        <v>44</v>
      </c>
      <c r="AB43" s="383"/>
    </row>
    <row r="44" spans="1:28" ht="13.8">
      <c r="A44" s="387">
        <v>43</v>
      </c>
      <c r="B44" s="387" t="s">
        <v>10710</v>
      </c>
      <c r="C44" s="387" t="s">
        <v>10710</v>
      </c>
      <c r="D44" s="387" t="s">
        <v>10710</v>
      </c>
      <c r="E44" s="383" t="s">
        <v>8630</v>
      </c>
      <c r="F44" s="383">
        <v>510</v>
      </c>
      <c r="G44" s="383" t="s">
        <v>71</v>
      </c>
      <c r="H44" s="383" t="s">
        <v>5135</v>
      </c>
      <c r="I44" s="383" t="s">
        <v>8357</v>
      </c>
      <c r="J44" s="383" t="s">
        <v>9266</v>
      </c>
      <c r="K44" s="383" t="s">
        <v>78</v>
      </c>
      <c r="L44" s="383" t="s">
        <v>8341</v>
      </c>
      <c r="M44" s="383" t="s">
        <v>9916</v>
      </c>
      <c r="N44" s="420" t="s">
        <v>44</v>
      </c>
      <c r="O44" s="383" t="str">
        <f>IF(LEN(SUBSTITUTE(Table3937[[#This Row],[PRIMARY CONTACT]]," ",""))=10,SUBSTITUTE(Table3937[[#This Row],[PRIMARY CONTACT]]," ","") &amp; " - Proper","- Follow Up")</f>
        <v>9789755333 - Proper</v>
      </c>
      <c r="P44" s="383" t="s">
        <v>5139</v>
      </c>
      <c r="Q44" s="383">
        <v>9789755333</v>
      </c>
      <c r="R44" s="383" t="str">
        <f>SUBSTITUTE(Table3937[[#This Row],[whatsapp_number]]," ","")</f>
        <v>9789755333</v>
      </c>
      <c r="S44" s="383" t="str">
        <f>IF(Table3937[[#This Row],[PRIMARY CONTACT]]=Table3937[[#This Row],[WHATSAPP CONTACT]],"Same Contact","Different Contact")</f>
        <v>Same Contact</v>
      </c>
      <c r="T44" s="383" t="str">
        <f>IF(LEN(SUBSTITUTE(Table3937[[#This Row],[PRIMARY CONTACT]]," ",""))=10,SUBSTITUTE(Table3937[[#This Row],[PRIMARY CONTACT]]," ","") &amp; " - Proper","- Follow Up")</f>
        <v>9789755333 - Proper</v>
      </c>
      <c r="U44" s="383" t="s">
        <v>8341</v>
      </c>
      <c r="V44" s="393" t="s">
        <v>5140</v>
      </c>
      <c r="W44" s="383" t="s">
        <v>47</v>
      </c>
      <c r="X44" s="420" t="s">
        <v>44</v>
      </c>
      <c r="Y44" s="420" t="s">
        <v>44</v>
      </c>
      <c r="Z44" s="420" t="s">
        <v>44</v>
      </c>
      <c r="AA44" s="420" t="s">
        <v>44</v>
      </c>
      <c r="AB44" s="383"/>
    </row>
    <row r="45" spans="1:28" ht="13.8">
      <c r="A45" s="387">
        <v>44</v>
      </c>
      <c r="B45" s="387" t="s">
        <v>10710</v>
      </c>
      <c r="C45" s="387" t="s">
        <v>10710</v>
      </c>
      <c r="D45" s="387" t="s">
        <v>10710</v>
      </c>
      <c r="E45" s="383" t="s">
        <v>8631</v>
      </c>
      <c r="F45" s="383">
        <v>511</v>
      </c>
      <c r="G45" s="383" t="s">
        <v>71</v>
      </c>
      <c r="H45" s="383" t="s">
        <v>5135</v>
      </c>
      <c r="I45" s="383" t="s">
        <v>8357</v>
      </c>
      <c r="J45" s="383" t="s">
        <v>9267</v>
      </c>
      <c r="K45" s="383" t="s">
        <v>191</v>
      </c>
      <c r="L45" s="383" t="s">
        <v>8341</v>
      </c>
      <c r="M45" s="383" t="s">
        <v>9917</v>
      </c>
      <c r="N45" s="420" t="s">
        <v>44</v>
      </c>
      <c r="O45" s="383" t="str">
        <f>IF(LEN(SUBSTITUTE(Table3937[[#This Row],[PRIMARY CONTACT]]," ",""))=10,SUBSTITUTE(Table3937[[#This Row],[PRIMARY CONTACT]]," ","") &amp; " - Proper","- Follow Up")</f>
        <v>9790001337 - Proper</v>
      </c>
      <c r="P45" s="383" t="s">
        <v>5144</v>
      </c>
      <c r="Q45" s="383">
        <v>9790001337</v>
      </c>
      <c r="R45" s="383" t="str">
        <f>SUBSTITUTE(Table3937[[#This Row],[whatsapp_number]]," ","")</f>
        <v>9790001337</v>
      </c>
      <c r="S45" s="383" t="str">
        <f>IF(Table3937[[#This Row],[PRIMARY CONTACT]]=Table3937[[#This Row],[WHATSAPP CONTACT]],"Same Contact","Different Contact")</f>
        <v>Same Contact</v>
      </c>
      <c r="T45" s="383" t="str">
        <f>IF(LEN(SUBSTITUTE(Table3937[[#This Row],[PRIMARY CONTACT]]," ",""))=10,SUBSTITUTE(Table3937[[#This Row],[PRIMARY CONTACT]]," ","") &amp; " - Proper","- Follow Up")</f>
        <v>9790001337 - Proper</v>
      </c>
      <c r="U45" s="383" t="s">
        <v>8341</v>
      </c>
      <c r="V45" s="393" t="s">
        <v>5140</v>
      </c>
      <c r="W45" s="383" t="s">
        <v>47</v>
      </c>
      <c r="X45" s="420" t="s">
        <v>44</v>
      </c>
      <c r="Y45" s="420" t="s">
        <v>44</v>
      </c>
      <c r="Z45" s="420" t="s">
        <v>44</v>
      </c>
      <c r="AA45" s="420" t="s">
        <v>44</v>
      </c>
      <c r="AB45" s="383"/>
    </row>
    <row r="46" spans="1:28" ht="13.8">
      <c r="A46" s="387">
        <v>45</v>
      </c>
      <c r="B46" s="387" t="s">
        <v>10710</v>
      </c>
      <c r="C46" s="387" t="s">
        <v>10710</v>
      </c>
      <c r="D46" s="387" t="s">
        <v>10710</v>
      </c>
      <c r="E46" s="383" t="s">
        <v>8632</v>
      </c>
      <c r="F46" s="383">
        <v>512</v>
      </c>
      <c r="G46" s="383" t="s">
        <v>71</v>
      </c>
      <c r="H46" s="383" t="s">
        <v>5135</v>
      </c>
      <c r="I46" s="383" t="s">
        <v>8357</v>
      </c>
      <c r="J46" s="383" t="s">
        <v>9268</v>
      </c>
      <c r="K46" s="383" t="s">
        <v>191</v>
      </c>
      <c r="L46" s="383" t="s">
        <v>8341</v>
      </c>
      <c r="M46" s="383" t="s">
        <v>9918</v>
      </c>
      <c r="N46" s="420" t="s">
        <v>44</v>
      </c>
      <c r="O46" s="383" t="str">
        <f>IF(LEN(SUBSTITUTE(Table3937[[#This Row],[PRIMARY CONTACT]]," ",""))=10,SUBSTITUTE(Table3937[[#This Row],[PRIMARY CONTACT]]," ","") &amp; " - Proper","- Follow Up")</f>
        <v>9994235533 - Proper</v>
      </c>
      <c r="P46" s="383" t="s">
        <v>5147</v>
      </c>
      <c r="Q46" s="383">
        <v>9994235533</v>
      </c>
      <c r="R46" s="383" t="str">
        <f>SUBSTITUTE(Table3937[[#This Row],[whatsapp_number]]," ","")</f>
        <v>9994235533</v>
      </c>
      <c r="S46" s="383" t="str">
        <f>IF(Table3937[[#This Row],[PRIMARY CONTACT]]=Table3937[[#This Row],[WHATSAPP CONTACT]],"Same Contact","Different Contact")</f>
        <v>Same Contact</v>
      </c>
      <c r="T46" s="383" t="str">
        <f>IF(LEN(SUBSTITUTE(Table3937[[#This Row],[PRIMARY CONTACT]]," ",""))=10,SUBSTITUTE(Table3937[[#This Row],[PRIMARY CONTACT]]," ","") &amp; " - Proper","- Follow Up")</f>
        <v>9994235533 - Proper</v>
      </c>
      <c r="U46" s="383" t="s">
        <v>8341</v>
      </c>
      <c r="V46" s="393" t="s">
        <v>5140</v>
      </c>
      <c r="W46" s="383" t="s">
        <v>47</v>
      </c>
      <c r="X46" s="420" t="s">
        <v>44</v>
      </c>
      <c r="Y46" s="420" t="s">
        <v>44</v>
      </c>
      <c r="Z46" s="420" t="s">
        <v>44</v>
      </c>
      <c r="AA46" s="420" t="s">
        <v>44</v>
      </c>
      <c r="AB46" s="383"/>
    </row>
    <row r="47" spans="1:28" ht="13.8">
      <c r="A47" s="387">
        <v>46</v>
      </c>
      <c r="B47" s="387" t="s">
        <v>10710</v>
      </c>
      <c r="C47" s="387" t="s">
        <v>10710</v>
      </c>
      <c r="D47" s="387" t="s">
        <v>10710</v>
      </c>
      <c r="E47" s="383" t="s">
        <v>8633</v>
      </c>
      <c r="F47" s="383">
        <v>513</v>
      </c>
      <c r="G47" s="383" t="s">
        <v>71</v>
      </c>
      <c r="H47" s="383" t="s">
        <v>5149</v>
      </c>
      <c r="I47" s="383" t="s">
        <v>8358</v>
      </c>
      <c r="J47" s="383" t="s">
        <v>9269</v>
      </c>
      <c r="K47" s="383" t="s">
        <v>8341</v>
      </c>
      <c r="L47" s="383" t="s">
        <v>8341</v>
      </c>
      <c r="M47" s="383" t="s">
        <v>9919</v>
      </c>
      <c r="N47" s="420" t="s">
        <v>44</v>
      </c>
      <c r="O47" s="383" t="str">
        <f>IF(LEN(SUBSTITUTE(Table3937[[#This Row],[PRIMARY CONTACT]]," ",""))=10,SUBSTITUTE(Table3937[[#This Row],[PRIMARY CONTACT]]," ","") &amp; " - Proper","- Follow Up")</f>
        <v>9845268916 - Proper</v>
      </c>
      <c r="P47" s="383" t="s">
        <v>5152</v>
      </c>
      <c r="Q47" s="383">
        <v>9845268916</v>
      </c>
      <c r="R47" s="383" t="str">
        <f>SUBSTITUTE(Table3937[[#This Row],[whatsapp_number]]," ","")</f>
        <v>9845268916</v>
      </c>
      <c r="S47" s="383" t="str">
        <f>IF(Table3937[[#This Row],[PRIMARY CONTACT]]=Table3937[[#This Row],[WHATSAPP CONTACT]],"Same Contact","Different Contact")</f>
        <v>Same Contact</v>
      </c>
      <c r="T47" s="383" t="str">
        <f>IF(LEN(SUBSTITUTE(Table3937[[#This Row],[PRIMARY CONTACT]]," ",""))=10,SUBSTITUTE(Table3937[[#This Row],[PRIMARY CONTACT]]," ","") &amp; " - Proper","- Follow Up")</f>
        <v>9845268916 - Proper</v>
      </c>
      <c r="U47" s="383" t="s">
        <v>8341</v>
      </c>
      <c r="V47" s="393" t="s">
        <v>5153</v>
      </c>
      <c r="W47" s="383" t="s">
        <v>47</v>
      </c>
      <c r="X47" s="420" t="s">
        <v>44</v>
      </c>
      <c r="Y47" s="420" t="s">
        <v>44</v>
      </c>
      <c r="Z47" s="420" t="s">
        <v>44</v>
      </c>
      <c r="AA47" s="420" t="s">
        <v>44</v>
      </c>
      <c r="AB47" s="383"/>
    </row>
    <row r="48" spans="1:28" ht="13.8">
      <c r="A48" s="387">
        <v>47</v>
      </c>
      <c r="B48" s="387" t="s">
        <v>10710</v>
      </c>
      <c r="C48" s="387" t="s">
        <v>10710</v>
      </c>
      <c r="D48" s="387" t="s">
        <v>10710</v>
      </c>
      <c r="E48" s="383" t="s">
        <v>8634</v>
      </c>
      <c r="F48" s="383">
        <v>514</v>
      </c>
      <c r="G48" s="383" t="s">
        <v>71</v>
      </c>
      <c r="H48" s="383" t="s">
        <v>5149</v>
      </c>
      <c r="I48" s="383" t="s">
        <v>8358</v>
      </c>
      <c r="J48" s="383" t="s">
        <v>9270</v>
      </c>
      <c r="K48" s="383" t="s">
        <v>8341</v>
      </c>
      <c r="L48" s="383" t="s">
        <v>8341</v>
      </c>
      <c r="M48" s="383" t="s">
        <v>9920</v>
      </c>
      <c r="N48" s="420" t="s">
        <v>44</v>
      </c>
      <c r="O48" s="383" t="str">
        <f>IF(LEN(SUBSTITUTE(Table3937[[#This Row],[PRIMARY CONTACT]]," ",""))=10,SUBSTITUTE(Table3937[[#This Row],[PRIMARY CONTACT]]," ","") &amp; " - Proper","- Follow Up")</f>
        <v>9742290916 - Proper</v>
      </c>
      <c r="P48" s="383" t="s">
        <v>5156</v>
      </c>
      <c r="Q48" s="383">
        <v>9742290916</v>
      </c>
      <c r="R48" s="383" t="str">
        <f>SUBSTITUTE(Table3937[[#This Row],[whatsapp_number]]," ","")</f>
        <v>9742290916</v>
      </c>
      <c r="S48" s="383" t="str">
        <f>IF(Table3937[[#This Row],[PRIMARY CONTACT]]=Table3937[[#This Row],[WHATSAPP CONTACT]],"Same Contact","Different Contact")</f>
        <v>Same Contact</v>
      </c>
      <c r="T48" s="383" t="str">
        <f>IF(LEN(SUBSTITUTE(Table3937[[#This Row],[PRIMARY CONTACT]]," ",""))=10,SUBSTITUTE(Table3937[[#This Row],[PRIMARY CONTACT]]," ","") &amp; " - Proper","- Follow Up")</f>
        <v>9742290916 - Proper</v>
      </c>
      <c r="U48" s="383" t="s">
        <v>8341</v>
      </c>
      <c r="V48" s="393" t="s">
        <v>5153</v>
      </c>
      <c r="W48" s="383" t="s">
        <v>47</v>
      </c>
      <c r="X48" s="420" t="s">
        <v>44</v>
      </c>
      <c r="Y48" s="420" t="s">
        <v>44</v>
      </c>
      <c r="Z48" s="420" t="s">
        <v>44</v>
      </c>
      <c r="AA48" s="420" t="s">
        <v>44</v>
      </c>
      <c r="AB48" s="383"/>
    </row>
    <row r="49" spans="1:28" ht="13.8">
      <c r="A49" s="387">
        <v>48</v>
      </c>
      <c r="B49" s="387" t="s">
        <v>10710</v>
      </c>
      <c r="C49" s="387" t="s">
        <v>10710</v>
      </c>
      <c r="D49" s="387" t="s">
        <v>10710</v>
      </c>
      <c r="E49" s="383" t="s">
        <v>8635</v>
      </c>
      <c r="F49" s="383">
        <v>515</v>
      </c>
      <c r="G49" s="383" t="s">
        <v>71</v>
      </c>
      <c r="H49" s="383" t="s">
        <v>71</v>
      </c>
      <c r="I49" s="383" t="s">
        <v>8359</v>
      </c>
      <c r="J49" s="383" t="s">
        <v>9271</v>
      </c>
      <c r="K49" s="383" t="s">
        <v>8341</v>
      </c>
      <c r="L49" s="383" t="s">
        <v>8341</v>
      </c>
      <c r="M49" s="383" t="s">
        <v>9921</v>
      </c>
      <c r="N49" s="420" t="s">
        <v>44</v>
      </c>
      <c r="O49" s="383" t="str">
        <f>IF(LEN(SUBSTITUTE(Table3937[[#This Row],[PRIMARY CONTACT]]," ",""))=10,SUBSTITUTE(Table3937[[#This Row],[PRIMARY CONTACT]]," ","") &amp; " - Proper","- Follow Up")</f>
        <v>9837009555 - Proper</v>
      </c>
      <c r="P49" s="383" t="s">
        <v>5161</v>
      </c>
      <c r="Q49" s="383">
        <v>9837009555</v>
      </c>
      <c r="R49" s="383" t="str">
        <f>SUBSTITUTE(Table3937[[#This Row],[whatsapp_number]]," ","")</f>
        <v>9837009555</v>
      </c>
      <c r="S49" s="383" t="str">
        <f>IF(Table3937[[#This Row],[PRIMARY CONTACT]]=Table3937[[#This Row],[WHATSAPP CONTACT]],"Same Contact","Different Contact")</f>
        <v>Same Contact</v>
      </c>
      <c r="T49" s="383" t="str">
        <f>IF(LEN(SUBSTITUTE(Table3937[[#This Row],[PRIMARY CONTACT]]," ",""))=10,SUBSTITUTE(Table3937[[#This Row],[PRIMARY CONTACT]]," ","") &amp; " - Proper","- Follow Up")</f>
        <v>9837009555 - Proper</v>
      </c>
      <c r="U49" s="383" t="s">
        <v>8341</v>
      </c>
      <c r="V49" s="383" t="s">
        <v>71</v>
      </c>
      <c r="W49" s="383" t="s">
        <v>47</v>
      </c>
      <c r="X49" s="420" t="s">
        <v>44</v>
      </c>
      <c r="Y49" s="420" t="s">
        <v>44</v>
      </c>
      <c r="Z49" s="420" t="s">
        <v>44</v>
      </c>
      <c r="AA49" s="420" t="s">
        <v>44</v>
      </c>
      <c r="AB49" s="383"/>
    </row>
    <row r="50" spans="1:28" ht="13.8">
      <c r="A50" s="387">
        <v>49</v>
      </c>
      <c r="B50" s="387" t="s">
        <v>10710</v>
      </c>
      <c r="C50" s="387" t="s">
        <v>10710</v>
      </c>
      <c r="D50" s="387" t="s">
        <v>10710</v>
      </c>
      <c r="E50" s="383" t="s">
        <v>8636</v>
      </c>
      <c r="F50" s="383">
        <v>516</v>
      </c>
      <c r="G50" s="383" t="s">
        <v>71</v>
      </c>
      <c r="H50" s="383" t="s">
        <v>5164</v>
      </c>
      <c r="I50" s="383" t="s">
        <v>8360</v>
      </c>
      <c r="J50" s="383" t="s">
        <v>9272</v>
      </c>
      <c r="K50" s="383" t="s">
        <v>8341</v>
      </c>
      <c r="L50" s="383" t="s">
        <v>8341</v>
      </c>
      <c r="M50" s="383" t="s">
        <v>9922</v>
      </c>
      <c r="N50" s="420" t="s">
        <v>44</v>
      </c>
      <c r="O50" s="383" t="str">
        <f>IF(LEN(SUBSTITUTE(Table3937[[#This Row],[PRIMARY CONTACT]]," ",""))=10,SUBSTITUTE(Table3937[[#This Row],[PRIMARY CONTACT]]," ","") &amp; " - Proper","- Follow Up")</f>
        <v>9993077760 - Proper</v>
      </c>
      <c r="P50" s="383" t="s">
        <v>5167</v>
      </c>
      <c r="Q50" s="383">
        <v>9993077760</v>
      </c>
      <c r="R50" s="383" t="str">
        <f>SUBSTITUTE(Table3937[[#This Row],[whatsapp_number]]," ","")</f>
        <v>9993077760</v>
      </c>
      <c r="S50" s="383" t="str">
        <f>IF(Table3937[[#This Row],[PRIMARY CONTACT]]=Table3937[[#This Row],[WHATSAPP CONTACT]],"Same Contact","Different Contact")</f>
        <v>Same Contact</v>
      </c>
      <c r="T50" s="383" t="str">
        <f>IF(LEN(SUBSTITUTE(Table3937[[#This Row],[PRIMARY CONTACT]]," ",""))=10,SUBSTITUTE(Table3937[[#This Row],[PRIMARY CONTACT]]," ","") &amp; " - Proper","- Follow Up")</f>
        <v>9993077760 - Proper</v>
      </c>
      <c r="U50" s="383" t="s">
        <v>8341</v>
      </c>
      <c r="V50" s="393" t="s">
        <v>5168</v>
      </c>
      <c r="W50" s="383" t="s">
        <v>47</v>
      </c>
      <c r="X50" s="420" t="s">
        <v>44</v>
      </c>
      <c r="Y50" s="420" t="s">
        <v>44</v>
      </c>
      <c r="Z50" s="420" t="s">
        <v>44</v>
      </c>
      <c r="AA50" s="420" t="s">
        <v>44</v>
      </c>
      <c r="AB50" s="383"/>
    </row>
    <row r="51" spans="1:28" ht="13.8">
      <c r="A51" s="387">
        <v>50</v>
      </c>
      <c r="B51" s="387" t="s">
        <v>10710</v>
      </c>
      <c r="C51" s="387" t="s">
        <v>10710</v>
      </c>
      <c r="D51" s="387" t="s">
        <v>10710</v>
      </c>
      <c r="E51" s="383" t="s">
        <v>8637</v>
      </c>
      <c r="F51" s="383">
        <v>517</v>
      </c>
      <c r="G51" s="383" t="s">
        <v>71</v>
      </c>
      <c r="H51" s="383" t="s">
        <v>5164</v>
      </c>
      <c r="I51" s="383" t="s">
        <v>8360</v>
      </c>
      <c r="J51" s="383" t="s">
        <v>9273</v>
      </c>
      <c r="K51" s="383" t="s">
        <v>8341</v>
      </c>
      <c r="L51" s="383" t="s">
        <v>8341</v>
      </c>
      <c r="M51" s="383" t="s">
        <v>9923</v>
      </c>
      <c r="N51" s="420" t="s">
        <v>44</v>
      </c>
      <c r="O51" s="383" t="str">
        <f>IF(LEN(SUBSTITUTE(Table3937[[#This Row],[PRIMARY CONTACT]]," ",""))=10,SUBSTITUTE(Table3937[[#This Row],[PRIMARY CONTACT]]," ","") &amp; " - Proper","- Follow Up")</f>
        <v>9893522611 - Proper</v>
      </c>
      <c r="P51" s="383" t="s">
        <v>5172</v>
      </c>
      <c r="Q51" s="383">
        <v>9893522611</v>
      </c>
      <c r="R51" s="383" t="str">
        <f>SUBSTITUTE(Table3937[[#This Row],[whatsapp_number]]," ","")</f>
        <v>9893522611</v>
      </c>
      <c r="S51" s="383" t="str">
        <f>IF(Table3937[[#This Row],[PRIMARY CONTACT]]=Table3937[[#This Row],[WHATSAPP CONTACT]],"Same Contact","Different Contact")</f>
        <v>Same Contact</v>
      </c>
      <c r="T51" s="383" t="str">
        <f>IF(LEN(SUBSTITUTE(Table3937[[#This Row],[PRIMARY CONTACT]]," ",""))=10,SUBSTITUTE(Table3937[[#This Row],[PRIMARY CONTACT]]," ","") &amp; " - Proper","- Follow Up")</f>
        <v>9893522611 - Proper</v>
      </c>
      <c r="U51" s="383" t="s">
        <v>8341</v>
      </c>
      <c r="V51" s="393" t="s">
        <v>5168</v>
      </c>
      <c r="W51" s="383" t="s">
        <v>47</v>
      </c>
      <c r="X51" s="420" t="s">
        <v>44</v>
      </c>
      <c r="Y51" s="420" t="s">
        <v>44</v>
      </c>
      <c r="Z51" s="420" t="s">
        <v>44</v>
      </c>
      <c r="AA51" s="420" t="s">
        <v>44</v>
      </c>
      <c r="AB51" s="383"/>
    </row>
    <row r="52" spans="1:28" ht="13.8">
      <c r="A52" s="387">
        <v>51</v>
      </c>
      <c r="B52" s="387" t="s">
        <v>10710</v>
      </c>
      <c r="C52" s="387" t="s">
        <v>10710</v>
      </c>
      <c r="D52" s="387" t="s">
        <v>10710</v>
      </c>
      <c r="E52" s="383" t="s">
        <v>8638</v>
      </c>
      <c r="F52" s="383">
        <v>518</v>
      </c>
      <c r="G52" s="383" t="s">
        <v>71</v>
      </c>
      <c r="H52" s="383" t="s">
        <v>5164</v>
      </c>
      <c r="I52" s="383" t="s">
        <v>8360</v>
      </c>
      <c r="J52" s="383" t="s">
        <v>9274</v>
      </c>
      <c r="K52" s="383" t="s">
        <v>8341</v>
      </c>
      <c r="L52" s="383" t="s">
        <v>8341</v>
      </c>
      <c r="M52" s="383" t="s">
        <v>9924</v>
      </c>
      <c r="N52" s="420" t="s">
        <v>44</v>
      </c>
      <c r="O52" s="383" t="str">
        <f>IF(LEN(SUBSTITUTE(Table3937[[#This Row],[PRIMARY CONTACT]]," ",""))=10,SUBSTITUTE(Table3937[[#This Row],[PRIMARY CONTACT]]," ","") &amp; " - Proper","- Follow Up")</f>
        <v>9328262681 - Proper</v>
      </c>
      <c r="P52" s="383" t="s">
        <v>5176</v>
      </c>
      <c r="Q52" s="383">
        <v>9328262681</v>
      </c>
      <c r="R52" s="383" t="str">
        <f>SUBSTITUTE(Table3937[[#This Row],[whatsapp_number]]," ","")</f>
        <v>9328262681</v>
      </c>
      <c r="S52" s="383" t="str">
        <f>IF(Table3937[[#This Row],[PRIMARY CONTACT]]=Table3937[[#This Row],[WHATSAPP CONTACT]],"Same Contact","Different Contact")</f>
        <v>Same Contact</v>
      </c>
      <c r="T52" s="383" t="str">
        <f>IF(LEN(SUBSTITUTE(Table3937[[#This Row],[PRIMARY CONTACT]]," ",""))=10,SUBSTITUTE(Table3937[[#This Row],[PRIMARY CONTACT]]," ","") &amp; " - Proper","- Follow Up")</f>
        <v>9328262681 - Proper</v>
      </c>
      <c r="U52" s="383" t="s">
        <v>8341</v>
      </c>
      <c r="V52" s="393" t="s">
        <v>5168</v>
      </c>
      <c r="W52" s="383" t="s">
        <v>47</v>
      </c>
      <c r="X52" s="420" t="s">
        <v>44</v>
      </c>
      <c r="Y52" s="420" t="s">
        <v>44</v>
      </c>
      <c r="Z52" s="420" t="s">
        <v>44</v>
      </c>
      <c r="AA52" s="420" t="s">
        <v>44</v>
      </c>
      <c r="AB52" s="383"/>
    </row>
    <row r="53" spans="1:28" ht="13.8">
      <c r="A53" s="387">
        <v>52</v>
      </c>
      <c r="B53" s="387" t="s">
        <v>10710</v>
      </c>
      <c r="C53" s="387" t="s">
        <v>10710</v>
      </c>
      <c r="D53" s="387" t="s">
        <v>10710</v>
      </c>
      <c r="E53" s="383" t="s">
        <v>8639</v>
      </c>
      <c r="F53" s="383">
        <v>519</v>
      </c>
      <c r="G53" s="383" t="s">
        <v>71</v>
      </c>
      <c r="H53" s="383" t="s">
        <v>5164</v>
      </c>
      <c r="I53" s="383" t="s">
        <v>8360</v>
      </c>
      <c r="J53" s="383" t="s">
        <v>9275</v>
      </c>
      <c r="K53" s="383" t="s">
        <v>8341</v>
      </c>
      <c r="L53" s="383" t="s">
        <v>8341</v>
      </c>
      <c r="M53" s="383" t="s">
        <v>9925</v>
      </c>
      <c r="N53" s="420" t="s">
        <v>44</v>
      </c>
      <c r="O53" s="383" t="str">
        <f>IF(LEN(SUBSTITUTE(Table3937[[#This Row],[PRIMARY CONTACT]]," ",""))=10,SUBSTITUTE(Table3937[[#This Row],[PRIMARY CONTACT]]," ","") &amp; " - Proper","- Follow Up")</f>
        <v>9993839644 - Proper</v>
      </c>
      <c r="P53" s="383" t="s">
        <v>5180</v>
      </c>
      <c r="Q53" s="383">
        <v>9993839644</v>
      </c>
      <c r="R53" s="383" t="str">
        <f>SUBSTITUTE(Table3937[[#This Row],[whatsapp_number]]," ","")</f>
        <v>9993839644</v>
      </c>
      <c r="S53" s="383" t="str">
        <f>IF(Table3937[[#This Row],[PRIMARY CONTACT]]=Table3937[[#This Row],[WHATSAPP CONTACT]],"Same Contact","Different Contact")</f>
        <v>Same Contact</v>
      </c>
      <c r="T53" s="383" t="str">
        <f>IF(LEN(SUBSTITUTE(Table3937[[#This Row],[PRIMARY CONTACT]]," ",""))=10,SUBSTITUTE(Table3937[[#This Row],[PRIMARY CONTACT]]," ","") &amp; " - Proper","- Follow Up")</f>
        <v>9993839644 - Proper</v>
      </c>
      <c r="U53" s="383" t="s">
        <v>8341</v>
      </c>
      <c r="V53" s="393" t="s">
        <v>5168</v>
      </c>
      <c r="W53" s="383" t="s">
        <v>47</v>
      </c>
      <c r="X53" s="420" t="s">
        <v>44</v>
      </c>
      <c r="Y53" s="420" t="s">
        <v>44</v>
      </c>
      <c r="Z53" s="420" t="s">
        <v>44</v>
      </c>
      <c r="AA53" s="420" t="s">
        <v>44</v>
      </c>
      <c r="AB53" s="383"/>
    </row>
    <row r="54" spans="1:28" ht="13.8">
      <c r="A54" s="387">
        <v>53</v>
      </c>
      <c r="B54" s="387" t="s">
        <v>10710</v>
      </c>
      <c r="C54" s="387" t="s">
        <v>10710</v>
      </c>
      <c r="D54" s="387" t="s">
        <v>10710</v>
      </c>
      <c r="E54" s="383" t="s">
        <v>8640</v>
      </c>
      <c r="F54" s="383">
        <v>520</v>
      </c>
      <c r="G54" s="383" t="s">
        <v>71</v>
      </c>
      <c r="H54" s="383" t="s">
        <v>71</v>
      </c>
      <c r="I54" s="383" t="s">
        <v>8361</v>
      </c>
      <c r="J54" s="383" t="s">
        <v>9276</v>
      </c>
      <c r="K54" s="383" t="s">
        <v>8341</v>
      </c>
      <c r="L54" s="383" t="s">
        <v>8341</v>
      </c>
      <c r="M54" s="383" t="s">
        <v>9926</v>
      </c>
      <c r="N54" s="420" t="s">
        <v>44</v>
      </c>
      <c r="O54" s="383" t="str">
        <f>IF(LEN(SUBSTITUTE(Table3937[[#This Row],[PRIMARY CONTACT]]," ",""))=10,SUBSTITUTE(Table3937[[#This Row],[PRIMARY CONTACT]]," ","") &amp; " - Proper","- Follow Up")</f>
        <v>9844142313 - Proper</v>
      </c>
      <c r="P54" s="383" t="s">
        <v>5185</v>
      </c>
      <c r="Q54" s="383">
        <v>9844142313</v>
      </c>
      <c r="R54" s="383" t="str">
        <f>SUBSTITUTE(Table3937[[#This Row],[whatsapp_number]]," ","")</f>
        <v>9844142313</v>
      </c>
      <c r="S54" s="383" t="str">
        <f>IF(Table3937[[#This Row],[PRIMARY CONTACT]]=Table3937[[#This Row],[WHATSAPP CONTACT]],"Same Contact","Different Contact")</f>
        <v>Same Contact</v>
      </c>
      <c r="T54" s="383" t="str">
        <f>IF(LEN(SUBSTITUTE(Table3937[[#This Row],[PRIMARY CONTACT]]," ",""))=10,SUBSTITUTE(Table3937[[#This Row],[PRIMARY CONTACT]]," ","") &amp; " - Proper","- Follow Up")</f>
        <v>9844142313 - Proper</v>
      </c>
      <c r="U54" s="383" t="s">
        <v>8341</v>
      </c>
      <c r="V54" s="383" t="s">
        <v>71</v>
      </c>
      <c r="W54" s="383" t="s">
        <v>47</v>
      </c>
      <c r="X54" s="420" t="s">
        <v>44</v>
      </c>
      <c r="Y54" s="420" t="s">
        <v>44</v>
      </c>
      <c r="Z54" s="420" t="s">
        <v>44</v>
      </c>
      <c r="AA54" s="420" t="s">
        <v>44</v>
      </c>
      <c r="AB54" s="383"/>
    </row>
    <row r="55" spans="1:28" ht="13.8">
      <c r="A55" s="387">
        <v>54</v>
      </c>
      <c r="B55" s="387" t="s">
        <v>10710</v>
      </c>
      <c r="C55" s="387" t="s">
        <v>10710</v>
      </c>
      <c r="D55" s="387" t="s">
        <v>10710</v>
      </c>
      <c r="E55" s="383" t="s">
        <v>8641</v>
      </c>
      <c r="F55" s="383">
        <v>521</v>
      </c>
      <c r="G55" s="383" t="s">
        <v>71</v>
      </c>
      <c r="H55" s="383" t="s">
        <v>5188</v>
      </c>
      <c r="I55" s="383" t="s">
        <v>8362</v>
      </c>
      <c r="J55" s="383" t="s">
        <v>9277</v>
      </c>
      <c r="K55" s="383" t="s">
        <v>8341</v>
      </c>
      <c r="L55" s="383" t="s">
        <v>8341</v>
      </c>
      <c r="M55" s="383" t="s">
        <v>9927</v>
      </c>
      <c r="N55" s="420" t="s">
        <v>44</v>
      </c>
      <c r="O55" s="383" t="str">
        <f>IF(LEN(SUBSTITUTE(Table3937[[#This Row],[PRIMARY CONTACT]]," ",""))=10,SUBSTITUTE(Table3937[[#This Row],[PRIMARY CONTACT]]," ","") &amp; " - Proper","- Follow Up")</f>
        <v>9799622622 - Proper</v>
      </c>
      <c r="P55" s="383" t="s">
        <v>5191</v>
      </c>
      <c r="Q55" s="383">
        <v>9799622622</v>
      </c>
      <c r="R55" s="383" t="str">
        <f>SUBSTITUTE(Table3937[[#This Row],[whatsapp_number]]," ","")</f>
        <v>9799622622</v>
      </c>
      <c r="S55" s="383" t="str">
        <f>IF(Table3937[[#This Row],[PRIMARY CONTACT]]=Table3937[[#This Row],[WHATSAPP CONTACT]],"Same Contact","Different Contact")</f>
        <v>Same Contact</v>
      </c>
      <c r="T55" s="383" t="str">
        <f>IF(LEN(SUBSTITUTE(Table3937[[#This Row],[PRIMARY CONTACT]]," ",""))=10,SUBSTITUTE(Table3937[[#This Row],[PRIMARY CONTACT]]," ","") &amp; " - Proper","- Follow Up")</f>
        <v>9799622622 - Proper</v>
      </c>
      <c r="U55" s="383" t="s">
        <v>8341</v>
      </c>
      <c r="V55" s="393" t="s">
        <v>5192</v>
      </c>
      <c r="W55" s="383" t="s">
        <v>47</v>
      </c>
      <c r="X55" s="420" t="s">
        <v>44</v>
      </c>
      <c r="Y55" s="420" t="s">
        <v>44</v>
      </c>
      <c r="Z55" s="420" t="s">
        <v>44</v>
      </c>
      <c r="AA55" s="420" t="s">
        <v>44</v>
      </c>
      <c r="AB55" s="383"/>
    </row>
    <row r="56" spans="1:28" ht="13.8">
      <c r="A56" s="387">
        <v>55</v>
      </c>
      <c r="B56" s="387" t="s">
        <v>10710</v>
      </c>
      <c r="C56" s="387" t="s">
        <v>10710</v>
      </c>
      <c r="D56" s="387" t="s">
        <v>10710</v>
      </c>
      <c r="E56" s="383" t="s">
        <v>8642</v>
      </c>
      <c r="F56" s="383">
        <v>522</v>
      </c>
      <c r="G56" s="383" t="s">
        <v>71</v>
      </c>
      <c r="H56" s="383" t="s">
        <v>5195</v>
      </c>
      <c r="I56" s="383" t="s">
        <v>8362</v>
      </c>
      <c r="J56" s="383" t="s">
        <v>9278</v>
      </c>
      <c r="K56" s="383" t="s">
        <v>8341</v>
      </c>
      <c r="L56" s="383" t="s">
        <v>8341</v>
      </c>
      <c r="M56" s="383" t="s">
        <v>9928</v>
      </c>
      <c r="N56" s="420" t="s">
        <v>44</v>
      </c>
      <c r="O56" s="383" t="str">
        <f>IF(LEN(SUBSTITUTE(Table3937[[#This Row],[PRIMARY CONTACT]]," ",""))=10,SUBSTITUTE(Table3937[[#This Row],[PRIMARY CONTACT]]," ","") &amp; " - Proper","- Follow Up")</f>
        <v>8952020201 - Proper</v>
      </c>
      <c r="P56" s="383" t="s">
        <v>5197</v>
      </c>
      <c r="Q56" s="383">
        <v>8952020201</v>
      </c>
      <c r="R56" s="383" t="str">
        <f>SUBSTITUTE(Table3937[[#This Row],[whatsapp_number]]," ","")</f>
        <v>8952020201</v>
      </c>
      <c r="S56" s="383" t="str">
        <f>IF(Table3937[[#This Row],[PRIMARY CONTACT]]=Table3937[[#This Row],[WHATSAPP CONTACT]],"Same Contact","Different Contact")</f>
        <v>Same Contact</v>
      </c>
      <c r="T56" s="383" t="str">
        <f>IF(LEN(SUBSTITUTE(Table3937[[#This Row],[PRIMARY CONTACT]]," ",""))=10,SUBSTITUTE(Table3937[[#This Row],[PRIMARY CONTACT]]," ","") &amp; " - Proper","- Follow Up")</f>
        <v>8952020201 - Proper</v>
      </c>
      <c r="U56" s="383" t="s">
        <v>8341</v>
      </c>
      <c r="V56" s="393" t="s">
        <v>5192</v>
      </c>
      <c r="W56" s="383" t="s">
        <v>47</v>
      </c>
      <c r="X56" s="420" t="s">
        <v>44</v>
      </c>
      <c r="Y56" s="420" t="s">
        <v>44</v>
      </c>
      <c r="Z56" s="420" t="s">
        <v>44</v>
      </c>
      <c r="AA56" s="420" t="s">
        <v>44</v>
      </c>
      <c r="AB56" s="383"/>
    </row>
    <row r="57" spans="1:28" ht="13.8">
      <c r="A57" s="387">
        <v>56</v>
      </c>
      <c r="B57" s="387" t="s">
        <v>10710</v>
      </c>
      <c r="C57" s="387" t="s">
        <v>10710</v>
      </c>
      <c r="D57" s="387" t="s">
        <v>10710</v>
      </c>
      <c r="E57" s="383" t="s">
        <v>8643</v>
      </c>
      <c r="F57" s="383">
        <v>523</v>
      </c>
      <c r="G57" s="383" t="s">
        <v>71</v>
      </c>
      <c r="H57" s="383" t="s">
        <v>71</v>
      </c>
      <c r="I57" s="383" t="s">
        <v>8363</v>
      </c>
      <c r="J57" s="383" t="s">
        <v>9279</v>
      </c>
      <c r="K57" s="383" t="s">
        <v>8341</v>
      </c>
      <c r="L57" s="383" t="s">
        <v>8341</v>
      </c>
      <c r="M57" s="383" t="s">
        <v>9929</v>
      </c>
      <c r="N57" s="420" t="s">
        <v>44</v>
      </c>
      <c r="O57" s="383" t="str">
        <f>IF(LEN(SUBSTITUTE(Table3937[[#This Row],[PRIMARY CONTACT]]," ",""))=10,SUBSTITUTE(Table3937[[#This Row],[PRIMARY CONTACT]]," ","") &amp; " - Proper","- Follow Up")</f>
        <v>9713276000 - Proper</v>
      </c>
      <c r="P57" s="383" t="s">
        <v>5202</v>
      </c>
      <c r="Q57" s="383">
        <v>9713276000</v>
      </c>
      <c r="R57" s="383" t="str">
        <f>SUBSTITUTE(Table3937[[#This Row],[whatsapp_number]]," ","")</f>
        <v>9713276000</v>
      </c>
      <c r="S57" s="383" t="str">
        <f>IF(Table3937[[#This Row],[PRIMARY CONTACT]]=Table3937[[#This Row],[WHATSAPP CONTACT]],"Same Contact","Different Contact")</f>
        <v>Same Contact</v>
      </c>
      <c r="T57" s="383" t="str">
        <f>IF(LEN(SUBSTITUTE(Table3937[[#This Row],[PRIMARY CONTACT]]," ",""))=10,SUBSTITUTE(Table3937[[#This Row],[PRIMARY CONTACT]]," ","") &amp; " - Proper","- Follow Up")</f>
        <v>9713276000 - Proper</v>
      </c>
      <c r="U57" s="383" t="s">
        <v>8341</v>
      </c>
      <c r="V57" s="383" t="s">
        <v>71</v>
      </c>
      <c r="W57" s="383" t="s">
        <v>47</v>
      </c>
      <c r="X57" s="420" t="s">
        <v>44</v>
      </c>
      <c r="Y57" s="420" t="s">
        <v>44</v>
      </c>
      <c r="Z57" s="420" t="s">
        <v>44</v>
      </c>
      <c r="AA57" s="420" t="s">
        <v>44</v>
      </c>
      <c r="AB57" s="383"/>
    </row>
    <row r="58" spans="1:28" ht="13.8">
      <c r="A58" s="387">
        <v>57</v>
      </c>
      <c r="B58" s="387" t="s">
        <v>10710</v>
      </c>
      <c r="C58" s="387" t="s">
        <v>10710</v>
      </c>
      <c r="D58" s="387" t="s">
        <v>10710</v>
      </c>
      <c r="E58" s="383" t="s">
        <v>8644</v>
      </c>
      <c r="F58" s="383">
        <v>524</v>
      </c>
      <c r="G58" s="383" t="s">
        <v>71</v>
      </c>
      <c r="H58" s="383" t="s">
        <v>5204</v>
      </c>
      <c r="I58" s="383" t="s">
        <v>8364</v>
      </c>
      <c r="J58" s="383" t="s">
        <v>9280</v>
      </c>
      <c r="K58" s="383" t="s">
        <v>8341</v>
      </c>
      <c r="L58" s="383" t="s">
        <v>8341</v>
      </c>
      <c r="M58" s="383" t="s">
        <v>9930</v>
      </c>
      <c r="N58" s="420" t="s">
        <v>44</v>
      </c>
      <c r="O58" s="383" t="str">
        <f>IF(LEN(SUBSTITUTE(Table3937[[#This Row],[PRIMARY CONTACT]]," ",""))=10,SUBSTITUTE(Table3937[[#This Row],[PRIMARY CONTACT]]," ","") &amp; " - Proper","- Follow Up")</f>
        <v>9820643678 - Proper</v>
      </c>
      <c r="P58" s="383" t="s">
        <v>5207</v>
      </c>
      <c r="Q58" s="383">
        <v>9820643678</v>
      </c>
      <c r="R58" s="383" t="str">
        <f>SUBSTITUTE(Table3937[[#This Row],[whatsapp_number]]," ","")</f>
        <v>9820643678</v>
      </c>
      <c r="S58" s="383" t="str">
        <f>IF(Table3937[[#This Row],[PRIMARY CONTACT]]=Table3937[[#This Row],[WHATSAPP CONTACT]],"Same Contact","Different Contact")</f>
        <v>Same Contact</v>
      </c>
      <c r="T58" s="383" t="str">
        <f>IF(LEN(SUBSTITUTE(Table3937[[#This Row],[PRIMARY CONTACT]]," ",""))=10,SUBSTITUTE(Table3937[[#This Row],[PRIMARY CONTACT]]," ","") &amp; " - Proper","- Follow Up")</f>
        <v>9820643678 - Proper</v>
      </c>
      <c r="U58" s="383" t="s">
        <v>8341</v>
      </c>
      <c r="V58" s="393" t="s">
        <v>5208</v>
      </c>
      <c r="W58" s="383" t="s">
        <v>47</v>
      </c>
      <c r="X58" s="420" t="s">
        <v>44</v>
      </c>
      <c r="Y58" s="420" t="s">
        <v>44</v>
      </c>
      <c r="Z58" s="420" t="s">
        <v>44</v>
      </c>
      <c r="AA58" s="420" t="s">
        <v>44</v>
      </c>
      <c r="AB58" s="383"/>
    </row>
    <row r="59" spans="1:28" ht="13.8">
      <c r="A59" s="387">
        <v>58</v>
      </c>
      <c r="B59" s="387" t="s">
        <v>10710</v>
      </c>
      <c r="C59" s="387" t="s">
        <v>10710</v>
      </c>
      <c r="D59" s="387" t="s">
        <v>10710</v>
      </c>
      <c r="E59" s="383" t="s">
        <v>8645</v>
      </c>
      <c r="F59" s="383">
        <v>525</v>
      </c>
      <c r="G59" s="383" t="s">
        <v>71</v>
      </c>
      <c r="H59" s="383" t="s">
        <v>5204</v>
      </c>
      <c r="I59" s="383" t="s">
        <v>8364</v>
      </c>
      <c r="J59" s="383" t="s">
        <v>9281</v>
      </c>
      <c r="K59" s="383" t="s">
        <v>8341</v>
      </c>
      <c r="L59" s="383" t="s">
        <v>8341</v>
      </c>
      <c r="M59" s="383" t="s">
        <v>9931</v>
      </c>
      <c r="N59" s="420" t="s">
        <v>44</v>
      </c>
      <c r="O59" s="383" t="str">
        <f>IF(LEN(SUBSTITUTE(Table3937[[#This Row],[PRIMARY CONTACT]]," ",""))=10,SUBSTITUTE(Table3937[[#This Row],[PRIMARY CONTACT]]," ","") &amp; " - Proper","- Follow Up")</f>
        <v>9820503678 - Proper</v>
      </c>
      <c r="P59" s="383" t="s">
        <v>5211</v>
      </c>
      <c r="Q59" s="383">
        <v>9820503678</v>
      </c>
      <c r="R59" s="383" t="str">
        <f>SUBSTITUTE(Table3937[[#This Row],[whatsapp_number]]," ","")</f>
        <v>9820503678</v>
      </c>
      <c r="S59" s="383" t="str">
        <f>IF(Table3937[[#This Row],[PRIMARY CONTACT]]=Table3937[[#This Row],[WHATSAPP CONTACT]],"Same Contact","Different Contact")</f>
        <v>Same Contact</v>
      </c>
      <c r="T59" s="383" t="str">
        <f>IF(LEN(SUBSTITUTE(Table3937[[#This Row],[PRIMARY CONTACT]]," ",""))=10,SUBSTITUTE(Table3937[[#This Row],[PRIMARY CONTACT]]," ","") &amp; " - Proper","- Follow Up")</f>
        <v>9820503678 - Proper</v>
      </c>
      <c r="U59" s="383" t="s">
        <v>8341</v>
      </c>
      <c r="V59" s="393" t="s">
        <v>5208</v>
      </c>
      <c r="W59" s="383" t="s">
        <v>47</v>
      </c>
      <c r="X59" s="420" t="s">
        <v>44</v>
      </c>
      <c r="Y59" s="420" t="s">
        <v>44</v>
      </c>
      <c r="Z59" s="420" t="s">
        <v>44</v>
      </c>
      <c r="AA59" s="420" t="s">
        <v>44</v>
      </c>
      <c r="AB59" s="383"/>
    </row>
    <row r="60" spans="1:28" ht="13.8">
      <c r="A60" s="387">
        <v>59</v>
      </c>
      <c r="B60" s="387" t="s">
        <v>10710</v>
      </c>
      <c r="C60" s="387" t="s">
        <v>10710</v>
      </c>
      <c r="D60" s="387" t="s">
        <v>10710</v>
      </c>
      <c r="E60" s="383" t="s">
        <v>8646</v>
      </c>
      <c r="F60" s="383">
        <v>526</v>
      </c>
      <c r="G60" s="383" t="s">
        <v>71</v>
      </c>
      <c r="H60" s="383" t="s">
        <v>5213</v>
      </c>
      <c r="I60" s="383" t="s">
        <v>8365</v>
      </c>
      <c r="J60" s="383" t="s">
        <v>5215</v>
      </c>
      <c r="K60" s="383" t="s">
        <v>8341</v>
      </c>
      <c r="L60" s="383" t="s">
        <v>8341</v>
      </c>
      <c r="M60" s="383" t="s">
        <v>9932</v>
      </c>
      <c r="N60" s="420" t="s">
        <v>44</v>
      </c>
      <c r="O60" s="383" t="str">
        <f>IF(LEN(SUBSTITUTE(Table3937[[#This Row],[PRIMARY CONTACT]]," ",""))=10,SUBSTITUTE(Table3937[[#This Row],[PRIMARY CONTACT]]," ","") &amp; " - Proper","- Follow Up")</f>
        <v>9748703730 - Proper</v>
      </c>
      <c r="P60" s="383" t="s">
        <v>5216</v>
      </c>
      <c r="Q60" s="383">
        <v>9748703730</v>
      </c>
      <c r="R60" s="383" t="str">
        <f>SUBSTITUTE(Table3937[[#This Row],[whatsapp_number]]," ","")</f>
        <v>9748703730</v>
      </c>
      <c r="S60" s="383" t="str">
        <f>IF(Table3937[[#This Row],[PRIMARY CONTACT]]=Table3937[[#This Row],[WHATSAPP CONTACT]],"Same Contact","Different Contact")</f>
        <v>Same Contact</v>
      </c>
      <c r="T60" s="383" t="str">
        <f>IF(LEN(SUBSTITUTE(Table3937[[#This Row],[PRIMARY CONTACT]]," ",""))=10,SUBSTITUTE(Table3937[[#This Row],[PRIMARY CONTACT]]," ","") &amp; " - Proper","- Follow Up")</f>
        <v>9748703730 - Proper</v>
      </c>
      <c r="U60" s="383" t="s">
        <v>8341</v>
      </c>
      <c r="V60" s="383" t="s">
        <v>71</v>
      </c>
      <c r="W60" s="383" t="s">
        <v>47</v>
      </c>
      <c r="X60" s="420" t="s">
        <v>44</v>
      </c>
      <c r="Y60" s="420" t="s">
        <v>44</v>
      </c>
      <c r="Z60" s="420" t="s">
        <v>44</v>
      </c>
      <c r="AA60" s="420" t="s">
        <v>44</v>
      </c>
      <c r="AB60" s="383"/>
    </row>
    <row r="61" spans="1:28" ht="13.8">
      <c r="A61" s="387">
        <v>60</v>
      </c>
      <c r="B61" s="387" t="s">
        <v>10710</v>
      </c>
      <c r="C61" s="387" t="s">
        <v>10710</v>
      </c>
      <c r="D61" s="387" t="s">
        <v>10710</v>
      </c>
      <c r="E61" s="383" t="s">
        <v>8647</v>
      </c>
      <c r="F61" s="383">
        <v>527</v>
      </c>
      <c r="G61" s="383" t="s">
        <v>71</v>
      </c>
      <c r="H61" s="383" t="s">
        <v>5213</v>
      </c>
      <c r="I61" s="383" t="s">
        <v>8365</v>
      </c>
      <c r="J61" s="383" t="s">
        <v>5218</v>
      </c>
      <c r="K61" s="383" t="s">
        <v>8341</v>
      </c>
      <c r="L61" s="383" t="s">
        <v>8341</v>
      </c>
      <c r="M61" s="383" t="s">
        <v>9933</v>
      </c>
      <c r="N61" s="420" t="s">
        <v>44</v>
      </c>
      <c r="O61" s="383" t="str">
        <f>IF(LEN(SUBSTITUTE(Table3937[[#This Row],[PRIMARY CONTACT]]," ",""))=10,SUBSTITUTE(Table3937[[#This Row],[PRIMARY CONTACT]]," ","") &amp; " - Proper","- Follow Up")</f>
        <v>1711549640 - Proper</v>
      </c>
      <c r="P61" s="383" t="s">
        <v>5219</v>
      </c>
      <c r="Q61" s="383">
        <v>1711549640</v>
      </c>
      <c r="R61" s="383" t="str">
        <f>SUBSTITUTE(Table3937[[#This Row],[whatsapp_number]]," ","")</f>
        <v>1711549640</v>
      </c>
      <c r="S61" s="383" t="str">
        <f>IF(Table3937[[#This Row],[PRIMARY CONTACT]]=Table3937[[#This Row],[WHATSAPP CONTACT]],"Same Contact","Different Contact")</f>
        <v>Same Contact</v>
      </c>
      <c r="T61" s="383" t="str">
        <f>IF(LEN(SUBSTITUTE(Table3937[[#This Row],[PRIMARY CONTACT]]," ",""))=10,SUBSTITUTE(Table3937[[#This Row],[PRIMARY CONTACT]]," ","") &amp; " - Proper","- Follow Up")</f>
        <v>1711549640 - Proper</v>
      </c>
      <c r="U61" s="383" t="s">
        <v>8341</v>
      </c>
      <c r="V61" s="383" t="s">
        <v>71</v>
      </c>
      <c r="W61" s="383" t="s">
        <v>47</v>
      </c>
      <c r="X61" s="420" t="s">
        <v>44</v>
      </c>
      <c r="Y61" s="420" t="s">
        <v>44</v>
      </c>
      <c r="Z61" s="420" t="s">
        <v>44</v>
      </c>
      <c r="AA61" s="420" t="s">
        <v>44</v>
      </c>
      <c r="AB61" s="383"/>
    </row>
    <row r="62" spans="1:28" ht="13.8">
      <c r="A62" s="387">
        <v>61</v>
      </c>
      <c r="B62" s="387" t="s">
        <v>10710</v>
      </c>
      <c r="C62" s="387" t="s">
        <v>10710</v>
      </c>
      <c r="D62" s="387" t="s">
        <v>10710</v>
      </c>
      <c r="E62" s="383" t="s">
        <v>8648</v>
      </c>
      <c r="F62" s="383">
        <v>528</v>
      </c>
      <c r="G62" s="383" t="s">
        <v>71</v>
      </c>
      <c r="H62" s="383" t="s">
        <v>5221</v>
      </c>
      <c r="I62" s="383" t="s">
        <v>8366</v>
      </c>
      <c r="J62" s="383" t="s">
        <v>5223</v>
      </c>
      <c r="K62" s="383" t="s">
        <v>8341</v>
      </c>
      <c r="L62" s="383" t="s">
        <v>8341</v>
      </c>
      <c r="M62" s="383" t="s">
        <v>9934</v>
      </c>
      <c r="N62" s="420" t="s">
        <v>44</v>
      </c>
      <c r="O62" s="383" t="str">
        <f>IF(LEN(SUBSTITUTE(Table3937[[#This Row],[PRIMARY CONTACT]]," ",""))=10,SUBSTITUTE(Table3937[[#This Row],[PRIMARY CONTACT]]," ","") &amp; " - Proper","- Follow Up")</f>
        <v>9810020954 - Proper</v>
      </c>
      <c r="P62" s="383" t="s">
        <v>5224</v>
      </c>
      <c r="Q62" s="383">
        <v>9810020954</v>
      </c>
      <c r="R62" s="383" t="str">
        <f>SUBSTITUTE(Table3937[[#This Row],[whatsapp_number]]," ","")</f>
        <v>9810020954</v>
      </c>
      <c r="S62" s="383" t="str">
        <f>IF(Table3937[[#This Row],[PRIMARY CONTACT]]=Table3937[[#This Row],[WHATSAPP CONTACT]],"Same Contact","Different Contact")</f>
        <v>Same Contact</v>
      </c>
      <c r="T62" s="383" t="str">
        <f>IF(LEN(SUBSTITUTE(Table3937[[#This Row],[PRIMARY CONTACT]]," ",""))=10,SUBSTITUTE(Table3937[[#This Row],[PRIMARY CONTACT]]," ","") &amp; " - Proper","- Follow Up")</f>
        <v>9810020954 - Proper</v>
      </c>
      <c r="U62" s="383" t="s">
        <v>8341</v>
      </c>
      <c r="V62" s="393" t="s">
        <v>5225</v>
      </c>
      <c r="W62" s="383" t="s">
        <v>47</v>
      </c>
      <c r="X62" s="420" t="s">
        <v>44</v>
      </c>
      <c r="Y62" s="420" t="s">
        <v>44</v>
      </c>
      <c r="Z62" s="420" t="s">
        <v>44</v>
      </c>
      <c r="AA62" s="420" t="s">
        <v>44</v>
      </c>
      <c r="AB62" s="383"/>
    </row>
    <row r="63" spans="1:28" ht="13.8">
      <c r="A63" s="387">
        <v>62</v>
      </c>
      <c r="B63" s="387" t="s">
        <v>10710</v>
      </c>
      <c r="C63" s="387" t="s">
        <v>10710</v>
      </c>
      <c r="D63" s="387" t="s">
        <v>10710</v>
      </c>
      <c r="E63" s="383" t="s">
        <v>8649</v>
      </c>
      <c r="F63" s="383">
        <v>529</v>
      </c>
      <c r="G63" s="383" t="s">
        <v>71</v>
      </c>
      <c r="H63" s="383" t="s">
        <v>5221</v>
      </c>
      <c r="I63" s="383" t="s">
        <v>8366</v>
      </c>
      <c r="J63" s="383" t="s">
        <v>5227</v>
      </c>
      <c r="K63" s="383" t="s">
        <v>8341</v>
      </c>
      <c r="L63" s="383" t="s">
        <v>8341</v>
      </c>
      <c r="M63" s="383" t="s">
        <v>9935</v>
      </c>
      <c r="N63" s="420" t="s">
        <v>44</v>
      </c>
      <c r="O63" s="383" t="str">
        <f>IF(LEN(SUBSTITUTE(Table3937[[#This Row],[PRIMARY CONTACT]]," ",""))=10,SUBSTITUTE(Table3937[[#This Row],[PRIMARY CONTACT]]," ","") &amp; " - Proper","- Follow Up")</f>
        <v>9810620954 - Proper</v>
      </c>
      <c r="P63" s="383" t="s">
        <v>5228</v>
      </c>
      <c r="Q63" s="383">
        <v>9810620954</v>
      </c>
      <c r="R63" s="383" t="str">
        <f>SUBSTITUTE(Table3937[[#This Row],[whatsapp_number]]," ","")</f>
        <v>9810620954</v>
      </c>
      <c r="S63" s="383" t="str">
        <f>IF(Table3937[[#This Row],[PRIMARY CONTACT]]=Table3937[[#This Row],[WHATSAPP CONTACT]],"Same Contact","Different Contact")</f>
        <v>Same Contact</v>
      </c>
      <c r="T63" s="383" t="str">
        <f>IF(LEN(SUBSTITUTE(Table3937[[#This Row],[PRIMARY CONTACT]]," ",""))=10,SUBSTITUTE(Table3937[[#This Row],[PRIMARY CONTACT]]," ","") &amp; " - Proper","- Follow Up")</f>
        <v>9810620954 - Proper</v>
      </c>
      <c r="U63" s="383" t="s">
        <v>8341</v>
      </c>
      <c r="V63" s="393" t="s">
        <v>5225</v>
      </c>
      <c r="W63" s="383" t="s">
        <v>47</v>
      </c>
      <c r="X63" s="420" t="s">
        <v>44</v>
      </c>
      <c r="Y63" s="420" t="s">
        <v>44</v>
      </c>
      <c r="Z63" s="420" t="s">
        <v>44</v>
      </c>
      <c r="AA63" s="420" t="s">
        <v>44</v>
      </c>
      <c r="AB63" s="383"/>
    </row>
    <row r="64" spans="1:28" ht="13.8">
      <c r="A64" s="387">
        <v>63</v>
      </c>
      <c r="B64" s="387" t="s">
        <v>10710</v>
      </c>
      <c r="C64" s="387" t="s">
        <v>10710</v>
      </c>
      <c r="D64" s="387" t="s">
        <v>10710</v>
      </c>
      <c r="E64" s="383" t="s">
        <v>8650</v>
      </c>
      <c r="F64" s="383">
        <v>530</v>
      </c>
      <c r="G64" s="383" t="s">
        <v>71</v>
      </c>
      <c r="H64" s="383" t="s">
        <v>71</v>
      </c>
      <c r="I64" s="383" t="s">
        <v>8367</v>
      </c>
      <c r="J64" s="383" t="s">
        <v>9282</v>
      </c>
      <c r="K64" s="383" t="s">
        <v>8341</v>
      </c>
      <c r="L64" s="383" t="s">
        <v>8341</v>
      </c>
      <c r="M64" s="383" t="s">
        <v>9936</v>
      </c>
      <c r="N64" s="420" t="s">
        <v>44</v>
      </c>
      <c r="O64" s="383" t="str">
        <f>IF(LEN(SUBSTITUTE(Table3937[[#This Row],[PRIMARY CONTACT]]," ",""))=10,SUBSTITUTE(Table3937[[#This Row],[PRIMARY CONTACT]]," ","") &amp; " - Proper","- Follow Up")</f>
        <v>9837030863 - Proper</v>
      </c>
      <c r="P64" s="383" t="s">
        <v>5232</v>
      </c>
      <c r="Q64" s="383">
        <v>9837030863</v>
      </c>
      <c r="R64" s="383" t="str">
        <f>SUBSTITUTE(Table3937[[#This Row],[whatsapp_number]]," ","")</f>
        <v>9837030863</v>
      </c>
      <c r="S64" s="383" t="str">
        <f>IF(Table3937[[#This Row],[PRIMARY CONTACT]]=Table3937[[#This Row],[WHATSAPP CONTACT]],"Same Contact","Different Contact")</f>
        <v>Same Contact</v>
      </c>
      <c r="T64" s="383" t="str">
        <f>IF(LEN(SUBSTITUTE(Table3937[[#This Row],[PRIMARY CONTACT]]," ",""))=10,SUBSTITUTE(Table3937[[#This Row],[PRIMARY CONTACT]]," ","") &amp; " - Proper","- Follow Up")</f>
        <v>9837030863 - Proper</v>
      </c>
      <c r="U64" s="383" t="s">
        <v>8341</v>
      </c>
      <c r="V64" s="383" t="s">
        <v>71</v>
      </c>
      <c r="W64" s="383" t="s">
        <v>47</v>
      </c>
      <c r="X64" s="420" t="s">
        <v>44</v>
      </c>
      <c r="Y64" s="420" t="s">
        <v>44</v>
      </c>
      <c r="Z64" s="420" t="s">
        <v>44</v>
      </c>
      <c r="AA64" s="420" t="s">
        <v>44</v>
      </c>
      <c r="AB64" s="383"/>
    </row>
    <row r="65" spans="1:28" ht="13.8">
      <c r="A65" s="387">
        <v>64</v>
      </c>
      <c r="B65" s="387" t="s">
        <v>10710</v>
      </c>
      <c r="C65" s="387" t="s">
        <v>10710</v>
      </c>
      <c r="D65" s="387" t="s">
        <v>10710</v>
      </c>
      <c r="E65" s="383" t="s">
        <v>8651</v>
      </c>
      <c r="F65" s="383">
        <v>531</v>
      </c>
      <c r="G65" s="383" t="s">
        <v>71</v>
      </c>
      <c r="H65" s="383" t="s">
        <v>5234</v>
      </c>
      <c r="I65" s="383" t="s">
        <v>8368</v>
      </c>
      <c r="J65" s="383" t="s">
        <v>9283</v>
      </c>
      <c r="K65" s="383" t="s">
        <v>8341</v>
      </c>
      <c r="L65" s="383" t="s">
        <v>8341</v>
      </c>
      <c r="M65" s="383" t="s">
        <v>9937</v>
      </c>
      <c r="N65" s="420" t="s">
        <v>44</v>
      </c>
      <c r="O65" s="383" t="str">
        <f>IF(LEN(SUBSTITUTE(Table3937[[#This Row],[PRIMARY CONTACT]]," ",""))=10,SUBSTITUTE(Table3937[[#This Row],[PRIMARY CONTACT]]," ","") &amp; " - Proper","- Follow Up")</f>
        <v>9935505051 - Proper</v>
      </c>
      <c r="P65" s="383" t="s">
        <v>5237</v>
      </c>
      <c r="Q65" s="383">
        <v>9935505051</v>
      </c>
      <c r="R65" s="383" t="str">
        <f>SUBSTITUTE(Table3937[[#This Row],[whatsapp_number]]," ","")</f>
        <v>9935505051</v>
      </c>
      <c r="S65" s="383" t="str">
        <f>IF(Table3937[[#This Row],[PRIMARY CONTACT]]=Table3937[[#This Row],[WHATSAPP CONTACT]],"Same Contact","Different Contact")</f>
        <v>Same Contact</v>
      </c>
      <c r="T65" s="383" t="str">
        <f>IF(LEN(SUBSTITUTE(Table3937[[#This Row],[PRIMARY CONTACT]]," ",""))=10,SUBSTITUTE(Table3937[[#This Row],[PRIMARY CONTACT]]," ","") &amp; " - Proper","- Follow Up")</f>
        <v>9935505051 - Proper</v>
      </c>
      <c r="U65" s="383" t="s">
        <v>8341</v>
      </c>
      <c r="V65" s="393" t="s">
        <v>5238</v>
      </c>
      <c r="W65" s="383" t="s">
        <v>47</v>
      </c>
      <c r="X65" s="420" t="s">
        <v>44</v>
      </c>
      <c r="Y65" s="420" t="s">
        <v>44</v>
      </c>
      <c r="Z65" s="420" t="s">
        <v>44</v>
      </c>
      <c r="AA65" s="420" t="s">
        <v>44</v>
      </c>
      <c r="AB65" s="383"/>
    </row>
    <row r="66" spans="1:28" ht="13.8">
      <c r="A66" s="387">
        <v>65</v>
      </c>
      <c r="B66" s="387" t="s">
        <v>10710</v>
      </c>
      <c r="C66" s="387" t="s">
        <v>10710</v>
      </c>
      <c r="D66" s="387" t="s">
        <v>10710</v>
      </c>
      <c r="E66" s="383" t="s">
        <v>8652</v>
      </c>
      <c r="F66" s="383">
        <v>532</v>
      </c>
      <c r="G66" s="383" t="s">
        <v>71</v>
      </c>
      <c r="H66" s="383" t="s">
        <v>5234</v>
      </c>
      <c r="I66" s="383" t="s">
        <v>8368</v>
      </c>
      <c r="J66" s="383" t="s">
        <v>9284</v>
      </c>
      <c r="K66" s="383" t="s">
        <v>8341</v>
      </c>
      <c r="L66" s="383" t="s">
        <v>8341</v>
      </c>
      <c r="M66" s="383" t="s">
        <v>9938</v>
      </c>
      <c r="N66" s="420" t="s">
        <v>44</v>
      </c>
      <c r="O66" s="383" t="str">
        <f>IF(LEN(SUBSTITUTE(Table3937[[#This Row],[PRIMARY CONTACT]]," ",""))=10,SUBSTITUTE(Table3937[[#This Row],[PRIMARY CONTACT]]," ","") &amp; " - Proper","- Follow Up")</f>
        <v>9935888882 - Proper</v>
      </c>
      <c r="P66" s="383" t="s">
        <v>5241</v>
      </c>
      <c r="Q66" s="383">
        <v>9935888882</v>
      </c>
      <c r="R66" s="383" t="str">
        <f>SUBSTITUTE(Table3937[[#This Row],[whatsapp_number]]," ","")</f>
        <v>9935888882</v>
      </c>
      <c r="S66" s="383" t="str">
        <f>IF(Table3937[[#This Row],[PRIMARY CONTACT]]=Table3937[[#This Row],[WHATSAPP CONTACT]],"Same Contact","Different Contact")</f>
        <v>Same Contact</v>
      </c>
      <c r="T66" s="383" t="str">
        <f>IF(LEN(SUBSTITUTE(Table3937[[#This Row],[PRIMARY CONTACT]]," ",""))=10,SUBSTITUTE(Table3937[[#This Row],[PRIMARY CONTACT]]," ","") &amp; " - Proper","- Follow Up")</f>
        <v>9935888882 - Proper</v>
      </c>
      <c r="U66" s="383" t="s">
        <v>8341</v>
      </c>
      <c r="V66" s="393" t="s">
        <v>5238</v>
      </c>
      <c r="W66" s="383" t="s">
        <v>47</v>
      </c>
      <c r="X66" s="420" t="s">
        <v>44</v>
      </c>
      <c r="Y66" s="420" t="s">
        <v>44</v>
      </c>
      <c r="Z66" s="420" t="s">
        <v>44</v>
      </c>
      <c r="AA66" s="420" t="s">
        <v>44</v>
      </c>
      <c r="AB66" s="383"/>
    </row>
    <row r="67" spans="1:28" ht="13.8">
      <c r="A67" s="387">
        <v>66</v>
      </c>
      <c r="B67" s="387" t="s">
        <v>10710</v>
      </c>
      <c r="C67" s="387" t="s">
        <v>10710</v>
      </c>
      <c r="D67" s="387" t="s">
        <v>10710</v>
      </c>
      <c r="E67" s="383" t="s">
        <v>8653</v>
      </c>
      <c r="F67" s="383">
        <v>533</v>
      </c>
      <c r="G67" s="383" t="s">
        <v>71</v>
      </c>
      <c r="H67" s="383" t="s">
        <v>5243</v>
      </c>
      <c r="I67" s="383" t="s">
        <v>8369</v>
      </c>
      <c r="J67" s="383" t="s">
        <v>9285</v>
      </c>
      <c r="K67" s="383" t="s">
        <v>8341</v>
      </c>
      <c r="L67" s="383" t="s">
        <v>8341</v>
      </c>
      <c r="M67" s="383" t="s">
        <v>9939</v>
      </c>
      <c r="N67" s="420" t="s">
        <v>44</v>
      </c>
      <c r="O67" s="383" t="str">
        <f>IF(LEN(SUBSTITUTE(Table3937[[#This Row],[PRIMARY CONTACT]]," ",""))=10,SUBSTITUTE(Table3937[[#This Row],[PRIMARY CONTACT]]," ","") &amp; " - Proper","- Follow Up")</f>
        <v>9823069608 - Proper</v>
      </c>
      <c r="P67" s="383" t="s">
        <v>5246</v>
      </c>
      <c r="Q67" s="383">
        <v>9823069608</v>
      </c>
      <c r="R67" s="383" t="str">
        <f>SUBSTITUTE(Table3937[[#This Row],[whatsapp_number]]," ","")</f>
        <v>9823069608</v>
      </c>
      <c r="S67" s="383" t="str">
        <f>IF(Table3937[[#This Row],[PRIMARY CONTACT]]=Table3937[[#This Row],[WHATSAPP CONTACT]],"Same Contact","Different Contact")</f>
        <v>Same Contact</v>
      </c>
      <c r="T67" s="383" t="str">
        <f>IF(LEN(SUBSTITUTE(Table3937[[#This Row],[PRIMARY CONTACT]]," ",""))=10,SUBSTITUTE(Table3937[[#This Row],[PRIMARY CONTACT]]," ","") &amp; " - Proper","- Follow Up")</f>
        <v>9823069608 - Proper</v>
      </c>
      <c r="U67" s="383" t="s">
        <v>8341</v>
      </c>
      <c r="V67" s="393" t="s">
        <v>5247</v>
      </c>
      <c r="W67" s="383" t="s">
        <v>47</v>
      </c>
      <c r="X67" s="420" t="s">
        <v>44</v>
      </c>
      <c r="Y67" s="420" t="s">
        <v>44</v>
      </c>
      <c r="Z67" s="420" t="s">
        <v>44</v>
      </c>
      <c r="AA67" s="420" t="s">
        <v>44</v>
      </c>
      <c r="AB67" s="383"/>
    </row>
    <row r="68" spans="1:28" ht="13.8">
      <c r="A68" s="387">
        <v>67</v>
      </c>
      <c r="B68" s="387" t="s">
        <v>10710</v>
      </c>
      <c r="C68" s="387" t="s">
        <v>10710</v>
      </c>
      <c r="D68" s="387" t="s">
        <v>10710</v>
      </c>
      <c r="E68" s="383" t="s">
        <v>8654</v>
      </c>
      <c r="F68" s="383">
        <v>534</v>
      </c>
      <c r="G68" s="383" t="s">
        <v>71</v>
      </c>
      <c r="H68" s="383" t="s">
        <v>5243</v>
      </c>
      <c r="I68" s="383" t="s">
        <v>8369</v>
      </c>
      <c r="J68" s="383" t="s">
        <v>9286</v>
      </c>
      <c r="K68" s="383" t="s">
        <v>8341</v>
      </c>
      <c r="L68" s="383" t="s">
        <v>8341</v>
      </c>
      <c r="M68" s="383" t="s">
        <v>9940</v>
      </c>
      <c r="N68" s="420" t="s">
        <v>44</v>
      </c>
      <c r="O68" s="383" t="str">
        <f>IF(LEN(SUBSTITUTE(Table3937[[#This Row],[PRIMARY CONTACT]]," ",""))=10,SUBSTITUTE(Table3937[[#This Row],[PRIMARY CONTACT]]," ","") &amp; " - Proper","- Follow Up")</f>
        <v>9823249608 - Proper</v>
      </c>
      <c r="P68" s="383" t="s">
        <v>5250</v>
      </c>
      <c r="Q68" s="383">
        <v>9823249608</v>
      </c>
      <c r="R68" s="383" t="str">
        <f>SUBSTITUTE(Table3937[[#This Row],[whatsapp_number]]," ","")</f>
        <v>9823249608</v>
      </c>
      <c r="S68" s="383" t="str">
        <f>IF(Table3937[[#This Row],[PRIMARY CONTACT]]=Table3937[[#This Row],[WHATSAPP CONTACT]],"Same Contact","Different Contact")</f>
        <v>Same Contact</v>
      </c>
      <c r="T68" s="383" t="str">
        <f>IF(LEN(SUBSTITUTE(Table3937[[#This Row],[PRIMARY CONTACT]]," ",""))=10,SUBSTITUTE(Table3937[[#This Row],[PRIMARY CONTACT]]," ","") &amp; " - Proper","- Follow Up")</f>
        <v>9823249608 - Proper</v>
      </c>
      <c r="U68" s="383" t="s">
        <v>8341</v>
      </c>
      <c r="V68" s="393" t="s">
        <v>5247</v>
      </c>
      <c r="W68" s="383" t="s">
        <v>47</v>
      </c>
      <c r="X68" s="420" t="s">
        <v>44</v>
      </c>
      <c r="Y68" s="420" t="s">
        <v>44</v>
      </c>
      <c r="Z68" s="420" t="s">
        <v>44</v>
      </c>
      <c r="AA68" s="420" t="s">
        <v>44</v>
      </c>
      <c r="AB68" s="383"/>
    </row>
    <row r="69" spans="1:28" ht="13.8">
      <c r="A69" s="387">
        <v>68</v>
      </c>
      <c r="B69" s="387" t="s">
        <v>10710</v>
      </c>
      <c r="C69" s="387" t="s">
        <v>10710</v>
      </c>
      <c r="D69" s="387" t="s">
        <v>10710</v>
      </c>
      <c r="E69" s="383" t="s">
        <v>8655</v>
      </c>
      <c r="F69" s="383">
        <v>535</v>
      </c>
      <c r="G69" s="383" t="s">
        <v>71</v>
      </c>
      <c r="H69" s="383" t="s">
        <v>5252</v>
      </c>
      <c r="I69" s="383" t="s">
        <v>8370</v>
      </c>
      <c r="J69" s="383" t="s">
        <v>9287</v>
      </c>
      <c r="K69" s="383" t="s">
        <v>8341</v>
      </c>
      <c r="L69" s="383" t="s">
        <v>8341</v>
      </c>
      <c r="M69" s="383" t="s">
        <v>9941</v>
      </c>
      <c r="N69" s="420" t="s">
        <v>44</v>
      </c>
      <c r="O69" s="383" t="str">
        <f>IF(LEN(SUBSTITUTE(Table3937[[#This Row],[PRIMARY CONTACT]]," ",""))=10,SUBSTITUTE(Table3937[[#This Row],[PRIMARY CONTACT]]," ","") &amp; " - Proper","- Follow Up")</f>
        <v>9673149608 - Proper</v>
      </c>
      <c r="P69" s="383" t="s">
        <v>5255</v>
      </c>
      <c r="Q69" s="383">
        <v>9673149608</v>
      </c>
      <c r="R69" s="383" t="str">
        <f>SUBSTITUTE(Table3937[[#This Row],[whatsapp_number]]," ","")</f>
        <v>9673149608</v>
      </c>
      <c r="S69" s="383" t="str">
        <f>IF(Table3937[[#This Row],[PRIMARY CONTACT]]=Table3937[[#This Row],[WHATSAPP CONTACT]],"Same Contact","Different Contact")</f>
        <v>Same Contact</v>
      </c>
      <c r="T69" s="383" t="str">
        <f>IF(LEN(SUBSTITUTE(Table3937[[#This Row],[PRIMARY CONTACT]]," ",""))=10,SUBSTITUTE(Table3937[[#This Row],[PRIMARY CONTACT]]," ","") &amp; " - Proper","- Follow Up")</f>
        <v>9673149608 - Proper</v>
      </c>
      <c r="U69" s="383" t="s">
        <v>8341</v>
      </c>
      <c r="V69" s="393" t="s">
        <v>5256</v>
      </c>
      <c r="W69" s="383" t="s">
        <v>47</v>
      </c>
      <c r="X69" s="420" t="s">
        <v>44</v>
      </c>
      <c r="Y69" s="420" t="s">
        <v>44</v>
      </c>
      <c r="Z69" s="420" t="s">
        <v>44</v>
      </c>
      <c r="AA69" s="420" t="s">
        <v>44</v>
      </c>
      <c r="AB69" s="383"/>
    </row>
    <row r="70" spans="1:28" ht="13.8">
      <c r="A70" s="387">
        <v>69</v>
      </c>
      <c r="B70" s="387" t="s">
        <v>10710</v>
      </c>
      <c r="C70" s="387" t="s">
        <v>10710</v>
      </c>
      <c r="D70" s="387" t="s">
        <v>10710</v>
      </c>
      <c r="E70" s="383" t="s">
        <v>8656</v>
      </c>
      <c r="F70" s="383">
        <v>536</v>
      </c>
      <c r="G70" s="383" t="s">
        <v>71</v>
      </c>
      <c r="H70" s="383" t="s">
        <v>71</v>
      </c>
      <c r="I70" s="383" t="s">
        <v>8371</v>
      </c>
      <c r="J70" s="383" t="s">
        <v>9288</v>
      </c>
      <c r="K70" s="383" t="s">
        <v>8341</v>
      </c>
      <c r="L70" s="383" t="s">
        <v>8341</v>
      </c>
      <c r="M70" s="383" t="s">
        <v>9942</v>
      </c>
      <c r="N70" s="420" t="s">
        <v>44</v>
      </c>
      <c r="O70" s="383" t="str">
        <f>IF(LEN(SUBSTITUTE(Table3937[[#This Row],[PRIMARY CONTACT]]," ",""))=10,SUBSTITUTE(Table3937[[#This Row],[PRIMARY CONTACT]]," ","") &amp; " - Proper","- Follow Up")</f>
        <v>9548523999 - Proper</v>
      </c>
      <c r="P70" s="383" t="s">
        <v>5260</v>
      </c>
      <c r="Q70" s="383">
        <v>9548523999</v>
      </c>
      <c r="R70" s="383" t="str">
        <f>SUBSTITUTE(Table3937[[#This Row],[whatsapp_number]]," ","")</f>
        <v>9548523999</v>
      </c>
      <c r="S70" s="383" t="str">
        <f>IF(Table3937[[#This Row],[PRIMARY CONTACT]]=Table3937[[#This Row],[WHATSAPP CONTACT]],"Same Contact","Different Contact")</f>
        <v>Same Contact</v>
      </c>
      <c r="T70" s="383" t="str">
        <f>IF(LEN(SUBSTITUTE(Table3937[[#This Row],[PRIMARY CONTACT]]," ",""))=10,SUBSTITUTE(Table3937[[#This Row],[PRIMARY CONTACT]]," ","") &amp; " - Proper","- Follow Up")</f>
        <v>9548523999 - Proper</v>
      </c>
      <c r="U70" s="383" t="s">
        <v>8341</v>
      </c>
      <c r="V70" s="383" t="s">
        <v>71</v>
      </c>
      <c r="W70" s="383" t="s">
        <v>47</v>
      </c>
      <c r="X70" s="420" t="s">
        <v>44</v>
      </c>
      <c r="Y70" s="420" t="s">
        <v>44</v>
      </c>
      <c r="Z70" s="420" t="s">
        <v>44</v>
      </c>
      <c r="AA70" s="420" t="s">
        <v>44</v>
      </c>
      <c r="AB70" s="383"/>
    </row>
    <row r="71" spans="1:28" ht="13.8">
      <c r="A71" s="387">
        <v>70</v>
      </c>
      <c r="B71" s="387" t="s">
        <v>10710</v>
      </c>
      <c r="C71" s="387" t="s">
        <v>10710</v>
      </c>
      <c r="D71" s="387" t="s">
        <v>10710</v>
      </c>
      <c r="E71" s="383" t="s">
        <v>8657</v>
      </c>
      <c r="F71" s="383">
        <v>537</v>
      </c>
      <c r="G71" s="383" t="s">
        <v>71</v>
      </c>
      <c r="H71" s="383" t="s">
        <v>71</v>
      </c>
      <c r="I71" s="383" t="s">
        <v>8371</v>
      </c>
      <c r="J71" s="383" t="s">
        <v>9289</v>
      </c>
      <c r="K71" s="383" t="s">
        <v>8341</v>
      </c>
      <c r="L71" s="383" t="s">
        <v>8341</v>
      </c>
      <c r="M71" s="383" t="s">
        <v>9943</v>
      </c>
      <c r="N71" s="420" t="s">
        <v>44</v>
      </c>
      <c r="O71" s="383" t="str">
        <f>IF(LEN(SUBSTITUTE(Table3937[[#This Row],[PRIMARY CONTACT]]," ",""))=10,SUBSTITUTE(Table3937[[#This Row],[PRIMARY CONTACT]]," ","") &amp; " - Proper","- Follow Up")</f>
        <v>9897693624 - Proper</v>
      </c>
      <c r="P71" s="383" t="s">
        <v>5263</v>
      </c>
      <c r="Q71" s="383">
        <v>9897693624</v>
      </c>
      <c r="R71" s="383" t="str">
        <f>SUBSTITUTE(Table3937[[#This Row],[whatsapp_number]]," ","")</f>
        <v>9897693624</v>
      </c>
      <c r="S71" s="383" t="str">
        <f>IF(Table3937[[#This Row],[PRIMARY CONTACT]]=Table3937[[#This Row],[WHATSAPP CONTACT]],"Same Contact","Different Contact")</f>
        <v>Same Contact</v>
      </c>
      <c r="T71" s="383" t="str">
        <f>IF(LEN(SUBSTITUTE(Table3937[[#This Row],[PRIMARY CONTACT]]," ",""))=10,SUBSTITUTE(Table3937[[#This Row],[PRIMARY CONTACT]]," ","") &amp; " - Proper","- Follow Up")</f>
        <v>9897693624 - Proper</v>
      </c>
      <c r="U71" s="383" t="s">
        <v>8341</v>
      </c>
      <c r="V71" s="383" t="s">
        <v>71</v>
      </c>
      <c r="W71" s="383" t="s">
        <v>47</v>
      </c>
      <c r="X71" s="420" t="s">
        <v>44</v>
      </c>
      <c r="Y71" s="420" t="s">
        <v>44</v>
      </c>
      <c r="Z71" s="420" t="s">
        <v>44</v>
      </c>
      <c r="AA71" s="420" t="s">
        <v>44</v>
      </c>
      <c r="AB71" s="383"/>
    </row>
    <row r="72" spans="1:28" ht="13.8">
      <c r="A72" s="387">
        <v>71</v>
      </c>
      <c r="B72" s="387" t="s">
        <v>10710</v>
      </c>
      <c r="C72" s="387" t="s">
        <v>10710</v>
      </c>
      <c r="D72" s="387" t="s">
        <v>10710</v>
      </c>
      <c r="E72" s="383" t="s">
        <v>8658</v>
      </c>
      <c r="F72" s="383">
        <v>538</v>
      </c>
      <c r="G72" s="383" t="s">
        <v>71</v>
      </c>
      <c r="H72" s="383" t="s">
        <v>71</v>
      </c>
      <c r="I72" s="383" t="s">
        <v>8372</v>
      </c>
      <c r="J72" s="383" t="s">
        <v>9290</v>
      </c>
      <c r="K72" s="383" t="s">
        <v>8341</v>
      </c>
      <c r="L72" s="383" t="s">
        <v>8341</v>
      </c>
      <c r="M72" s="383" t="s">
        <v>9944</v>
      </c>
      <c r="N72" s="420" t="s">
        <v>44</v>
      </c>
      <c r="O72" s="383" t="str">
        <f>IF(LEN(SUBSTITUTE(Table3937[[#This Row],[PRIMARY CONTACT]]," ",""))=10,SUBSTITUTE(Table3937[[#This Row],[PRIMARY CONTACT]]," ","") &amp; " - Proper","- Follow Up")</f>
        <v>9678068920 - Proper</v>
      </c>
      <c r="P72" s="383" t="s">
        <v>5267</v>
      </c>
      <c r="Q72" s="383">
        <v>9678068920</v>
      </c>
      <c r="R72" s="383" t="str">
        <f>SUBSTITUTE(Table3937[[#This Row],[whatsapp_number]]," ","")</f>
        <v>9678068920</v>
      </c>
      <c r="S72" s="383" t="str">
        <f>IF(Table3937[[#This Row],[PRIMARY CONTACT]]=Table3937[[#This Row],[WHATSAPP CONTACT]],"Same Contact","Different Contact")</f>
        <v>Same Contact</v>
      </c>
      <c r="T72" s="383" t="str">
        <f>IF(LEN(SUBSTITUTE(Table3937[[#This Row],[PRIMARY CONTACT]]," ",""))=10,SUBSTITUTE(Table3937[[#This Row],[PRIMARY CONTACT]]," ","") &amp; " - Proper","- Follow Up")</f>
        <v>9678068920 - Proper</v>
      </c>
      <c r="U72" s="383" t="s">
        <v>8341</v>
      </c>
      <c r="V72" s="393" t="s">
        <v>5268</v>
      </c>
      <c r="W72" s="383" t="s">
        <v>47</v>
      </c>
      <c r="X72" s="420" t="s">
        <v>44</v>
      </c>
      <c r="Y72" s="420" t="s">
        <v>44</v>
      </c>
      <c r="Z72" s="420" t="s">
        <v>44</v>
      </c>
      <c r="AA72" s="420" t="s">
        <v>44</v>
      </c>
      <c r="AB72" s="383"/>
    </row>
    <row r="73" spans="1:28" ht="13.8">
      <c r="A73" s="387">
        <v>72</v>
      </c>
      <c r="B73" s="387" t="s">
        <v>10710</v>
      </c>
      <c r="C73" s="387" t="s">
        <v>10710</v>
      </c>
      <c r="D73" s="387" t="s">
        <v>10710</v>
      </c>
      <c r="E73" s="383" t="s">
        <v>8659</v>
      </c>
      <c r="F73" s="383">
        <v>539</v>
      </c>
      <c r="G73" s="383" t="s">
        <v>71</v>
      </c>
      <c r="H73" s="383" t="s">
        <v>71</v>
      </c>
      <c r="I73" s="383" t="s">
        <v>8373</v>
      </c>
      <c r="J73" s="383" t="s">
        <v>9291</v>
      </c>
      <c r="K73" s="383" t="s">
        <v>8341</v>
      </c>
      <c r="L73" s="383" t="s">
        <v>8341</v>
      </c>
      <c r="M73" s="383" t="s">
        <v>9945</v>
      </c>
      <c r="N73" s="420" t="s">
        <v>44</v>
      </c>
      <c r="O73" s="383" t="str">
        <f>IF(LEN(SUBSTITUTE(Table3937[[#This Row],[PRIMARY CONTACT]]," ",""))=10,SUBSTITUTE(Table3937[[#This Row],[PRIMARY CONTACT]]," ","") &amp; " - Proper","- Follow Up")</f>
        <v>9835038979 - Proper</v>
      </c>
      <c r="P73" s="383" t="s">
        <v>5272</v>
      </c>
      <c r="Q73" s="383">
        <v>9835038979</v>
      </c>
      <c r="R73" s="383" t="str">
        <f>SUBSTITUTE(Table3937[[#This Row],[whatsapp_number]]," ","")</f>
        <v>9835038979</v>
      </c>
      <c r="S73" s="383" t="str">
        <f>IF(Table3937[[#This Row],[PRIMARY CONTACT]]=Table3937[[#This Row],[WHATSAPP CONTACT]],"Same Contact","Different Contact")</f>
        <v>Same Contact</v>
      </c>
      <c r="T73" s="383" t="str">
        <f>IF(LEN(SUBSTITUTE(Table3937[[#This Row],[PRIMARY CONTACT]]," ",""))=10,SUBSTITUTE(Table3937[[#This Row],[PRIMARY CONTACT]]," ","") &amp; " - Proper","- Follow Up")</f>
        <v>9835038979 - Proper</v>
      </c>
      <c r="U73" s="383" t="s">
        <v>8341</v>
      </c>
      <c r="V73" s="393" t="s">
        <v>5273</v>
      </c>
      <c r="W73" s="383" t="s">
        <v>47</v>
      </c>
      <c r="X73" s="420" t="s">
        <v>44</v>
      </c>
      <c r="Y73" s="420" t="s">
        <v>44</v>
      </c>
      <c r="Z73" s="420" t="s">
        <v>44</v>
      </c>
      <c r="AA73" s="420" t="s">
        <v>44</v>
      </c>
      <c r="AB73" s="383"/>
    </row>
    <row r="74" spans="1:28" ht="13.8">
      <c r="A74" s="387">
        <v>73</v>
      </c>
      <c r="B74" s="387" t="s">
        <v>10710</v>
      </c>
      <c r="C74" s="387" t="s">
        <v>10710</v>
      </c>
      <c r="D74" s="387" t="s">
        <v>10710</v>
      </c>
      <c r="E74" s="383" t="s">
        <v>8660</v>
      </c>
      <c r="F74" s="383">
        <v>540</v>
      </c>
      <c r="G74" s="383" t="s">
        <v>71</v>
      </c>
      <c r="H74" s="383" t="s">
        <v>5275</v>
      </c>
      <c r="I74" s="383" t="s">
        <v>8374</v>
      </c>
      <c r="J74" s="383" t="s">
        <v>9292</v>
      </c>
      <c r="K74" s="383" t="s">
        <v>8341</v>
      </c>
      <c r="L74" s="383" t="s">
        <v>8341</v>
      </c>
      <c r="M74" s="383" t="s">
        <v>9946</v>
      </c>
      <c r="N74" s="420" t="s">
        <v>44</v>
      </c>
      <c r="O74" s="383" t="str">
        <f>IF(LEN(SUBSTITUTE(Table3937[[#This Row],[PRIMARY CONTACT]]," ",""))=10,SUBSTITUTE(Table3937[[#This Row],[PRIMARY CONTACT]]," ","") &amp; " - Proper","- Follow Up")</f>
        <v>9419150000 - Proper</v>
      </c>
      <c r="P74" s="383" t="s">
        <v>5278</v>
      </c>
      <c r="Q74" s="383">
        <v>9419150000</v>
      </c>
      <c r="R74" s="383" t="str">
        <f>SUBSTITUTE(Table3937[[#This Row],[whatsapp_number]]," ","")</f>
        <v>9419150000</v>
      </c>
      <c r="S74" s="383" t="str">
        <f>IF(Table3937[[#This Row],[PRIMARY CONTACT]]=Table3937[[#This Row],[WHATSAPP CONTACT]],"Same Contact","Different Contact")</f>
        <v>Same Contact</v>
      </c>
      <c r="T74" s="383" t="str">
        <f>IF(LEN(SUBSTITUTE(Table3937[[#This Row],[PRIMARY CONTACT]]," ",""))=10,SUBSTITUTE(Table3937[[#This Row],[PRIMARY CONTACT]]," ","") &amp; " - Proper","- Follow Up")</f>
        <v>9419150000 - Proper</v>
      </c>
      <c r="U74" s="383" t="s">
        <v>8341</v>
      </c>
      <c r="V74" s="393" t="s">
        <v>5279</v>
      </c>
      <c r="W74" s="383" t="s">
        <v>47</v>
      </c>
      <c r="X74" s="420" t="s">
        <v>44</v>
      </c>
      <c r="Y74" s="420" t="s">
        <v>44</v>
      </c>
      <c r="Z74" s="420" t="s">
        <v>44</v>
      </c>
      <c r="AA74" s="420" t="s">
        <v>44</v>
      </c>
      <c r="AB74" s="383"/>
    </row>
    <row r="75" spans="1:28" ht="13.8">
      <c r="A75" s="387">
        <v>74</v>
      </c>
      <c r="B75" s="387" t="s">
        <v>10710</v>
      </c>
      <c r="C75" s="387" t="s">
        <v>10710</v>
      </c>
      <c r="D75" s="387" t="s">
        <v>10710</v>
      </c>
      <c r="E75" s="383" t="s">
        <v>8661</v>
      </c>
      <c r="F75" s="383">
        <v>541</v>
      </c>
      <c r="G75" s="383" t="s">
        <v>71</v>
      </c>
      <c r="H75" s="383" t="s">
        <v>5275</v>
      </c>
      <c r="I75" s="383" t="s">
        <v>8374</v>
      </c>
      <c r="J75" s="383" t="s">
        <v>9293</v>
      </c>
      <c r="K75" s="383" t="s">
        <v>8341</v>
      </c>
      <c r="L75" s="383" t="s">
        <v>8341</v>
      </c>
      <c r="M75" s="383" t="s">
        <v>9947</v>
      </c>
      <c r="N75" s="420" t="s">
        <v>44</v>
      </c>
      <c r="O75" s="383" t="str">
        <f>IF(LEN(SUBSTITUTE(Table3937[[#This Row],[PRIMARY CONTACT]]," ",""))=10,SUBSTITUTE(Table3937[[#This Row],[PRIMARY CONTACT]]," ","") &amp; " - Proper","- Follow Up")</f>
        <v>9419192408 - Proper</v>
      </c>
      <c r="P75" s="383" t="s">
        <v>5282</v>
      </c>
      <c r="Q75" s="383">
        <v>9419192408</v>
      </c>
      <c r="R75" s="383" t="str">
        <f>SUBSTITUTE(Table3937[[#This Row],[whatsapp_number]]," ","")</f>
        <v>9419192408</v>
      </c>
      <c r="S75" s="383" t="str">
        <f>IF(Table3937[[#This Row],[PRIMARY CONTACT]]=Table3937[[#This Row],[WHATSAPP CONTACT]],"Same Contact","Different Contact")</f>
        <v>Same Contact</v>
      </c>
      <c r="T75" s="383" t="str">
        <f>IF(LEN(SUBSTITUTE(Table3937[[#This Row],[PRIMARY CONTACT]]," ",""))=10,SUBSTITUTE(Table3937[[#This Row],[PRIMARY CONTACT]]," ","") &amp; " - Proper","- Follow Up")</f>
        <v>9419192408 - Proper</v>
      </c>
      <c r="U75" s="383" t="s">
        <v>8341</v>
      </c>
      <c r="V75" s="393" t="s">
        <v>5279</v>
      </c>
      <c r="W75" s="383" t="s">
        <v>47</v>
      </c>
      <c r="X75" s="420" t="s">
        <v>44</v>
      </c>
      <c r="Y75" s="420" t="s">
        <v>44</v>
      </c>
      <c r="Z75" s="420" t="s">
        <v>44</v>
      </c>
      <c r="AA75" s="420" t="s">
        <v>44</v>
      </c>
      <c r="AB75" s="383"/>
    </row>
    <row r="76" spans="1:28" ht="13.8">
      <c r="A76" s="387">
        <v>75</v>
      </c>
      <c r="B76" s="387" t="s">
        <v>10710</v>
      </c>
      <c r="C76" s="387" t="s">
        <v>10710</v>
      </c>
      <c r="D76" s="387" t="s">
        <v>10710</v>
      </c>
      <c r="E76" s="383" t="s">
        <v>8662</v>
      </c>
      <c r="F76" s="383">
        <v>542</v>
      </c>
      <c r="G76" s="383" t="s">
        <v>71</v>
      </c>
      <c r="H76" s="383" t="s">
        <v>5284</v>
      </c>
      <c r="I76" s="383" t="s">
        <v>8375</v>
      </c>
      <c r="J76" s="383" t="s">
        <v>9294</v>
      </c>
      <c r="K76" s="383" t="s">
        <v>8341</v>
      </c>
      <c r="L76" s="383" t="s">
        <v>8341</v>
      </c>
      <c r="M76" s="383" t="s">
        <v>9948</v>
      </c>
      <c r="N76" s="420" t="s">
        <v>44</v>
      </c>
      <c r="O76" s="383" t="str">
        <f>IF(LEN(SUBSTITUTE(Table3937[[#This Row],[PRIMARY CONTACT]]," ",""))=10,SUBSTITUTE(Table3937[[#This Row],[PRIMARY CONTACT]]," ","") &amp; " - Proper","- Follow Up")</f>
        <v>9823011209 - Proper</v>
      </c>
      <c r="P76" s="383" t="s">
        <v>5287</v>
      </c>
      <c r="Q76" s="383">
        <v>9823011209</v>
      </c>
      <c r="R76" s="383" t="str">
        <f>SUBSTITUTE(Table3937[[#This Row],[whatsapp_number]]," ","")</f>
        <v>9823011209</v>
      </c>
      <c r="S76" s="383" t="str">
        <f>IF(Table3937[[#This Row],[PRIMARY CONTACT]]=Table3937[[#This Row],[WHATSAPP CONTACT]],"Same Contact","Different Contact")</f>
        <v>Same Contact</v>
      </c>
      <c r="T76" s="383" t="str">
        <f>IF(LEN(SUBSTITUTE(Table3937[[#This Row],[PRIMARY CONTACT]]," ",""))=10,SUBSTITUTE(Table3937[[#This Row],[PRIMARY CONTACT]]," ","") &amp; " - Proper","- Follow Up")</f>
        <v>9823011209 - Proper</v>
      </c>
      <c r="U76" s="383" t="s">
        <v>8341</v>
      </c>
      <c r="V76" s="393" t="s">
        <v>5288</v>
      </c>
      <c r="W76" s="383" t="s">
        <v>47</v>
      </c>
      <c r="X76" s="420" t="s">
        <v>44</v>
      </c>
      <c r="Y76" s="420" t="s">
        <v>44</v>
      </c>
      <c r="Z76" s="420" t="s">
        <v>44</v>
      </c>
      <c r="AA76" s="420" t="s">
        <v>44</v>
      </c>
      <c r="AB76" s="383"/>
    </row>
    <row r="77" spans="1:28" ht="13.8">
      <c r="A77" s="387">
        <v>76</v>
      </c>
      <c r="B77" s="387" t="s">
        <v>10710</v>
      </c>
      <c r="C77" s="387" t="s">
        <v>10710</v>
      </c>
      <c r="D77" s="387" t="s">
        <v>10710</v>
      </c>
      <c r="E77" s="383" t="s">
        <v>8663</v>
      </c>
      <c r="F77" s="383">
        <v>543</v>
      </c>
      <c r="G77" s="383" t="s">
        <v>71</v>
      </c>
      <c r="H77" s="383" t="s">
        <v>5284</v>
      </c>
      <c r="I77" s="383" t="s">
        <v>8375</v>
      </c>
      <c r="J77" s="383" t="s">
        <v>9295</v>
      </c>
      <c r="K77" s="383" t="s">
        <v>8341</v>
      </c>
      <c r="L77" s="383" t="s">
        <v>8341</v>
      </c>
      <c r="M77" s="383" t="s">
        <v>9949</v>
      </c>
      <c r="N77" s="420" t="s">
        <v>44</v>
      </c>
      <c r="O77" s="383" t="str">
        <f>IF(LEN(SUBSTITUTE(Table3937[[#This Row],[PRIMARY CONTACT]]," ",""))=10,SUBSTITUTE(Table3937[[#This Row],[PRIMARY CONTACT]]," ","") &amp; " - Proper","- Follow Up")</f>
        <v>9822367425 - Proper</v>
      </c>
      <c r="P77" s="383" t="s">
        <v>5291</v>
      </c>
      <c r="Q77" s="383">
        <v>9822367425</v>
      </c>
      <c r="R77" s="383" t="str">
        <f>SUBSTITUTE(Table3937[[#This Row],[whatsapp_number]]," ","")</f>
        <v>9822367425</v>
      </c>
      <c r="S77" s="383" t="str">
        <f>IF(Table3937[[#This Row],[PRIMARY CONTACT]]=Table3937[[#This Row],[WHATSAPP CONTACT]],"Same Contact","Different Contact")</f>
        <v>Same Contact</v>
      </c>
      <c r="T77" s="383" t="str">
        <f>IF(LEN(SUBSTITUTE(Table3937[[#This Row],[PRIMARY CONTACT]]," ",""))=10,SUBSTITUTE(Table3937[[#This Row],[PRIMARY CONTACT]]," ","") &amp; " - Proper","- Follow Up")</f>
        <v>9822367425 - Proper</v>
      </c>
      <c r="U77" s="383" t="s">
        <v>8341</v>
      </c>
      <c r="V77" s="393" t="s">
        <v>5288</v>
      </c>
      <c r="W77" s="383" t="s">
        <v>47</v>
      </c>
      <c r="X77" s="420" t="s">
        <v>44</v>
      </c>
      <c r="Y77" s="420" t="s">
        <v>44</v>
      </c>
      <c r="Z77" s="420" t="s">
        <v>44</v>
      </c>
      <c r="AA77" s="420" t="s">
        <v>44</v>
      </c>
      <c r="AB77" s="383"/>
    </row>
    <row r="78" spans="1:28" ht="13.8">
      <c r="A78" s="387">
        <v>77</v>
      </c>
      <c r="B78" s="387" t="s">
        <v>10710</v>
      </c>
      <c r="C78" s="387" t="s">
        <v>10710</v>
      </c>
      <c r="D78" s="387" t="s">
        <v>10710</v>
      </c>
      <c r="E78" s="383" t="s">
        <v>8664</v>
      </c>
      <c r="F78" s="383">
        <v>544</v>
      </c>
      <c r="G78" s="383" t="s">
        <v>71</v>
      </c>
      <c r="H78" s="383" t="s">
        <v>5284</v>
      </c>
      <c r="I78" s="383" t="s">
        <v>8375</v>
      </c>
      <c r="J78" s="383" t="s">
        <v>9296</v>
      </c>
      <c r="K78" s="383" t="s">
        <v>8341</v>
      </c>
      <c r="L78" s="383" t="s">
        <v>8341</v>
      </c>
      <c r="M78" s="383" t="s">
        <v>9950</v>
      </c>
      <c r="N78" s="420" t="s">
        <v>44</v>
      </c>
      <c r="O78" s="383" t="str">
        <f>IF(LEN(SUBSTITUTE(Table3937[[#This Row],[PRIMARY CONTACT]]," ",""))=10,SUBSTITUTE(Table3937[[#This Row],[PRIMARY CONTACT]]," ","") &amp; " - Proper","- Follow Up")</f>
        <v>9823873183 - Proper</v>
      </c>
      <c r="P78" s="383" t="s">
        <v>5294</v>
      </c>
      <c r="Q78" s="383">
        <v>9823873183</v>
      </c>
      <c r="R78" s="383" t="str">
        <f>SUBSTITUTE(Table3937[[#This Row],[whatsapp_number]]," ","")</f>
        <v>9823873183</v>
      </c>
      <c r="S78" s="383" t="str">
        <f>IF(Table3937[[#This Row],[PRIMARY CONTACT]]=Table3937[[#This Row],[WHATSAPP CONTACT]],"Same Contact","Different Contact")</f>
        <v>Same Contact</v>
      </c>
      <c r="T78" s="383" t="str">
        <f>IF(LEN(SUBSTITUTE(Table3937[[#This Row],[PRIMARY CONTACT]]," ",""))=10,SUBSTITUTE(Table3937[[#This Row],[PRIMARY CONTACT]]," ","") &amp; " - Proper","- Follow Up")</f>
        <v>9823873183 - Proper</v>
      </c>
      <c r="U78" s="383" t="s">
        <v>8341</v>
      </c>
      <c r="V78" s="393" t="s">
        <v>5288</v>
      </c>
      <c r="W78" s="383" t="s">
        <v>47</v>
      </c>
      <c r="X78" s="420" t="s">
        <v>44</v>
      </c>
      <c r="Y78" s="420" t="s">
        <v>44</v>
      </c>
      <c r="Z78" s="420" t="s">
        <v>44</v>
      </c>
      <c r="AA78" s="420" t="s">
        <v>44</v>
      </c>
      <c r="AB78" s="383"/>
    </row>
    <row r="79" spans="1:28" ht="13.8">
      <c r="A79" s="387">
        <v>78</v>
      </c>
      <c r="B79" s="387" t="s">
        <v>10710</v>
      </c>
      <c r="C79" s="387" t="s">
        <v>10710</v>
      </c>
      <c r="D79" s="387" t="s">
        <v>10710</v>
      </c>
      <c r="E79" s="383" t="s">
        <v>8665</v>
      </c>
      <c r="F79" s="383">
        <v>545</v>
      </c>
      <c r="G79" s="383" t="s">
        <v>71</v>
      </c>
      <c r="H79" s="383" t="s">
        <v>71</v>
      </c>
      <c r="I79" s="383" t="s">
        <v>8376</v>
      </c>
      <c r="J79" s="383" t="s">
        <v>9297</v>
      </c>
      <c r="K79" s="383" t="s">
        <v>8341</v>
      </c>
      <c r="L79" s="383" t="s">
        <v>8341</v>
      </c>
      <c r="M79" s="383" t="s">
        <v>9951</v>
      </c>
      <c r="N79" s="420" t="s">
        <v>44</v>
      </c>
      <c r="O79" s="383" t="str">
        <f>IF(LEN(SUBSTITUTE(Table3937[[#This Row],[PRIMARY CONTACT]]," ",""))=10,SUBSTITUTE(Table3937[[#This Row],[PRIMARY CONTACT]]," ","") &amp; " - Proper","- Follow Up")</f>
        <v>9927064999 - Proper</v>
      </c>
      <c r="P79" s="383" t="s">
        <v>5298</v>
      </c>
      <c r="Q79" s="383">
        <v>9927064999</v>
      </c>
      <c r="R79" s="383" t="str">
        <f>SUBSTITUTE(Table3937[[#This Row],[whatsapp_number]]," ","")</f>
        <v>9927064999</v>
      </c>
      <c r="S79" s="383" t="str">
        <f>IF(Table3937[[#This Row],[PRIMARY CONTACT]]=Table3937[[#This Row],[WHATSAPP CONTACT]],"Same Contact","Different Contact")</f>
        <v>Same Contact</v>
      </c>
      <c r="T79" s="383" t="str">
        <f>IF(LEN(SUBSTITUTE(Table3937[[#This Row],[PRIMARY CONTACT]]," ",""))=10,SUBSTITUTE(Table3937[[#This Row],[PRIMARY CONTACT]]," ","") &amp; " - Proper","- Follow Up")</f>
        <v>9927064999 - Proper</v>
      </c>
      <c r="U79" s="383" t="s">
        <v>8341</v>
      </c>
      <c r="V79" s="383" t="s">
        <v>71</v>
      </c>
      <c r="W79" s="383" t="s">
        <v>47</v>
      </c>
      <c r="X79" s="420" t="s">
        <v>44</v>
      </c>
      <c r="Y79" s="420" t="s">
        <v>44</v>
      </c>
      <c r="Z79" s="420" t="s">
        <v>44</v>
      </c>
      <c r="AA79" s="420" t="s">
        <v>44</v>
      </c>
      <c r="AB79" s="383"/>
    </row>
    <row r="80" spans="1:28" ht="13.8">
      <c r="A80" s="387">
        <v>79</v>
      </c>
      <c r="B80" s="387" t="s">
        <v>10710</v>
      </c>
      <c r="C80" s="387" t="s">
        <v>10710</v>
      </c>
      <c r="D80" s="387" t="s">
        <v>10710</v>
      </c>
      <c r="E80" s="383" t="s">
        <v>8666</v>
      </c>
      <c r="F80" s="383">
        <v>546</v>
      </c>
      <c r="G80" s="383" t="s">
        <v>71</v>
      </c>
      <c r="H80" s="383" t="s">
        <v>71</v>
      </c>
      <c r="I80" s="383" t="s">
        <v>8376</v>
      </c>
      <c r="J80" s="383" t="s">
        <v>9298</v>
      </c>
      <c r="K80" s="383" t="s">
        <v>8341</v>
      </c>
      <c r="L80" s="383" t="s">
        <v>8341</v>
      </c>
      <c r="M80" s="383" t="s">
        <v>9952</v>
      </c>
      <c r="N80" s="420" t="s">
        <v>44</v>
      </c>
      <c r="O80" s="383" t="str">
        <f>IF(LEN(SUBSTITUTE(Table3937[[#This Row],[PRIMARY CONTACT]]," ",""))=10,SUBSTITUTE(Table3937[[#This Row],[PRIMARY CONTACT]]," ","") &amp; " - Proper","- Follow Up")</f>
        <v>9837054999 - Proper</v>
      </c>
      <c r="P80" s="383" t="s">
        <v>5301</v>
      </c>
      <c r="Q80" s="383">
        <v>9837054999</v>
      </c>
      <c r="R80" s="383" t="str">
        <f>SUBSTITUTE(Table3937[[#This Row],[whatsapp_number]]," ","")</f>
        <v>9837054999</v>
      </c>
      <c r="S80" s="383" t="str">
        <f>IF(Table3937[[#This Row],[PRIMARY CONTACT]]=Table3937[[#This Row],[WHATSAPP CONTACT]],"Same Contact","Different Contact")</f>
        <v>Same Contact</v>
      </c>
      <c r="T80" s="383" t="str">
        <f>IF(LEN(SUBSTITUTE(Table3937[[#This Row],[PRIMARY CONTACT]]," ",""))=10,SUBSTITUTE(Table3937[[#This Row],[PRIMARY CONTACT]]," ","") &amp; " - Proper","- Follow Up")</f>
        <v>9837054999 - Proper</v>
      </c>
      <c r="U80" s="383" t="s">
        <v>8341</v>
      </c>
      <c r="V80" s="383" t="s">
        <v>71</v>
      </c>
      <c r="W80" s="383" t="s">
        <v>47</v>
      </c>
      <c r="X80" s="420" t="s">
        <v>44</v>
      </c>
      <c r="Y80" s="420" t="s">
        <v>44</v>
      </c>
      <c r="Z80" s="420" t="s">
        <v>44</v>
      </c>
      <c r="AA80" s="420" t="s">
        <v>44</v>
      </c>
      <c r="AB80" s="383"/>
    </row>
    <row r="81" spans="1:28" ht="13.8">
      <c r="A81" s="387">
        <v>80</v>
      </c>
      <c r="B81" s="387" t="s">
        <v>10710</v>
      </c>
      <c r="C81" s="387" t="s">
        <v>10710</v>
      </c>
      <c r="D81" s="387" t="s">
        <v>10710</v>
      </c>
      <c r="E81" s="383" t="s">
        <v>8667</v>
      </c>
      <c r="F81" s="383">
        <v>547</v>
      </c>
      <c r="G81" s="383" t="s">
        <v>71</v>
      </c>
      <c r="H81" s="383" t="s">
        <v>71</v>
      </c>
      <c r="I81" s="383" t="s">
        <v>8377</v>
      </c>
      <c r="J81" s="383" t="s">
        <v>9299</v>
      </c>
      <c r="K81" s="383" t="s">
        <v>9503</v>
      </c>
      <c r="L81" s="383" t="s">
        <v>8341</v>
      </c>
      <c r="M81" s="383" t="s">
        <v>9953</v>
      </c>
      <c r="N81" s="420" t="s">
        <v>44</v>
      </c>
      <c r="O81" s="383" t="str">
        <f>IF(LEN(SUBSTITUTE(Table3937[[#This Row],[PRIMARY CONTACT]]," ",""))=10,SUBSTITUTE(Table3937[[#This Row],[PRIMARY CONTACT]]," ","") &amp; " - Proper","- Follow Up")</f>
        <v>9898063243 - Proper</v>
      </c>
      <c r="P81" s="383" t="s">
        <v>5306</v>
      </c>
      <c r="Q81" s="383">
        <v>9898063243</v>
      </c>
      <c r="R81" s="383" t="str">
        <f>SUBSTITUTE(Table3937[[#This Row],[whatsapp_number]]," ","")</f>
        <v>9898063243</v>
      </c>
      <c r="S81" s="383" t="str">
        <f>IF(Table3937[[#This Row],[PRIMARY CONTACT]]=Table3937[[#This Row],[WHATSAPP CONTACT]],"Same Contact","Different Contact")</f>
        <v>Same Contact</v>
      </c>
      <c r="T81" s="383" t="str">
        <f>IF(LEN(SUBSTITUTE(Table3937[[#This Row],[PRIMARY CONTACT]]," ",""))=10,SUBSTITUTE(Table3937[[#This Row],[PRIMARY CONTACT]]," ","") &amp; " - Proper","- Follow Up")</f>
        <v>9898063243 - Proper</v>
      </c>
      <c r="U81" s="383" t="s">
        <v>8341</v>
      </c>
      <c r="V81" s="383" t="s">
        <v>71</v>
      </c>
      <c r="W81" s="383" t="s">
        <v>47</v>
      </c>
      <c r="X81" s="420" t="s">
        <v>44</v>
      </c>
      <c r="Y81" s="420" t="s">
        <v>44</v>
      </c>
      <c r="Z81" s="420" t="s">
        <v>44</v>
      </c>
      <c r="AA81" s="420" t="s">
        <v>44</v>
      </c>
      <c r="AB81" s="383"/>
    </row>
    <row r="82" spans="1:28" ht="13.8">
      <c r="A82" s="387">
        <v>81</v>
      </c>
      <c r="B82" s="387" t="s">
        <v>10710</v>
      </c>
      <c r="C82" s="387" t="s">
        <v>10710</v>
      </c>
      <c r="D82" s="387" t="s">
        <v>10710</v>
      </c>
      <c r="E82" s="383" t="s">
        <v>8668</v>
      </c>
      <c r="F82" s="383">
        <v>548</v>
      </c>
      <c r="G82" s="383" t="s">
        <v>71</v>
      </c>
      <c r="H82" s="383" t="s">
        <v>71</v>
      </c>
      <c r="I82" s="383" t="s">
        <v>8377</v>
      </c>
      <c r="J82" s="383" t="s">
        <v>9300</v>
      </c>
      <c r="K82" s="383" t="s">
        <v>9504</v>
      </c>
      <c r="L82" s="383" t="s">
        <v>8341</v>
      </c>
      <c r="M82" s="383" t="s">
        <v>9954</v>
      </c>
      <c r="N82" s="420" t="s">
        <v>44</v>
      </c>
      <c r="O82" s="383" t="str">
        <f>IF(LEN(SUBSTITUTE(Table3937[[#This Row],[PRIMARY CONTACT]]," ",""))=10,SUBSTITUTE(Table3937[[#This Row],[PRIMARY CONTACT]]," ","") &amp; " - Proper","- Follow Up")</f>
        <v>9662013243 - Proper</v>
      </c>
      <c r="P82" s="383" t="s">
        <v>5310</v>
      </c>
      <c r="Q82" s="383">
        <v>9662013243</v>
      </c>
      <c r="R82" s="383" t="str">
        <f>SUBSTITUTE(Table3937[[#This Row],[whatsapp_number]]," ","")</f>
        <v>9662013243</v>
      </c>
      <c r="S82" s="383" t="str">
        <f>IF(Table3937[[#This Row],[PRIMARY CONTACT]]=Table3937[[#This Row],[WHATSAPP CONTACT]],"Same Contact","Different Contact")</f>
        <v>Same Contact</v>
      </c>
      <c r="T82" s="383" t="str">
        <f>IF(LEN(SUBSTITUTE(Table3937[[#This Row],[PRIMARY CONTACT]]," ",""))=10,SUBSTITUTE(Table3937[[#This Row],[PRIMARY CONTACT]]," ","") &amp; " - Proper","- Follow Up")</f>
        <v>9662013243 - Proper</v>
      </c>
      <c r="U82" s="383" t="s">
        <v>8341</v>
      </c>
      <c r="V82" s="383" t="s">
        <v>71</v>
      </c>
      <c r="W82" s="383" t="s">
        <v>47</v>
      </c>
      <c r="X82" s="420" t="s">
        <v>44</v>
      </c>
      <c r="Y82" s="420" t="s">
        <v>44</v>
      </c>
      <c r="Z82" s="420" t="s">
        <v>44</v>
      </c>
      <c r="AA82" s="420" t="s">
        <v>44</v>
      </c>
      <c r="AB82" s="383"/>
    </row>
    <row r="83" spans="1:28" ht="13.8">
      <c r="A83" s="387">
        <v>82</v>
      </c>
      <c r="B83" s="387" t="s">
        <v>10710</v>
      </c>
      <c r="C83" s="387" t="s">
        <v>10710</v>
      </c>
      <c r="D83" s="387" t="s">
        <v>10710</v>
      </c>
      <c r="E83" s="383" t="s">
        <v>8669</v>
      </c>
      <c r="F83" s="383">
        <v>549</v>
      </c>
      <c r="G83" s="383" t="s">
        <v>71</v>
      </c>
      <c r="H83" s="383" t="s">
        <v>71</v>
      </c>
      <c r="I83" s="383" t="s">
        <v>8377</v>
      </c>
      <c r="J83" s="383" t="s">
        <v>9301</v>
      </c>
      <c r="K83" s="383" t="s">
        <v>9503</v>
      </c>
      <c r="L83" s="383" t="s">
        <v>8341</v>
      </c>
      <c r="M83" s="383" t="s">
        <v>9955</v>
      </c>
      <c r="N83" s="420" t="s">
        <v>44</v>
      </c>
      <c r="O83" s="383" t="str">
        <f>IF(LEN(SUBSTITUTE(Table3937[[#This Row],[PRIMARY CONTACT]]," ",""))=10,SUBSTITUTE(Table3937[[#This Row],[PRIMARY CONTACT]]," ","") &amp; " - Proper","- Follow Up")</f>
        <v>9898955222 - Proper</v>
      </c>
      <c r="P83" s="383" t="s">
        <v>5313</v>
      </c>
      <c r="Q83" s="383">
        <v>9898955222</v>
      </c>
      <c r="R83" s="383" t="str">
        <f>SUBSTITUTE(Table3937[[#This Row],[whatsapp_number]]," ","")</f>
        <v>9898955222</v>
      </c>
      <c r="S83" s="383" t="str">
        <f>IF(Table3937[[#This Row],[PRIMARY CONTACT]]=Table3937[[#This Row],[WHATSAPP CONTACT]],"Same Contact","Different Contact")</f>
        <v>Same Contact</v>
      </c>
      <c r="T83" s="383" t="str">
        <f>IF(LEN(SUBSTITUTE(Table3937[[#This Row],[PRIMARY CONTACT]]," ",""))=10,SUBSTITUTE(Table3937[[#This Row],[PRIMARY CONTACT]]," ","") &amp; " - Proper","- Follow Up")</f>
        <v>9898955222 - Proper</v>
      </c>
      <c r="U83" s="383" t="s">
        <v>8341</v>
      </c>
      <c r="V83" s="383" t="s">
        <v>71</v>
      </c>
      <c r="W83" s="383" t="s">
        <v>47</v>
      </c>
      <c r="X83" s="420" t="s">
        <v>44</v>
      </c>
      <c r="Y83" s="420" t="s">
        <v>44</v>
      </c>
      <c r="Z83" s="420" t="s">
        <v>44</v>
      </c>
      <c r="AA83" s="420" t="s">
        <v>44</v>
      </c>
      <c r="AB83" s="383"/>
    </row>
    <row r="84" spans="1:28" ht="13.8">
      <c r="A84" s="387">
        <v>83</v>
      </c>
      <c r="B84" s="387" t="s">
        <v>10710</v>
      </c>
      <c r="C84" s="387" t="s">
        <v>10710</v>
      </c>
      <c r="D84" s="387" t="s">
        <v>10710</v>
      </c>
      <c r="E84" s="383" t="s">
        <v>8670</v>
      </c>
      <c r="F84" s="383">
        <v>550</v>
      </c>
      <c r="G84" s="383" t="s">
        <v>71</v>
      </c>
      <c r="H84" s="383" t="s">
        <v>5315</v>
      </c>
      <c r="I84" s="383" t="s">
        <v>8378</v>
      </c>
      <c r="J84" s="383" t="s">
        <v>9302</v>
      </c>
      <c r="K84" s="383" t="s">
        <v>191</v>
      </c>
      <c r="L84" s="383" t="s">
        <v>8341</v>
      </c>
      <c r="M84" s="383" t="s">
        <v>9956</v>
      </c>
      <c r="N84" s="420" t="s">
        <v>44</v>
      </c>
      <c r="O84" s="383" t="str">
        <f>IF(LEN(SUBSTITUTE(Table3937[[#This Row],[PRIMARY CONTACT]]," ",""))=10,SUBSTITUTE(Table3937[[#This Row],[PRIMARY CONTACT]]," ","") &amp; " - Proper","- Follow Up")</f>
        <v>9873075990 - Proper</v>
      </c>
      <c r="P84" s="383" t="s">
        <v>5318</v>
      </c>
      <c r="Q84" s="383">
        <v>9873075990</v>
      </c>
      <c r="R84" s="383" t="str">
        <f>SUBSTITUTE(Table3937[[#This Row],[whatsapp_number]]," ","")</f>
        <v>9873075990</v>
      </c>
      <c r="S84" s="383" t="str">
        <f>IF(Table3937[[#This Row],[PRIMARY CONTACT]]=Table3937[[#This Row],[WHATSAPP CONTACT]],"Same Contact","Different Contact")</f>
        <v>Same Contact</v>
      </c>
      <c r="T84" s="383" t="str">
        <f>IF(LEN(SUBSTITUTE(Table3937[[#This Row],[PRIMARY CONTACT]]," ",""))=10,SUBSTITUTE(Table3937[[#This Row],[PRIMARY CONTACT]]," ","") &amp; " - Proper","- Follow Up")</f>
        <v>9873075990 - Proper</v>
      </c>
      <c r="U84" s="383" t="s">
        <v>8341</v>
      </c>
      <c r="V84" s="393" t="s">
        <v>5319</v>
      </c>
      <c r="W84" s="383" t="s">
        <v>47</v>
      </c>
      <c r="X84" s="420" t="s">
        <v>44</v>
      </c>
      <c r="Y84" s="420" t="s">
        <v>44</v>
      </c>
      <c r="Z84" s="420" t="s">
        <v>44</v>
      </c>
      <c r="AA84" s="420" t="s">
        <v>44</v>
      </c>
      <c r="AB84" s="383"/>
    </row>
    <row r="85" spans="1:28" ht="13.8">
      <c r="A85" s="387">
        <v>84</v>
      </c>
      <c r="B85" s="387" t="s">
        <v>10710</v>
      </c>
      <c r="C85" s="387" t="s">
        <v>10710</v>
      </c>
      <c r="D85" s="387" t="s">
        <v>10710</v>
      </c>
      <c r="E85" s="383" t="s">
        <v>8671</v>
      </c>
      <c r="F85" s="383">
        <v>551</v>
      </c>
      <c r="G85" s="383" t="s">
        <v>71</v>
      </c>
      <c r="H85" s="383" t="s">
        <v>5315</v>
      </c>
      <c r="I85" s="383" t="s">
        <v>8378</v>
      </c>
      <c r="J85" s="383" t="s">
        <v>9303</v>
      </c>
      <c r="K85" s="383" t="s">
        <v>191</v>
      </c>
      <c r="L85" s="383" t="s">
        <v>8341</v>
      </c>
      <c r="M85" s="383" t="s">
        <v>9957</v>
      </c>
      <c r="N85" s="420" t="s">
        <v>44</v>
      </c>
      <c r="O85" s="383" t="str">
        <f>IF(LEN(SUBSTITUTE(Table3937[[#This Row],[PRIMARY CONTACT]]," ",""))=10,SUBSTITUTE(Table3937[[#This Row],[PRIMARY CONTACT]]," ","") &amp; " - Proper","- Follow Up")</f>
        <v>9818277802 - Proper</v>
      </c>
      <c r="P85" s="383" t="s">
        <v>5322</v>
      </c>
      <c r="Q85" s="383">
        <v>9818277802</v>
      </c>
      <c r="R85" s="383" t="str">
        <f>SUBSTITUTE(Table3937[[#This Row],[whatsapp_number]]," ","")</f>
        <v>9818277802</v>
      </c>
      <c r="S85" s="383" t="str">
        <f>IF(Table3937[[#This Row],[PRIMARY CONTACT]]=Table3937[[#This Row],[WHATSAPP CONTACT]],"Same Contact","Different Contact")</f>
        <v>Same Contact</v>
      </c>
      <c r="T85" s="383" t="str">
        <f>IF(LEN(SUBSTITUTE(Table3937[[#This Row],[PRIMARY CONTACT]]," ",""))=10,SUBSTITUTE(Table3937[[#This Row],[PRIMARY CONTACT]]," ","") &amp; " - Proper","- Follow Up")</f>
        <v>9818277802 - Proper</v>
      </c>
      <c r="U85" s="383" t="s">
        <v>8341</v>
      </c>
      <c r="V85" s="393" t="s">
        <v>5319</v>
      </c>
      <c r="W85" s="383" t="s">
        <v>47</v>
      </c>
      <c r="X85" s="420" t="s">
        <v>44</v>
      </c>
      <c r="Y85" s="420" t="s">
        <v>44</v>
      </c>
      <c r="Z85" s="420" t="s">
        <v>44</v>
      </c>
      <c r="AA85" s="420" t="s">
        <v>44</v>
      </c>
      <c r="AB85" s="383"/>
    </row>
    <row r="86" spans="1:28" ht="13.8">
      <c r="A86" s="387">
        <v>85</v>
      </c>
      <c r="B86" s="387" t="s">
        <v>10710</v>
      </c>
      <c r="C86" s="387" t="s">
        <v>10710</v>
      </c>
      <c r="D86" s="387" t="s">
        <v>10710</v>
      </c>
      <c r="E86" s="383" t="s">
        <v>8672</v>
      </c>
      <c r="F86" s="383">
        <v>552</v>
      </c>
      <c r="G86" s="383" t="s">
        <v>71</v>
      </c>
      <c r="H86" s="383" t="s">
        <v>5315</v>
      </c>
      <c r="I86" s="383" t="s">
        <v>8378</v>
      </c>
      <c r="J86" s="383" t="s">
        <v>9304</v>
      </c>
      <c r="K86" s="383" t="s">
        <v>2557</v>
      </c>
      <c r="L86" s="383" t="s">
        <v>8341</v>
      </c>
      <c r="M86" s="383" t="s">
        <v>9958</v>
      </c>
      <c r="N86" s="420" t="s">
        <v>44</v>
      </c>
      <c r="O86" s="383" t="str">
        <f>IF(LEN(SUBSTITUTE(Table3937[[#This Row],[PRIMARY CONTACT]]," ",""))=10,SUBSTITUTE(Table3937[[#This Row],[PRIMARY CONTACT]]," ","") &amp; " - Proper","- Follow Up")</f>
        <v>8800209298 - Proper</v>
      </c>
      <c r="P86" s="383" t="s">
        <v>5326</v>
      </c>
      <c r="Q86" s="383">
        <v>8800209298</v>
      </c>
      <c r="R86" s="383" t="str">
        <f>SUBSTITUTE(Table3937[[#This Row],[whatsapp_number]]," ","")</f>
        <v>8800209298</v>
      </c>
      <c r="S86" s="383" t="str">
        <f>IF(Table3937[[#This Row],[PRIMARY CONTACT]]=Table3937[[#This Row],[WHATSAPP CONTACT]],"Same Contact","Different Contact")</f>
        <v>Same Contact</v>
      </c>
      <c r="T86" s="383" t="str">
        <f>IF(LEN(SUBSTITUTE(Table3937[[#This Row],[PRIMARY CONTACT]]," ",""))=10,SUBSTITUTE(Table3937[[#This Row],[PRIMARY CONTACT]]," ","") &amp; " - Proper","- Follow Up")</f>
        <v>8800209298 - Proper</v>
      </c>
      <c r="U86" s="383" t="s">
        <v>8341</v>
      </c>
      <c r="V86" s="393" t="s">
        <v>5319</v>
      </c>
      <c r="W86" s="383" t="s">
        <v>47</v>
      </c>
      <c r="X86" s="420" t="s">
        <v>44</v>
      </c>
      <c r="Y86" s="420" t="s">
        <v>44</v>
      </c>
      <c r="Z86" s="420" t="s">
        <v>44</v>
      </c>
      <c r="AA86" s="420" t="s">
        <v>44</v>
      </c>
      <c r="AB86" s="383"/>
    </row>
    <row r="87" spans="1:28" ht="13.8">
      <c r="A87" s="387">
        <v>86</v>
      </c>
      <c r="B87" s="387" t="s">
        <v>10710</v>
      </c>
      <c r="C87" s="387" t="s">
        <v>10710</v>
      </c>
      <c r="D87" s="387" t="s">
        <v>10710</v>
      </c>
      <c r="E87" s="383" t="s">
        <v>8673</v>
      </c>
      <c r="F87" s="383">
        <v>553</v>
      </c>
      <c r="G87" s="383" t="s">
        <v>71</v>
      </c>
      <c r="H87" s="383" t="s">
        <v>71</v>
      </c>
      <c r="I87" s="383" t="s">
        <v>8379</v>
      </c>
      <c r="J87" s="383" t="s">
        <v>9305</v>
      </c>
      <c r="K87" s="383" t="s">
        <v>8341</v>
      </c>
      <c r="L87" s="383" t="s">
        <v>8341</v>
      </c>
      <c r="M87" s="383" t="s">
        <v>9959</v>
      </c>
      <c r="N87" s="420" t="s">
        <v>44</v>
      </c>
      <c r="O87" s="383" t="str">
        <f>IF(LEN(SUBSTITUTE(Table3937[[#This Row],[PRIMARY CONTACT]]," ",""))=10,SUBSTITUTE(Table3937[[#This Row],[PRIMARY CONTACT]]," ","") &amp; " - Proper","- Follow Up")</f>
        <v>9099191999 - Proper</v>
      </c>
      <c r="P87" s="383" t="s">
        <v>5330</v>
      </c>
      <c r="Q87" s="383">
        <v>9099191999</v>
      </c>
      <c r="R87" s="383" t="str">
        <f>SUBSTITUTE(Table3937[[#This Row],[whatsapp_number]]," ","")</f>
        <v>9099191999</v>
      </c>
      <c r="S87" s="383" t="str">
        <f>IF(Table3937[[#This Row],[PRIMARY CONTACT]]=Table3937[[#This Row],[WHATSAPP CONTACT]],"Same Contact","Different Contact")</f>
        <v>Same Contact</v>
      </c>
      <c r="T87" s="383" t="str">
        <f>IF(LEN(SUBSTITUTE(Table3937[[#This Row],[PRIMARY CONTACT]]," ",""))=10,SUBSTITUTE(Table3937[[#This Row],[PRIMARY CONTACT]]," ","") &amp; " - Proper","- Follow Up")</f>
        <v>9099191999 - Proper</v>
      </c>
      <c r="U87" s="383" t="s">
        <v>8341</v>
      </c>
      <c r="V87" s="383" t="s">
        <v>71</v>
      </c>
      <c r="W87" s="383" t="s">
        <v>47</v>
      </c>
      <c r="X87" s="420" t="s">
        <v>44</v>
      </c>
      <c r="Y87" s="420" t="s">
        <v>44</v>
      </c>
      <c r="Z87" s="420" t="s">
        <v>44</v>
      </c>
      <c r="AA87" s="420" t="s">
        <v>44</v>
      </c>
      <c r="AB87" s="383"/>
    </row>
    <row r="88" spans="1:28" ht="13.8">
      <c r="A88" s="387">
        <v>87</v>
      </c>
      <c r="B88" s="387" t="s">
        <v>10710</v>
      </c>
      <c r="C88" s="387" t="s">
        <v>10710</v>
      </c>
      <c r="D88" s="387" t="s">
        <v>10710</v>
      </c>
      <c r="E88" s="383" t="s">
        <v>8674</v>
      </c>
      <c r="F88" s="383">
        <v>554</v>
      </c>
      <c r="G88" s="383" t="s">
        <v>71</v>
      </c>
      <c r="H88" s="383" t="s">
        <v>5332</v>
      </c>
      <c r="I88" s="383" t="s">
        <v>8380</v>
      </c>
      <c r="J88" s="383" t="s">
        <v>9306</v>
      </c>
      <c r="K88" s="383" t="s">
        <v>8341</v>
      </c>
      <c r="L88" s="383" t="s">
        <v>8341</v>
      </c>
      <c r="M88" s="383" t="s">
        <v>9960</v>
      </c>
      <c r="N88" s="420" t="s">
        <v>44</v>
      </c>
      <c r="O88" s="383" t="str">
        <f>IF(LEN(SUBSTITUTE(Table3937[[#This Row],[PRIMARY CONTACT]]," ",""))=10,SUBSTITUTE(Table3937[[#This Row],[PRIMARY CONTACT]]," ","") &amp; " - Proper","- Follow Up")</f>
        <v>9373373305 - Proper</v>
      </c>
      <c r="P88" s="383" t="s">
        <v>5335</v>
      </c>
      <c r="Q88" s="383">
        <v>9373373305</v>
      </c>
      <c r="R88" s="383" t="str">
        <f>SUBSTITUTE(Table3937[[#This Row],[whatsapp_number]]," ","")</f>
        <v>9373373305</v>
      </c>
      <c r="S88" s="383" t="str">
        <f>IF(Table3937[[#This Row],[PRIMARY CONTACT]]=Table3937[[#This Row],[WHATSAPP CONTACT]],"Same Contact","Different Contact")</f>
        <v>Same Contact</v>
      </c>
      <c r="T88" s="383" t="str">
        <f>IF(LEN(SUBSTITUTE(Table3937[[#This Row],[PRIMARY CONTACT]]," ",""))=10,SUBSTITUTE(Table3937[[#This Row],[PRIMARY CONTACT]]," ","") &amp; " - Proper","- Follow Up")</f>
        <v>9373373305 - Proper</v>
      </c>
      <c r="U88" s="383" t="s">
        <v>8341</v>
      </c>
      <c r="V88" s="393" t="s">
        <v>5336</v>
      </c>
      <c r="W88" s="383" t="s">
        <v>47</v>
      </c>
      <c r="X88" s="420" t="s">
        <v>44</v>
      </c>
      <c r="Y88" s="420" t="s">
        <v>44</v>
      </c>
      <c r="Z88" s="420" t="s">
        <v>44</v>
      </c>
      <c r="AA88" s="420" t="s">
        <v>44</v>
      </c>
      <c r="AB88" s="383"/>
    </row>
    <row r="89" spans="1:28" ht="13.8">
      <c r="A89" s="387">
        <v>88</v>
      </c>
      <c r="B89" s="387" t="s">
        <v>10710</v>
      </c>
      <c r="C89" s="387" t="s">
        <v>10710</v>
      </c>
      <c r="D89" s="387" t="s">
        <v>10710</v>
      </c>
      <c r="E89" s="383" t="s">
        <v>8675</v>
      </c>
      <c r="F89" s="383">
        <v>555</v>
      </c>
      <c r="G89" s="383" t="s">
        <v>71</v>
      </c>
      <c r="H89" s="383" t="s">
        <v>5332</v>
      </c>
      <c r="I89" s="383" t="s">
        <v>8380</v>
      </c>
      <c r="J89" s="383" t="s">
        <v>9307</v>
      </c>
      <c r="K89" s="383" t="s">
        <v>8341</v>
      </c>
      <c r="L89" s="383" t="s">
        <v>8341</v>
      </c>
      <c r="M89" s="383" t="s">
        <v>9961</v>
      </c>
      <c r="N89" s="420" t="s">
        <v>44</v>
      </c>
      <c r="O89" s="383" t="str">
        <f>IF(LEN(SUBSTITUTE(Table3937[[#This Row],[PRIMARY CONTACT]]," ",""))=10,SUBSTITUTE(Table3937[[#This Row],[PRIMARY CONTACT]]," ","") &amp; " - Proper","- Follow Up")</f>
        <v>9373373306 - Proper</v>
      </c>
      <c r="P89" s="383" t="s">
        <v>5339</v>
      </c>
      <c r="Q89" s="383">
        <v>9373373306</v>
      </c>
      <c r="R89" s="383" t="str">
        <f>SUBSTITUTE(Table3937[[#This Row],[whatsapp_number]]," ","")</f>
        <v>9373373306</v>
      </c>
      <c r="S89" s="383" t="str">
        <f>IF(Table3937[[#This Row],[PRIMARY CONTACT]]=Table3937[[#This Row],[WHATSAPP CONTACT]],"Same Contact","Different Contact")</f>
        <v>Same Contact</v>
      </c>
      <c r="T89" s="383" t="str">
        <f>IF(LEN(SUBSTITUTE(Table3937[[#This Row],[PRIMARY CONTACT]]," ",""))=10,SUBSTITUTE(Table3937[[#This Row],[PRIMARY CONTACT]]," ","") &amp; " - Proper","- Follow Up")</f>
        <v>9373373306 - Proper</v>
      </c>
      <c r="U89" s="383" t="s">
        <v>8341</v>
      </c>
      <c r="V89" s="393" t="s">
        <v>5336</v>
      </c>
      <c r="W89" s="383" t="s">
        <v>47</v>
      </c>
      <c r="X89" s="420" t="s">
        <v>44</v>
      </c>
      <c r="Y89" s="420" t="s">
        <v>44</v>
      </c>
      <c r="Z89" s="420" t="s">
        <v>44</v>
      </c>
      <c r="AA89" s="420" t="s">
        <v>44</v>
      </c>
      <c r="AB89" s="383"/>
    </row>
    <row r="90" spans="1:28" ht="13.8">
      <c r="A90" s="387">
        <v>89</v>
      </c>
      <c r="B90" s="387" t="s">
        <v>10710</v>
      </c>
      <c r="C90" s="387" t="s">
        <v>10710</v>
      </c>
      <c r="D90" s="387" t="s">
        <v>10710</v>
      </c>
      <c r="E90" s="383" t="s">
        <v>8676</v>
      </c>
      <c r="F90" s="383">
        <v>556</v>
      </c>
      <c r="G90" s="383" t="s">
        <v>71</v>
      </c>
      <c r="H90" s="383" t="s">
        <v>71</v>
      </c>
      <c r="I90" s="383" t="s">
        <v>8381</v>
      </c>
      <c r="J90" s="383" t="s">
        <v>9308</v>
      </c>
      <c r="K90" s="383" t="s">
        <v>8341</v>
      </c>
      <c r="L90" s="383" t="s">
        <v>8341</v>
      </c>
      <c r="M90" s="383" t="s">
        <v>9962</v>
      </c>
      <c r="N90" s="420" t="s">
        <v>44</v>
      </c>
      <c r="O90" s="383" t="str">
        <f>IF(LEN(SUBSTITUTE(Table3937[[#This Row],[PRIMARY CONTACT]]," ",""))=10,SUBSTITUTE(Table3937[[#This Row],[PRIMARY CONTACT]]," ","") &amp; " - Proper","- Follow Up")</f>
        <v>9816030003 - Proper</v>
      </c>
      <c r="P90" s="383" t="s">
        <v>5343</v>
      </c>
      <c r="Q90" s="383">
        <v>9816030003</v>
      </c>
      <c r="R90" s="383" t="str">
        <f>SUBSTITUTE(Table3937[[#This Row],[whatsapp_number]]," ","")</f>
        <v>9816030003</v>
      </c>
      <c r="S90" s="383" t="str">
        <f>IF(Table3937[[#This Row],[PRIMARY CONTACT]]=Table3937[[#This Row],[WHATSAPP CONTACT]],"Same Contact","Different Contact")</f>
        <v>Same Contact</v>
      </c>
      <c r="T90" s="383" t="str">
        <f>IF(LEN(SUBSTITUTE(Table3937[[#This Row],[PRIMARY CONTACT]]," ",""))=10,SUBSTITUTE(Table3937[[#This Row],[PRIMARY CONTACT]]," ","") &amp; " - Proper","- Follow Up")</f>
        <v>9816030003 - Proper</v>
      </c>
      <c r="U90" s="383" t="s">
        <v>8341</v>
      </c>
      <c r="V90" s="383" t="s">
        <v>71</v>
      </c>
      <c r="W90" s="383" t="s">
        <v>47</v>
      </c>
      <c r="X90" s="420" t="s">
        <v>44</v>
      </c>
      <c r="Y90" s="420" t="s">
        <v>44</v>
      </c>
      <c r="Z90" s="420" t="s">
        <v>44</v>
      </c>
      <c r="AA90" s="420" t="s">
        <v>44</v>
      </c>
      <c r="AB90" s="383"/>
    </row>
    <row r="91" spans="1:28" ht="13.8">
      <c r="A91" s="387">
        <v>90</v>
      </c>
      <c r="B91" s="387" t="s">
        <v>10710</v>
      </c>
      <c r="C91" s="387" t="s">
        <v>10710</v>
      </c>
      <c r="D91" s="387" t="s">
        <v>10710</v>
      </c>
      <c r="E91" s="383" t="s">
        <v>8677</v>
      </c>
      <c r="F91" s="383">
        <v>557</v>
      </c>
      <c r="G91" s="383" t="s">
        <v>71</v>
      </c>
      <c r="H91" s="383" t="s">
        <v>5345</v>
      </c>
      <c r="I91" s="383" t="s">
        <v>8382</v>
      </c>
      <c r="J91" s="383" t="s">
        <v>9309</v>
      </c>
      <c r="K91" s="383" t="s">
        <v>8341</v>
      </c>
      <c r="L91" s="383" t="s">
        <v>8341</v>
      </c>
      <c r="M91" s="383" t="s">
        <v>9963</v>
      </c>
      <c r="N91" s="420" t="s">
        <v>44</v>
      </c>
      <c r="O91" s="383" t="str">
        <f>IF(LEN(SUBSTITUTE(Table3937[[#This Row],[PRIMARY CONTACT]]," ",""))=10,SUBSTITUTE(Table3937[[#This Row],[PRIMARY CONTACT]]," ","") &amp; " - Proper","- Follow Up")</f>
        <v>9940147199 - Proper</v>
      </c>
      <c r="P91" s="383" t="s">
        <v>5348</v>
      </c>
      <c r="Q91" s="383">
        <v>9940147199</v>
      </c>
      <c r="R91" s="383" t="str">
        <f>SUBSTITUTE(Table3937[[#This Row],[whatsapp_number]]," ","")</f>
        <v>9940147199</v>
      </c>
      <c r="S91" s="383" t="str">
        <f>IF(Table3937[[#This Row],[PRIMARY CONTACT]]=Table3937[[#This Row],[WHATSAPP CONTACT]],"Same Contact","Different Contact")</f>
        <v>Same Contact</v>
      </c>
      <c r="T91" s="383" t="str">
        <f>IF(LEN(SUBSTITUTE(Table3937[[#This Row],[PRIMARY CONTACT]]," ",""))=10,SUBSTITUTE(Table3937[[#This Row],[PRIMARY CONTACT]]," ","") &amp; " - Proper","- Follow Up")</f>
        <v>9940147199 - Proper</v>
      </c>
      <c r="U91" s="383" t="s">
        <v>8341</v>
      </c>
      <c r="V91" s="383" t="s">
        <v>71</v>
      </c>
      <c r="W91" s="383" t="s">
        <v>47</v>
      </c>
      <c r="X91" s="420" t="s">
        <v>44</v>
      </c>
      <c r="Y91" s="420" t="s">
        <v>44</v>
      </c>
      <c r="Z91" s="420" t="s">
        <v>44</v>
      </c>
      <c r="AA91" s="420" t="s">
        <v>44</v>
      </c>
      <c r="AB91" s="383"/>
    </row>
    <row r="92" spans="1:28" ht="13.8">
      <c r="A92" s="387">
        <v>91</v>
      </c>
      <c r="B92" s="387" t="s">
        <v>10710</v>
      </c>
      <c r="C92" s="387" t="s">
        <v>10710</v>
      </c>
      <c r="D92" s="387" t="s">
        <v>10710</v>
      </c>
      <c r="E92" s="383" t="s">
        <v>8678</v>
      </c>
      <c r="F92" s="383">
        <v>558</v>
      </c>
      <c r="G92" s="383" t="s">
        <v>71</v>
      </c>
      <c r="H92" s="383" t="s">
        <v>5345</v>
      </c>
      <c r="I92" s="383" t="s">
        <v>8382</v>
      </c>
      <c r="J92" s="383" t="s">
        <v>9310</v>
      </c>
      <c r="K92" s="383" t="s">
        <v>8341</v>
      </c>
      <c r="L92" s="383" t="s">
        <v>8341</v>
      </c>
      <c r="M92" s="383" t="s">
        <v>9964</v>
      </c>
      <c r="N92" s="420" t="s">
        <v>44</v>
      </c>
      <c r="O92" s="383" t="str">
        <f>IF(LEN(SUBSTITUTE(Table3937[[#This Row],[PRIMARY CONTACT]]," ",""))=10,SUBSTITUTE(Table3937[[#This Row],[PRIMARY CONTACT]]," ","") &amp; " - Proper","- Follow Up")</f>
        <v>9840409916 - Proper</v>
      </c>
      <c r="P92" s="383" t="s">
        <v>5351</v>
      </c>
      <c r="Q92" s="383">
        <v>9840409916</v>
      </c>
      <c r="R92" s="383" t="str">
        <f>SUBSTITUTE(Table3937[[#This Row],[whatsapp_number]]," ","")</f>
        <v>9840409916</v>
      </c>
      <c r="S92" s="383" t="str">
        <f>IF(Table3937[[#This Row],[PRIMARY CONTACT]]=Table3937[[#This Row],[WHATSAPP CONTACT]],"Same Contact","Different Contact")</f>
        <v>Same Contact</v>
      </c>
      <c r="T92" s="383" t="str">
        <f>IF(LEN(SUBSTITUTE(Table3937[[#This Row],[PRIMARY CONTACT]]," ",""))=10,SUBSTITUTE(Table3937[[#This Row],[PRIMARY CONTACT]]," ","") &amp; " - Proper","- Follow Up")</f>
        <v>9840409916 - Proper</v>
      </c>
      <c r="U92" s="383" t="s">
        <v>8341</v>
      </c>
      <c r="V92" s="383" t="s">
        <v>71</v>
      </c>
      <c r="W92" s="383" t="s">
        <v>47</v>
      </c>
      <c r="X92" s="420" t="s">
        <v>44</v>
      </c>
      <c r="Y92" s="420" t="s">
        <v>44</v>
      </c>
      <c r="Z92" s="420" t="s">
        <v>44</v>
      </c>
      <c r="AA92" s="420" t="s">
        <v>44</v>
      </c>
      <c r="AB92" s="383"/>
    </row>
    <row r="93" spans="1:28" ht="13.8">
      <c r="A93" s="387">
        <v>92</v>
      </c>
      <c r="B93" s="387" t="s">
        <v>10710</v>
      </c>
      <c r="C93" s="387" t="s">
        <v>10710</v>
      </c>
      <c r="D93" s="387" t="s">
        <v>10710</v>
      </c>
      <c r="E93" s="383" t="s">
        <v>8679</v>
      </c>
      <c r="F93" s="383">
        <v>559</v>
      </c>
      <c r="G93" s="383" t="s">
        <v>71</v>
      </c>
      <c r="H93" s="383" t="s">
        <v>71</v>
      </c>
      <c r="I93" s="383" t="s">
        <v>8383</v>
      </c>
      <c r="J93" s="383" t="s">
        <v>9311</v>
      </c>
      <c r="K93" s="383" t="s">
        <v>8341</v>
      </c>
      <c r="L93" s="383" t="s">
        <v>8341</v>
      </c>
      <c r="M93" s="383" t="s">
        <v>9965</v>
      </c>
      <c r="N93" s="420" t="s">
        <v>44</v>
      </c>
      <c r="O93" s="383" t="str">
        <f>IF(LEN(SUBSTITUTE(Table3937[[#This Row],[PRIMARY CONTACT]]," ",""))=10,SUBSTITUTE(Table3937[[#This Row],[PRIMARY CONTACT]]," ","") &amp; " - Proper","- Follow Up")</f>
        <v>9822029212 - Proper</v>
      </c>
      <c r="P93" s="383" t="s">
        <v>5355</v>
      </c>
      <c r="Q93" s="383">
        <v>9822029212</v>
      </c>
      <c r="R93" s="383" t="str">
        <f>SUBSTITUTE(Table3937[[#This Row],[whatsapp_number]]," ","")</f>
        <v>9822029212</v>
      </c>
      <c r="S93" s="383" t="str">
        <f>IF(Table3937[[#This Row],[PRIMARY CONTACT]]=Table3937[[#This Row],[WHATSAPP CONTACT]],"Same Contact","Different Contact")</f>
        <v>Same Contact</v>
      </c>
      <c r="T93" s="383" t="str">
        <f>IF(LEN(SUBSTITUTE(Table3937[[#This Row],[PRIMARY CONTACT]]," ",""))=10,SUBSTITUTE(Table3937[[#This Row],[PRIMARY CONTACT]]," ","") &amp; " - Proper","- Follow Up")</f>
        <v>9822029212 - Proper</v>
      </c>
      <c r="U93" s="383" t="s">
        <v>8341</v>
      </c>
      <c r="V93" s="393" t="s">
        <v>5356</v>
      </c>
      <c r="W93" s="383" t="s">
        <v>47</v>
      </c>
      <c r="X93" s="420" t="s">
        <v>44</v>
      </c>
      <c r="Y93" s="420" t="s">
        <v>44</v>
      </c>
      <c r="Z93" s="420" t="s">
        <v>44</v>
      </c>
      <c r="AA93" s="420" t="s">
        <v>44</v>
      </c>
      <c r="AB93" s="383"/>
    </row>
    <row r="94" spans="1:28" ht="13.8">
      <c r="A94" s="387">
        <v>93</v>
      </c>
      <c r="B94" s="387" t="s">
        <v>10710</v>
      </c>
      <c r="C94" s="387" t="s">
        <v>10710</v>
      </c>
      <c r="D94" s="387" t="s">
        <v>10710</v>
      </c>
      <c r="E94" s="383" t="s">
        <v>8680</v>
      </c>
      <c r="F94" s="383">
        <v>560</v>
      </c>
      <c r="G94" s="383" t="s">
        <v>71</v>
      </c>
      <c r="H94" s="383" t="s">
        <v>71</v>
      </c>
      <c r="I94" s="383" t="s">
        <v>8384</v>
      </c>
      <c r="J94" s="383" t="s">
        <v>9312</v>
      </c>
      <c r="K94" s="383" t="s">
        <v>8341</v>
      </c>
      <c r="L94" s="383" t="s">
        <v>8341</v>
      </c>
      <c r="M94" s="383" t="s">
        <v>9966</v>
      </c>
      <c r="N94" s="420" t="s">
        <v>44</v>
      </c>
      <c r="O94" s="383" t="str">
        <f>IF(LEN(SUBSTITUTE(Table3937[[#This Row],[PRIMARY CONTACT]]," ",""))=10,SUBSTITUTE(Table3937[[#This Row],[PRIMARY CONTACT]]," ","") &amp; " - Proper","- Follow Up")</f>
        <v>9820390024 - Proper</v>
      </c>
      <c r="P94" s="383" t="s">
        <v>5360</v>
      </c>
      <c r="Q94" s="383">
        <v>9820390024</v>
      </c>
      <c r="R94" s="383" t="str">
        <f>SUBSTITUTE(Table3937[[#This Row],[whatsapp_number]]," ","")</f>
        <v>9820390024</v>
      </c>
      <c r="S94" s="383" t="str">
        <f>IF(Table3937[[#This Row],[PRIMARY CONTACT]]=Table3937[[#This Row],[WHATSAPP CONTACT]],"Same Contact","Different Contact")</f>
        <v>Same Contact</v>
      </c>
      <c r="T94" s="383" t="str">
        <f>IF(LEN(SUBSTITUTE(Table3937[[#This Row],[PRIMARY CONTACT]]," ",""))=10,SUBSTITUTE(Table3937[[#This Row],[PRIMARY CONTACT]]," ","") &amp; " - Proper","- Follow Up")</f>
        <v>9820390024 - Proper</v>
      </c>
      <c r="U94" s="383" t="s">
        <v>8341</v>
      </c>
      <c r="V94" s="393" t="s">
        <v>5361</v>
      </c>
      <c r="W94" s="383" t="s">
        <v>47</v>
      </c>
      <c r="X94" s="420" t="s">
        <v>44</v>
      </c>
      <c r="Y94" s="420" t="s">
        <v>44</v>
      </c>
      <c r="Z94" s="420" t="s">
        <v>44</v>
      </c>
      <c r="AA94" s="420" t="s">
        <v>44</v>
      </c>
      <c r="AB94" s="383"/>
    </row>
    <row r="95" spans="1:28" ht="13.8">
      <c r="A95" s="387">
        <v>94</v>
      </c>
      <c r="B95" s="387" t="s">
        <v>10710</v>
      </c>
      <c r="C95" s="387" t="s">
        <v>10710</v>
      </c>
      <c r="D95" s="387" t="s">
        <v>10710</v>
      </c>
      <c r="E95" s="383" t="s">
        <v>8681</v>
      </c>
      <c r="F95" s="383">
        <v>561</v>
      </c>
      <c r="G95" s="383" t="s">
        <v>71</v>
      </c>
      <c r="H95" s="383" t="s">
        <v>71</v>
      </c>
      <c r="I95" s="383" t="s">
        <v>8384</v>
      </c>
      <c r="J95" s="383" t="s">
        <v>9313</v>
      </c>
      <c r="K95" s="383" t="s">
        <v>8341</v>
      </c>
      <c r="L95" s="383" t="s">
        <v>8341</v>
      </c>
      <c r="M95" s="383" t="s">
        <v>9967</v>
      </c>
      <c r="N95" s="420" t="s">
        <v>44</v>
      </c>
      <c r="O95" s="383" t="str">
        <f>IF(LEN(SUBSTITUTE(Table3937[[#This Row],[PRIMARY CONTACT]]," ",""))=10,SUBSTITUTE(Table3937[[#This Row],[PRIMARY CONTACT]]," ","") &amp; " - Proper","- Follow Up")</f>
        <v>9892051999 - Proper</v>
      </c>
      <c r="P95" s="383" t="s">
        <v>5364</v>
      </c>
      <c r="Q95" s="383">
        <v>9892051999</v>
      </c>
      <c r="R95" s="383" t="str">
        <f>SUBSTITUTE(Table3937[[#This Row],[whatsapp_number]]," ","")</f>
        <v>9892051999</v>
      </c>
      <c r="S95" s="383" t="str">
        <f>IF(Table3937[[#This Row],[PRIMARY CONTACT]]=Table3937[[#This Row],[WHATSAPP CONTACT]],"Same Contact","Different Contact")</f>
        <v>Same Contact</v>
      </c>
      <c r="T95" s="383" t="str">
        <f>IF(LEN(SUBSTITUTE(Table3937[[#This Row],[PRIMARY CONTACT]]," ",""))=10,SUBSTITUTE(Table3937[[#This Row],[PRIMARY CONTACT]]," ","") &amp; " - Proper","- Follow Up")</f>
        <v>9892051999 - Proper</v>
      </c>
      <c r="U95" s="383" t="s">
        <v>8341</v>
      </c>
      <c r="V95" s="393" t="s">
        <v>5361</v>
      </c>
      <c r="W95" s="383" t="s">
        <v>47</v>
      </c>
      <c r="X95" s="420" t="s">
        <v>44</v>
      </c>
      <c r="Y95" s="420" t="s">
        <v>44</v>
      </c>
      <c r="Z95" s="420" t="s">
        <v>44</v>
      </c>
      <c r="AA95" s="420" t="s">
        <v>44</v>
      </c>
      <c r="AB95" s="383"/>
    </row>
    <row r="96" spans="1:28" ht="13.8">
      <c r="A96" s="387">
        <v>95</v>
      </c>
      <c r="B96" s="387" t="s">
        <v>10710</v>
      </c>
      <c r="C96" s="387" t="s">
        <v>10710</v>
      </c>
      <c r="D96" s="387" t="s">
        <v>10710</v>
      </c>
      <c r="E96" s="383" t="s">
        <v>8682</v>
      </c>
      <c r="F96" s="383">
        <v>562</v>
      </c>
      <c r="G96" s="383" t="s">
        <v>71</v>
      </c>
      <c r="H96" s="383" t="s">
        <v>71</v>
      </c>
      <c r="I96" s="383" t="s">
        <v>8385</v>
      </c>
      <c r="J96" s="383" t="s">
        <v>9314</v>
      </c>
      <c r="K96" s="383" t="s">
        <v>8341</v>
      </c>
      <c r="L96" s="383" t="s">
        <v>8341</v>
      </c>
      <c r="M96" s="383" t="s">
        <v>9968</v>
      </c>
      <c r="N96" s="420" t="s">
        <v>44</v>
      </c>
      <c r="O96" s="383" t="str">
        <f>IF(LEN(SUBSTITUTE(Table3937[[#This Row],[PRIMARY CONTACT]]," ",""))=10,SUBSTITUTE(Table3937[[#This Row],[PRIMARY CONTACT]]," ","") &amp; " - Proper","- Follow Up")</f>
        <v>9845484346 - Proper</v>
      </c>
      <c r="P96" s="383" t="s">
        <v>5368</v>
      </c>
      <c r="Q96" s="383">
        <v>9845484346</v>
      </c>
      <c r="R96" s="383" t="str">
        <f>SUBSTITUTE(Table3937[[#This Row],[whatsapp_number]]," ","")</f>
        <v>9845484346</v>
      </c>
      <c r="S96" s="383" t="str">
        <f>IF(Table3937[[#This Row],[PRIMARY CONTACT]]=Table3937[[#This Row],[WHATSAPP CONTACT]],"Same Contact","Different Contact")</f>
        <v>Same Contact</v>
      </c>
      <c r="T96" s="383" t="str">
        <f>IF(LEN(SUBSTITUTE(Table3937[[#This Row],[PRIMARY CONTACT]]," ",""))=10,SUBSTITUTE(Table3937[[#This Row],[PRIMARY CONTACT]]," ","") &amp; " - Proper","- Follow Up")</f>
        <v>9845484346 - Proper</v>
      </c>
      <c r="U96" s="383" t="s">
        <v>8341</v>
      </c>
      <c r="V96" s="393" t="s">
        <v>5369</v>
      </c>
      <c r="W96" s="383" t="s">
        <v>47</v>
      </c>
      <c r="X96" s="420" t="s">
        <v>44</v>
      </c>
      <c r="Y96" s="420" t="s">
        <v>44</v>
      </c>
      <c r="Z96" s="420" t="s">
        <v>44</v>
      </c>
      <c r="AA96" s="420" t="s">
        <v>44</v>
      </c>
      <c r="AB96" s="383"/>
    </row>
    <row r="97" spans="1:28" ht="13.8">
      <c r="A97" s="387">
        <v>96</v>
      </c>
      <c r="B97" s="387" t="s">
        <v>10710</v>
      </c>
      <c r="C97" s="387" t="s">
        <v>10710</v>
      </c>
      <c r="D97" s="387" t="s">
        <v>10710</v>
      </c>
      <c r="E97" s="383" t="s">
        <v>8683</v>
      </c>
      <c r="F97" s="383">
        <v>563</v>
      </c>
      <c r="G97" s="383" t="s">
        <v>71</v>
      </c>
      <c r="H97" s="383" t="s">
        <v>71</v>
      </c>
      <c r="I97" s="383" t="s">
        <v>8386</v>
      </c>
      <c r="J97" s="383" t="s">
        <v>9315</v>
      </c>
      <c r="K97" s="383" t="s">
        <v>8341</v>
      </c>
      <c r="L97" s="383" t="s">
        <v>8341</v>
      </c>
      <c r="M97" s="383" t="s">
        <v>9969</v>
      </c>
      <c r="N97" s="420" t="s">
        <v>44</v>
      </c>
      <c r="O97" s="383" t="str">
        <f>IF(LEN(SUBSTITUTE(Table3937[[#This Row],[PRIMARY CONTACT]]," ",""))=10,SUBSTITUTE(Table3937[[#This Row],[PRIMARY CONTACT]]," ","") &amp; " - Proper","- Follow Up")</f>
        <v>9598981616 - Proper</v>
      </c>
      <c r="P97" s="383" t="s">
        <v>5373</v>
      </c>
      <c r="Q97" s="383">
        <v>9598981616</v>
      </c>
      <c r="R97" s="383" t="str">
        <f>SUBSTITUTE(Table3937[[#This Row],[whatsapp_number]]," ","")</f>
        <v>9598981616</v>
      </c>
      <c r="S97" s="383" t="str">
        <f>IF(Table3937[[#This Row],[PRIMARY CONTACT]]=Table3937[[#This Row],[WHATSAPP CONTACT]],"Same Contact","Different Contact")</f>
        <v>Same Contact</v>
      </c>
      <c r="T97" s="383" t="str">
        <f>IF(LEN(SUBSTITUTE(Table3937[[#This Row],[PRIMARY CONTACT]]," ",""))=10,SUBSTITUTE(Table3937[[#This Row],[PRIMARY CONTACT]]," ","") &amp; " - Proper","- Follow Up")</f>
        <v>9598981616 - Proper</v>
      </c>
      <c r="U97" s="383" t="s">
        <v>8341</v>
      </c>
      <c r="V97" s="393" t="s">
        <v>5374</v>
      </c>
      <c r="W97" s="383" t="s">
        <v>47</v>
      </c>
      <c r="X97" s="420" t="s">
        <v>44</v>
      </c>
      <c r="Y97" s="420" t="s">
        <v>44</v>
      </c>
      <c r="Z97" s="420" t="s">
        <v>44</v>
      </c>
      <c r="AA97" s="420" t="s">
        <v>44</v>
      </c>
      <c r="AB97" s="383"/>
    </row>
    <row r="98" spans="1:28" ht="13.8">
      <c r="A98" s="387">
        <v>97</v>
      </c>
      <c r="B98" s="387" t="s">
        <v>10710</v>
      </c>
      <c r="C98" s="387" t="s">
        <v>10710</v>
      </c>
      <c r="D98" s="387" t="s">
        <v>10710</v>
      </c>
      <c r="E98" s="383" t="s">
        <v>8684</v>
      </c>
      <c r="F98" s="383">
        <v>564</v>
      </c>
      <c r="G98" s="383" t="s">
        <v>71</v>
      </c>
      <c r="H98" s="383" t="s">
        <v>71</v>
      </c>
      <c r="I98" s="383" t="s">
        <v>8387</v>
      </c>
      <c r="J98" s="383" t="s">
        <v>9316</v>
      </c>
      <c r="K98" s="383" t="s">
        <v>8341</v>
      </c>
      <c r="L98" s="383" t="s">
        <v>8341</v>
      </c>
      <c r="M98" s="383" t="s">
        <v>9970</v>
      </c>
      <c r="N98" s="420" t="s">
        <v>44</v>
      </c>
      <c r="O98" s="383" t="str">
        <f>IF(LEN(SUBSTITUTE(Table3937[[#This Row],[PRIMARY CONTACT]]," ",""))=10,SUBSTITUTE(Table3937[[#This Row],[PRIMARY CONTACT]]," ","") &amp; " - Proper","- Follow Up")</f>
        <v>9864063634 - Proper</v>
      </c>
      <c r="P98" s="383" t="s">
        <v>5378</v>
      </c>
      <c r="Q98" s="383">
        <v>9864063634</v>
      </c>
      <c r="R98" s="383" t="str">
        <f>SUBSTITUTE(Table3937[[#This Row],[whatsapp_number]]," ","")</f>
        <v>9864063634</v>
      </c>
      <c r="S98" s="383" t="str">
        <f>IF(Table3937[[#This Row],[PRIMARY CONTACT]]=Table3937[[#This Row],[WHATSAPP CONTACT]],"Same Contact","Different Contact")</f>
        <v>Same Contact</v>
      </c>
      <c r="T98" s="383" t="str">
        <f>IF(LEN(SUBSTITUTE(Table3937[[#This Row],[PRIMARY CONTACT]]," ",""))=10,SUBSTITUTE(Table3937[[#This Row],[PRIMARY CONTACT]]," ","") &amp; " - Proper","- Follow Up")</f>
        <v>9864063634 - Proper</v>
      </c>
      <c r="U98" s="383" t="s">
        <v>8341</v>
      </c>
      <c r="V98" s="383" t="s">
        <v>71</v>
      </c>
      <c r="W98" s="383" t="s">
        <v>47</v>
      </c>
      <c r="X98" s="420" t="s">
        <v>44</v>
      </c>
      <c r="Y98" s="420" t="s">
        <v>44</v>
      </c>
      <c r="Z98" s="420" t="s">
        <v>44</v>
      </c>
      <c r="AA98" s="420" t="s">
        <v>44</v>
      </c>
      <c r="AB98" s="383"/>
    </row>
    <row r="99" spans="1:28" ht="13.8">
      <c r="A99" s="387">
        <v>98</v>
      </c>
      <c r="B99" s="387" t="s">
        <v>10710</v>
      </c>
      <c r="C99" s="387" t="s">
        <v>10710</v>
      </c>
      <c r="D99" s="387" t="s">
        <v>10710</v>
      </c>
      <c r="E99" s="383" t="s">
        <v>8685</v>
      </c>
      <c r="F99" s="383">
        <v>565</v>
      </c>
      <c r="G99" s="383" t="s">
        <v>71</v>
      </c>
      <c r="H99" s="383" t="s">
        <v>71</v>
      </c>
      <c r="I99" s="383" t="s">
        <v>8388</v>
      </c>
      <c r="J99" s="383" t="s">
        <v>9317</v>
      </c>
      <c r="K99" s="383" t="s">
        <v>8341</v>
      </c>
      <c r="L99" s="383" t="s">
        <v>8341</v>
      </c>
      <c r="M99" s="383" t="s">
        <v>9971</v>
      </c>
      <c r="N99" s="420" t="s">
        <v>44</v>
      </c>
      <c r="O99" s="383" t="str">
        <f>IF(LEN(SUBSTITUTE(Table3937[[#This Row],[PRIMARY CONTACT]]," ",""))=10,SUBSTITUTE(Table3937[[#This Row],[PRIMARY CONTACT]]," ","") &amp; " - Proper","- Follow Up")</f>
        <v>9611101869 - Proper</v>
      </c>
      <c r="P99" s="383" t="s">
        <v>5382</v>
      </c>
      <c r="Q99" s="383">
        <v>9611101869</v>
      </c>
      <c r="R99" s="383" t="str">
        <f>SUBSTITUTE(Table3937[[#This Row],[whatsapp_number]]," ","")</f>
        <v>9611101869</v>
      </c>
      <c r="S99" s="383" t="str">
        <f>IF(Table3937[[#This Row],[PRIMARY CONTACT]]=Table3937[[#This Row],[WHATSAPP CONTACT]],"Same Contact","Different Contact")</f>
        <v>Same Contact</v>
      </c>
      <c r="T99" s="383" t="str">
        <f>IF(LEN(SUBSTITUTE(Table3937[[#This Row],[PRIMARY CONTACT]]," ",""))=10,SUBSTITUTE(Table3937[[#This Row],[PRIMARY CONTACT]]," ","") &amp; " - Proper","- Follow Up")</f>
        <v>9611101869 - Proper</v>
      </c>
      <c r="U99" s="383" t="s">
        <v>8341</v>
      </c>
      <c r="V99" s="393" t="s">
        <v>5383</v>
      </c>
      <c r="W99" s="383" t="s">
        <v>47</v>
      </c>
      <c r="X99" s="420" t="s">
        <v>44</v>
      </c>
      <c r="Y99" s="420" t="s">
        <v>44</v>
      </c>
      <c r="Z99" s="420" t="s">
        <v>44</v>
      </c>
      <c r="AA99" s="420" t="s">
        <v>44</v>
      </c>
      <c r="AB99" s="383"/>
    </row>
    <row r="100" spans="1:28" ht="13.8">
      <c r="A100" s="387">
        <v>99</v>
      </c>
      <c r="B100" s="387" t="s">
        <v>10710</v>
      </c>
      <c r="C100" s="387" t="s">
        <v>10710</v>
      </c>
      <c r="D100" s="387" t="s">
        <v>10710</v>
      </c>
      <c r="E100" s="383" t="s">
        <v>8686</v>
      </c>
      <c r="F100" s="383">
        <v>566</v>
      </c>
      <c r="G100" s="383" t="s">
        <v>71</v>
      </c>
      <c r="H100" s="383" t="s">
        <v>71</v>
      </c>
      <c r="I100" s="383" t="s">
        <v>8389</v>
      </c>
      <c r="J100" s="383" t="s">
        <v>9318</v>
      </c>
      <c r="K100" s="383" t="s">
        <v>8341</v>
      </c>
      <c r="L100" s="383" t="s">
        <v>8341</v>
      </c>
      <c r="M100" s="383" t="s">
        <v>9972</v>
      </c>
      <c r="N100" s="420" t="s">
        <v>44</v>
      </c>
      <c r="O100" s="383" t="str">
        <f>IF(LEN(SUBSTITUTE(Table3937[[#This Row],[PRIMARY CONTACT]]," ",""))=10,SUBSTITUTE(Table3937[[#This Row],[PRIMARY CONTACT]]," ","") &amp; " - Proper","- Follow Up")</f>
        <v>9814082690 - Proper</v>
      </c>
      <c r="P100" s="383" t="s">
        <v>5387</v>
      </c>
      <c r="Q100" s="383">
        <v>9814082690</v>
      </c>
      <c r="R100" s="383" t="str">
        <f>SUBSTITUTE(Table3937[[#This Row],[whatsapp_number]]," ","")</f>
        <v>9814082690</v>
      </c>
      <c r="S100" s="383" t="str">
        <f>IF(Table3937[[#This Row],[PRIMARY CONTACT]]=Table3937[[#This Row],[WHATSAPP CONTACT]],"Same Contact","Different Contact")</f>
        <v>Same Contact</v>
      </c>
      <c r="T100" s="383" t="str">
        <f>IF(LEN(SUBSTITUTE(Table3937[[#This Row],[PRIMARY CONTACT]]," ",""))=10,SUBSTITUTE(Table3937[[#This Row],[PRIMARY CONTACT]]," ","") &amp; " - Proper","- Follow Up")</f>
        <v>9814082690 - Proper</v>
      </c>
      <c r="U100" s="383" t="s">
        <v>8341</v>
      </c>
      <c r="V100" s="393" t="s">
        <v>5388</v>
      </c>
      <c r="W100" s="383" t="s">
        <v>47</v>
      </c>
      <c r="X100" s="420" t="s">
        <v>44</v>
      </c>
      <c r="Y100" s="420" t="s">
        <v>44</v>
      </c>
      <c r="Z100" s="420" t="s">
        <v>44</v>
      </c>
      <c r="AA100" s="420" t="s">
        <v>44</v>
      </c>
      <c r="AB100" s="383"/>
    </row>
    <row r="101" spans="1:28" ht="13.8">
      <c r="A101" s="387">
        <v>100</v>
      </c>
      <c r="B101" s="387" t="s">
        <v>10710</v>
      </c>
      <c r="C101" s="387" t="s">
        <v>10710</v>
      </c>
      <c r="D101" s="387" t="s">
        <v>10710</v>
      </c>
      <c r="E101" s="383" t="s">
        <v>8687</v>
      </c>
      <c r="F101" s="383">
        <v>567</v>
      </c>
      <c r="G101" s="383" t="s">
        <v>71</v>
      </c>
      <c r="H101" s="383" t="s">
        <v>71</v>
      </c>
      <c r="I101" s="383" t="s">
        <v>8389</v>
      </c>
      <c r="J101" s="383" t="s">
        <v>9319</v>
      </c>
      <c r="K101" s="383" t="s">
        <v>8341</v>
      </c>
      <c r="L101" s="383" t="s">
        <v>8341</v>
      </c>
      <c r="M101" s="383" t="s">
        <v>9973</v>
      </c>
      <c r="N101" s="420" t="s">
        <v>44</v>
      </c>
      <c r="O101" s="383" t="str">
        <f>IF(LEN(SUBSTITUTE(Table3937[[#This Row],[PRIMARY CONTACT]]," ",""))=10,SUBSTITUTE(Table3937[[#This Row],[PRIMARY CONTACT]]," ","") &amp; " - Proper","- Follow Up")</f>
        <v>9814665555 - Proper</v>
      </c>
      <c r="P101" s="383" t="s">
        <v>5391</v>
      </c>
      <c r="Q101" s="383">
        <v>9814665555</v>
      </c>
      <c r="R101" s="383" t="str">
        <f>SUBSTITUTE(Table3937[[#This Row],[whatsapp_number]]," ","")</f>
        <v>9814665555</v>
      </c>
      <c r="S101" s="383" t="str">
        <f>IF(Table3937[[#This Row],[PRIMARY CONTACT]]=Table3937[[#This Row],[WHATSAPP CONTACT]],"Same Contact","Different Contact")</f>
        <v>Same Contact</v>
      </c>
      <c r="T101" s="383" t="str">
        <f>IF(LEN(SUBSTITUTE(Table3937[[#This Row],[PRIMARY CONTACT]]," ",""))=10,SUBSTITUTE(Table3937[[#This Row],[PRIMARY CONTACT]]," ","") &amp; " - Proper","- Follow Up")</f>
        <v>9814665555 - Proper</v>
      </c>
      <c r="U101" s="383" t="s">
        <v>8341</v>
      </c>
      <c r="V101" s="393" t="s">
        <v>5388</v>
      </c>
      <c r="W101" s="383" t="s">
        <v>47</v>
      </c>
      <c r="X101" s="420" t="s">
        <v>44</v>
      </c>
      <c r="Y101" s="420" t="s">
        <v>44</v>
      </c>
      <c r="Z101" s="420" t="s">
        <v>44</v>
      </c>
      <c r="AA101" s="420" t="s">
        <v>44</v>
      </c>
      <c r="AB101" s="383"/>
    </row>
    <row r="102" spans="1:28" ht="13.8">
      <c r="A102" s="387">
        <v>101</v>
      </c>
      <c r="B102" s="387" t="s">
        <v>10710</v>
      </c>
      <c r="C102" s="387" t="s">
        <v>10710</v>
      </c>
      <c r="D102" s="387" t="s">
        <v>10710</v>
      </c>
      <c r="E102" s="383" t="s">
        <v>8688</v>
      </c>
      <c r="F102" s="383">
        <v>568</v>
      </c>
      <c r="G102" s="383" t="s">
        <v>71</v>
      </c>
      <c r="H102" s="383" t="s">
        <v>71</v>
      </c>
      <c r="I102" s="383" t="s">
        <v>8389</v>
      </c>
      <c r="J102" s="383" t="s">
        <v>9320</v>
      </c>
      <c r="K102" s="383" t="s">
        <v>8341</v>
      </c>
      <c r="L102" s="383" t="s">
        <v>8341</v>
      </c>
      <c r="M102" s="383" t="s">
        <v>9974</v>
      </c>
      <c r="N102" s="420" t="s">
        <v>44</v>
      </c>
      <c r="O102" s="383" t="str">
        <f>IF(LEN(SUBSTITUTE(Table3937[[#This Row],[PRIMARY CONTACT]]," ",""))=10,SUBSTITUTE(Table3937[[#This Row],[PRIMARY CONTACT]]," ","") &amp; " - Proper","- Follow Up")</f>
        <v>9814502843 - Proper</v>
      </c>
      <c r="P102" s="383" t="s">
        <v>5394</v>
      </c>
      <c r="Q102" s="383">
        <v>9814502843</v>
      </c>
      <c r="R102" s="383" t="str">
        <f>SUBSTITUTE(Table3937[[#This Row],[whatsapp_number]]," ","")</f>
        <v>9814502843</v>
      </c>
      <c r="S102" s="383" t="str">
        <f>IF(Table3937[[#This Row],[PRIMARY CONTACT]]=Table3937[[#This Row],[WHATSAPP CONTACT]],"Same Contact","Different Contact")</f>
        <v>Same Contact</v>
      </c>
      <c r="T102" s="383" t="str">
        <f>IF(LEN(SUBSTITUTE(Table3937[[#This Row],[PRIMARY CONTACT]]," ",""))=10,SUBSTITUTE(Table3937[[#This Row],[PRIMARY CONTACT]]," ","") &amp; " - Proper","- Follow Up")</f>
        <v>9814502843 - Proper</v>
      </c>
      <c r="U102" s="383" t="s">
        <v>8341</v>
      </c>
      <c r="V102" s="393" t="s">
        <v>5388</v>
      </c>
      <c r="W102" s="383" t="s">
        <v>47</v>
      </c>
      <c r="X102" s="420" t="s">
        <v>44</v>
      </c>
      <c r="Y102" s="420" t="s">
        <v>44</v>
      </c>
      <c r="Z102" s="420" t="s">
        <v>44</v>
      </c>
      <c r="AA102" s="420" t="s">
        <v>44</v>
      </c>
      <c r="AB102" s="383"/>
    </row>
    <row r="103" spans="1:28" ht="13.8">
      <c r="A103" s="387">
        <v>102</v>
      </c>
      <c r="B103" s="387" t="s">
        <v>10710</v>
      </c>
      <c r="C103" s="387" t="s">
        <v>10710</v>
      </c>
      <c r="D103" s="387" t="s">
        <v>10710</v>
      </c>
      <c r="E103" s="383" t="s">
        <v>8689</v>
      </c>
      <c r="F103" s="383">
        <v>569</v>
      </c>
      <c r="G103" s="383" t="s">
        <v>71</v>
      </c>
      <c r="H103" s="383" t="s">
        <v>71</v>
      </c>
      <c r="I103" s="383" t="s">
        <v>8390</v>
      </c>
      <c r="J103" s="383" t="s">
        <v>9321</v>
      </c>
      <c r="K103" s="383" t="s">
        <v>8341</v>
      </c>
      <c r="L103" s="383" t="s">
        <v>8341</v>
      </c>
      <c r="M103" s="383" t="s">
        <v>9975</v>
      </c>
      <c r="N103" s="420" t="s">
        <v>44</v>
      </c>
      <c r="O103" s="383" t="str">
        <f>IF(LEN(SUBSTITUTE(Table3937[[#This Row],[PRIMARY CONTACT]]," ",""))=10,SUBSTITUTE(Table3937[[#This Row],[PRIMARY CONTACT]]," ","") &amp; " - Proper","- Follow Up")</f>
        <v>9419161718 - Proper</v>
      </c>
      <c r="P103" s="383" t="s">
        <v>5398</v>
      </c>
      <c r="Q103" s="383">
        <v>9419161718</v>
      </c>
      <c r="R103" s="383" t="str">
        <f>SUBSTITUTE(Table3937[[#This Row],[whatsapp_number]]," ","")</f>
        <v>9419161718</v>
      </c>
      <c r="S103" s="383" t="str">
        <f>IF(Table3937[[#This Row],[PRIMARY CONTACT]]=Table3937[[#This Row],[WHATSAPP CONTACT]],"Same Contact","Different Contact")</f>
        <v>Same Contact</v>
      </c>
      <c r="T103" s="383" t="str">
        <f>IF(LEN(SUBSTITUTE(Table3937[[#This Row],[PRIMARY CONTACT]]," ",""))=10,SUBSTITUTE(Table3937[[#This Row],[PRIMARY CONTACT]]," ","") &amp; " - Proper","- Follow Up")</f>
        <v>9419161718 - Proper</v>
      </c>
      <c r="U103" s="383" t="s">
        <v>8341</v>
      </c>
      <c r="V103" s="383" t="s">
        <v>71</v>
      </c>
      <c r="W103" s="383" t="s">
        <v>47</v>
      </c>
      <c r="X103" s="420" t="s">
        <v>44</v>
      </c>
      <c r="Y103" s="420" t="s">
        <v>44</v>
      </c>
      <c r="Z103" s="420" t="s">
        <v>44</v>
      </c>
      <c r="AA103" s="420" t="s">
        <v>44</v>
      </c>
      <c r="AB103" s="383"/>
    </row>
    <row r="104" spans="1:28" ht="13.8">
      <c r="A104" s="387">
        <v>103</v>
      </c>
      <c r="B104" s="387" t="s">
        <v>10710</v>
      </c>
      <c r="C104" s="387" t="s">
        <v>10710</v>
      </c>
      <c r="D104" s="387" t="s">
        <v>10710</v>
      </c>
      <c r="E104" s="383" t="s">
        <v>8690</v>
      </c>
      <c r="F104" s="383">
        <v>570</v>
      </c>
      <c r="G104" s="383" t="s">
        <v>71</v>
      </c>
      <c r="H104" s="383" t="s">
        <v>71</v>
      </c>
      <c r="I104" s="383" t="s">
        <v>8390</v>
      </c>
      <c r="J104" s="383" t="s">
        <v>9322</v>
      </c>
      <c r="K104" s="383" t="s">
        <v>8341</v>
      </c>
      <c r="L104" s="383" t="s">
        <v>8341</v>
      </c>
      <c r="M104" s="383" t="s">
        <v>9976</v>
      </c>
      <c r="N104" s="420" t="s">
        <v>44</v>
      </c>
      <c r="O104" s="383" t="str">
        <f>IF(LEN(SUBSTITUTE(Table3937[[#This Row],[PRIMARY CONTACT]]," ",""))=10,SUBSTITUTE(Table3937[[#This Row],[PRIMARY CONTACT]]," ","") &amp; " - Proper","- Follow Up")</f>
        <v>9419121718 - Proper</v>
      </c>
      <c r="P104" s="383" t="s">
        <v>5402</v>
      </c>
      <c r="Q104" s="383">
        <v>9419121718</v>
      </c>
      <c r="R104" s="383" t="str">
        <f>SUBSTITUTE(Table3937[[#This Row],[whatsapp_number]]," ","")</f>
        <v>9419121718</v>
      </c>
      <c r="S104" s="383" t="str">
        <f>IF(Table3937[[#This Row],[PRIMARY CONTACT]]=Table3937[[#This Row],[WHATSAPP CONTACT]],"Same Contact","Different Contact")</f>
        <v>Same Contact</v>
      </c>
      <c r="T104" s="383" t="str">
        <f>IF(LEN(SUBSTITUTE(Table3937[[#This Row],[PRIMARY CONTACT]]," ",""))=10,SUBSTITUTE(Table3937[[#This Row],[PRIMARY CONTACT]]," ","") &amp; " - Proper","- Follow Up")</f>
        <v>9419121718 - Proper</v>
      </c>
      <c r="U104" s="383" t="s">
        <v>8341</v>
      </c>
      <c r="V104" s="383" t="s">
        <v>71</v>
      </c>
      <c r="W104" s="383" t="s">
        <v>47</v>
      </c>
      <c r="X104" s="420" t="s">
        <v>44</v>
      </c>
      <c r="Y104" s="420" t="s">
        <v>44</v>
      </c>
      <c r="Z104" s="420" t="s">
        <v>44</v>
      </c>
      <c r="AA104" s="420" t="s">
        <v>44</v>
      </c>
      <c r="AB104" s="383"/>
    </row>
    <row r="105" spans="1:28" ht="13.8">
      <c r="A105" s="387">
        <v>104</v>
      </c>
      <c r="B105" s="387" t="s">
        <v>10710</v>
      </c>
      <c r="C105" s="387" t="s">
        <v>10710</v>
      </c>
      <c r="D105" s="387" t="s">
        <v>10710</v>
      </c>
      <c r="E105" s="383" t="s">
        <v>8691</v>
      </c>
      <c r="F105" s="383">
        <v>571</v>
      </c>
      <c r="G105" s="383" t="s">
        <v>71</v>
      </c>
      <c r="H105" s="383" t="s">
        <v>5404</v>
      </c>
      <c r="I105" s="383" t="s">
        <v>8391</v>
      </c>
      <c r="J105" s="383" t="s">
        <v>9323</v>
      </c>
      <c r="K105" s="383" t="s">
        <v>8341</v>
      </c>
      <c r="L105" s="383" t="s">
        <v>8341</v>
      </c>
      <c r="M105" s="383" t="s">
        <v>9977</v>
      </c>
      <c r="N105" s="420" t="s">
        <v>44</v>
      </c>
      <c r="O105" s="383" t="str">
        <f>IF(LEN(SUBSTITUTE(Table3937[[#This Row],[PRIMARY CONTACT]]," ",""))=10,SUBSTITUTE(Table3937[[#This Row],[PRIMARY CONTACT]]," ","") &amp; " - Proper","- Follow Up")</f>
        <v>9847000915 - Proper</v>
      </c>
      <c r="P105" s="383" t="s">
        <v>5407</v>
      </c>
      <c r="Q105" s="383">
        <v>9847000915</v>
      </c>
      <c r="R105" s="383" t="str">
        <f>SUBSTITUTE(Table3937[[#This Row],[whatsapp_number]]," ","")</f>
        <v>9847000915</v>
      </c>
      <c r="S105" s="383" t="str">
        <f>IF(Table3937[[#This Row],[PRIMARY CONTACT]]=Table3937[[#This Row],[WHATSAPP CONTACT]],"Same Contact","Different Contact")</f>
        <v>Same Contact</v>
      </c>
      <c r="T105" s="383" t="str">
        <f>IF(LEN(SUBSTITUTE(Table3937[[#This Row],[PRIMARY CONTACT]]," ",""))=10,SUBSTITUTE(Table3937[[#This Row],[PRIMARY CONTACT]]," ","") &amp; " - Proper","- Follow Up")</f>
        <v>9847000915 - Proper</v>
      </c>
      <c r="U105" s="383" t="s">
        <v>8341</v>
      </c>
      <c r="V105" s="393" t="s">
        <v>5408</v>
      </c>
      <c r="W105" s="383" t="s">
        <v>47</v>
      </c>
      <c r="X105" s="420" t="s">
        <v>44</v>
      </c>
      <c r="Y105" s="420" t="s">
        <v>44</v>
      </c>
      <c r="Z105" s="420" t="s">
        <v>44</v>
      </c>
      <c r="AA105" s="420" t="s">
        <v>44</v>
      </c>
      <c r="AB105" s="383"/>
    </row>
    <row r="106" spans="1:28" ht="13.8">
      <c r="A106" s="387">
        <v>105</v>
      </c>
      <c r="B106" s="387" t="s">
        <v>10710</v>
      </c>
      <c r="C106" s="387" t="s">
        <v>10710</v>
      </c>
      <c r="D106" s="387" t="s">
        <v>10710</v>
      </c>
      <c r="E106" s="383" t="s">
        <v>8692</v>
      </c>
      <c r="F106" s="383">
        <v>572</v>
      </c>
      <c r="G106" s="383" t="s">
        <v>71</v>
      </c>
      <c r="H106" s="383" t="s">
        <v>5404</v>
      </c>
      <c r="I106" s="383" t="s">
        <v>8391</v>
      </c>
      <c r="J106" s="383" t="s">
        <v>9324</v>
      </c>
      <c r="K106" s="383" t="s">
        <v>8341</v>
      </c>
      <c r="L106" s="383" t="s">
        <v>8341</v>
      </c>
      <c r="M106" s="383" t="s">
        <v>9978</v>
      </c>
      <c r="N106" s="420" t="s">
        <v>44</v>
      </c>
      <c r="O106" s="383" t="str">
        <f>IF(LEN(SUBSTITUTE(Table3937[[#This Row],[PRIMARY CONTACT]]," ",""))=10,SUBSTITUTE(Table3937[[#This Row],[PRIMARY CONTACT]]," ","") &amp; " - Proper","- Follow Up")</f>
        <v>9847030305 - Proper</v>
      </c>
      <c r="P106" s="383" t="s">
        <v>5411</v>
      </c>
      <c r="Q106" s="383">
        <v>9847030305</v>
      </c>
      <c r="R106" s="383" t="str">
        <f>SUBSTITUTE(Table3937[[#This Row],[whatsapp_number]]," ","")</f>
        <v>9847030305</v>
      </c>
      <c r="S106" s="383" t="str">
        <f>IF(Table3937[[#This Row],[PRIMARY CONTACT]]=Table3937[[#This Row],[WHATSAPP CONTACT]],"Same Contact","Different Contact")</f>
        <v>Same Contact</v>
      </c>
      <c r="T106" s="383" t="str">
        <f>IF(LEN(SUBSTITUTE(Table3937[[#This Row],[PRIMARY CONTACT]]," ",""))=10,SUBSTITUTE(Table3937[[#This Row],[PRIMARY CONTACT]]," ","") &amp; " - Proper","- Follow Up")</f>
        <v>9847030305 - Proper</v>
      </c>
      <c r="U106" s="383" t="s">
        <v>8341</v>
      </c>
      <c r="V106" s="393" t="s">
        <v>5408</v>
      </c>
      <c r="W106" s="383" t="s">
        <v>47</v>
      </c>
      <c r="X106" s="420" t="s">
        <v>44</v>
      </c>
      <c r="Y106" s="420" t="s">
        <v>44</v>
      </c>
      <c r="Z106" s="420" t="s">
        <v>44</v>
      </c>
      <c r="AA106" s="420" t="s">
        <v>44</v>
      </c>
      <c r="AB106" s="383"/>
    </row>
    <row r="107" spans="1:28" ht="13.8">
      <c r="A107" s="387">
        <v>106</v>
      </c>
      <c r="B107" s="387" t="s">
        <v>10710</v>
      </c>
      <c r="C107" s="387" t="s">
        <v>10710</v>
      </c>
      <c r="D107" s="387" t="s">
        <v>10710</v>
      </c>
      <c r="E107" s="383" t="s">
        <v>8693</v>
      </c>
      <c r="F107" s="383">
        <v>573</v>
      </c>
      <c r="G107" s="383" t="s">
        <v>71</v>
      </c>
      <c r="H107" s="383" t="s">
        <v>5404</v>
      </c>
      <c r="I107" s="383" t="s">
        <v>8391</v>
      </c>
      <c r="J107" s="383" t="s">
        <v>9325</v>
      </c>
      <c r="K107" s="383" t="s">
        <v>8341</v>
      </c>
      <c r="L107" s="383" t="s">
        <v>8341</v>
      </c>
      <c r="M107" s="383" t="s">
        <v>9979</v>
      </c>
      <c r="N107" s="420" t="s">
        <v>44</v>
      </c>
      <c r="O107" s="383" t="str">
        <f>IF(LEN(SUBSTITUTE(Table3937[[#This Row],[PRIMARY CONTACT]]," ",""))=10,SUBSTITUTE(Table3937[[#This Row],[PRIMARY CONTACT]]," ","") &amp; " - Proper","- Follow Up")</f>
        <v>9847000916 - Proper</v>
      </c>
      <c r="P107" s="383" t="s">
        <v>5414</v>
      </c>
      <c r="Q107" s="383">
        <v>9847000916</v>
      </c>
      <c r="R107" s="383" t="str">
        <f>SUBSTITUTE(Table3937[[#This Row],[whatsapp_number]]," ","")</f>
        <v>9847000916</v>
      </c>
      <c r="S107" s="383" t="str">
        <f>IF(Table3937[[#This Row],[PRIMARY CONTACT]]=Table3937[[#This Row],[WHATSAPP CONTACT]],"Same Contact","Different Contact")</f>
        <v>Same Contact</v>
      </c>
      <c r="T107" s="383" t="str">
        <f>IF(LEN(SUBSTITUTE(Table3937[[#This Row],[PRIMARY CONTACT]]," ",""))=10,SUBSTITUTE(Table3937[[#This Row],[PRIMARY CONTACT]]," ","") &amp; " - Proper","- Follow Up")</f>
        <v>9847000916 - Proper</v>
      </c>
      <c r="U107" s="383" t="s">
        <v>8341</v>
      </c>
      <c r="V107" s="393" t="s">
        <v>5408</v>
      </c>
      <c r="W107" s="383" t="s">
        <v>47</v>
      </c>
      <c r="X107" s="420" t="s">
        <v>44</v>
      </c>
      <c r="Y107" s="420" t="s">
        <v>44</v>
      </c>
      <c r="Z107" s="420" t="s">
        <v>44</v>
      </c>
      <c r="AA107" s="420" t="s">
        <v>44</v>
      </c>
      <c r="AB107" s="383"/>
    </row>
    <row r="108" spans="1:28" ht="13.8">
      <c r="A108" s="387">
        <v>107</v>
      </c>
      <c r="B108" s="387" t="s">
        <v>10710</v>
      </c>
      <c r="C108" s="387" t="s">
        <v>10710</v>
      </c>
      <c r="D108" s="387" t="s">
        <v>10710</v>
      </c>
      <c r="E108" s="383" t="s">
        <v>8694</v>
      </c>
      <c r="F108" s="383">
        <v>574</v>
      </c>
      <c r="G108" s="383" t="s">
        <v>71</v>
      </c>
      <c r="H108" s="383" t="s">
        <v>5416</v>
      </c>
      <c r="I108" s="383" t="s">
        <v>8392</v>
      </c>
      <c r="J108" s="383" t="s">
        <v>9326</v>
      </c>
      <c r="K108" s="383" t="s">
        <v>8341</v>
      </c>
      <c r="L108" s="383" t="s">
        <v>8341</v>
      </c>
      <c r="M108" s="383" t="s">
        <v>9980</v>
      </c>
      <c r="N108" s="420" t="s">
        <v>44</v>
      </c>
      <c r="O108" s="383" t="str">
        <f>IF(LEN(SUBSTITUTE(Table3937[[#This Row],[PRIMARY CONTACT]]," ",""))=10,SUBSTITUTE(Table3937[[#This Row],[PRIMARY CONTACT]]," ","") &amp; " - Proper","- Follow Up")</f>
        <v>9846011465 - Proper</v>
      </c>
      <c r="P108" s="383" t="s">
        <v>5419</v>
      </c>
      <c r="Q108" s="383">
        <v>9846011465</v>
      </c>
      <c r="R108" s="383" t="str">
        <f>SUBSTITUTE(Table3937[[#This Row],[whatsapp_number]]," ","")</f>
        <v>9846011465</v>
      </c>
      <c r="S108" s="383" t="str">
        <f>IF(Table3937[[#This Row],[PRIMARY CONTACT]]=Table3937[[#This Row],[WHATSAPP CONTACT]],"Same Contact","Different Contact")</f>
        <v>Same Contact</v>
      </c>
      <c r="T108" s="383" t="str">
        <f>IF(LEN(SUBSTITUTE(Table3937[[#This Row],[PRIMARY CONTACT]]," ",""))=10,SUBSTITUTE(Table3937[[#This Row],[PRIMARY CONTACT]]," ","") &amp; " - Proper","- Follow Up")</f>
        <v>9846011465 - Proper</v>
      </c>
      <c r="U108" s="383" t="s">
        <v>8341</v>
      </c>
      <c r="V108" s="393" t="s">
        <v>5420</v>
      </c>
      <c r="W108" s="383" t="s">
        <v>47</v>
      </c>
      <c r="X108" s="420" t="s">
        <v>44</v>
      </c>
      <c r="Y108" s="420" t="s">
        <v>44</v>
      </c>
      <c r="Z108" s="420" t="s">
        <v>44</v>
      </c>
      <c r="AA108" s="420" t="s">
        <v>44</v>
      </c>
      <c r="AB108" s="383"/>
    </row>
    <row r="109" spans="1:28" ht="13.8">
      <c r="A109" s="387">
        <v>108</v>
      </c>
      <c r="B109" s="387" t="s">
        <v>10710</v>
      </c>
      <c r="C109" s="387" t="s">
        <v>10710</v>
      </c>
      <c r="D109" s="387" t="s">
        <v>10710</v>
      </c>
      <c r="E109" s="383" t="s">
        <v>8695</v>
      </c>
      <c r="F109" s="383">
        <v>575</v>
      </c>
      <c r="G109" s="383" t="s">
        <v>71</v>
      </c>
      <c r="H109" s="383" t="s">
        <v>5416</v>
      </c>
      <c r="I109" s="383" t="s">
        <v>8392</v>
      </c>
      <c r="J109" s="383" t="s">
        <v>5422</v>
      </c>
      <c r="K109" s="383" t="s">
        <v>8341</v>
      </c>
      <c r="L109" s="383" t="s">
        <v>8341</v>
      </c>
      <c r="M109" s="383" t="s">
        <v>9981</v>
      </c>
      <c r="N109" s="420" t="s">
        <v>44</v>
      </c>
      <c r="O109" s="383" t="str">
        <f>IF(LEN(SUBSTITUTE(Table3937[[#This Row],[PRIMARY CONTACT]]," ",""))=10,SUBSTITUTE(Table3937[[#This Row],[PRIMARY CONTACT]]," ","") &amp; " - Proper","- Follow Up")</f>
        <v>9895991465 - Proper</v>
      </c>
      <c r="P109" s="383" t="s">
        <v>5423</v>
      </c>
      <c r="Q109" s="383">
        <v>9895991465</v>
      </c>
      <c r="R109" s="383" t="str">
        <f>SUBSTITUTE(Table3937[[#This Row],[whatsapp_number]]," ","")</f>
        <v>9895991465</v>
      </c>
      <c r="S109" s="383" t="str">
        <f>IF(Table3937[[#This Row],[PRIMARY CONTACT]]=Table3937[[#This Row],[WHATSAPP CONTACT]],"Same Contact","Different Contact")</f>
        <v>Same Contact</v>
      </c>
      <c r="T109" s="383" t="str">
        <f>IF(LEN(SUBSTITUTE(Table3937[[#This Row],[PRIMARY CONTACT]]," ",""))=10,SUBSTITUTE(Table3937[[#This Row],[PRIMARY CONTACT]]," ","") &amp; " - Proper","- Follow Up")</f>
        <v>9895991465 - Proper</v>
      </c>
      <c r="U109" s="383" t="s">
        <v>8341</v>
      </c>
      <c r="V109" s="393" t="s">
        <v>5420</v>
      </c>
      <c r="W109" s="383" t="s">
        <v>47</v>
      </c>
      <c r="X109" s="420" t="s">
        <v>44</v>
      </c>
      <c r="Y109" s="420" t="s">
        <v>44</v>
      </c>
      <c r="Z109" s="420" t="s">
        <v>44</v>
      </c>
      <c r="AA109" s="420" t="s">
        <v>44</v>
      </c>
      <c r="AB109" s="383"/>
    </row>
    <row r="110" spans="1:28" ht="13.8">
      <c r="A110" s="387">
        <v>109</v>
      </c>
      <c r="B110" s="387" t="s">
        <v>10710</v>
      </c>
      <c r="C110" s="387" t="s">
        <v>10710</v>
      </c>
      <c r="D110" s="387" t="s">
        <v>10710</v>
      </c>
      <c r="E110" s="383" t="s">
        <v>8696</v>
      </c>
      <c r="F110" s="383">
        <v>576</v>
      </c>
      <c r="G110" s="383" t="s">
        <v>71</v>
      </c>
      <c r="H110" s="383" t="s">
        <v>5416</v>
      </c>
      <c r="I110" s="383" t="s">
        <v>8392</v>
      </c>
      <c r="J110" s="383" t="s">
        <v>5426</v>
      </c>
      <c r="K110" s="383" t="s">
        <v>8341</v>
      </c>
      <c r="L110" s="383" t="s">
        <v>8341</v>
      </c>
      <c r="M110" s="383" t="s">
        <v>9982</v>
      </c>
      <c r="N110" s="420" t="s">
        <v>44</v>
      </c>
      <c r="O110" s="383" t="str">
        <f>IF(LEN(SUBSTITUTE(Table3937[[#This Row],[PRIMARY CONTACT]]," ",""))=10,SUBSTITUTE(Table3937[[#This Row],[PRIMARY CONTACT]]," ","") &amp; " - Proper","- Follow Up")</f>
        <v>9847089442 - Proper</v>
      </c>
      <c r="P110" s="383" t="s">
        <v>5427</v>
      </c>
      <c r="Q110" s="383">
        <v>9847089442</v>
      </c>
      <c r="R110" s="383" t="str">
        <f>SUBSTITUTE(Table3937[[#This Row],[whatsapp_number]]," ","")</f>
        <v>9847089442</v>
      </c>
      <c r="S110" s="383" t="str">
        <f>IF(Table3937[[#This Row],[PRIMARY CONTACT]]=Table3937[[#This Row],[WHATSAPP CONTACT]],"Same Contact","Different Contact")</f>
        <v>Same Contact</v>
      </c>
      <c r="T110" s="383" t="str">
        <f>IF(LEN(SUBSTITUTE(Table3937[[#This Row],[PRIMARY CONTACT]]," ",""))=10,SUBSTITUTE(Table3937[[#This Row],[PRIMARY CONTACT]]," ","") &amp; " - Proper","- Follow Up")</f>
        <v>9847089442 - Proper</v>
      </c>
      <c r="U110" s="383" t="s">
        <v>8341</v>
      </c>
      <c r="V110" s="393" t="s">
        <v>5420</v>
      </c>
      <c r="W110" s="383" t="s">
        <v>47</v>
      </c>
      <c r="X110" s="420" t="s">
        <v>44</v>
      </c>
      <c r="Y110" s="420" t="s">
        <v>44</v>
      </c>
      <c r="Z110" s="420" t="s">
        <v>44</v>
      </c>
      <c r="AA110" s="420" t="s">
        <v>44</v>
      </c>
      <c r="AB110" s="383"/>
    </row>
    <row r="111" spans="1:28" ht="13.8">
      <c r="A111" s="387">
        <v>110</v>
      </c>
      <c r="B111" s="387" t="s">
        <v>10710</v>
      </c>
      <c r="C111" s="387" t="s">
        <v>10710</v>
      </c>
      <c r="D111" s="387" t="s">
        <v>10710</v>
      </c>
      <c r="E111" s="383" t="s">
        <v>8697</v>
      </c>
      <c r="F111" s="383">
        <v>577</v>
      </c>
      <c r="G111" s="383" t="s">
        <v>71</v>
      </c>
      <c r="H111" s="383" t="s">
        <v>5429</v>
      </c>
      <c r="I111" s="383" t="s">
        <v>8393</v>
      </c>
      <c r="J111" s="383" t="s">
        <v>5431</v>
      </c>
      <c r="K111" s="383" t="s">
        <v>8341</v>
      </c>
      <c r="L111" s="383" t="s">
        <v>8341</v>
      </c>
      <c r="M111" s="383" t="s">
        <v>9983</v>
      </c>
      <c r="N111" s="420" t="s">
        <v>44</v>
      </c>
      <c r="O111" s="383" t="str">
        <f>IF(LEN(SUBSTITUTE(Table3937[[#This Row],[PRIMARY CONTACT]]," ",""))=10,SUBSTITUTE(Table3937[[#This Row],[PRIMARY CONTACT]]," ","") &amp; " - Proper","- Follow Up")</f>
        <v>9820046574 - Proper</v>
      </c>
      <c r="P111" s="383" t="s">
        <v>5432</v>
      </c>
      <c r="Q111" s="383">
        <v>9820046574</v>
      </c>
      <c r="R111" s="383" t="str">
        <f>SUBSTITUTE(Table3937[[#This Row],[whatsapp_number]]," ","")</f>
        <v>9820046574</v>
      </c>
      <c r="S111" s="383" t="str">
        <f>IF(Table3937[[#This Row],[PRIMARY CONTACT]]=Table3937[[#This Row],[WHATSAPP CONTACT]],"Same Contact","Different Contact")</f>
        <v>Same Contact</v>
      </c>
      <c r="T111" s="383" t="str">
        <f>IF(LEN(SUBSTITUTE(Table3937[[#This Row],[PRIMARY CONTACT]]," ",""))=10,SUBSTITUTE(Table3937[[#This Row],[PRIMARY CONTACT]]," ","") &amp; " - Proper","- Follow Up")</f>
        <v>9820046574 - Proper</v>
      </c>
      <c r="U111" s="383" t="s">
        <v>8341</v>
      </c>
      <c r="V111" s="383" t="s">
        <v>71</v>
      </c>
      <c r="W111" s="383" t="s">
        <v>47</v>
      </c>
      <c r="X111" s="420" t="s">
        <v>44</v>
      </c>
      <c r="Y111" s="420" t="s">
        <v>44</v>
      </c>
      <c r="Z111" s="420" t="s">
        <v>44</v>
      </c>
      <c r="AA111" s="420" t="s">
        <v>44</v>
      </c>
      <c r="AB111" s="383"/>
    </row>
    <row r="112" spans="1:28" ht="13.8">
      <c r="A112" s="387">
        <v>111</v>
      </c>
      <c r="B112" s="387" t="s">
        <v>10710</v>
      </c>
      <c r="C112" s="387" t="s">
        <v>10710</v>
      </c>
      <c r="D112" s="387" t="s">
        <v>10710</v>
      </c>
      <c r="E112" s="383" t="s">
        <v>8698</v>
      </c>
      <c r="F112" s="383">
        <v>578</v>
      </c>
      <c r="G112" s="383" t="s">
        <v>71</v>
      </c>
      <c r="H112" s="383" t="s">
        <v>5429</v>
      </c>
      <c r="I112" s="383" t="s">
        <v>8393</v>
      </c>
      <c r="J112" s="383" t="s">
        <v>5434</v>
      </c>
      <c r="K112" s="383" t="s">
        <v>8341</v>
      </c>
      <c r="L112" s="383" t="s">
        <v>8341</v>
      </c>
      <c r="M112" s="383" t="s">
        <v>9984</v>
      </c>
      <c r="N112" s="420" t="s">
        <v>44</v>
      </c>
      <c r="O112" s="383" t="str">
        <f>IF(LEN(SUBSTITUTE(Table3937[[#This Row],[PRIMARY CONTACT]]," ",""))=10,SUBSTITUTE(Table3937[[#This Row],[PRIMARY CONTACT]]," ","") &amp; " - Proper","- Follow Up")</f>
        <v>9820194321 - Proper</v>
      </c>
      <c r="P112" s="383" t="s">
        <v>5435</v>
      </c>
      <c r="Q112" s="383">
        <v>9820194321</v>
      </c>
      <c r="R112" s="383" t="str">
        <f>SUBSTITUTE(Table3937[[#This Row],[whatsapp_number]]," ","")</f>
        <v>9820194321</v>
      </c>
      <c r="S112" s="383" t="str">
        <f>IF(Table3937[[#This Row],[PRIMARY CONTACT]]=Table3937[[#This Row],[WHATSAPP CONTACT]],"Same Contact","Different Contact")</f>
        <v>Same Contact</v>
      </c>
      <c r="T112" s="383" t="str">
        <f>IF(LEN(SUBSTITUTE(Table3937[[#This Row],[PRIMARY CONTACT]]," ",""))=10,SUBSTITUTE(Table3937[[#This Row],[PRIMARY CONTACT]]," ","") &amp; " - Proper","- Follow Up")</f>
        <v>9820194321 - Proper</v>
      </c>
      <c r="U112" s="383" t="s">
        <v>8341</v>
      </c>
      <c r="V112" s="383" t="s">
        <v>71</v>
      </c>
      <c r="W112" s="383" t="s">
        <v>47</v>
      </c>
      <c r="X112" s="420" t="s">
        <v>44</v>
      </c>
      <c r="Y112" s="420" t="s">
        <v>44</v>
      </c>
      <c r="Z112" s="420" t="s">
        <v>44</v>
      </c>
      <c r="AA112" s="420" t="s">
        <v>44</v>
      </c>
      <c r="AB112" s="383"/>
    </row>
    <row r="113" spans="1:28" ht="13.8">
      <c r="A113" s="387">
        <v>112</v>
      </c>
      <c r="B113" s="387" t="s">
        <v>10710</v>
      </c>
      <c r="C113" s="387" t="s">
        <v>10710</v>
      </c>
      <c r="D113" s="387" t="s">
        <v>10710</v>
      </c>
      <c r="E113" s="383" t="s">
        <v>8699</v>
      </c>
      <c r="F113" s="383">
        <v>579</v>
      </c>
      <c r="G113" s="383" t="s">
        <v>71</v>
      </c>
      <c r="H113" s="383" t="s">
        <v>5437</v>
      </c>
      <c r="I113" s="383" t="s">
        <v>8394</v>
      </c>
      <c r="J113" s="383" t="s">
        <v>9327</v>
      </c>
      <c r="K113" s="383" t="s">
        <v>8341</v>
      </c>
      <c r="L113" s="383" t="s">
        <v>8341</v>
      </c>
      <c r="M113" s="383" t="s">
        <v>9985</v>
      </c>
      <c r="N113" s="420" t="s">
        <v>44</v>
      </c>
      <c r="O113" s="383" t="str">
        <f>IF(LEN(SUBSTITUTE(Table3937[[#This Row],[PRIMARY CONTACT]]," ",""))=10,SUBSTITUTE(Table3937[[#This Row],[PRIMARY CONTACT]]," ","") &amp; " - Proper","- Follow Up")</f>
        <v>9820081069 - Proper</v>
      </c>
      <c r="P113" s="383" t="s">
        <v>5440</v>
      </c>
      <c r="Q113" s="383">
        <v>9820081069</v>
      </c>
      <c r="R113" s="383" t="str">
        <f>SUBSTITUTE(Table3937[[#This Row],[whatsapp_number]]," ","")</f>
        <v>9820081069</v>
      </c>
      <c r="S113" s="383" t="str">
        <f>IF(Table3937[[#This Row],[PRIMARY CONTACT]]=Table3937[[#This Row],[WHATSAPP CONTACT]],"Same Contact","Different Contact")</f>
        <v>Same Contact</v>
      </c>
      <c r="T113" s="383" t="str">
        <f>IF(LEN(SUBSTITUTE(Table3937[[#This Row],[PRIMARY CONTACT]]," ",""))=10,SUBSTITUTE(Table3937[[#This Row],[PRIMARY CONTACT]]," ","") &amp; " - Proper","- Follow Up")</f>
        <v>9820081069 - Proper</v>
      </c>
      <c r="U113" s="383" t="s">
        <v>8341</v>
      </c>
      <c r="V113" s="393" t="s">
        <v>5441</v>
      </c>
      <c r="W113" s="383" t="s">
        <v>47</v>
      </c>
      <c r="X113" s="420" t="s">
        <v>44</v>
      </c>
      <c r="Y113" s="420" t="s">
        <v>44</v>
      </c>
      <c r="Z113" s="420" t="s">
        <v>44</v>
      </c>
      <c r="AA113" s="420" t="s">
        <v>44</v>
      </c>
      <c r="AB113" s="383"/>
    </row>
    <row r="114" spans="1:28" ht="13.8">
      <c r="A114" s="387">
        <v>113</v>
      </c>
      <c r="B114" s="387" t="s">
        <v>10710</v>
      </c>
      <c r="C114" s="387" t="s">
        <v>10710</v>
      </c>
      <c r="D114" s="387" t="s">
        <v>10710</v>
      </c>
      <c r="E114" s="383" t="s">
        <v>8700</v>
      </c>
      <c r="F114" s="383">
        <v>580</v>
      </c>
      <c r="G114" s="383" t="s">
        <v>71</v>
      </c>
      <c r="H114" s="383" t="s">
        <v>5437</v>
      </c>
      <c r="I114" s="383" t="s">
        <v>8394</v>
      </c>
      <c r="J114" s="383" t="s">
        <v>9328</v>
      </c>
      <c r="K114" s="383" t="s">
        <v>8341</v>
      </c>
      <c r="L114" s="383" t="s">
        <v>8341</v>
      </c>
      <c r="M114" s="383" t="s">
        <v>9986</v>
      </c>
      <c r="N114" s="420" t="s">
        <v>44</v>
      </c>
      <c r="O114" s="383" t="str">
        <f>IF(LEN(SUBSTITUTE(Table3937[[#This Row],[PRIMARY CONTACT]]," ",""))=10,SUBSTITUTE(Table3937[[#This Row],[PRIMARY CONTACT]]," ","") &amp; " - Proper","- Follow Up")</f>
        <v>9820343007 - Proper</v>
      </c>
      <c r="P114" s="383" t="s">
        <v>5444</v>
      </c>
      <c r="Q114" s="383">
        <v>9820343007</v>
      </c>
      <c r="R114" s="383" t="str">
        <f>SUBSTITUTE(Table3937[[#This Row],[whatsapp_number]]," ","")</f>
        <v>9820343007</v>
      </c>
      <c r="S114" s="383" t="str">
        <f>IF(Table3937[[#This Row],[PRIMARY CONTACT]]=Table3937[[#This Row],[WHATSAPP CONTACT]],"Same Contact","Different Contact")</f>
        <v>Same Contact</v>
      </c>
      <c r="T114" s="383" t="str">
        <f>IF(LEN(SUBSTITUTE(Table3937[[#This Row],[PRIMARY CONTACT]]," ",""))=10,SUBSTITUTE(Table3937[[#This Row],[PRIMARY CONTACT]]," ","") &amp; " - Proper","- Follow Up")</f>
        <v>9820343007 - Proper</v>
      </c>
      <c r="U114" s="383" t="s">
        <v>8341</v>
      </c>
      <c r="V114" s="393" t="s">
        <v>5441</v>
      </c>
      <c r="W114" s="383" t="s">
        <v>47</v>
      </c>
      <c r="X114" s="420" t="s">
        <v>44</v>
      </c>
      <c r="Y114" s="420" t="s">
        <v>44</v>
      </c>
      <c r="Z114" s="420" t="s">
        <v>44</v>
      </c>
      <c r="AA114" s="420" t="s">
        <v>44</v>
      </c>
      <c r="AB114" s="383"/>
    </row>
    <row r="115" spans="1:28" ht="13.8">
      <c r="A115" s="387">
        <v>114</v>
      </c>
      <c r="B115" s="387" t="s">
        <v>10710</v>
      </c>
      <c r="C115" s="387" t="s">
        <v>10710</v>
      </c>
      <c r="D115" s="387" t="s">
        <v>10710</v>
      </c>
      <c r="E115" s="383" t="s">
        <v>8701</v>
      </c>
      <c r="F115" s="383">
        <v>581</v>
      </c>
      <c r="G115" s="383" t="s">
        <v>71</v>
      </c>
      <c r="H115" s="383" t="s">
        <v>5437</v>
      </c>
      <c r="I115" s="383" t="s">
        <v>8394</v>
      </c>
      <c r="J115" s="383" t="s">
        <v>9329</v>
      </c>
      <c r="K115" s="383" t="s">
        <v>8341</v>
      </c>
      <c r="L115" s="383" t="s">
        <v>8341</v>
      </c>
      <c r="M115" s="383" t="s">
        <v>9987</v>
      </c>
      <c r="N115" s="420" t="s">
        <v>44</v>
      </c>
      <c r="O115" s="383" t="str">
        <f>IF(LEN(SUBSTITUTE(Table3937[[#This Row],[PRIMARY CONTACT]]," ",""))=10,SUBSTITUTE(Table3937[[#This Row],[PRIMARY CONTACT]]," ","") &amp; " - Proper","- Follow Up")</f>
        <v>9920527298 - Proper</v>
      </c>
      <c r="P115" s="383" t="s">
        <v>5447</v>
      </c>
      <c r="Q115" s="383">
        <v>9920527298</v>
      </c>
      <c r="R115" s="383" t="str">
        <f>SUBSTITUTE(Table3937[[#This Row],[whatsapp_number]]," ","")</f>
        <v>9920527298</v>
      </c>
      <c r="S115" s="383" t="str">
        <f>IF(Table3937[[#This Row],[PRIMARY CONTACT]]=Table3937[[#This Row],[WHATSAPP CONTACT]],"Same Contact","Different Contact")</f>
        <v>Same Contact</v>
      </c>
      <c r="T115" s="383" t="str">
        <f>IF(LEN(SUBSTITUTE(Table3937[[#This Row],[PRIMARY CONTACT]]," ",""))=10,SUBSTITUTE(Table3937[[#This Row],[PRIMARY CONTACT]]," ","") &amp; " - Proper","- Follow Up")</f>
        <v>9920527298 - Proper</v>
      </c>
      <c r="U115" s="383" t="s">
        <v>8341</v>
      </c>
      <c r="V115" s="393" t="s">
        <v>5441</v>
      </c>
      <c r="W115" s="383" t="s">
        <v>47</v>
      </c>
      <c r="X115" s="420" t="s">
        <v>44</v>
      </c>
      <c r="Y115" s="420" t="s">
        <v>44</v>
      </c>
      <c r="Z115" s="420" t="s">
        <v>44</v>
      </c>
      <c r="AA115" s="420" t="s">
        <v>44</v>
      </c>
      <c r="AB115" s="383"/>
    </row>
    <row r="116" spans="1:28" ht="13.8">
      <c r="A116" s="387">
        <v>115</v>
      </c>
      <c r="B116" s="387" t="s">
        <v>10710</v>
      </c>
      <c r="C116" s="387" t="s">
        <v>10710</v>
      </c>
      <c r="D116" s="387" t="s">
        <v>10710</v>
      </c>
      <c r="E116" s="383" t="s">
        <v>8702</v>
      </c>
      <c r="F116" s="383">
        <v>582</v>
      </c>
      <c r="G116" s="383" t="s">
        <v>71</v>
      </c>
      <c r="H116" s="383" t="s">
        <v>5449</v>
      </c>
      <c r="I116" s="383" t="s">
        <v>8395</v>
      </c>
      <c r="J116" s="383" t="s">
        <v>9330</v>
      </c>
      <c r="K116" s="383" t="s">
        <v>191</v>
      </c>
      <c r="L116" s="383" t="s">
        <v>8341</v>
      </c>
      <c r="M116" s="383" t="s">
        <v>9988</v>
      </c>
      <c r="N116" s="420" t="s">
        <v>44</v>
      </c>
      <c r="O116" s="383" t="str">
        <f>IF(LEN(SUBSTITUTE(Table3937[[#This Row],[PRIMARY CONTACT]]," ",""))=10,SUBSTITUTE(Table3937[[#This Row],[PRIMARY CONTACT]]," ","") &amp; " - Proper","- Follow Up")</f>
        <v>9823013745 - Proper</v>
      </c>
      <c r="P116" s="383" t="s">
        <v>5452</v>
      </c>
      <c r="Q116" s="383">
        <v>9823013745</v>
      </c>
      <c r="R116" s="383" t="str">
        <f>SUBSTITUTE(Table3937[[#This Row],[whatsapp_number]]," ","")</f>
        <v>9823013745</v>
      </c>
      <c r="S116" s="383" t="str">
        <f>IF(Table3937[[#This Row],[PRIMARY CONTACT]]=Table3937[[#This Row],[WHATSAPP CONTACT]],"Same Contact","Different Contact")</f>
        <v>Same Contact</v>
      </c>
      <c r="T116" s="383" t="str">
        <f>IF(LEN(SUBSTITUTE(Table3937[[#This Row],[PRIMARY CONTACT]]," ",""))=10,SUBSTITUTE(Table3937[[#This Row],[PRIMARY CONTACT]]," ","") &amp; " - Proper","- Follow Up")</f>
        <v>9823013745 - Proper</v>
      </c>
      <c r="U116" s="383" t="s">
        <v>8341</v>
      </c>
      <c r="V116" s="393" t="s">
        <v>5453</v>
      </c>
      <c r="W116" s="383" t="s">
        <v>47</v>
      </c>
      <c r="X116" s="420" t="s">
        <v>44</v>
      </c>
      <c r="Y116" s="420" t="s">
        <v>44</v>
      </c>
      <c r="Z116" s="420" t="s">
        <v>44</v>
      </c>
      <c r="AA116" s="420" t="s">
        <v>44</v>
      </c>
      <c r="AB116" s="383"/>
    </row>
    <row r="117" spans="1:28" ht="13.8">
      <c r="A117" s="387">
        <v>116</v>
      </c>
      <c r="B117" s="387" t="s">
        <v>10710</v>
      </c>
      <c r="C117" s="387" t="s">
        <v>10710</v>
      </c>
      <c r="D117" s="387" t="s">
        <v>10710</v>
      </c>
      <c r="E117" s="383" t="s">
        <v>8703</v>
      </c>
      <c r="F117" s="383">
        <v>583</v>
      </c>
      <c r="G117" s="383" t="s">
        <v>71</v>
      </c>
      <c r="H117" s="383" t="s">
        <v>5449</v>
      </c>
      <c r="I117" s="383" t="s">
        <v>8395</v>
      </c>
      <c r="J117" s="383" t="s">
        <v>9331</v>
      </c>
      <c r="K117" s="383" t="s">
        <v>191</v>
      </c>
      <c r="L117" s="383" t="s">
        <v>8341</v>
      </c>
      <c r="M117" s="383" t="s">
        <v>9989</v>
      </c>
      <c r="N117" s="420" t="s">
        <v>44</v>
      </c>
      <c r="O117" s="383" t="str">
        <f>IF(LEN(SUBSTITUTE(Table3937[[#This Row],[PRIMARY CONTACT]]," ",""))=10,SUBSTITUTE(Table3937[[#This Row],[PRIMARY CONTACT]]," ","") &amp; " - Proper","- Follow Up")</f>
        <v>7798778899 - Proper</v>
      </c>
      <c r="P117" s="383" t="s">
        <v>5456</v>
      </c>
      <c r="Q117" s="383">
        <v>7798778899</v>
      </c>
      <c r="R117" s="383" t="str">
        <f>SUBSTITUTE(Table3937[[#This Row],[whatsapp_number]]," ","")</f>
        <v>7798778899</v>
      </c>
      <c r="S117" s="383" t="str">
        <f>IF(Table3937[[#This Row],[PRIMARY CONTACT]]=Table3937[[#This Row],[WHATSAPP CONTACT]],"Same Contact","Different Contact")</f>
        <v>Same Contact</v>
      </c>
      <c r="T117" s="383" t="str">
        <f>IF(LEN(SUBSTITUTE(Table3937[[#This Row],[PRIMARY CONTACT]]," ",""))=10,SUBSTITUTE(Table3937[[#This Row],[PRIMARY CONTACT]]," ","") &amp; " - Proper","- Follow Up")</f>
        <v>7798778899 - Proper</v>
      </c>
      <c r="U117" s="383" t="s">
        <v>8341</v>
      </c>
      <c r="V117" s="393" t="s">
        <v>5453</v>
      </c>
      <c r="W117" s="383" t="s">
        <v>47</v>
      </c>
      <c r="X117" s="420" t="s">
        <v>44</v>
      </c>
      <c r="Y117" s="420" t="s">
        <v>44</v>
      </c>
      <c r="Z117" s="420" t="s">
        <v>44</v>
      </c>
      <c r="AA117" s="420" t="s">
        <v>44</v>
      </c>
      <c r="AB117" s="383"/>
    </row>
    <row r="118" spans="1:28" ht="13.8">
      <c r="A118" s="387">
        <v>117</v>
      </c>
      <c r="B118" s="387" t="s">
        <v>10710</v>
      </c>
      <c r="C118" s="387" t="s">
        <v>10710</v>
      </c>
      <c r="D118" s="387" t="s">
        <v>10710</v>
      </c>
      <c r="E118" s="383" t="s">
        <v>8704</v>
      </c>
      <c r="F118" s="383">
        <v>584</v>
      </c>
      <c r="G118" s="383" t="s">
        <v>71</v>
      </c>
      <c r="H118" s="383" t="s">
        <v>5449</v>
      </c>
      <c r="I118" s="383" t="s">
        <v>8395</v>
      </c>
      <c r="J118" s="383" t="s">
        <v>9332</v>
      </c>
      <c r="K118" s="383" t="s">
        <v>191</v>
      </c>
      <c r="L118" s="383" t="s">
        <v>8341</v>
      </c>
      <c r="M118" s="383" t="s">
        <v>9990</v>
      </c>
      <c r="N118" s="420" t="s">
        <v>44</v>
      </c>
      <c r="O118" s="383" t="str">
        <f>IF(LEN(SUBSTITUTE(Table3937[[#This Row],[PRIMARY CONTACT]]," ",""))=10,SUBSTITUTE(Table3937[[#This Row],[PRIMARY CONTACT]]," ","") &amp; " - Proper","- Follow Up")</f>
        <v>9823261100 - Proper</v>
      </c>
      <c r="P118" s="383" t="s">
        <v>5459</v>
      </c>
      <c r="Q118" s="383">
        <v>9823261100</v>
      </c>
      <c r="R118" s="383" t="str">
        <f>SUBSTITUTE(Table3937[[#This Row],[whatsapp_number]]," ","")</f>
        <v>9823261100</v>
      </c>
      <c r="S118" s="383" t="str">
        <f>IF(Table3937[[#This Row],[PRIMARY CONTACT]]=Table3937[[#This Row],[WHATSAPP CONTACT]],"Same Contact","Different Contact")</f>
        <v>Same Contact</v>
      </c>
      <c r="T118" s="383" t="str">
        <f>IF(LEN(SUBSTITUTE(Table3937[[#This Row],[PRIMARY CONTACT]]," ",""))=10,SUBSTITUTE(Table3937[[#This Row],[PRIMARY CONTACT]]," ","") &amp; " - Proper","- Follow Up")</f>
        <v>9823261100 - Proper</v>
      </c>
      <c r="U118" s="383" t="s">
        <v>8341</v>
      </c>
      <c r="V118" s="393" t="s">
        <v>5453</v>
      </c>
      <c r="W118" s="383" t="s">
        <v>47</v>
      </c>
      <c r="X118" s="420" t="s">
        <v>44</v>
      </c>
      <c r="Y118" s="420" t="s">
        <v>44</v>
      </c>
      <c r="Z118" s="420" t="s">
        <v>44</v>
      </c>
      <c r="AA118" s="420" t="s">
        <v>44</v>
      </c>
      <c r="AB118" s="383"/>
    </row>
    <row r="119" spans="1:28" ht="13.8">
      <c r="A119" s="387">
        <v>118</v>
      </c>
      <c r="B119" s="387" t="s">
        <v>10710</v>
      </c>
      <c r="C119" s="387" t="s">
        <v>10710</v>
      </c>
      <c r="D119" s="387" t="s">
        <v>10710</v>
      </c>
      <c r="E119" s="383" t="s">
        <v>8705</v>
      </c>
      <c r="F119" s="383">
        <v>585</v>
      </c>
      <c r="G119" s="383" t="s">
        <v>71</v>
      </c>
      <c r="H119" s="383" t="s">
        <v>5449</v>
      </c>
      <c r="I119" s="383" t="s">
        <v>8395</v>
      </c>
      <c r="J119" s="383" t="s">
        <v>9333</v>
      </c>
      <c r="K119" s="383" t="s">
        <v>191</v>
      </c>
      <c r="L119" s="383" t="s">
        <v>8341</v>
      </c>
      <c r="M119" s="383" t="s">
        <v>9991</v>
      </c>
      <c r="N119" s="420" t="s">
        <v>44</v>
      </c>
      <c r="O119" s="383" t="str">
        <f>IF(LEN(SUBSTITUTE(Table3937[[#This Row],[PRIMARY CONTACT]]," ",""))=10,SUBSTITUTE(Table3937[[#This Row],[PRIMARY CONTACT]]," ","") &amp; " - Proper","- Follow Up")</f>
        <v>9823023457 - Proper</v>
      </c>
      <c r="P119" s="383" t="s">
        <v>5462</v>
      </c>
      <c r="Q119" s="383">
        <v>9823023457</v>
      </c>
      <c r="R119" s="383" t="str">
        <f>SUBSTITUTE(Table3937[[#This Row],[whatsapp_number]]," ","")</f>
        <v>9823023457</v>
      </c>
      <c r="S119" s="383" t="str">
        <f>IF(Table3937[[#This Row],[PRIMARY CONTACT]]=Table3937[[#This Row],[WHATSAPP CONTACT]],"Same Contact","Different Contact")</f>
        <v>Same Contact</v>
      </c>
      <c r="T119" s="383" t="str">
        <f>IF(LEN(SUBSTITUTE(Table3937[[#This Row],[PRIMARY CONTACT]]," ",""))=10,SUBSTITUTE(Table3937[[#This Row],[PRIMARY CONTACT]]," ","") &amp; " - Proper","- Follow Up")</f>
        <v>9823023457 - Proper</v>
      </c>
      <c r="U119" s="383" t="s">
        <v>8341</v>
      </c>
      <c r="V119" s="393" t="s">
        <v>5453</v>
      </c>
      <c r="W119" s="383" t="s">
        <v>47</v>
      </c>
      <c r="X119" s="420" t="s">
        <v>44</v>
      </c>
      <c r="Y119" s="420" t="s">
        <v>44</v>
      </c>
      <c r="Z119" s="420" t="s">
        <v>44</v>
      </c>
      <c r="AA119" s="420" t="s">
        <v>44</v>
      </c>
      <c r="AB119" s="383"/>
    </row>
    <row r="120" spans="1:28" ht="13.8">
      <c r="A120" s="387">
        <v>119</v>
      </c>
      <c r="B120" s="387" t="s">
        <v>10710</v>
      </c>
      <c r="C120" s="387" t="s">
        <v>10710</v>
      </c>
      <c r="D120" s="387" t="s">
        <v>10710</v>
      </c>
      <c r="E120" s="383" t="s">
        <v>8706</v>
      </c>
      <c r="F120" s="383">
        <v>586</v>
      </c>
      <c r="G120" s="383" t="s">
        <v>71</v>
      </c>
      <c r="H120" s="383" t="s">
        <v>5449</v>
      </c>
      <c r="I120" s="383" t="s">
        <v>8395</v>
      </c>
      <c r="J120" s="383" t="s">
        <v>9334</v>
      </c>
      <c r="K120" s="383" t="s">
        <v>9505</v>
      </c>
      <c r="L120" s="383" t="s">
        <v>8341</v>
      </c>
      <c r="M120" s="383" t="s">
        <v>9992</v>
      </c>
      <c r="N120" s="420" t="s">
        <v>44</v>
      </c>
      <c r="O120" s="383" t="str">
        <f>IF(LEN(SUBSTITUTE(Table3937[[#This Row],[PRIMARY CONTACT]]," ",""))=10,SUBSTITUTE(Table3937[[#This Row],[PRIMARY CONTACT]]," ","") &amp; " - Proper","- Follow Up")</f>
        <v>9810203822 - Proper</v>
      </c>
      <c r="P120" s="383" t="s">
        <v>5466</v>
      </c>
      <c r="Q120" s="383">
        <v>9810203822</v>
      </c>
      <c r="R120" s="383" t="str">
        <f>SUBSTITUTE(Table3937[[#This Row],[whatsapp_number]]," ","")</f>
        <v>9810203822</v>
      </c>
      <c r="S120" s="383" t="str">
        <f>IF(Table3937[[#This Row],[PRIMARY CONTACT]]=Table3937[[#This Row],[WHATSAPP CONTACT]],"Same Contact","Different Contact")</f>
        <v>Same Contact</v>
      </c>
      <c r="T120" s="383" t="str">
        <f>IF(LEN(SUBSTITUTE(Table3937[[#This Row],[PRIMARY CONTACT]]," ",""))=10,SUBSTITUTE(Table3937[[#This Row],[PRIMARY CONTACT]]," ","") &amp; " - Proper","- Follow Up")</f>
        <v>9810203822 - Proper</v>
      </c>
      <c r="U120" s="383" t="s">
        <v>8341</v>
      </c>
      <c r="V120" s="393" t="s">
        <v>5453</v>
      </c>
      <c r="W120" s="383" t="s">
        <v>47</v>
      </c>
      <c r="X120" s="420" t="s">
        <v>44</v>
      </c>
      <c r="Y120" s="420" t="s">
        <v>44</v>
      </c>
      <c r="Z120" s="420" t="s">
        <v>44</v>
      </c>
      <c r="AA120" s="420" t="s">
        <v>44</v>
      </c>
      <c r="AB120" s="383"/>
    </row>
    <row r="121" spans="1:28" ht="13.8">
      <c r="A121" s="387">
        <v>120</v>
      </c>
      <c r="B121" s="387" t="s">
        <v>10710</v>
      </c>
      <c r="C121" s="387" t="s">
        <v>10710</v>
      </c>
      <c r="D121" s="387" t="s">
        <v>10710</v>
      </c>
      <c r="E121" s="383" t="s">
        <v>8707</v>
      </c>
      <c r="F121" s="383">
        <v>587</v>
      </c>
      <c r="G121" s="383" t="s">
        <v>71</v>
      </c>
      <c r="H121" s="383" t="s">
        <v>5468</v>
      </c>
      <c r="I121" s="383" t="s">
        <v>8396</v>
      </c>
      <c r="J121" s="383" t="s">
        <v>5470</v>
      </c>
      <c r="K121" s="383" t="s">
        <v>8341</v>
      </c>
      <c r="L121" s="383" t="s">
        <v>8341</v>
      </c>
      <c r="M121" s="383" t="s">
        <v>9993</v>
      </c>
      <c r="N121" s="420" t="s">
        <v>44</v>
      </c>
      <c r="O121" s="383" t="str">
        <f>IF(LEN(SUBSTITUTE(Table3937[[#This Row],[PRIMARY CONTACT]]," ",""))=10,SUBSTITUTE(Table3937[[#This Row],[PRIMARY CONTACT]]," ","") &amp; " - Proper","- Follow Up")</f>
        <v>9496019142 - Proper</v>
      </c>
      <c r="P121" s="383" t="s">
        <v>5471</v>
      </c>
      <c r="Q121" s="383">
        <v>9496019142</v>
      </c>
      <c r="R121" s="383" t="str">
        <f>SUBSTITUTE(Table3937[[#This Row],[whatsapp_number]]," ","")</f>
        <v>9496019142</v>
      </c>
      <c r="S121" s="383" t="str">
        <f>IF(Table3937[[#This Row],[PRIMARY CONTACT]]=Table3937[[#This Row],[WHATSAPP CONTACT]],"Same Contact","Different Contact")</f>
        <v>Same Contact</v>
      </c>
      <c r="T121" s="383" t="str">
        <f>IF(LEN(SUBSTITUTE(Table3937[[#This Row],[PRIMARY CONTACT]]," ",""))=10,SUBSTITUTE(Table3937[[#This Row],[PRIMARY CONTACT]]," ","") &amp; " - Proper","- Follow Up")</f>
        <v>9496019142 - Proper</v>
      </c>
      <c r="U121" s="383" t="s">
        <v>8341</v>
      </c>
      <c r="V121" s="393" t="s">
        <v>5472</v>
      </c>
      <c r="W121" s="383" t="s">
        <v>47</v>
      </c>
      <c r="X121" s="420" t="s">
        <v>44</v>
      </c>
      <c r="Y121" s="420" t="s">
        <v>44</v>
      </c>
      <c r="Z121" s="420" t="s">
        <v>44</v>
      </c>
      <c r="AA121" s="420" t="s">
        <v>44</v>
      </c>
      <c r="AB121" s="383"/>
    </row>
    <row r="122" spans="1:28" ht="13.8">
      <c r="A122" s="387">
        <v>121</v>
      </c>
      <c r="B122" s="387" t="s">
        <v>10710</v>
      </c>
      <c r="C122" s="387" t="s">
        <v>10710</v>
      </c>
      <c r="D122" s="387" t="s">
        <v>10710</v>
      </c>
      <c r="E122" s="383" t="s">
        <v>8708</v>
      </c>
      <c r="F122" s="383">
        <v>588</v>
      </c>
      <c r="G122" s="383" t="s">
        <v>71</v>
      </c>
      <c r="H122" s="383" t="s">
        <v>5468</v>
      </c>
      <c r="I122" s="383" t="s">
        <v>8396</v>
      </c>
      <c r="J122" s="383" t="s">
        <v>5474</v>
      </c>
      <c r="K122" s="383" t="s">
        <v>8341</v>
      </c>
      <c r="L122" s="383" t="s">
        <v>8341</v>
      </c>
      <c r="M122" s="383" t="s">
        <v>9994</v>
      </c>
      <c r="N122" s="420" t="s">
        <v>44</v>
      </c>
      <c r="O122" s="383" t="str">
        <f>IF(LEN(SUBSTITUTE(Table3937[[#This Row],[PRIMARY CONTACT]]," ",""))=10,SUBSTITUTE(Table3937[[#This Row],[PRIMARY CONTACT]]," ","") &amp; " - Proper","- Follow Up")</f>
        <v>9944583333 - Proper</v>
      </c>
      <c r="P122" s="383" t="s">
        <v>5475</v>
      </c>
      <c r="Q122" s="383">
        <v>9944583333</v>
      </c>
      <c r="R122" s="383" t="str">
        <f>SUBSTITUTE(Table3937[[#This Row],[whatsapp_number]]," ","")</f>
        <v>9944583333</v>
      </c>
      <c r="S122" s="383" t="str">
        <f>IF(Table3937[[#This Row],[PRIMARY CONTACT]]=Table3937[[#This Row],[WHATSAPP CONTACT]],"Same Contact","Different Contact")</f>
        <v>Same Contact</v>
      </c>
      <c r="T122" s="383" t="str">
        <f>IF(LEN(SUBSTITUTE(Table3937[[#This Row],[PRIMARY CONTACT]]," ",""))=10,SUBSTITUTE(Table3937[[#This Row],[PRIMARY CONTACT]]," ","") &amp; " - Proper","- Follow Up")</f>
        <v>9944583333 - Proper</v>
      </c>
      <c r="U122" s="383" t="s">
        <v>8341</v>
      </c>
      <c r="V122" s="393" t="s">
        <v>5472</v>
      </c>
      <c r="W122" s="383" t="s">
        <v>47</v>
      </c>
      <c r="X122" s="420" t="s">
        <v>44</v>
      </c>
      <c r="Y122" s="420" t="s">
        <v>44</v>
      </c>
      <c r="Z122" s="420" t="s">
        <v>44</v>
      </c>
      <c r="AA122" s="420" t="s">
        <v>44</v>
      </c>
      <c r="AB122" s="383"/>
    </row>
    <row r="123" spans="1:28" ht="13.8">
      <c r="A123" s="387">
        <v>122</v>
      </c>
      <c r="B123" s="387" t="s">
        <v>10710</v>
      </c>
      <c r="C123" s="387" t="s">
        <v>10710</v>
      </c>
      <c r="D123" s="387" t="s">
        <v>10710</v>
      </c>
      <c r="E123" s="383" t="s">
        <v>8709</v>
      </c>
      <c r="F123" s="383">
        <v>589</v>
      </c>
      <c r="G123" s="383" t="s">
        <v>71</v>
      </c>
      <c r="H123" s="383" t="s">
        <v>5468</v>
      </c>
      <c r="I123" s="383" t="s">
        <v>8396</v>
      </c>
      <c r="J123" s="383" t="s">
        <v>9335</v>
      </c>
      <c r="K123" s="383" t="s">
        <v>8341</v>
      </c>
      <c r="L123" s="383" t="s">
        <v>8341</v>
      </c>
      <c r="M123" s="383" t="s">
        <v>9995</v>
      </c>
      <c r="N123" s="420" t="s">
        <v>44</v>
      </c>
      <c r="O123" s="383" t="str">
        <f>IF(LEN(SUBSTITUTE(Table3937[[#This Row],[PRIMARY CONTACT]]," ",""))=10,SUBSTITUTE(Table3937[[#This Row],[PRIMARY CONTACT]]," ","") &amp; " - Proper","- Follow Up")</f>
        <v>9496019064 - Proper</v>
      </c>
      <c r="P123" s="383" t="s">
        <v>5478</v>
      </c>
      <c r="Q123" s="383">
        <v>9496019064</v>
      </c>
      <c r="R123" s="383" t="str">
        <f>SUBSTITUTE(Table3937[[#This Row],[whatsapp_number]]," ","")</f>
        <v>9496019064</v>
      </c>
      <c r="S123" s="383" t="str">
        <f>IF(Table3937[[#This Row],[PRIMARY CONTACT]]=Table3937[[#This Row],[WHATSAPP CONTACT]],"Same Contact","Different Contact")</f>
        <v>Same Contact</v>
      </c>
      <c r="T123" s="383" t="str">
        <f>IF(LEN(SUBSTITUTE(Table3937[[#This Row],[PRIMARY CONTACT]]," ",""))=10,SUBSTITUTE(Table3937[[#This Row],[PRIMARY CONTACT]]," ","") &amp; " - Proper","- Follow Up")</f>
        <v>9496019064 - Proper</v>
      </c>
      <c r="U123" s="383" t="s">
        <v>8341</v>
      </c>
      <c r="V123" s="393" t="s">
        <v>5472</v>
      </c>
      <c r="W123" s="383" t="s">
        <v>47</v>
      </c>
      <c r="X123" s="420" t="s">
        <v>44</v>
      </c>
      <c r="Y123" s="420" t="s">
        <v>44</v>
      </c>
      <c r="Z123" s="420" t="s">
        <v>44</v>
      </c>
      <c r="AA123" s="420" t="s">
        <v>44</v>
      </c>
      <c r="AB123" s="383"/>
    </row>
    <row r="124" spans="1:28" ht="13.8">
      <c r="A124" s="387">
        <v>123</v>
      </c>
      <c r="B124" s="387" t="s">
        <v>10710</v>
      </c>
      <c r="C124" s="387" t="s">
        <v>10710</v>
      </c>
      <c r="D124" s="387" t="s">
        <v>10710</v>
      </c>
      <c r="E124" s="383" t="s">
        <v>8710</v>
      </c>
      <c r="F124" s="383">
        <v>590</v>
      </c>
      <c r="G124" s="383" t="s">
        <v>71</v>
      </c>
      <c r="H124" s="383" t="s">
        <v>5480</v>
      </c>
      <c r="I124" s="383" t="s">
        <v>8397</v>
      </c>
      <c r="J124" s="383" t="s">
        <v>9336</v>
      </c>
      <c r="K124" s="383" t="s">
        <v>8341</v>
      </c>
      <c r="L124" s="383" t="s">
        <v>8341</v>
      </c>
      <c r="M124" s="383" t="s">
        <v>9996</v>
      </c>
      <c r="N124" s="420" t="s">
        <v>44</v>
      </c>
      <c r="O124" s="383" t="str">
        <f>IF(LEN(SUBSTITUTE(Table3937[[#This Row],[PRIMARY CONTACT]]," ",""))=10,SUBSTITUTE(Table3937[[#This Row],[PRIMARY CONTACT]]," ","") &amp; " - Proper","- Follow Up")</f>
        <v>9824133333 - Proper</v>
      </c>
      <c r="P124" s="383" t="s">
        <v>5483</v>
      </c>
      <c r="Q124" s="383">
        <v>9824133333</v>
      </c>
      <c r="R124" s="383" t="str">
        <f>SUBSTITUTE(Table3937[[#This Row],[whatsapp_number]]," ","")</f>
        <v>9824133333</v>
      </c>
      <c r="S124" s="383" t="str">
        <f>IF(Table3937[[#This Row],[PRIMARY CONTACT]]=Table3937[[#This Row],[WHATSAPP CONTACT]],"Same Contact","Different Contact")</f>
        <v>Same Contact</v>
      </c>
      <c r="T124" s="383" t="str">
        <f>IF(LEN(SUBSTITUTE(Table3937[[#This Row],[PRIMARY CONTACT]]," ",""))=10,SUBSTITUTE(Table3937[[#This Row],[PRIMARY CONTACT]]," ","") &amp; " - Proper","- Follow Up")</f>
        <v>9824133333 - Proper</v>
      </c>
      <c r="U124" s="383" t="s">
        <v>8341</v>
      </c>
      <c r="V124" s="393" t="s">
        <v>5484</v>
      </c>
      <c r="W124" s="383" t="s">
        <v>47</v>
      </c>
      <c r="X124" s="420" t="s">
        <v>44</v>
      </c>
      <c r="Y124" s="420" t="s">
        <v>44</v>
      </c>
      <c r="Z124" s="420" t="s">
        <v>44</v>
      </c>
      <c r="AA124" s="420" t="s">
        <v>44</v>
      </c>
      <c r="AB124" s="383"/>
    </row>
    <row r="125" spans="1:28" ht="13.8">
      <c r="A125" s="387">
        <v>124</v>
      </c>
      <c r="B125" s="387" t="s">
        <v>10710</v>
      </c>
      <c r="C125" s="387" t="s">
        <v>10710</v>
      </c>
      <c r="D125" s="387" t="s">
        <v>10710</v>
      </c>
      <c r="E125" s="383" t="s">
        <v>8711</v>
      </c>
      <c r="F125" s="383">
        <v>591</v>
      </c>
      <c r="G125" s="383" t="s">
        <v>71</v>
      </c>
      <c r="H125" s="383" t="s">
        <v>5480</v>
      </c>
      <c r="I125" s="383" t="s">
        <v>8397</v>
      </c>
      <c r="J125" s="383" t="s">
        <v>5486</v>
      </c>
      <c r="K125" s="383" t="s">
        <v>8341</v>
      </c>
      <c r="L125" s="383" t="s">
        <v>8341</v>
      </c>
      <c r="M125" s="383" t="s">
        <v>9997</v>
      </c>
      <c r="N125" s="420" t="s">
        <v>44</v>
      </c>
      <c r="O125" s="383" t="str">
        <f>IF(LEN(SUBSTITUTE(Table3937[[#This Row],[PRIMARY CONTACT]]," ",""))=10,SUBSTITUTE(Table3937[[#This Row],[PRIMARY CONTACT]]," ","") &amp; " - Proper","- Follow Up")</f>
        <v>9825010810 - Proper</v>
      </c>
      <c r="P125" s="383" t="s">
        <v>5487</v>
      </c>
      <c r="Q125" s="383">
        <v>9825010810</v>
      </c>
      <c r="R125" s="383" t="str">
        <f>SUBSTITUTE(Table3937[[#This Row],[whatsapp_number]]," ","")</f>
        <v>9825010810</v>
      </c>
      <c r="S125" s="383" t="str">
        <f>IF(Table3937[[#This Row],[PRIMARY CONTACT]]=Table3937[[#This Row],[WHATSAPP CONTACT]],"Same Contact","Different Contact")</f>
        <v>Same Contact</v>
      </c>
      <c r="T125" s="383" t="str">
        <f>IF(LEN(SUBSTITUTE(Table3937[[#This Row],[PRIMARY CONTACT]]," ",""))=10,SUBSTITUTE(Table3937[[#This Row],[PRIMARY CONTACT]]," ","") &amp; " - Proper","- Follow Up")</f>
        <v>9825010810 - Proper</v>
      </c>
      <c r="U125" s="383" t="s">
        <v>8341</v>
      </c>
      <c r="V125" s="393" t="s">
        <v>5484</v>
      </c>
      <c r="W125" s="383" t="s">
        <v>47</v>
      </c>
      <c r="X125" s="420" t="s">
        <v>44</v>
      </c>
      <c r="Y125" s="420" t="s">
        <v>44</v>
      </c>
      <c r="Z125" s="420" t="s">
        <v>44</v>
      </c>
      <c r="AA125" s="420" t="s">
        <v>44</v>
      </c>
      <c r="AB125" s="383"/>
    </row>
    <row r="126" spans="1:28" ht="13.8">
      <c r="A126" s="387">
        <v>125</v>
      </c>
      <c r="B126" s="387" t="s">
        <v>10710</v>
      </c>
      <c r="C126" s="387" t="s">
        <v>10710</v>
      </c>
      <c r="D126" s="387" t="s">
        <v>10710</v>
      </c>
      <c r="E126" s="383" t="s">
        <v>8712</v>
      </c>
      <c r="F126" s="383">
        <v>592</v>
      </c>
      <c r="G126" s="383" t="s">
        <v>71</v>
      </c>
      <c r="H126" s="383" t="s">
        <v>5480</v>
      </c>
      <c r="I126" s="383" t="s">
        <v>8397</v>
      </c>
      <c r="J126" s="383" t="s">
        <v>9337</v>
      </c>
      <c r="K126" s="383" t="s">
        <v>8341</v>
      </c>
      <c r="L126" s="383" t="s">
        <v>8341</v>
      </c>
      <c r="M126" s="383" t="s">
        <v>9998</v>
      </c>
      <c r="N126" s="420" t="s">
        <v>44</v>
      </c>
      <c r="O126" s="383" t="str">
        <f>IF(LEN(SUBSTITUTE(Table3937[[#This Row],[PRIMARY CONTACT]]," ",""))=10,SUBSTITUTE(Table3937[[#This Row],[PRIMARY CONTACT]]," ","") &amp; " - Proper","- Follow Up")</f>
        <v>9825034747 - Proper</v>
      </c>
      <c r="P126" s="383" t="s">
        <v>5490</v>
      </c>
      <c r="Q126" s="383">
        <v>9825034747</v>
      </c>
      <c r="R126" s="383" t="str">
        <f>SUBSTITUTE(Table3937[[#This Row],[whatsapp_number]]," ","")</f>
        <v>9825034747</v>
      </c>
      <c r="S126" s="383" t="str">
        <f>IF(Table3937[[#This Row],[PRIMARY CONTACT]]=Table3937[[#This Row],[WHATSAPP CONTACT]],"Same Contact","Different Contact")</f>
        <v>Same Contact</v>
      </c>
      <c r="T126" s="383" t="str">
        <f>IF(LEN(SUBSTITUTE(Table3937[[#This Row],[PRIMARY CONTACT]]," ",""))=10,SUBSTITUTE(Table3937[[#This Row],[PRIMARY CONTACT]]," ","") &amp; " - Proper","- Follow Up")</f>
        <v>9825034747 - Proper</v>
      </c>
      <c r="U126" s="383" t="s">
        <v>8341</v>
      </c>
      <c r="V126" s="393" t="s">
        <v>5484</v>
      </c>
      <c r="W126" s="383" t="s">
        <v>47</v>
      </c>
      <c r="X126" s="420" t="s">
        <v>44</v>
      </c>
      <c r="Y126" s="420" t="s">
        <v>44</v>
      </c>
      <c r="Z126" s="420" t="s">
        <v>44</v>
      </c>
      <c r="AA126" s="420" t="s">
        <v>44</v>
      </c>
      <c r="AB126" s="383"/>
    </row>
    <row r="127" spans="1:28" ht="13.8">
      <c r="A127" s="387">
        <v>126</v>
      </c>
      <c r="B127" s="387" t="s">
        <v>10710</v>
      </c>
      <c r="C127" s="387" t="s">
        <v>10710</v>
      </c>
      <c r="D127" s="387" t="s">
        <v>10710</v>
      </c>
      <c r="E127" s="383" t="s">
        <v>8713</v>
      </c>
      <c r="F127" s="383">
        <v>593</v>
      </c>
      <c r="G127" s="383" t="s">
        <v>71</v>
      </c>
      <c r="H127" s="383" t="s">
        <v>5480</v>
      </c>
      <c r="I127" s="383" t="s">
        <v>8397</v>
      </c>
      <c r="J127" s="383" t="s">
        <v>9338</v>
      </c>
      <c r="K127" s="383" t="s">
        <v>8341</v>
      </c>
      <c r="L127" s="383" t="s">
        <v>8341</v>
      </c>
      <c r="M127" s="383" t="s">
        <v>9999</v>
      </c>
      <c r="N127" s="420" t="s">
        <v>44</v>
      </c>
      <c r="O127" s="383" t="str">
        <f>IF(LEN(SUBSTITUTE(Table3937[[#This Row],[PRIMARY CONTACT]]," ",""))=10,SUBSTITUTE(Table3937[[#This Row],[PRIMARY CONTACT]]," ","") &amp; " - Proper","- Follow Up")</f>
        <v>9925034747 - Proper</v>
      </c>
      <c r="P127" s="383" t="s">
        <v>5493</v>
      </c>
      <c r="Q127" s="383">
        <v>9925034747</v>
      </c>
      <c r="R127" s="383" t="str">
        <f>SUBSTITUTE(Table3937[[#This Row],[whatsapp_number]]," ","")</f>
        <v>9925034747</v>
      </c>
      <c r="S127" s="383" t="str">
        <f>IF(Table3937[[#This Row],[PRIMARY CONTACT]]=Table3937[[#This Row],[WHATSAPP CONTACT]],"Same Contact","Different Contact")</f>
        <v>Same Contact</v>
      </c>
      <c r="T127" s="383" t="str">
        <f>IF(LEN(SUBSTITUTE(Table3937[[#This Row],[PRIMARY CONTACT]]," ",""))=10,SUBSTITUTE(Table3937[[#This Row],[PRIMARY CONTACT]]," ","") &amp; " - Proper","- Follow Up")</f>
        <v>9925034747 - Proper</v>
      </c>
      <c r="U127" s="383" t="s">
        <v>8341</v>
      </c>
      <c r="V127" s="393" t="s">
        <v>5484</v>
      </c>
      <c r="W127" s="383" t="s">
        <v>47</v>
      </c>
      <c r="X127" s="420" t="s">
        <v>44</v>
      </c>
      <c r="Y127" s="420" t="s">
        <v>44</v>
      </c>
      <c r="Z127" s="420" t="s">
        <v>44</v>
      </c>
      <c r="AA127" s="420" t="s">
        <v>44</v>
      </c>
      <c r="AB127" s="383"/>
    </row>
    <row r="128" spans="1:28" ht="13.8">
      <c r="A128" s="387">
        <v>127</v>
      </c>
      <c r="B128" s="387" t="s">
        <v>10710</v>
      </c>
      <c r="C128" s="387" t="s">
        <v>10710</v>
      </c>
      <c r="D128" s="387" t="s">
        <v>10710</v>
      </c>
      <c r="E128" s="383" t="s">
        <v>8714</v>
      </c>
      <c r="F128" s="383">
        <v>594</v>
      </c>
      <c r="G128" s="383" t="s">
        <v>71</v>
      </c>
      <c r="H128" s="383" t="s">
        <v>5252</v>
      </c>
      <c r="I128" s="383" t="s">
        <v>8370</v>
      </c>
      <c r="J128" s="383" t="s">
        <v>5495</v>
      </c>
      <c r="K128" s="383" t="s">
        <v>8341</v>
      </c>
      <c r="L128" s="383" t="s">
        <v>8341</v>
      </c>
      <c r="M128" s="383" t="s">
        <v>10000</v>
      </c>
      <c r="N128" s="420" t="s">
        <v>44</v>
      </c>
      <c r="O128" s="383" t="str">
        <f>IF(LEN(SUBSTITUTE(Table3937[[#This Row],[PRIMARY CONTACT]]," ",""))=10,SUBSTITUTE(Table3937[[#This Row],[PRIMARY CONTACT]]," ","") &amp; " - Proper","- Follow Up")</f>
        <v>9168998990 - Proper</v>
      </c>
      <c r="P128" s="383" t="s">
        <v>5496</v>
      </c>
      <c r="Q128" s="383">
        <v>9168998990</v>
      </c>
      <c r="R128" s="383" t="str">
        <f>SUBSTITUTE(Table3937[[#This Row],[whatsapp_number]]," ","")</f>
        <v>9168998990</v>
      </c>
      <c r="S128" s="383" t="str">
        <f>IF(Table3937[[#This Row],[PRIMARY CONTACT]]=Table3937[[#This Row],[WHATSAPP CONTACT]],"Same Contact","Different Contact")</f>
        <v>Same Contact</v>
      </c>
      <c r="T128" s="383" t="str">
        <f>IF(LEN(SUBSTITUTE(Table3937[[#This Row],[PRIMARY CONTACT]]," ",""))=10,SUBSTITUTE(Table3937[[#This Row],[PRIMARY CONTACT]]," ","") &amp; " - Proper","- Follow Up")</f>
        <v>9168998990 - Proper</v>
      </c>
      <c r="U128" s="383" t="s">
        <v>8341</v>
      </c>
      <c r="V128" s="393" t="s">
        <v>5256</v>
      </c>
      <c r="W128" s="383" t="s">
        <v>47</v>
      </c>
      <c r="X128" s="420" t="s">
        <v>44</v>
      </c>
      <c r="Y128" s="420" t="s">
        <v>44</v>
      </c>
      <c r="Z128" s="420" t="s">
        <v>44</v>
      </c>
      <c r="AA128" s="420" t="s">
        <v>44</v>
      </c>
      <c r="AB128" s="383"/>
    </row>
    <row r="129" spans="1:28" ht="13.8">
      <c r="A129" s="387">
        <v>128</v>
      </c>
      <c r="B129" s="387" t="s">
        <v>10710</v>
      </c>
      <c r="C129" s="387" t="s">
        <v>10710</v>
      </c>
      <c r="D129" s="387" t="s">
        <v>10710</v>
      </c>
      <c r="E129" s="383" t="s">
        <v>8715</v>
      </c>
      <c r="F129" s="383">
        <v>595</v>
      </c>
      <c r="G129" s="383" t="s">
        <v>71</v>
      </c>
      <c r="H129" s="383" t="s">
        <v>5252</v>
      </c>
      <c r="I129" s="383" t="s">
        <v>8370</v>
      </c>
      <c r="J129" s="383" t="s">
        <v>5498</v>
      </c>
      <c r="K129" s="383" t="s">
        <v>8341</v>
      </c>
      <c r="L129" s="383" t="s">
        <v>8341</v>
      </c>
      <c r="M129" s="383" t="s">
        <v>10001</v>
      </c>
      <c r="N129" s="420" t="s">
        <v>44</v>
      </c>
      <c r="O129" s="383" t="str">
        <f>IF(LEN(SUBSTITUTE(Table3937[[#This Row],[PRIMARY CONTACT]]," ",""))=10,SUBSTITUTE(Table3937[[#This Row],[PRIMARY CONTACT]]," ","") &amp; " - Proper","- Follow Up")</f>
        <v>9158998996 - Proper</v>
      </c>
      <c r="P129" s="383" t="s">
        <v>5499</v>
      </c>
      <c r="Q129" s="383">
        <v>9158998996</v>
      </c>
      <c r="R129" s="383" t="str">
        <f>SUBSTITUTE(Table3937[[#This Row],[whatsapp_number]]," ","")</f>
        <v>9158998996</v>
      </c>
      <c r="S129" s="383" t="str">
        <f>IF(Table3937[[#This Row],[PRIMARY CONTACT]]=Table3937[[#This Row],[WHATSAPP CONTACT]],"Same Contact","Different Contact")</f>
        <v>Same Contact</v>
      </c>
      <c r="T129" s="383" t="str">
        <f>IF(LEN(SUBSTITUTE(Table3937[[#This Row],[PRIMARY CONTACT]]," ",""))=10,SUBSTITUTE(Table3937[[#This Row],[PRIMARY CONTACT]]," ","") &amp; " - Proper","- Follow Up")</f>
        <v>9158998996 - Proper</v>
      </c>
      <c r="U129" s="383" t="s">
        <v>8341</v>
      </c>
      <c r="V129" s="393" t="s">
        <v>5256</v>
      </c>
      <c r="W129" s="383" t="s">
        <v>47</v>
      </c>
      <c r="X129" s="420" t="s">
        <v>44</v>
      </c>
      <c r="Y129" s="420" t="s">
        <v>44</v>
      </c>
      <c r="Z129" s="420" t="s">
        <v>44</v>
      </c>
      <c r="AA129" s="420" t="s">
        <v>44</v>
      </c>
      <c r="AB129" s="383"/>
    </row>
    <row r="130" spans="1:28" ht="13.8">
      <c r="A130" s="387">
        <v>129</v>
      </c>
      <c r="B130" s="387" t="s">
        <v>10710</v>
      </c>
      <c r="C130" s="387" t="s">
        <v>10710</v>
      </c>
      <c r="D130" s="387" t="s">
        <v>10710</v>
      </c>
      <c r="E130" s="383" t="s">
        <v>8716</v>
      </c>
      <c r="F130" s="383">
        <v>596</v>
      </c>
      <c r="G130" s="383" t="s">
        <v>71</v>
      </c>
      <c r="H130" s="383" t="s">
        <v>5252</v>
      </c>
      <c r="I130" s="383" t="s">
        <v>8370</v>
      </c>
      <c r="J130" s="383" t="s">
        <v>5501</v>
      </c>
      <c r="K130" s="383" t="s">
        <v>8341</v>
      </c>
      <c r="L130" s="383" t="s">
        <v>8341</v>
      </c>
      <c r="M130" s="383" t="s">
        <v>10002</v>
      </c>
      <c r="N130" s="420" t="s">
        <v>44</v>
      </c>
      <c r="O130" s="383" t="str">
        <f>IF(LEN(SUBSTITUTE(Table3937[[#This Row],[PRIMARY CONTACT]]," ",""))=10,SUBSTITUTE(Table3937[[#This Row],[PRIMARY CONTACT]]," ","") &amp; " - Proper","- Follow Up")</f>
        <v>9823186500 - Proper</v>
      </c>
      <c r="P130" s="383" t="s">
        <v>5502</v>
      </c>
      <c r="Q130" s="383">
        <v>9823186500</v>
      </c>
      <c r="R130" s="383" t="str">
        <f>SUBSTITUTE(Table3937[[#This Row],[whatsapp_number]]," ","")</f>
        <v>9823186500</v>
      </c>
      <c r="S130" s="383" t="str">
        <f>IF(Table3937[[#This Row],[PRIMARY CONTACT]]=Table3937[[#This Row],[WHATSAPP CONTACT]],"Same Contact","Different Contact")</f>
        <v>Same Contact</v>
      </c>
      <c r="T130" s="383" t="str">
        <f>IF(LEN(SUBSTITUTE(Table3937[[#This Row],[PRIMARY CONTACT]]," ",""))=10,SUBSTITUTE(Table3937[[#This Row],[PRIMARY CONTACT]]," ","") &amp; " - Proper","- Follow Up")</f>
        <v>9823186500 - Proper</v>
      </c>
      <c r="U130" s="383" t="s">
        <v>8341</v>
      </c>
      <c r="V130" s="393" t="s">
        <v>5256</v>
      </c>
      <c r="W130" s="383" t="s">
        <v>47</v>
      </c>
      <c r="X130" s="420" t="s">
        <v>44</v>
      </c>
      <c r="Y130" s="420" t="s">
        <v>44</v>
      </c>
      <c r="Z130" s="420" t="s">
        <v>44</v>
      </c>
      <c r="AA130" s="420" t="s">
        <v>44</v>
      </c>
      <c r="AB130" s="383"/>
    </row>
    <row r="131" spans="1:28" ht="13.8">
      <c r="A131" s="387">
        <v>130</v>
      </c>
      <c r="B131" s="387" t="s">
        <v>10710</v>
      </c>
      <c r="C131" s="387" t="s">
        <v>10710</v>
      </c>
      <c r="D131" s="387" t="s">
        <v>10710</v>
      </c>
      <c r="E131" s="383" t="s">
        <v>8717</v>
      </c>
      <c r="F131" s="383">
        <v>597</v>
      </c>
      <c r="G131" s="383" t="s">
        <v>71</v>
      </c>
      <c r="H131" s="383" t="s">
        <v>71</v>
      </c>
      <c r="I131" s="383" t="s">
        <v>8398</v>
      </c>
      <c r="J131" s="383" t="s">
        <v>9339</v>
      </c>
      <c r="K131" s="383" t="s">
        <v>8341</v>
      </c>
      <c r="L131" s="383" t="s">
        <v>8341</v>
      </c>
      <c r="M131" s="383" t="s">
        <v>10003</v>
      </c>
      <c r="N131" s="420" t="s">
        <v>44</v>
      </c>
      <c r="O131" s="383" t="str">
        <f>IF(LEN(SUBSTITUTE(Table3937[[#This Row],[PRIMARY CONTACT]]," ",""))=10,SUBSTITUTE(Table3937[[#This Row],[PRIMARY CONTACT]]," ","") &amp; " - Proper","- Follow Up")</f>
        <v>8980240000 - Proper</v>
      </c>
      <c r="P131" s="383" t="s">
        <v>5506</v>
      </c>
      <c r="Q131" s="383">
        <v>8980240000</v>
      </c>
      <c r="R131" s="383" t="str">
        <f>SUBSTITUTE(Table3937[[#This Row],[whatsapp_number]]," ","")</f>
        <v>8980240000</v>
      </c>
      <c r="S131" s="383" t="str">
        <f>IF(Table3937[[#This Row],[PRIMARY CONTACT]]=Table3937[[#This Row],[WHATSAPP CONTACT]],"Same Contact","Different Contact")</f>
        <v>Same Contact</v>
      </c>
      <c r="T131" s="383" t="str">
        <f>IF(LEN(SUBSTITUTE(Table3937[[#This Row],[PRIMARY CONTACT]]," ",""))=10,SUBSTITUTE(Table3937[[#This Row],[PRIMARY CONTACT]]," ","") &amp; " - Proper","- Follow Up")</f>
        <v>8980240000 - Proper</v>
      </c>
      <c r="U131" s="383" t="s">
        <v>8341</v>
      </c>
      <c r="V131" s="393" t="s">
        <v>5507</v>
      </c>
      <c r="W131" s="383" t="s">
        <v>47</v>
      </c>
      <c r="X131" s="420" t="s">
        <v>44</v>
      </c>
      <c r="Y131" s="420" t="s">
        <v>44</v>
      </c>
      <c r="Z131" s="420" t="s">
        <v>44</v>
      </c>
      <c r="AA131" s="420" t="s">
        <v>44</v>
      </c>
      <c r="AB131" s="383"/>
    </row>
    <row r="132" spans="1:28" ht="13.8">
      <c r="A132" s="387">
        <v>131</v>
      </c>
      <c r="B132" s="387" t="s">
        <v>10710</v>
      </c>
      <c r="C132" s="387" t="s">
        <v>10710</v>
      </c>
      <c r="D132" s="387" t="s">
        <v>10710</v>
      </c>
      <c r="E132" s="383" t="s">
        <v>8718</v>
      </c>
      <c r="F132" s="383">
        <v>598</v>
      </c>
      <c r="G132" s="383" t="s">
        <v>71</v>
      </c>
      <c r="H132" s="383" t="s">
        <v>71</v>
      </c>
      <c r="I132" s="383" t="s">
        <v>8399</v>
      </c>
      <c r="J132" s="383" t="s">
        <v>9340</v>
      </c>
      <c r="K132" s="383" t="s">
        <v>8341</v>
      </c>
      <c r="L132" s="383" t="s">
        <v>8341</v>
      </c>
      <c r="M132" s="383" t="s">
        <v>10004</v>
      </c>
      <c r="N132" s="420" t="s">
        <v>44</v>
      </c>
      <c r="O132" s="383" t="str">
        <f>IF(LEN(SUBSTITUTE(Table3937[[#This Row],[PRIMARY CONTACT]]," ",""))=10,SUBSTITUTE(Table3937[[#This Row],[PRIMARY CONTACT]]," ","") &amp; " - Proper","- Follow Up")</f>
        <v>9910400382 - Proper</v>
      </c>
      <c r="P132" s="383" t="s">
        <v>5511</v>
      </c>
      <c r="Q132" s="383">
        <v>9910400382</v>
      </c>
      <c r="R132" s="383" t="str">
        <f>SUBSTITUTE(Table3937[[#This Row],[whatsapp_number]]," ","")</f>
        <v>9910400382</v>
      </c>
      <c r="S132" s="383" t="str">
        <f>IF(Table3937[[#This Row],[PRIMARY CONTACT]]=Table3937[[#This Row],[WHATSAPP CONTACT]],"Same Contact","Different Contact")</f>
        <v>Same Contact</v>
      </c>
      <c r="T132" s="383" t="str">
        <f>IF(LEN(SUBSTITUTE(Table3937[[#This Row],[PRIMARY CONTACT]]," ",""))=10,SUBSTITUTE(Table3937[[#This Row],[PRIMARY CONTACT]]," ","") &amp; " - Proper","- Follow Up")</f>
        <v>9910400382 - Proper</v>
      </c>
      <c r="U132" s="383" t="s">
        <v>8341</v>
      </c>
      <c r="V132" s="393" t="s">
        <v>5512</v>
      </c>
      <c r="W132" s="383" t="s">
        <v>47</v>
      </c>
      <c r="X132" s="420" t="s">
        <v>44</v>
      </c>
      <c r="Y132" s="420" t="s">
        <v>44</v>
      </c>
      <c r="Z132" s="420" t="s">
        <v>44</v>
      </c>
      <c r="AA132" s="420" t="s">
        <v>44</v>
      </c>
      <c r="AB132" s="383"/>
    </row>
    <row r="133" spans="1:28" ht="13.8">
      <c r="A133" s="387">
        <v>132</v>
      </c>
      <c r="B133" s="387" t="s">
        <v>10710</v>
      </c>
      <c r="C133" s="387" t="s">
        <v>10710</v>
      </c>
      <c r="D133" s="387" t="s">
        <v>10710</v>
      </c>
      <c r="E133" s="383" t="s">
        <v>8719</v>
      </c>
      <c r="F133" s="383">
        <v>599</v>
      </c>
      <c r="G133" s="383" t="s">
        <v>71</v>
      </c>
      <c r="H133" s="383" t="s">
        <v>71</v>
      </c>
      <c r="I133" s="383" t="s">
        <v>8399</v>
      </c>
      <c r="J133" s="383" t="s">
        <v>9341</v>
      </c>
      <c r="K133" s="383" t="s">
        <v>8341</v>
      </c>
      <c r="L133" s="383" t="s">
        <v>8341</v>
      </c>
      <c r="M133" s="383" t="s">
        <v>10005</v>
      </c>
      <c r="N133" s="420" t="s">
        <v>44</v>
      </c>
      <c r="O133" s="383" t="str">
        <f>IF(LEN(SUBSTITUTE(Table3937[[#This Row],[PRIMARY CONTACT]]," ",""))=10,SUBSTITUTE(Table3937[[#This Row],[PRIMARY CONTACT]]," ","") &amp; " - Proper","- Follow Up")</f>
        <v>8130744440 - Proper</v>
      </c>
      <c r="P133" s="383" t="s">
        <v>5515</v>
      </c>
      <c r="Q133" s="383">
        <v>8130744440</v>
      </c>
      <c r="R133" s="383" t="str">
        <f>SUBSTITUTE(Table3937[[#This Row],[whatsapp_number]]," ","")</f>
        <v>8130744440</v>
      </c>
      <c r="S133" s="383" t="str">
        <f>IF(Table3937[[#This Row],[PRIMARY CONTACT]]=Table3937[[#This Row],[WHATSAPP CONTACT]],"Same Contact","Different Contact")</f>
        <v>Same Contact</v>
      </c>
      <c r="T133" s="383" t="str">
        <f>IF(LEN(SUBSTITUTE(Table3937[[#This Row],[PRIMARY CONTACT]]," ",""))=10,SUBSTITUTE(Table3937[[#This Row],[PRIMARY CONTACT]]," ","") &amp; " - Proper","- Follow Up")</f>
        <v>8130744440 - Proper</v>
      </c>
      <c r="U133" s="383" t="s">
        <v>8341</v>
      </c>
      <c r="V133" s="393" t="s">
        <v>5512</v>
      </c>
      <c r="W133" s="383" t="s">
        <v>47</v>
      </c>
      <c r="X133" s="420" t="s">
        <v>44</v>
      </c>
      <c r="Y133" s="420" t="s">
        <v>44</v>
      </c>
      <c r="Z133" s="420" t="s">
        <v>44</v>
      </c>
      <c r="AA133" s="420" t="s">
        <v>44</v>
      </c>
      <c r="AB133" s="383"/>
    </row>
    <row r="134" spans="1:28" ht="13.8">
      <c r="A134" s="387">
        <v>133</v>
      </c>
      <c r="B134" s="387" t="s">
        <v>10710</v>
      </c>
      <c r="C134" s="387" t="s">
        <v>10710</v>
      </c>
      <c r="D134" s="387" t="s">
        <v>10710</v>
      </c>
      <c r="E134" s="383" t="s">
        <v>8720</v>
      </c>
      <c r="F134" s="383">
        <v>600</v>
      </c>
      <c r="G134" s="383" t="s">
        <v>71</v>
      </c>
      <c r="H134" s="383" t="s">
        <v>71</v>
      </c>
      <c r="I134" s="383" t="s">
        <v>8399</v>
      </c>
      <c r="J134" s="383" t="s">
        <v>9342</v>
      </c>
      <c r="K134" s="383" t="s">
        <v>8341</v>
      </c>
      <c r="L134" s="383" t="s">
        <v>8341</v>
      </c>
      <c r="M134" s="383" t="s">
        <v>10006</v>
      </c>
      <c r="N134" s="420" t="s">
        <v>44</v>
      </c>
      <c r="O134" s="383" t="str">
        <f>IF(LEN(SUBSTITUTE(Table3937[[#This Row],[PRIMARY CONTACT]]," ",""))=10,SUBSTITUTE(Table3937[[#This Row],[PRIMARY CONTACT]]," ","") &amp; " - Proper","- Follow Up")</f>
        <v>9971012349 - Proper</v>
      </c>
      <c r="P134" s="383" t="s">
        <v>5518</v>
      </c>
      <c r="Q134" s="383">
        <v>9971012349</v>
      </c>
      <c r="R134" s="383" t="str">
        <f>SUBSTITUTE(Table3937[[#This Row],[whatsapp_number]]," ","")</f>
        <v>9971012349</v>
      </c>
      <c r="S134" s="383" t="str">
        <f>IF(Table3937[[#This Row],[PRIMARY CONTACT]]=Table3937[[#This Row],[WHATSAPP CONTACT]],"Same Contact","Different Contact")</f>
        <v>Same Contact</v>
      </c>
      <c r="T134" s="383" t="str">
        <f>IF(LEN(SUBSTITUTE(Table3937[[#This Row],[PRIMARY CONTACT]]," ",""))=10,SUBSTITUTE(Table3937[[#This Row],[PRIMARY CONTACT]]," ","") &amp; " - Proper","- Follow Up")</f>
        <v>9971012349 - Proper</v>
      </c>
      <c r="U134" s="383" t="s">
        <v>8341</v>
      </c>
      <c r="V134" s="393" t="s">
        <v>5512</v>
      </c>
      <c r="W134" s="383" t="s">
        <v>47</v>
      </c>
      <c r="X134" s="420" t="s">
        <v>44</v>
      </c>
      <c r="Y134" s="420" t="s">
        <v>44</v>
      </c>
      <c r="Z134" s="420" t="s">
        <v>44</v>
      </c>
      <c r="AA134" s="420" t="s">
        <v>44</v>
      </c>
      <c r="AB134" s="383"/>
    </row>
    <row r="135" spans="1:28" ht="13.8">
      <c r="A135" s="387">
        <v>134</v>
      </c>
      <c r="B135" s="387" t="s">
        <v>10710</v>
      </c>
      <c r="C135" s="387" t="s">
        <v>10710</v>
      </c>
      <c r="D135" s="387" t="s">
        <v>10710</v>
      </c>
      <c r="E135" s="383" t="s">
        <v>8721</v>
      </c>
      <c r="F135" s="383">
        <v>601</v>
      </c>
      <c r="G135" s="383" t="s">
        <v>71</v>
      </c>
      <c r="H135" s="383" t="s">
        <v>71</v>
      </c>
      <c r="I135" s="383" t="s">
        <v>5521</v>
      </c>
      <c r="J135" s="383" t="s">
        <v>9343</v>
      </c>
      <c r="K135" s="383" t="s">
        <v>8341</v>
      </c>
      <c r="L135" s="383" t="s">
        <v>8341</v>
      </c>
      <c r="M135" s="383" t="s">
        <v>10007</v>
      </c>
      <c r="N135" s="420" t="s">
        <v>44</v>
      </c>
      <c r="O135" s="383" t="str">
        <f>IF(LEN(SUBSTITUTE(Table3937[[#This Row],[PRIMARY CONTACT]]," ",""))=10,SUBSTITUTE(Table3937[[#This Row],[PRIMARY CONTACT]]," ","") &amp; " - Proper","- Follow Up")</f>
        <v>9837005999 - Proper</v>
      </c>
      <c r="P135" s="383" t="s">
        <v>5523</v>
      </c>
      <c r="Q135" s="383">
        <v>9837005999</v>
      </c>
      <c r="R135" s="383" t="str">
        <f>SUBSTITUTE(Table3937[[#This Row],[whatsapp_number]]," ","")</f>
        <v>9837005999</v>
      </c>
      <c r="S135" s="383" t="str">
        <f>IF(Table3937[[#This Row],[PRIMARY CONTACT]]=Table3937[[#This Row],[WHATSAPP CONTACT]],"Same Contact","Different Contact")</f>
        <v>Same Contact</v>
      </c>
      <c r="T135" s="383" t="str">
        <f>IF(LEN(SUBSTITUTE(Table3937[[#This Row],[PRIMARY CONTACT]]," ",""))=10,SUBSTITUTE(Table3937[[#This Row],[PRIMARY CONTACT]]," ","") &amp; " - Proper","- Follow Up")</f>
        <v>9837005999 - Proper</v>
      </c>
      <c r="U135" s="383" t="s">
        <v>8341</v>
      </c>
      <c r="V135" s="393" t="s">
        <v>5524</v>
      </c>
      <c r="W135" s="383" t="s">
        <v>47</v>
      </c>
      <c r="X135" s="420" t="s">
        <v>44</v>
      </c>
      <c r="Y135" s="420" t="s">
        <v>44</v>
      </c>
      <c r="Z135" s="420" t="s">
        <v>44</v>
      </c>
      <c r="AA135" s="420" t="s">
        <v>44</v>
      </c>
      <c r="AB135" s="383"/>
    </row>
    <row r="136" spans="1:28" ht="13.8">
      <c r="A136" s="387">
        <v>135</v>
      </c>
      <c r="B136" s="387" t="s">
        <v>10710</v>
      </c>
      <c r="C136" s="387" t="s">
        <v>10710</v>
      </c>
      <c r="D136" s="387" t="s">
        <v>10710</v>
      </c>
      <c r="E136" s="383" t="s">
        <v>8722</v>
      </c>
      <c r="F136" s="383">
        <v>602</v>
      </c>
      <c r="G136" s="383" t="s">
        <v>71</v>
      </c>
      <c r="H136" s="383" t="s">
        <v>71</v>
      </c>
      <c r="I136" s="383" t="s">
        <v>5521</v>
      </c>
      <c r="J136" s="383" t="s">
        <v>9344</v>
      </c>
      <c r="K136" s="383" t="s">
        <v>8341</v>
      </c>
      <c r="L136" s="383" t="s">
        <v>8341</v>
      </c>
      <c r="M136" s="383" t="s">
        <v>10008</v>
      </c>
      <c r="N136" s="420" t="s">
        <v>44</v>
      </c>
      <c r="O136" s="383" t="str">
        <f>IF(LEN(SUBSTITUTE(Table3937[[#This Row],[PRIMARY CONTACT]]," ",""))=10,SUBSTITUTE(Table3937[[#This Row],[PRIMARY CONTACT]]," ","") &amp; " - Proper","- Follow Up")</f>
        <v>9837007011 - Proper</v>
      </c>
      <c r="P136" s="383" t="s">
        <v>5528</v>
      </c>
      <c r="Q136" s="383">
        <v>9837007011</v>
      </c>
      <c r="R136" s="383" t="str">
        <f>SUBSTITUTE(Table3937[[#This Row],[whatsapp_number]]," ","")</f>
        <v>9837007011</v>
      </c>
      <c r="S136" s="383" t="str">
        <f>IF(Table3937[[#This Row],[PRIMARY CONTACT]]=Table3937[[#This Row],[WHATSAPP CONTACT]],"Same Contact","Different Contact")</f>
        <v>Same Contact</v>
      </c>
      <c r="T136" s="383" t="str">
        <f>IF(LEN(SUBSTITUTE(Table3937[[#This Row],[PRIMARY CONTACT]]," ",""))=10,SUBSTITUTE(Table3937[[#This Row],[PRIMARY CONTACT]]," ","") &amp; " - Proper","- Follow Up")</f>
        <v>9837007011 - Proper</v>
      </c>
      <c r="U136" s="383" t="s">
        <v>8341</v>
      </c>
      <c r="V136" s="393" t="s">
        <v>5524</v>
      </c>
      <c r="W136" s="383" t="s">
        <v>47</v>
      </c>
      <c r="X136" s="420" t="s">
        <v>44</v>
      </c>
      <c r="Y136" s="420" t="s">
        <v>44</v>
      </c>
      <c r="Z136" s="420" t="s">
        <v>44</v>
      </c>
      <c r="AA136" s="420" t="s">
        <v>44</v>
      </c>
      <c r="AB136" s="383"/>
    </row>
    <row r="137" spans="1:28" ht="13.8">
      <c r="A137" s="387">
        <v>136</v>
      </c>
      <c r="B137" s="387" t="s">
        <v>10710</v>
      </c>
      <c r="C137" s="387" t="s">
        <v>10710</v>
      </c>
      <c r="D137" s="387" t="s">
        <v>10710</v>
      </c>
      <c r="E137" s="383" t="s">
        <v>8723</v>
      </c>
      <c r="F137" s="383">
        <v>603</v>
      </c>
      <c r="G137" s="383" t="s">
        <v>71</v>
      </c>
      <c r="H137" s="383" t="s">
        <v>71</v>
      </c>
      <c r="I137" s="383" t="s">
        <v>8400</v>
      </c>
      <c r="J137" s="383" t="s">
        <v>9345</v>
      </c>
      <c r="K137" s="383" t="s">
        <v>8341</v>
      </c>
      <c r="L137" s="383" t="s">
        <v>8341</v>
      </c>
      <c r="M137" s="383" t="s">
        <v>10009</v>
      </c>
      <c r="N137" s="420" t="s">
        <v>44</v>
      </c>
      <c r="O137" s="383" t="str">
        <f>IF(LEN(SUBSTITUTE(Table3937[[#This Row],[PRIMARY CONTACT]]," ",""))=10,SUBSTITUTE(Table3937[[#This Row],[PRIMARY CONTACT]]," ","") &amp; " - Proper","- Follow Up")</f>
        <v>8652095788 - Proper</v>
      </c>
      <c r="P137" s="383" t="s">
        <v>5532</v>
      </c>
      <c r="Q137" s="383">
        <v>8652095788</v>
      </c>
      <c r="R137" s="383" t="str">
        <f>SUBSTITUTE(Table3937[[#This Row],[whatsapp_number]]," ","")</f>
        <v>8652095788</v>
      </c>
      <c r="S137" s="383" t="str">
        <f>IF(Table3937[[#This Row],[PRIMARY CONTACT]]=Table3937[[#This Row],[WHATSAPP CONTACT]],"Same Contact","Different Contact")</f>
        <v>Same Contact</v>
      </c>
      <c r="T137" s="383" t="str">
        <f>IF(LEN(SUBSTITUTE(Table3937[[#This Row],[PRIMARY CONTACT]]," ",""))=10,SUBSTITUTE(Table3937[[#This Row],[PRIMARY CONTACT]]," ","") &amp; " - Proper","- Follow Up")</f>
        <v>8652095788 - Proper</v>
      </c>
      <c r="U137" s="383" t="s">
        <v>8341</v>
      </c>
      <c r="V137" s="393" t="s">
        <v>5533</v>
      </c>
      <c r="W137" s="383" t="s">
        <v>47</v>
      </c>
      <c r="X137" s="420" t="s">
        <v>44</v>
      </c>
      <c r="Y137" s="420" t="s">
        <v>44</v>
      </c>
      <c r="Z137" s="420" t="s">
        <v>44</v>
      </c>
      <c r="AA137" s="420" t="s">
        <v>44</v>
      </c>
      <c r="AB137" s="383"/>
    </row>
    <row r="138" spans="1:28" ht="13.8">
      <c r="A138" s="387">
        <v>137</v>
      </c>
      <c r="B138" s="387" t="s">
        <v>10710</v>
      </c>
      <c r="C138" s="387" t="s">
        <v>10710</v>
      </c>
      <c r="D138" s="387" t="s">
        <v>10710</v>
      </c>
      <c r="E138" s="383" t="s">
        <v>8724</v>
      </c>
      <c r="F138" s="383">
        <v>604</v>
      </c>
      <c r="G138" s="383" t="s">
        <v>71</v>
      </c>
      <c r="H138" s="383" t="s">
        <v>71</v>
      </c>
      <c r="I138" s="383" t="s">
        <v>8400</v>
      </c>
      <c r="J138" s="383" t="s">
        <v>9346</v>
      </c>
      <c r="K138" s="383" t="s">
        <v>8341</v>
      </c>
      <c r="L138" s="383" t="s">
        <v>8341</v>
      </c>
      <c r="M138" s="383" t="s">
        <v>10010</v>
      </c>
      <c r="N138" s="420" t="s">
        <v>44</v>
      </c>
      <c r="O138" s="383" t="str">
        <f>IF(LEN(SUBSTITUTE(Table3937[[#This Row],[PRIMARY CONTACT]]," ",""))=10,SUBSTITUTE(Table3937[[#This Row],[PRIMARY CONTACT]]," ","") &amp; " - Proper","- Follow Up")</f>
        <v>9967242801 - Proper</v>
      </c>
      <c r="P138" s="383" t="s">
        <v>5536</v>
      </c>
      <c r="Q138" s="383">
        <v>9967242801</v>
      </c>
      <c r="R138" s="383" t="str">
        <f>SUBSTITUTE(Table3937[[#This Row],[whatsapp_number]]," ","")</f>
        <v>9967242801</v>
      </c>
      <c r="S138" s="383" t="str">
        <f>IF(Table3937[[#This Row],[PRIMARY CONTACT]]=Table3937[[#This Row],[WHATSAPP CONTACT]],"Same Contact","Different Contact")</f>
        <v>Same Contact</v>
      </c>
      <c r="T138" s="383" t="str">
        <f>IF(LEN(SUBSTITUTE(Table3937[[#This Row],[PRIMARY CONTACT]]," ",""))=10,SUBSTITUTE(Table3937[[#This Row],[PRIMARY CONTACT]]," ","") &amp; " - Proper","- Follow Up")</f>
        <v>9967242801 - Proper</v>
      </c>
      <c r="U138" s="383" t="s">
        <v>8341</v>
      </c>
      <c r="V138" s="393" t="s">
        <v>5533</v>
      </c>
      <c r="W138" s="383" t="s">
        <v>47</v>
      </c>
      <c r="X138" s="420" t="s">
        <v>44</v>
      </c>
      <c r="Y138" s="420" t="s">
        <v>44</v>
      </c>
      <c r="Z138" s="420" t="s">
        <v>44</v>
      </c>
      <c r="AA138" s="420" t="s">
        <v>44</v>
      </c>
      <c r="AB138" s="383"/>
    </row>
    <row r="139" spans="1:28" ht="13.8">
      <c r="A139" s="387">
        <v>138</v>
      </c>
      <c r="B139" s="387" t="s">
        <v>10710</v>
      </c>
      <c r="C139" s="387" t="s">
        <v>10710</v>
      </c>
      <c r="D139" s="387" t="s">
        <v>10710</v>
      </c>
      <c r="E139" s="383" t="s">
        <v>8725</v>
      </c>
      <c r="F139" s="383">
        <v>605</v>
      </c>
      <c r="G139" s="383" t="s">
        <v>71</v>
      </c>
      <c r="H139" s="383" t="s">
        <v>71</v>
      </c>
      <c r="I139" s="383" t="s">
        <v>8400</v>
      </c>
      <c r="J139" s="383" t="s">
        <v>9347</v>
      </c>
      <c r="K139" s="383" t="s">
        <v>8341</v>
      </c>
      <c r="L139" s="383" t="s">
        <v>8341</v>
      </c>
      <c r="M139" s="383" t="s">
        <v>10011</v>
      </c>
      <c r="N139" s="420" t="s">
        <v>44</v>
      </c>
      <c r="O139" s="383" t="str">
        <f>IF(LEN(SUBSTITUTE(Table3937[[#This Row],[PRIMARY CONTACT]]," ",""))=10,SUBSTITUTE(Table3937[[#This Row],[PRIMARY CONTACT]]," ","") &amp; " - Proper","- Follow Up")</f>
        <v>9819133327 - Proper</v>
      </c>
      <c r="P139" s="383" t="s">
        <v>5539</v>
      </c>
      <c r="Q139" s="383">
        <v>9819133327</v>
      </c>
      <c r="R139" s="383" t="str">
        <f>SUBSTITUTE(Table3937[[#This Row],[whatsapp_number]]," ","")</f>
        <v>9819133327</v>
      </c>
      <c r="S139" s="383" t="str">
        <f>IF(Table3937[[#This Row],[PRIMARY CONTACT]]=Table3937[[#This Row],[WHATSAPP CONTACT]],"Same Contact","Different Contact")</f>
        <v>Same Contact</v>
      </c>
      <c r="T139" s="383" t="str">
        <f>IF(LEN(SUBSTITUTE(Table3937[[#This Row],[PRIMARY CONTACT]]," ",""))=10,SUBSTITUTE(Table3937[[#This Row],[PRIMARY CONTACT]]," ","") &amp; " - Proper","- Follow Up")</f>
        <v>9819133327 - Proper</v>
      </c>
      <c r="U139" s="383" t="s">
        <v>8341</v>
      </c>
      <c r="V139" s="393" t="s">
        <v>5533</v>
      </c>
      <c r="W139" s="383" t="s">
        <v>47</v>
      </c>
      <c r="X139" s="420" t="s">
        <v>44</v>
      </c>
      <c r="Y139" s="420" t="s">
        <v>44</v>
      </c>
      <c r="Z139" s="420" t="s">
        <v>44</v>
      </c>
      <c r="AA139" s="420" t="s">
        <v>44</v>
      </c>
      <c r="AB139" s="383"/>
    </row>
    <row r="140" spans="1:28" ht="13.8">
      <c r="A140" s="387">
        <v>139</v>
      </c>
      <c r="B140" s="387" t="s">
        <v>10710</v>
      </c>
      <c r="C140" s="387" t="s">
        <v>10710</v>
      </c>
      <c r="D140" s="387" t="s">
        <v>10710</v>
      </c>
      <c r="E140" s="383" t="s">
        <v>8726</v>
      </c>
      <c r="F140" s="383">
        <v>606</v>
      </c>
      <c r="G140" s="383" t="s">
        <v>71</v>
      </c>
      <c r="H140" s="383" t="s">
        <v>5541</v>
      </c>
      <c r="I140" s="383" t="s">
        <v>8401</v>
      </c>
      <c r="J140" s="383" t="s">
        <v>9348</v>
      </c>
      <c r="K140" s="383" t="s">
        <v>8341</v>
      </c>
      <c r="L140" s="383" t="s">
        <v>8341</v>
      </c>
      <c r="M140" s="383" t="s">
        <v>10012</v>
      </c>
      <c r="N140" s="420" t="s">
        <v>44</v>
      </c>
      <c r="O140" s="383" t="str">
        <f>IF(LEN(SUBSTITUTE(Table3937[[#This Row],[PRIMARY CONTACT]]," ",""))=10,SUBSTITUTE(Table3937[[#This Row],[PRIMARY CONTACT]]," ","") &amp; " - Proper","- Follow Up")</f>
        <v>9814089140 - Proper</v>
      </c>
      <c r="P140" s="383" t="s">
        <v>5544</v>
      </c>
      <c r="Q140" s="383">
        <v>9814089140</v>
      </c>
      <c r="R140" s="383" t="str">
        <f>SUBSTITUTE(Table3937[[#This Row],[whatsapp_number]]," ","")</f>
        <v>9814089140</v>
      </c>
      <c r="S140" s="383" t="str">
        <f>IF(Table3937[[#This Row],[PRIMARY CONTACT]]=Table3937[[#This Row],[WHATSAPP CONTACT]],"Same Contact","Different Contact")</f>
        <v>Same Contact</v>
      </c>
      <c r="T140" s="383" t="str">
        <f>IF(LEN(SUBSTITUTE(Table3937[[#This Row],[PRIMARY CONTACT]]," ",""))=10,SUBSTITUTE(Table3937[[#This Row],[PRIMARY CONTACT]]," ","") &amp; " - Proper","- Follow Up")</f>
        <v>9814089140 - Proper</v>
      </c>
      <c r="U140" s="383" t="s">
        <v>8341</v>
      </c>
      <c r="V140" s="393" t="s">
        <v>5545</v>
      </c>
      <c r="W140" s="383" t="s">
        <v>47</v>
      </c>
      <c r="X140" s="420" t="s">
        <v>44</v>
      </c>
      <c r="Y140" s="420" t="s">
        <v>44</v>
      </c>
      <c r="Z140" s="420" t="s">
        <v>44</v>
      </c>
      <c r="AA140" s="420" t="s">
        <v>44</v>
      </c>
      <c r="AB140" s="383"/>
    </row>
    <row r="141" spans="1:28" ht="13.8">
      <c r="A141" s="387">
        <v>140</v>
      </c>
      <c r="B141" s="387" t="s">
        <v>10710</v>
      </c>
      <c r="C141" s="387" t="s">
        <v>10710</v>
      </c>
      <c r="D141" s="387" t="s">
        <v>10710</v>
      </c>
      <c r="E141" s="383" t="s">
        <v>8727</v>
      </c>
      <c r="F141" s="383">
        <v>607</v>
      </c>
      <c r="G141" s="383" t="s">
        <v>71</v>
      </c>
      <c r="H141" s="383" t="s">
        <v>5541</v>
      </c>
      <c r="I141" s="383" t="s">
        <v>8401</v>
      </c>
      <c r="J141" s="383" t="s">
        <v>9349</v>
      </c>
      <c r="K141" s="383" t="s">
        <v>8341</v>
      </c>
      <c r="L141" s="383" t="s">
        <v>8341</v>
      </c>
      <c r="M141" s="383" t="s">
        <v>10013</v>
      </c>
      <c r="N141" s="420" t="s">
        <v>44</v>
      </c>
      <c r="O141" s="383" t="str">
        <f>IF(LEN(SUBSTITUTE(Table3937[[#This Row],[PRIMARY CONTACT]]," ",""))=10,SUBSTITUTE(Table3937[[#This Row],[PRIMARY CONTACT]]," ","") &amp; " - Proper","- Follow Up")</f>
        <v>9878102030 - Proper</v>
      </c>
      <c r="P141" s="383" t="s">
        <v>5548</v>
      </c>
      <c r="Q141" s="383">
        <v>9878102030</v>
      </c>
      <c r="R141" s="383" t="str">
        <f>SUBSTITUTE(Table3937[[#This Row],[whatsapp_number]]," ","")</f>
        <v>9878102030</v>
      </c>
      <c r="S141" s="383" t="str">
        <f>IF(Table3937[[#This Row],[PRIMARY CONTACT]]=Table3937[[#This Row],[WHATSAPP CONTACT]],"Same Contact","Different Contact")</f>
        <v>Same Contact</v>
      </c>
      <c r="T141" s="383" t="str">
        <f>IF(LEN(SUBSTITUTE(Table3937[[#This Row],[PRIMARY CONTACT]]," ",""))=10,SUBSTITUTE(Table3937[[#This Row],[PRIMARY CONTACT]]," ","") &amp; " - Proper","- Follow Up")</f>
        <v>9878102030 - Proper</v>
      </c>
      <c r="U141" s="383" t="s">
        <v>8341</v>
      </c>
      <c r="V141" s="393" t="s">
        <v>5545</v>
      </c>
      <c r="W141" s="383" t="s">
        <v>47</v>
      </c>
      <c r="X141" s="420" t="s">
        <v>44</v>
      </c>
      <c r="Y141" s="420" t="s">
        <v>44</v>
      </c>
      <c r="Z141" s="420" t="s">
        <v>44</v>
      </c>
      <c r="AA141" s="420" t="s">
        <v>44</v>
      </c>
      <c r="AB141" s="383"/>
    </row>
    <row r="142" spans="1:28" ht="13.8">
      <c r="A142" s="387">
        <v>141</v>
      </c>
      <c r="B142" s="387" t="s">
        <v>10710</v>
      </c>
      <c r="C142" s="387" t="s">
        <v>10710</v>
      </c>
      <c r="D142" s="387" t="s">
        <v>10710</v>
      </c>
      <c r="E142" s="383" t="s">
        <v>8728</v>
      </c>
      <c r="F142" s="383">
        <v>608</v>
      </c>
      <c r="G142" s="383" t="s">
        <v>71</v>
      </c>
      <c r="H142" s="383" t="s">
        <v>5541</v>
      </c>
      <c r="I142" s="383" t="s">
        <v>8401</v>
      </c>
      <c r="J142" s="383" t="s">
        <v>9350</v>
      </c>
      <c r="K142" s="383" t="s">
        <v>8341</v>
      </c>
      <c r="L142" s="383" t="s">
        <v>8341</v>
      </c>
      <c r="M142" s="383" t="s">
        <v>10014</v>
      </c>
      <c r="N142" s="420" t="s">
        <v>44</v>
      </c>
      <c r="O142" s="383" t="str">
        <f>IF(LEN(SUBSTITUTE(Table3937[[#This Row],[PRIMARY CONTACT]]," ",""))=10,SUBSTITUTE(Table3937[[#This Row],[PRIMARY CONTACT]]," ","") &amp; " - Proper","- Follow Up")</f>
        <v>9876304050 - Proper</v>
      </c>
      <c r="P142" s="383" t="s">
        <v>5551</v>
      </c>
      <c r="Q142" s="383">
        <v>9876304050</v>
      </c>
      <c r="R142" s="383" t="str">
        <f>SUBSTITUTE(Table3937[[#This Row],[whatsapp_number]]," ","")</f>
        <v>9876304050</v>
      </c>
      <c r="S142" s="383" t="str">
        <f>IF(Table3937[[#This Row],[PRIMARY CONTACT]]=Table3937[[#This Row],[WHATSAPP CONTACT]],"Same Contact","Different Contact")</f>
        <v>Same Contact</v>
      </c>
      <c r="T142" s="383" t="str">
        <f>IF(LEN(SUBSTITUTE(Table3937[[#This Row],[PRIMARY CONTACT]]," ",""))=10,SUBSTITUTE(Table3937[[#This Row],[PRIMARY CONTACT]]," ","") &amp; " - Proper","- Follow Up")</f>
        <v>9876304050 - Proper</v>
      </c>
      <c r="U142" s="383" t="s">
        <v>8341</v>
      </c>
      <c r="V142" s="393" t="s">
        <v>5545</v>
      </c>
      <c r="W142" s="383" t="s">
        <v>47</v>
      </c>
      <c r="X142" s="420" t="s">
        <v>44</v>
      </c>
      <c r="Y142" s="420" t="s">
        <v>44</v>
      </c>
      <c r="Z142" s="420" t="s">
        <v>44</v>
      </c>
      <c r="AA142" s="420" t="s">
        <v>44</v>
      </c>
      <c r="AB142" s="383"/>
    </row>
    <row r="143" spans="1:28" ht="13.8">
      <c r="A143" s="387">
        <v>142</v>
      </c>
      <c r="B143" s="387" t="s">
        <v>10710</v>
      </c>
      <c r="C143" s="387" t="s">
        <v>10710</v>
      </c>
      <c r="D143" s="387" t="s">
        <v>10710</v>
      </c>
      <c r="E143" s="383" t="s">
        <v>8729</v>
      </c>
      <c r="F143" s="383">
        <v>609</v>
      </c>
      <c r="G143" s="383" t="s">
        <v>71</v>
      </c>
      <c r="H143" s="383" t="s">
        <v>71</v>
      </c>
      <c r="I143" s="383" t="s">
        <v>8402</v>
      </c>
      <c r="J143" s="383" t="s">
        <v>9351</v>
      </c>
      <c r="K143" s="383" t="s">
        <v>8341</v>
      </c>
      <c r="L143" s="383" t="s">
        <v>8341</v>
      </c>
      <c r="M143" s="383" t="s">
        <v>10015</v>
      </c>
      <c r="N143" s="420" t="s">
        <v>44</v>
      </c>
      <c r="O143" s="383" t="str">
        <f>IF(LEN(SUBSTITUTE(Table3937[[#This Row],[PRIMARY CONTACT]]," ",""))=10,SUBSTITUTE(Table3937[[#This Row],[PRIMARY CONTACT]]," ","") &amp; " - Proper","- Follow Up")</f>
        <v>9004947000 - Proper</v>
      </c>
      <c r="P143" s="383" t="s">
        <v>5555</v>
      </c>
      <c r="Q143" s="383">
        <v>9004947000</v>
      </c>
      <c r="R143" s="383" t="str">
        <f>SUBSTITUTE(Table3937[[#This Row],[whatsapp_number]]," ","")</f>
        <v>9004947000</v>
      </c>
      <c r="S143" s="383" t="str">
        <f>IF(Table3937[[#This Row],[PRIMARY CONTACT]]=Table3937[[#This Row],[WHATSAPP CONTACT]],"Same Contact","Different Contact")</f>
        <v>Same Contact</v>
      </c>
      <c r="T143" s="383" t="str">
        <f>IF(LEN(SUBSTITUTE(Table3937[[#This Row],[PRIMARY CONTACT]]," ",""))=10,SUBSTITUTE(Table3937[[#This Row],[PRIMARY CONTACT]]," ","") &amp; " - Proper","- Follow Up")</f>
        <v>9004947000 - Proper</v>
      </c>
      <c r="U143" s="383" t="s">
        <v>8341</v>
      </c>
      <c r="V143" s="383" t="s">
        <v>71</v>
      </c>
      <c r="W143" s="383" t="s">
        <v>47</v>
      </c>
      <c r="X143" s="420" t="s">
        <v>44</v>
      </c>
      <c r="Y143" s="420" t="s">
        <v>44</v>
      </c>
      <c r="Z143" s="420" t="s">
        <v>44</v>
      </c>
      <c r="AA143" s="420" t="s">
        <v>44</v>
      </c>
      <c r="AB143" s="383"/>
    </row>
    <row r="144" spans="1:28" ht="13.8">
      <c r="A144" s="387">
        <v>143</v>
      </c>
      <c r="B144" s="387" t="s">
        <v>10710</v>
      </c>
      <c r="C144" s="387" t="s">
        <v>10710</v>
      </c>
      <c r="D144" s="387" t="s">
        <v>10710</v>
      </c>
      <c r="E144" s="383" t="s">
        <v>8730</v>
      </c>
      <c r="F144" s="383">
        <v>610</v>
      </c>
      <c r="G144" s="383" t="s">
        <v>71</v>
      </c>
      <c r="H144" s="383" t="s">
        <v>71</v>
      </c>
      <c r="I144" s="383" t="s">
        <v>8402</v>
      </c>
      <c r="J144" s="383" t="s">
        <v>9352</v>
      </c>
      <c r="K144" s="383" t="s">
        <v>8341</v>
      </c>
      <c r="L144" s="383" t="s">
        <v>8341</v>
      </c>
      <c r="M144" s="383" t="s">
        <v>10016</v>
      </c>
      <c r="N144" s="420" t="s">
        <v>44</v>
      </c>
      <c r="O144" s="383" t="str">
        <f>IF(LEN(SUBSTITUTE(Table3937[[#This Row],[PRIMARY CONTACT]]," ",""))=10,SUBSTITUTE(Table3937[[#This Row],[PRIMARY CONTACT]]," ","") &amp; " - Proper","- Follow Up")</f>
        <v>9008004270 - Proper</v>
      </c>
      <c r="P144" s="383" t="s">
        <v>5558</v>
      </c>
      <c r="Q144" s="383">
        <v>9008004270</v>
      </c>
      <c r="R144" s="383" t="str">
        <f>SUBSTITUTE(Table3937[[#This Row],[whatsapp_number]]," ","")</f>
        <v>9008004270</v>
      </c>
      <c r="S144" s="383" t="str">
        <f>IF(Table3937[[#This Row],[PRIMARY CONTACT]]=Table3937[[#This Row],[WHATSAPP CONTACT]],"Same Contact","Different Contact")</f>
        <v>Same Contact</v>
      </c>
      <c r="T144" s="383" t="str">
        <f>IF(LEN(SUBSTITUTE(Table3937[[#This Row],[PRIMARY CONTACT]]," ",""))=10,SUBSTITUTE(Table3937[[#This Row],[PRIMARY CONTACT]]," ","") &amp; " - Proper","- Follow Up")</f>
        <v>9008004270 - Proper</v>
      </c>
      <c r="U144" s="383" t="s">
        <v>8341</v>
      </c>
      <c r="V144" s="383" t="s">
        <v>71</v>
      </c>
      <c r="W144" s="383" t="s">
        <v>47</v>
      </c>
      <c r="X144" s="420" t="s">
        <v>44</v>
      </c>
      <c r="Y144" s="420" t="s">
        <v>44</v>
      </c>
      <c r="Z144" s="420" t="s">
        <v>44</v>
      </c>
      <c r="AA144" s="420" t="s">
        <v>44</v>
      </c>
      <c r="AB144" s="383"/>
    </row>
    <row r="145" spans="1:28" ht="13.8">
      <c r="A145" s="387">
        <v>144</v>
      </c>
      <c r="B145" s="387" t="s">
        <v>10710</v>
      </c>
      <c r="C145" s="387" t="s">
        <v>10710</v>
      </c>
      <c r="D145" s="387" t="s">
        <v>10710</v>
      </c>
      <c r="E145" s="383" t="s">
        <v>8731</v>
      </c>
      <c r="F145" s="383">
        <v>611</v>
      </c>
      <c r="G145" s="383" t="s">
        <v>71</v>
      </c>
      <c r="H145" s="383" t="s">
        <v>71</v>
      </c>
      <c r="I145" s="383" t="s">
        <v>8402</v>
      </c>
      <c r="J145" s="383" t="s">
        <v>9353</v>
      </c>
      <c r="K145" s="383" t="s">
        <v>8341</v>
      </c>
      <c r="L145" s="383" t="s">
        <v>8341</v>
      </c>
      <c r="M145" s="383" t="s">
        <v>10017</v>
      </c>
      <c r="N145" s="420" t="s">
        <v>44</v>
      </c>
      <c r="O145" s="383" t="str">
        <f>IF(LEN(SUBSTITUTE(Table3937[[#This Row],[PRIMARY CONTACT]]," ",""))=10,SUBSTITUTE(Table3937[[#This Row],[PRIMARY CONTACT]]," ","") &amp; " - Proper","- Follow Up")</f>
        <v>9004470200 - Proper</v>
      </c>
      <c r="P145" s="383" t="s">
        <v>5561</v>
      </c>
      <c r="Q145" s="383">
        <v>9004470200</v>
      </c>
      <c r="R145" s="383" t="str">
        <f>SUBSTITUTE(Table3937[[#This Row],[whatsapp_number]]," ","")</f>
        <v>9004470200</v>
      </c>
      <c r="S145" s="383" t="str">
        <f>IF(Table3937[[#This Row],[PRIMARY CONTACT]]=Table3937[[#This Row],[WHATSAPP CONTACT]],"Same Contact","Different Contact")</f>
        <v>Same Contact</v>
      </c>
      <c r="T145" s="383" t="str">
        <f>IF(LEN(SUBSTITUTE(Table3937[[#This Row],[PRIMARY CONTACT]]," ",""))=10,SUBSTITUTE(Table3937[[#This Row],[PRIMARY CONTACT]]," ","") &amp; " - Proper","- Follow Up")</f>
        <v>9004470200 - Proper</v>
      </c>
      <c r="U145" s="383" t="s">
        <v>8341</v>
      </c>
      <c r="V145" s="383" t="s">
        <v>71</v>
      </c>
      <c r="W145" s="383" t="s">
        <v>47</v>
      </c>
      <c r="X145" s="420" t="s">
        <v>44</v>
      </c>
      <c r="Y145" s="420" t="s">
        <v>44</v>
      </c>
      <c r="Z145" s="420" t="s">
        <v>44</v>
      </c>
      <c r="AA145" s="420" t="s">
        <v>44</v>
      </c>
      <c r="AB145" s="383"/>
    </row>
    <row r="146" spans="1:28" ht="13.8">
      <c r="A146" s="387">
        <v>145</v>
      </c>
      <c r="B146" s="387" t="s">
        <v>10710</v>
      </c>
      <c r="C146" s="387" t="s">
        <v>10710</v>
      </c>
      <c r="D146" s="387" t="s">
        <v>10710</v>
      </c>
      <c r="E146" s="383" t="s">
        <v>8732</v>
      </c>
      <c r="F146" s="383">
        <v>612</v>
      </c>
      <c r="G146" s="383" t="s">
        <v>71</v>
      </c>
      <c r="H146" s="383" t="s">
        <v>71</v>
      </c>
      <c r="I146" s="383" t="s">
        <v>8402</v>
      </c>
      <c r="J146" s="383" t="s">
        <v>9354</v>
      </c>
      <c r="K146" s="383" t="s">
        <v>8341</v>
      </c>
      <c r="L146" s="383" t="s">
        <v>8341</v>
      </c>
      <c r="M146" s="383" t="s">
        <v>10018</v>
      </c>
      <c r="N146" s="420" t="s">
        <v>44</v>
      </c>
      <c r="O146" s="383" t="str">
        <f>IF(LEN(SUBSTITUTE(Table3937[[#This Row],[PRIMARY CONTACT]]," ",""))=10,SUBSTITUTE(Table3937[[#This Row],[PRIMARY CONTACT]]," ","") &amp; " - Proper","- Follow Up")</f>
        <v>9967584647 - Proper</v>
      </c>
      <c r="P146" s="383" t="s">
        <v>5564</v>
      </c>
      <c r="Q146" s="383">
        <v>9967584647</v>
      </c>
      <c r="R146" s="383" t="str">
        <f>SUBSTITUTE(Table3937[[#This Row],[whatsapp_number]]," ","")</f>
        <v>9967584647</v>
      </c>
      <c r="S146" s="383" t="str">
        <f>IF(Table3937[[#This Row],[PRIMARY CONTACT]]=Table3937[[#This Row],[WHATSAPP CONTACT]],"Same Contact","Different Contact")</f>
        <v>Same Contact</v>
      </c>
      <c r="T146" s="383" t="str">
        <f>IF(LEN(SUBSTITUTE(Table3937[[#This Row],[PRIMARY CONTACT]]," ",""))=10,SUBSTITUTE(Table3937[[#This Row],[PRIMARY CONTACT]]," ","") &amp; " - Proper","- Follow Up")</f>
        <v>9967584647 - Proper</v>
      </c>
      <c r="U146" s="383" t="s">
        <v>8341</v>
      </c>
      <c r="V146" s="383" t="s">
        <v>71</v>
      </c>
      <c r="W146" s="383" t="s">
        <v>47</v>
      </c>
      <c r="X146" s="420" t="s">
        <v>44</v>
      </c>
      <c r="Y146" s="420" t="s">
        <v>44</v>
      </c>
      <c r="Z146" s="420" t="s">
        <v>44</v>
      </c>
      <c r="AA146" s="420" t="s">
        <v>44</v>
      </c>
      <c r="AB146" s="383"/>
    </row>
    <row r="147" spans="1:28" ht="13.8">
      <c r="A147" s="387">
        <v>146</v>
      </c>
      <c r="B147" s="387" t="s">
        <v>10710</v>
      </c>
      <c r="C147" s="387" t="s">
        <v>10710</v>
      </c>
      <c r="D147" s="387" t="s">
        <v>10710</v>
      </c>
      <c r="E147" s="383" t="s">
        <v>8733</v>
      </c>
      <c r="F147" s="383">
        <v>613</v>
      </c>
      <c r="G147" s="383" t="s">
        <v>71</v>
      </c>
      <c r="H147" s="383" t="s">
        <v>71</v>
      </c>
      <c r="I147" s="383" t="s">
        <v>8402</v>
      </c>
      <c r="J147" s="383" t="s">
        <v>9355</v>
      </c>
      <c r="K147" s="383" t="s">
        <v>8341</v>
      </c>
      <c r="L147" s="383" t="s">
        <v>8341</v>
      </c>
      <c r="M147" s="383" t="s">
        <v>10019</v>
      </c>
      <c r="N147" s="420" t="s">
        <v>44</v>
      </c>
      <c r="O147" s="383" t="str">
        <f>IF(LEN(SUBSTITUTE(Table3937[[#This Row],[PRIMARY CONTACT]]," ",""))=10,SUBSTITUTE(Table3937[[#This Row],[PRIMARY CONTACT]]," ","") &amp; " - Proper","- Follow Up")</f>
        <v>9930994692 - Proper</v>
      </c>
      <c r="P147" s="383" t="s">
        <v>5567</v>
      </c>
      <c r="Q147" s="383">
        <v>9930994692</v>
      </c>
      <c r="R147" s="383" t="str">
        <f>SUBSTITUTE(Table3937[[#This Row],[whatsapp_number]]," ","")</f>
        <v>9930994692</v>
      </c>
      <c r="S147" s="383" t="str">
        <f>IF(Table3937[[#This Row],[PRIMARY CONTACT]]=Table3937[[#This Row],[WHATSAPP CONTACT]],"Same Contact","Different Contact")</f>
        <v>Same Contact</v>
      </c>
      <c r="T147" s="383" t="str">
        <f>IF(LEN(SUBSTITUTE(Table3937[[#This Row],[PRIMARY CONTACT]]," ",""))=10,SUBSTITUTE(Table3937[[#This Row],[PRIMARY CONTACT]]," ","") &amp; " - Proper","- Follow Up")</f>
        <v>9930994692 - Proper</v>
      </c>
      <c r="U147" s="383" t="s">
        <v>8341</v>
      </c>
      <c r="V147" s="383" t="s">
        <v>71</v>
      </c>
      <c r="W147" s="383" t="s">
        <v>47</v>
      </c>
      <c r="X147" s="420" t="s">
        <v>44</v>
      </c>
      <c r="Y147" s="420" t="s">
        <v>44</v>
      </c>
      <c r="Z147" s="420" t="s">
        <v>44</v>
      </c>
      <c r="AA147" s="420" t="s">
        <v>44</v>
      </c>
      <c r="AB147" s="383"/>
    </row>
    <row r="148" spans="1:28" ht="13.8">
      <c r="A148" s="387">
        <v>147</v>
      </c>
      <c r="B148" s="387" t="s">
        <v>10710</v>
      </c>
      <c r="C148" s="387" t="s">
        <v>10710</v>
      </c>
      <c r="D148" s="387" t="s">
        <v>10710</v>
      </c>
      <c r="E148" s="383" t="s">
        <v>8734</v>
      </c>
      <c r="F148" s="383">
        <v>614</v>
      </c>
      <c r="G148" s="383" t="s">
        <v>71</v>
      </c>
      <c r="H148" s="383" t="s">
        <v>5569</v>
      </c>
      <c r="I148" s="383" t="s">
        <v>8403</v>
      </c>
      <c r="J148" s="383" t="s">
        <v>5571</v>
      </c>
      <c r="K148" s="383" t="s">
        <v>8341</v>
      </c>
      <c r="L148" s="383" t="s">
        <v>8341</v>
      </c>
      <c r="M148" s="383" t="s">
        <v>10020</v>
      </c>
      <c r="N148" s="420" t="s">
        <v>44</v>
      </c>
      <c r="O148" s="383" t="str">
        <f>IF(LEN(SUBSTITUTE(Table3937[[#This Row],[PRIMARY CONTACT]]," ",""))=10,SUBSTITUTE(Table3937[[#This Row],[PRIMARY CONTACT]]," ","") &amp; " - Proper","- Follow Up")</f>
        <v>9820035803 - Proper</v>
      </c>
      <c r="P148" s="383" t="s">
        <v>5572</v>
      </c>
      <c r="Q148" s="383">
        <v>9820035803</v>
      </c>
      <c r="R148" s="383" t="str">
        <f>SUBSTITUTE(Table3937[[#This Row],[whatsapp_number]]," ","")</f>
        <v>9820035803</v>
      </c>
      <c r="S148" s="383" t="str">
        <f>IF(Table3937[[#This Row],[PRIMARY CONTACT]]=Table3937[[#This Row],[WHATSAPP CONTACT]],"Same Contact","Different Contact")</f>
        <v>Same Contact</v>
      </c>
      <c r="T148" s="383" t="str">
        <f>IF(LEN(SUBSTITUTE(Table3937[[#This Row],[PRIMARY CONTACT]]," ",""))=10,SUBSTITUTE(Table3937[[#This Row],[PRIMARY CONTACT]]," ","") &amp; " - Proper","- Follow Up")</f>
        <v>9820035803 - Proper</v>
      </c>
      <c r="U148" s="383" t="s">
        <v>8341</v>
      </c>
      <c r="V148" s="393" t="s">
        <v>5573</v>
      </c>
      <c r="W148" s="383" t="s">
        <v>47</v>
      </c>
      <c r="X148" s="420" t="s">
        <v>44</v>
      </c>
      <c r="Y148" s="420" t="s">
        <v>44</v>
      </c>
      <c r="Z148" s="420" t="s">
        <v>44</v>
      </c>
      <c r="AA148" s="420" t="s">
        <v>44</v>
      </c>
      <c r="AB148" s="383"/>
    </row>
    <row r="149" spans="1:28" ht="13.8">
      <c r="A149" s="387">
        <v>148</v>
      </c>
      <c r="B149" s="387" t="s">
        <v>10710</v>
      </c>
      <c r="C149" s="387" t="s">
        <v>10710</v>
      </c>
      <c r="D149" s="387" t="s">
        <v>10710</v>
      </c>
      <c r="E149" s="383" t="s">
        <v>8735</v>
      </c>
      <c r="F149" s="383">
        <v>615</v>
      </c>
      <c r="G149" s="383" t="s">
        <v>71</v>
      </c>
      <c r="H149" s="383" t="s">
        <v>5569</v>
      </c>
      <c r="I149" s="383" t="s">
        <v>8403</v>
      </c>
      <c r="J149" s="383" t="s">
        <v>9356</v>
      </c>
      <c r="K149" s="383" t="s">
        <v>8341</v>
      </c>
      <c r="L149" s="383" t="s">
        <v>8341</v>
      </c>
      <c r="M149" s="383" t="s">
        <v>10021</v>
      </c>
      <c r="N149" s="420" t="s">
        <v>44</v>
      </c>
      <c r="O149" s="383" t="str">
        <f>IF(LEN(SUBSTITUTE(Table3937[[#This Row],[PRIMARY CONTACT]]," ",""))=10,SUBSTITUTE(Table3937[[#This Row],[PRIMARY CONTACT]]," ","") &amp; " - Proper","- Follow Up")</f>
        <v>8879332431 - Proper</v>
      </c>
      <c r="P149" s="383" t="s">
        <v>5576</v>
      </c>
      <c r="Q149" s="383">
        <v>8879332431</v>
      </c>
      <c r="R149" s="383" t="str">
        <f>SUBSTITUTE(Table3937[[#This Row],[whatsapp_number]]," ","")</f>
        <v>8879332431</v>
      </c>
      <c r="S149" s="383" t="str">
        <f>IF(Table3937[[#This Row],[PRIMARY CONTACT]]=Table3937[[#This Row],[WHATSAPP CONTACT]],"Same Contact","Different Contact")</f>
        <v>Same Contact</v>
      </c>
      <c r="T149" s="383" t="str">
        <f>IF(LEN(SUBSTITUTE(Table3937[[#This Row],[PRIMARY CONTACT]]," ",""))=10,SUBSTITUTE(Table3937[[#This Row],[PRIMARY CONTACT]]," ","") &amp; " - Proper","- Follow Up")</f>
        <v>8879332431 - Proper</v>
      </c>
      <c r="U149" s="383" t="s">
        <v>8341</v>
      </c>
      <c r="V149" s="393" t="s">
        <v>5573</v>
      </c>
      <c r="W149" s="383" t="s">
        <v>47</v>
      </c>
      <c r="X149" s="420" t="s">
        <v>44</v>
      </c>
      <c r="Y149" s="420" t="s">
        <v>44</v>
      </c>
      <c r="Z149" s="420" t="s">
        <v>44</v>
      </c>
      <c r="AA149" s="420" t="s">
        <v>44</v>
      </c>
      <c r="AB149" s="383"/>
    </row>
    <row r="150" spans="1:28" ht="13.8">
      <c r="A150" s="387">
        <v>149</v>
      </c>
      <c r="B150" s="387" t="s">
        <v>10710</v>
      </c>
      <c r="C150" s="387" t="s">
        <v>10710</v>
      </c>
      <c r="D150" s="387" t="s">
        <v>10710</v>
      </c>
      <c r="E150" s="383" t="s">
        <v>8736</v>
      </c>
      <c r="F150" s="383">
        <v>616</v>
      </c>
      <c r="G150" s="383" t="s">
        <v>71</v>
      </c>
      <c r="H150" s="383" t="s">
        <v>5578</v>
      </c>
      <c r="I150" s="383" t="s">
        <v>8404</v>
      </c>
      <c r="J150" s="383" t="s">
        <v>9357</v>
      </c>
      <c r="K150" s="383" t="s">
        <v>8341</v>
      </c>
      <c r="L150" s="383" t="s">
        <v>8341</v>
      </c>
      <c r="M150" s="383" t="s">
        <v>10022</v>
      </c>
      <c r="N150" s="420" t="s">
        <v>44</v>
      </c>
      <c r="O150" s="383" t="str">
        <f>IF(LEN(SUBSTITUTE(Table3937[[#This Row],[PRIMARY CONTACT]]," ",""))=10,SUBSTITUTE(Table3937[[#This Row],[PRIMARY CONTACT]]," ","") &amp; " - Proper","- Follow Up")</f>
        <v>- Follow Up</v>
      </c>
      <c r="P150" s="383" t="s">
        <v>5581</v>
      </c>
      <c r="Q150" s="383">
        <v>506555992</v>
      </c>
      <c r="R150" s="383" t="str">
        <f>SUBSTITUTE(Table3937[[#This Row],[whatsapp_number]]," ","")</f>
        <v>506555992</v>
      </c>
      <c r="S150" s="383" t="str">
        <f>IF(Table3937[[#This Row],[PRIMARY CONTACT]]=Table3937[[#This Row],[WHATSAPP CONTACT]],"Same Contact","Different Contact")</f>
        <v>Same Contact</v>
      </c>
      <c r="T150" s="383" t="str">
        <f>IF(LEN(SUBSTITUTE(Table3937[[#This Row],[PRIMARY CONTACT]]," ",""))=10,SUBSTITUTE(Table3937[[#This Row],[PRIMARY CONTACT]]," ","") &amp; " - Proper","- Follow Up")</f>
        <v>- Follow Up</v>
      </c>
      <c r="U150" s="383" t="s">
        <v>8341</v>
      </c>
      <c r="V150" s="393" t="s">
        <v>5582</v>
      </c>
      <c r="W150" s="383" t="s">
        <v>47</v>
      </c>
      <c r="X150" s="420" t="s">
        <v>44</v>
      </c>
      <c r="Y150" s="420" t="s">
        <v>44</v>
      </c>
      <c r="Z150" s="420" t="s">
        <v>44</v>
      </c>
      <c r="AA150" s="420" t="s">
        <v>44</v>
      </c>
      <c r="AB150" s="383"/>
    </row>
    <row r="151" spans="1:28" ht="13.8">
      <c r="A151" s="387">
        <v>150</v>
      </c>
      <c r="B151" s="387" t="s">
        <v>10710</v>
      </c>
      <c r="C151" s="387" t="s">
        <v>10710</v>
      </c>
      <c r="D151" s="387" t="s">
        <v>10710</v>
      </c>
      <c r="E151" s="383" t="s">
        <v>8737</v>
      </c>
      <c r="F151" s="383">
        <v>617</v>
      </c>
      <c r="G151" s="383" t="s">
        <v>71</v>
      </c>
      <c r="H151" s="383" t="s">
        <v>5578</v>
      </c>
      <c r="I151" s="383" t="s">
        <v>8404</v>
      </c>
      <c r="J151" s="383" t="s">
        <v>9358</v>
      </c>
      <c r="K151" s="383" t="s">
        <v>8341</v>
      </c>
      <c r="L151" s="383" t="s">
        <v>8341</v>
      </c>
      <c r="M151" s="383" t="s">
        <v>10023</v>
      </c>
      <c r="N151" s="420" t="s">
        <v>44</v>
      </c>
      <c r="O151" s="383" t="str">
        <f>IF(LEN(SUBSTITUTE(Table3937[[#This Row],[PRIMARY CONTACT]]," ",""))=10,SUBSTITUTE(Table3937[[#This Row],[PRIMARY CONTACT]]," ","") &amp; " - Proper","- Follow Up")</f>
        <v>- Follow Up</v>
      </c>
      <c r="P151" s="383" t="s">
        <v>5585</v>
      </c>
      <c r="Q151" s="383">
        <v>506444144</v>
      </c>
      <c r="R151" s="383" t="str">
        <f>SUBSTITUTE(Table3937[[#This Row],[whatsapp_number]]," ","")</f>
        <v>506444144</v>
      </c>
      <c r="S151" s="383" t="str">
        <f>IF(Table3937[[#This Row],[PRIMARY CONTACT]]=Table3937[[#This Row],[WHATSAPP CONTACT]],"Same Contact","Different Contact")</f>
        <v>Same Contact</v>
      </c>
      <c r="T151" s="383" t="str">
        <f>IF(LEN(SUBSTITUTE(Table3937[[#This Row],[PRIMARY CONTACT]]," ",""))=10,SUBSTITUTE(Table3937[[#This Row],[PRIMARY CONTACT]]," ","") &amp; " - Proper","- Follow Up")</f>
        <v>- Follow Up</v>
      </c>
      <c r="U151" s="383" t="s">
        <v>8341</v>
      </c>
      <c r="V151" s="393" t="s">
        <v>5582</v>
      </c>
      <c r="W151" s="383" t="s">
        <v>47</v>
      </c>
      <c r="X151" s="420" t="s">
        <v>44</v>
      </c>
      <c r="Y151" s="420" t="s">
        <v>44</v>
      </c>
      <c r="Z151" s="420" t="s">
        <v>44</v>
      </c>
      <c r="AA151" s="420" t="s">
        <v>44</v>
      </c>
      <c r="AB151" s="383"/>
    </row>
    <row r="152" spans="1:28" ht="13.8">
      <c r="A152" s="387">
        <v>151</v>
      </c>
      <c r="B152" s="387" t="s">
        <v>10710</v>
      </c>
      <c r="C152" s="387" t="s">
        <v>10710</v>
      </c>
      <c r="D152" s="387" t="s">
        <v>10710</v>
      </c>
      <c r="E152" s="383" t="s">
        <v>8738</v>
      </c>
      <c r="F152" s="383">
        <v>618</v>
      </c>
      <c r="G152" s="383" t="s">
        <v>71</v>
      </c>
      <c r="H152" s="383" t="s">
        <v>5578</v>
      </c>
      <c r="I152" s="383" t="s">
        <v>8404</v>
      </c>
      <c r="J152" s="383" t="s">
        <v>9359</v>
      </c>
      <c r="K152" s="383" t="s">
        <v>8341</v>
      </c>
      <c r="L152" s="383" t="s">
        <v>8341</v>
      </c>
      <c r="M152" s="383" t="s">
        <v>10024</v>
      </c>
      <c r="N152" s="420" t="s">
        <v>44</v>
      </c>
      <c r="O152" s="383" t="str">
        <f>IF(LEN(SUBSTITUTE(Table3937[[#This Row],[PRIMARY CONTACT]]," ",""))=10,SUBSTITUTE(Table3937[[#This Row],[PRIMARY CONTACT]]," ","") &amp; " - Proper","- Follow Up")</f>
        <v>- Follow Up</v>
      </c>
      <c r="P152" s="383" t="s">
        <v>5588</v>
      </c>
      <c r="Q152" s="383">
        <v>507653878</v>
      </c>
      <c r="R152" s="383" t="str">
        <f>SUBSTITUTE(Table3937[[#This Row],[whatsapp_number]]," ","")</f>
        <v>507653878</v>
      </c>
      <c r="S152" s="383" t="str">
        <f>IF(Table3937[[#This Row],[PRIMARY CONTACT]]=Table3937[[#This Row],[WHATSAPP CONTACT]],"Same Contact","Different Contact")</f>
        <v>Same Contact</v>
      </c>
      <c r="T152" s="383" t="str">
        <f>IF(LEN(SUBSTITUTE(Table3937[[#This Row],[PRIMARY CONTACT]]," ",""))=10,SUBSTITUTE(Table3937[[#This Row],[PRIMARY CONTACT]]," ","") &amp; " - Proper","- Follow Up")</f>
        <v>- Follow Up</v>
      </c>
      <c r="U152" s="383" t="s">
        <v>8341</v>
      </c>
      <c r="V152" s="393" t="s">
        <v>5582</v>
      </c>
      <c r="W152" s="383" t="s">
        <v>47</v>
      </c>
      <c r="X152" s="420" t="s">
        <v>44</v>
      </c>
      <c r="Y152" s="420" t="s">
        <v>44</v>
      </c>
      <c r="Z152" s="420" t="s">
        <v>44</v>
      </c>
      <c r="AA152" s="420" t="s">
        <v>44</v>
      </c>
      <c r="AB152" s="383"/>
    </row>
    <row r="153" spans="1:28" ht="13.8">
      <c r="A153" s="387">
        <v>152</v>
      </c>
      <c r="B153" s="387" t="s">
        <v>10710</v>
      </c>
      <c r="C153" s="387" t="s">
        <v>10710</v>
      </c>
      <c r="D153" s="387" t="s">
        <v>10710</v>
      </c>
      <c r="E153" s="383" t="s">
        <v>8739</v>
      </c>
      <c r="F153" s="383">
        <v>619</v>
      </c>
      <c r="G153" s="383" t="s">
        <v>71</v>
      </c>
      <c r="H153" s="383" t="s">
        <v>5578</v>
      </c>
      <c r="I153" s="383" t="s">
        <v>8404</v>
      </c>
      <c r="J153" s="383" t="s">
        <v>9360</v>
      </c>
      <c r="K153" s="383" t="s">
        <v>8341</v>
      </c>
      <c r="L153" s="383" t="s">
        <v>8341</v>
      </c>
      <c r="M153" s="383" t="s">
        <v>10025</v>
      </c>
      <c r="N153" s="420" t="s">
        <v>44</v>
      </c>
      <c r="O153" s="383" t="str">
        <f>IF(LEN(SUBSTITUTE(Table3937[[#This Row],[PRIMARY CONTACT]]," ",""))=10,SUBSTITUTE(Table3937[[#This Row],[PRIMARY CONTACT]]," ","") &amp; " - Proper","- Follow Up")</f>
        <v>- Follow Up</v>
      </c>
      <c r="P153" s="383" t="s">
        <v>5591</v>
      </c>
      <c r="Q153" s="383">
        <v>504517994</v>
      </c>
      <c r="R153" s="383" t="str">
        <f>SUBSTITUTE(Table3937[[#This Row],[whatsapp_number]]," ","")</f>
        <v>504517994</v>
      </c>
      <c r="S153" s="383" t="str">
        <f>IF(Table3937[[#This Row],[PRIMARY CONTACT]]=Table3937[[#This Row],[WHATSAPP CONTACT]],"Same Contact","Different Contact")</f>
        <v>Same Contact</v>
      </c>
      <c r="T153" s="383" t="str">
        <f>IF(LEN(SUBSTITUTE(Table3937[[#This Row],[PRIMARY CONTACT]]," ",""))=10,SUBSTITUTE(Table3937[[#This Row],[PRIMARY CONTACT]]," ","") &amp; " - Proper","- Follow Up")</f>
        <v>- Follow Up</v>
      </c>
      <c r="U153" s="383" t="s">
        <v>8341</v>
      </c>
      <c r="V153" s="393" t="s">
        <v>5582</v>
      </c>
      <c r="W153" s="383" t="s">
        <v>47</v>
      </c>
      <c r="X153" s="420" t="s">
        <v>44</v>
      </c>
      <c r="Y153" s="420" t="s">
        <v>44</v>
      </c>
      <c r="Z153" s="420" t="s">
        <v>44</v>
      </c>
      <c r="AA153" s="420" t="s">
        <v>44</v>
      </c>
      <c r="AB153" s="383"/>
    </row>
    <row r="154" spans="1:28" ht="13.8">
      <c r="A154" s="387">
        <v>153</v>
      </c>
      <c r="B154" s="387" t="s">
        <v>10710</v>
      </c>
      <c r="C154" s="387" t="s">
        <v>10710</v>
      </c>
      <c r="D154" s="387" t="s">
        <v>10710</v>
      </c>
      <c r="E154" s="383" t="s">
        <v>8740</v>
      </c>
      <c r="F154" s="383">
        <v>620</v>
      </c>
      <c r="G154" s="383" t="s">
        <v>71</v>
      </c>
      <c r="H154" s="383" t="s">
        <v>5578</v>
      </c>
      <c r="I154" s="383" t="s">
        <v>8404</v>
      </c>
      <c r="J154" s="383" t="s">
        <v>9361</v>
      </c>
      <c r="K154" s="383" t="s">
        <v>8341</v>
      </c>
      <c r="L154" s="383" t="s">
        <v>8341</v>
      </c>
      <c r="M154" s="383" t="s">
        <v>10026</v>
      </c>
      <c r="N154" s="420" t="s">
        <v>44</v>
      </c>
      <c r="O154" s="383" t="str">
        <f>IF(LEN(SUBSTITUTE(Table3937[[#This Row],[PRIMARY CONTACT]]," ",""))=10,SUBSTITUTE(Table3937[[#This Row],[PRIMARY CONTACT]]," ","") &amp; " - Proper","- Follow Up")</f>
        <v>- Follow Up</v>
      </c>
      <c r="P154" s="383" t="s">
        <v>5594</v>
      </c>
      <c r="Q154" s="383">
        <v>56508308</v>
      </c>
      <c r="R154" s="383" t="str">
        <f>SUBSTITUTE(Table3937[[#This Row],[whatsapp_number]]," ","")</f>
        <v>56508308</v>
      </c>
      <c r="S154" s="383" t="str">
        <f>IF(Table3937[[#This Row],[PRIMARY CONTACT]]=Table3937[[#This Row],[WHATSAPP CONTACT]],"Same Contact","Different Contact")</f>
        <v>Same Contact</v>
      </c>
      <c r="T154" s="383" t="str">
        <f>IF(LEN(SUBSTITUTE(Table3937[[#This Row],[PRIMARY CONTACT]]," ",""))=10,SUBSTITUTE(Table3937[[#This Row],[PRIMARY CONTACT]]," ","") &amp; " - Proper","- Follow Up")</f>
        <v>- Follow Up</v>
      </c>
      <c r="U154" s="383" t="s">
        <v>8341</v>
      </c>
      <c r="V154" s="393" t="s">
        <v>5582</v>
      </c>
      <c r="W154" s="383" t="s">
        <v>47</v>
      </c>
      <c r="X154" s="420" t="s">
        <v>44</v>
      </c>
      <c r="Y154" s="420" t="s">
        <v>44</v>
      </c>
      <c r="Z154" s="420" t="s">
        <v>44</v>
      </c>
      <c r="AA154" s="420" t="s">
        <v>44</v>
      </c>
      <c r="AB154" s="383"/>
    </row>
    <row r="155" spans="1:28" ht="13.8">
      <c r="A155" s="387">
        <v>154</v>
      </c>
      <c r="B155" s="387" t="s">
        <v>10710</v>
      </c>
      <c r="C155" s="387" t="s">
        <v>10710</v>
      </c>
      <c r="D155" s="387" t="s">
        <v>10710</v>
      </c>
      <c r="E155" s="383" t="s">
        <v>8741</v>
      </c>
      <c r="F155" s="383">
        <v>621</v>
      </c>
      <c r="G155" s="383" t="s">
        <v>71</v>
      </c>
      <c r="H155" s="383" t="s">
        <v>5596</v>
      </c>
      <c r="I155" s="383" t="s">
        <v>8405</v>
      </c>
      <c r="J155" s="383" t="s">
        <v>9362</v>
      </c>
      <c r="K155" s="383" t="s">
        <v>8341</v>
      </c>
      <c r="L155" s="383" t="s">
        <v>8341</v>
      </c>
      <c r="M155" s="383" t="s">
        <v>10027</v>
      </c>
      <c r="N155" s="420" t="s">
        <v>44</v>
      </c>
      <c r="O155" s="383" t="str">
        <f>IF(LEN(SUBSTITUTE(Table3937[[#This Row],[PRIMARY CONTACT]]," ",""))=10,SUBSTITUTE(Table3937[[#This Row],[PRIMARY CONTACT]]," ","") &amp; " - Proper","- Follow Up")</f>
        <v>9425550000 - Proper</v>
      </c>
      <c r="P155" s="383" t="s">
        <v>5599</v>
      </c>
      <c r="Q155" s="383">
        <v>9425550000</v>
      </c>
      <c r="R155" s="383" t="str">
        <f>SUBSTITUTE(Table3937[[#This Row],[whatsapp_number]]," ","")</f>
        <v>9425550000</v>
      </c>
      <c r="S155" s="383" t="str">
        <f>IF(Table3937[[#This Row],[PRIMARY CONTACT]]=Table3937[[#This Row],[WHATSAPP CONTACT]],"Same Contact","Different Contact")</f>
        <v>Same Contact</v>
      </c>
      <c r="T155" s="383" t="str">
        <f>IF(LEN(SUBSTITUTE(Table3937[[#This Row],[PRIMARY CONTACT]]," ",""))=10,SUBSTITUTE(Table3937[[#This Row],[PRIMARY CONTACT]]," ","") &amp; " - Proper","- Follow Up")</f>
        <v>9425550000 - Proper</v>
      </c>
      <c r="U155" s="383" t="s">
        <v>8341</v>
      </c>
      <c r="V155" s="393" t="s">
        <v>5600</v>
      </c>
      <c r="W155" s="383" t="s">
        <v>47</v>
      </c>
      <c r="X155" s="420" t="s">
        <v>44</v>
      </c>
      <c r="Y155" s="420" t="s">
        <v>44</v>
      </c>
      <c r="Z155" s="420" t="s">
        <v>44</v>
      </c>
      <c r="AA155" s="420" t="s">
        <v>44</v>
      </c>
      <c r="AB155" s="383"/>
    </row>
    <row r="156" spans="1:28" ht="13.8">
      <c r="A156" s="387">
        <v>155</v>
      </c>
      <c r="B156" s="387" t="s">
        <v>10710</v>
      </c>
      <c r="C156" s="387" t="s">
        <v>10710</v>
      </c>
      <c r="D156" s="387" t="s">
        <v>10710</v>
      </c>
      <c r="E156" s="383" t="s">
        <v>8742</v>
      </c>
      <c r="F156" s="383">
        <v>622</v>
      </c>
      <c r="G156" s="383" t="s">
        <v>71</v>
      </c>
      <c r="H156" s="383" t="s">
        <v>5602</v>
      </c>
      <c r="I156" s="383" t="s">
        <v>8406</v>
      </c>
      <c r="J156" s="383" t="s">
        <v>9363</v>
      </c>
      <c r="K156" s="383" t="s">
        <v>8341</v>
      </c>
      <c r="L156" s="383" t="s">
        <v>8341</v>
      </c>
      <c r="M156" s="383" t="s">
        <v>10028</v>
      </c>
      <c r="N156" s="420" t="s">
        <v>44</v>
      </c>
      <c r="O156" s="383" t="str">
        <f>IF(LEN(SUBSTITUTE(Table3937[[#This Row],[PRIMARY CONTACT]]," ",""))=10,SUBSTITUTE(Table3937[[#This Row],[PRIMARY CONTACT]]," ","") &amp; " - Proper","- Follow Up")</f>
        <v>9844512223 - Proper</v>
      </c>
      <c r="P156" s="383" t="s">
        <v>5605</v>
      </c>
      <c r="Q156" s="383">
        <v>9844512223</v>
      </c>
      <c r="R156" s="383" t="str">
        <f>SUBSTITUTE(Table3937[[#This Row],[whatsapp_number]]," ","")</f>
        <v>9844512223</v>
      </c>
      <c r="S156" s="383" t="str">
        <f>IF(Table3937[[#This Row],[PRIMARY CONTACT]]=Table3937[[#This Row],[WHATSAPP CONTACT]],"Same Contact","Different Contact")</f>
        <v>Same Contact</v>
      </c>
      <c r="T156" s="383" t="str">
        <f>IF(LEN(SUBSTITUTE(Table3937[[#This Row],[PRIMARY CONTACT]]," ",""))=10,SUBSTITUTE(Table3937[[#This Row],[PRIMARY CONTACT]]," ","") &amp; " - Proper","- Follow Up")</f>
        <v>9844512223 - Proper</v>
      </c>
      <c r="U156" s="383" t="s">
        <v>8341</v>
      </c>
      <c r="V156" s="383" t="s">
        <v>71</v>
      </c>
      <c r="W156" s="383" t="s">
        <v>47</v>
      </c>
      <c r="X156" s="420" t="s">
        <v>44</v>
      </c>
      <c r="Y156" s="420" t="s">
        <v>44</v>
      </c>
      <c r="Z156" s="420" t="s">
        <v>44</v>
      </c>
      <c r="AA156" s="420" t="s">
        <v>44</v>
      </c>
      <c r="AB156" s="383"/>
    </row>
    <row r="157" spans="1:28" ht="13.8">
      <c r="A157" s="387">
        <v>156</v>
      </c>
      <c r="B157" s="387" t="s">
        <v>10710</v>
      </c>
      <c r="C157" s="387" t="s">
        <v>10710</v>
      </c>
      <c r="D157" s="387" t="s">
        <v>10710</v>
      </c>
      <c r="E157" s="383" t="s">
        <v>8743</v>
      </c>
      <c r="F157" s="383">
        <v>623</v>
      </c>
      <c r="G157" s="383" t="s">
        <v>71</v>
      </c>
      <c r="H157" s="383" t="s">
        <v>5607</v>
      </c>
      <c r="I157" s="383" t="s">
        <v>8407</v>
      </c>
      <c r="J157" s="383" t="s">
        <v>9364</v>
      </c>
      <c r="K157" s="383" t="s">
        <v>9506</v>
      </c>
      <c r="L157" s="383" t="s">
        <v>8341</v>
      </c>
      <c r="M157" s="383" t="s">
        <v>10029</v>
      </c>
      <c r="N157" s="420" t="s">
        <v>44</v>
      </c>
      <c r="O157" s="383" t="str">
        <f>IF(LEN(SUBSTITUTE(Table3937[[#This Row],[PRIMARY CONTACT]]," ",""))=10,SUBSTITUTE(Table3937[[#This Row],[PRIMARY CONTACT]]," ","") &amp; " - Proper","- Follow Up")</f>
        <v>- Follow Up</v>
      </c>
      <c r="P157" s="383" t="s">
        <v>5611</v>
      </c>
      <c r="Q157" s="383">
        <v>553757916</v>
      </c>
      <c r="R157" s="383" t="str">
        <f>SUBSTITUTE(Table3937[[#This Row],[whatsapp_number]]," ","")</f>
        <v>553757916</v>
      </c>
      <c r="S157" s="383" t="str">
        <f>IF(Table3937[[#This Row],[PRIMARY CONTACT]]=Table3937[[#This Row],[WHATSAPP CONTACT]],"Same Contact","Different Contact")</f>
        <v>Same Contact</v>
      </c>
      <c r="T157" s="383" t="str">
        <f>IF(LEN(SUBSTITUTE(Table3937[[#This Row],[PRIMARY CONTACT]]," ",""))=10,SUBSTITUTE(Table3937[[#This Row],[PRIMARY CONTACT]]," ","") &amp; " - Proper","- Follow Up")</f>
        <v>- Follow Up</v>
      </c>
      <c r="U157" s="383" t="s">
        <v>8341</v>
      </c>
      <c r="V157" s="393" t="s">
        <v>5612</v>
      </c>
      <c r="W157" s="383" t="s">
        <v>47</v>
      </c>
      <c r="X157" s="420" t="s">
        <v>44</v>
      </c>
      <c r="Y157" s="420" t="s">
        <v>44</v>
      </c>
      <c r="Z157" s="420" t="s">
        <v>44</v>
      </c>
      <c r="AA157" s="420" t="s">
        <v>44</v>
      </c>
      <c r="AB157" s="383"/>
    </row>
    <row r="158" spans="1:28" ht="13.8">
      <c r="A158" s="387">
        <v>157</v>
      </c>
      <c r="B158" s="387" t="s">
        <v>10710</v>
      </c>
      <c r="C158" s="387" t="s">
        <v>10710</v>
      </c>
      <c r="D158" s="387" t="s">
        <v>10710</v>
      </c>
      <c r="E158" s="383" t="s">
        <v>8744</v>
      </c>
      <c r="F158" s="383">
        <v>624</v>
      </c>
      <c r="G158" s="383" t="s">
        <v>71</v>
      </c>
      <c r="H158" s="383" t="s">
        <v>5607</v>
      </c>
      <c r="I158" s="383" t="s">
        <v>8407</v>
      </c>
      <c r="J158" s="383" t="s">
        <v>9365</v>
      </c>
      <c r="K158" s="383" t="s">
        <v>8341</v>
      </c>
      <c r="L158" s="383" t="s">
        <v>8341</v>
      </c>
      <c r="M158" s="383" t="s">
        <v>10030</v>
      </c>
      <c r="N158" s="420" t="s">
        <v>44</v>
      </c>
      <c r="O158" s="383" t="str">
        <f>IF(LEN(SUBSTITUTE(Table3937[[#This Row],[PRIMARY CONTACT]]," ",""))=10,SUBSTITUTE(Table3937[[#This Row],[PRIMARY CONTACT]]," ","") &amp; " - Proper","- Follow Up")</f>
        <v>- Follow Up</v>
      </c>
      <c r="P158" s="383" t="s">
        <v>5615</v>
      </c>
      <c r="Q158" s="383">
        <v>559595916</v>
      </c>
      <c r="R158" s="383" t="str">
        <f>SUBSTITUTE(Table3937[[#This Row],[whatsapp_number]]," ","")</f>
        <v>559595916</v>
      </c>
      <c r="S158" s="383" t="str">
        <f>IF(Table3937[[#This Row],[PRIMARY CONTACT]]=Table3937[[#This Row],[WHATSAPP CONTACT]],"Same Contact","Different Contact")</f>
        <v>Same Contact</v>
      </c>
      <c r="T158" s="383" t="str">
        <f>IF(LEN(SUBSTITUTE(Table3937[[#This Row],[PRIMARY CONTACT]]," ",""))=10,SUBSTITUTE(Table3937[[#This Row],[PRIMARY CONTACT]]," ","") &amp; " - Proper","- Follow Up")</f>
        <v>- Follow Up</v>
      </c>
      <c r="U158" s="383" t="s">
        <v>8341</v>
      </c>
      <c r="V158" s="393" t="s">
        <v>5612</v>
      </c>
      <c r="W158" s="383" t="s">
        <v>47</v>
      </c>
      <c r="X158" s="420" t="s">
        <v>44</v>
      </c>
      <c r="Y158" s="420" t="s">
        <v>44</v>
      </c>
      <c r="Z158" s="420" t="s">
        <v>44</v>
      </c>
      <c r="AA158" s="420" t="s">
        <v>44</v>
      </c>
      <c r="AB158" s="383"/>
    </row>
    <row r="159" spans="1:28" ht="13.8">
      <c r="A159" s="387">
        <v>158</v>
      </c>
      <c r="B159" s="387" t="s">
        <v>10710</v>
      </c>
      <c r="C159" s="387" t="s">
        <v>10710</v>
      </c>
      <c r="D159" s="387" t="s">
        <v>10710</v>
      </c>
      <c r="E159" s="383" t="s">
        <v>8745</v>
      </c>
      <c r="F159" s="383">
        <v>625</v>
      </c>
      <c r="G159" s="383" t="s">
        <v>71</v>
      </c>
      <c r="H159" s="383" t="s">
        <v>5607</v>
      </c>
      <c r="I159" s="383" t="s">
        <v>8407</v>
      </c>
      <c r="J159" s="383" t="s">
        <v>9366</v>
      </c>
      <c r="K159" s="383" t="s">
        <v>78</v>
      </c>
      <c r="L159" s="383" t="s">
        <v>8341</v>
      </c>
      <c r="M159" s="383" t="s">
        <v>10031</v>
      </c>
      <c r="N159" s="420" t="s">
        <v>44</v>
      </c>
      <c r="O159" s="383" t="str">
        <f>IF(LEN(SUBSTITUTE(Table3937[[#This Row],[PRIMARY CONTACT]]," ",""))=10,SUBSTITUTE(Table3937[[#This Row],[PRIMARY CONTACT]]," ","") &amp; " - Proper","- Follow Up")</f>
        <v>9947234916 - Proper</v>
      </c>
      <c r="P159" s="383" t="s">
        <v>5618</v>
      </c>
      <c r="Q159" s="383">
        <v>9947234916</v>
      </c>
      <c r="R159" s="383" t="str">
        <f>SUBSTITUTE(Table3937[[#This Row],[whatsapp_number]]," ","")</f>
        <v>9947234916</v>
      </c>
      <c r="S159" s="383" t="str">
        <f>IF(Table3937[[#This Row],[PRIMARY CONTACT]]=Table3937[[#This Row],[WHATSAPP CONTACT]],"Same Contact","Different Contact")</f>
        <v>Same Contact</v>
      </c>
      <c r="T159" s="383" t="str">
        <f>IF(LEN(SUBSTITUTE(Table3937[[#This Row],[PRIMARY CONTACT]]," ",""))=10,SUBSTITUTE(Table3937[[#This Row],[PRIMARY CONTACT]]," ","") &amp; " - Proper","- Follow Up")</f>
        <v>9947234916 - Proper</v>
      </c>
      <c r="U159" s="383" t="s">
        <v>8341</v>
      </c>
      <c r="V159" s="393" t="s">
        <v>5612</v>
      </c>
      <c r="W159" s="383" t="s">
        <v>47</v>
      </c>
      <c r="X159" s="420" t="s">
        <v>44</v>
      </c>
      <c r="Y159" s="420" t="s">
        <v>44</v>
      </c>
      <c r="Z159" s="420" t="s">
        <v>44</v>
      </c>
      <c r="AA159" s="420" t="s">
        <v>44</v>
      </c>
      <c r="AB159" s="383"/>
    </row>
    <row r="160" spans="1:28" ht="13.8">
      <c r="A160" s="387">
        <v>159</v>
      </c>
      <c r="B160" s="387" t="s">
        <v>10710</v>
      </c>
      <c r="C160" s="387" t="s">
        <v>10710</v>
      </c>
      <c r="D160" s="387" t="s">
        <v>10710</v>
      </c>
      <c r="E160" s="383" t="s">
        <v>8746</v>
      </c>
      <c r="F160" s="383">
        <v>626</v>
      </c>
      <c r="G160" s="383" t="s">
        <v>71</v>
      </c>
      <c r="H160" s="383" t="s">
        <v>5607</v>
      </c>
      <c r="I160" s="383" t="s">
        <v>8407</v>
      </c>
      <c r="J160" s="383" t="s">
        <v>9367</v>
      </c>
      <c r="K160" s="383" t="s">
        <v>9507</v>
      </c>
      <c r="L160" s="383" t="s">
        <v>8341</v>
      </c>
      <c r="M160" s="383" t="s">
        <v>10032</v>
      </c>
      <c r="N160" s="420" t="s">
        <v>44</v>
      </c>
      <c r="O160" s="383" t="str">
        <f>IF(LEN(SUBSTITUTE(Table3937[[#This Row],[PRIMARY CONTACT]]," ",""))=10,SUBSTITUTE(Table3937[[#This Row],[PRIMARY CONTACT]]," ","") &amp; " - Proper","- Follow Up")</f>
        <v>- Follow Up</v>
      </c>
      <c r="P160" s="383" t="s">
        <v>5622</v>
      </c>
      <c r="Q160" s="383">
        <v>504535793</v>
      </c>
      <c r="R160" s="383" t="str">
        <f>SUBSTITUTE(Table3937[[#This Row],[whatsapp_number]]," ","")</f>
        <v>504535793</v>
      </c>
      <c r="S160" s="383" t="str">
        <f>IF(Table3937[[#This Row],[PRIMARY CONTACT]]=Table3937[[#This Row],[WHATSAPP CONTACT]],"Same Contact","Different Contact")</f>
        <v>Same Contact</v>
      </c>
      <c r="T160" s="383" t="str">
        <f>IF(LEN(SUBSTITUTE(Table3937[[#This Row],[PRIMARY CONTACT]]," ",""))=10,SUBSTITUTE(Table3937[[#This Row],[PRIMARY CONTACT]]," ","") &amp; " - Proper","- Follow Up")</f>
        <v>- Follow Up</v>
      </c>
      <c r="U160" s="383" t="s">
        <v>8341</v>
      </c>
      <c r="V160" s="393" t="s">
        <v>5612</v>
      </c>
      <c r="W160" s="383" t="s">
        <v>47</v>
      </c>
      <c r="X160" s="420" t="s">
        <v>44</v>
      </c>
      <c r="Y160" s="420" t="s">
        <v>44</v>
      </c>
      <c r="Z160" s="420" t="s">
        <v>44</v>
      </c>
      <c r="AA160" s="420" t="s">
        <v>44</v>
      </c>
      <c r="AB160" s="383"/>
    </row>
    <row r="161" spans="1:28" ht="13.8">
      <c r="A161" s="387">
        <v>160</v>
      </c>
      <c r="B161" s="387" t="s">
        <v>10710</v>
      </c>
      <c r="C161" s="387" t="s">
        <v>10710</v>
      </c>
      <c r="D161" s="387" t="s">
        <v>10710</v>
      </c>
      <c r="E161" s="383" t="s">
        <v>8747</v>
      </c>
      <c r="F161" s="383">
        <v>627</v>
      </c>
      <c r="G161" s="383" t="s">
        <v>71</v>
      </c>
      <c r="H161" s="383" t="s">
        <v>5607</v>
      </c>
      <c r="I161" s="383" t="s">
        <v>8407</v>
      </c>
      <c r="J161" s="383" t="s">
        <v>9368</v>
      </c>
      <c r="K161" s="383" t="s">
        <v>9508</v>
      </c>
      <c r="L161" s="383" t="s">
        <v>8341</v>
      </c>
      <c r="M161" s="383" t="s">
        <v>10033</v>
      </c>
      <c r="N161" s="420" t="s">
        <v>44</v>
      </c>
      <c r="O161" s="383" t="str">
        <f>IF(LEN(SUBSTITUTE(Table3937[[#This Row],[PRIMARY CONTACT]]," ",""))=10,SUBSTITUTE(Table3937[[#This Row],[PRIMARY CONTACT]]," ","") &amp; " - Proper","- Follow Up")</f>
        <v>9833181057 - Proper</v>
      </c>
      <c r="P161" s="383" t="s">
        <v>5626</v>
      </c>
      <c r="Q161" s="383">
        <v>9833181057</v>
      </c>
      <c r="R161" s="383" t="str">
        <f>SUBSTITUTE(Table3937[[#This Row],[whatsapp_number]]," ","")</f>
        <v>9833181057</v>
      </c>
      <c r="S161" s="383" t="str">
        <f>IF(Table3937[[#This Row],[PRIMARY CONTACT]]=Table3937[[#This Row],[WHATSAPP CONTACT]],"Same Contact","Different Contact")</f>
        <v>Same Contact</v>
      </c>
      <c r="T161" s="383" t="str">
        <f>IF(LEN(SUBSTITUTE(Table3937[[#This Row],[PRIMARY CONTACT]]," ",""))=10,SUBSTITUTE(Table3937[[#This Row],[PRIMARY CONTACT]]," ","") &amp; " - Proper","- Follow Up")</f>
        <v>9833181057 - Proper</v>
      </c>
      <c r="U161" s="383" t="s">
        <v>8341</v>
      </c>
      <c r="V161" s="393" t="s">
        <v>5612</v>
      </c>
      <c r="W161" s="383" t="s">
        <v>47</v>
      </c>
      <c r="X161" s="420" t="s">
        <v>44</v>
      </c>
      <c r="Y161" s="420" t="s">
        <v>44</v>
      </c>
      <c r="Z161" s="420" t="s">
        <v>44</v>
      </c>
      <c r="AA161" s="420" t="s">
        <v>44</v>
      </c>
      <c r="AB161" s="383"/>
    </row>
    <row r="162" spans="1:28" ht="13.8">
      <c r="A162" s="387">
        <v>161</v>
      </c>
      <c r="B162" s="387" t="s">
        <v>10710</v>
      </c>
      <c r="C162" s="387" t="s">
        <v>10710</v>
      </c>
      <c r="D162" s="387" t="s">
        <v>10710</v>
      </c>
      <c r="E162" s="383" t="s">
        <v>8748</v>
      </c>
      <c r="F162" s="383">
        <v>628</v>
      </c>
      <c r="G162" s="383" t="s">
        <v>71</v>
      </c>
      <c r="H162" s="383" t="s">
        <v>5607</v>
      </c>
      <c r="I162" s="383" t="s">
        <v>8407</v>
      </c>
      <c r="J162" s="383" t="s">
        <v>9369</v>
      </c>
      <c r="K162" s="383" t="s">
        <v>9509</v>
      </c>
      <c r="L162" s="383" t="s">
        <v>8341</v>
      </c>
      <c r="M162" s="383" t="s">
        <v>10034</v>
      </c>
      <c r="N162" s="420" t="s">
        <v>44</v>
      </c>
      <c r="O162" s="383" t="str">
        <f>IF(LEN(SUBSTITUTE(Table3937[[#This Row],[PRIMARY CONTACT]]," ",""))=10,SUBSTITUTE(Table3937[[#This Row],[PRIMARY CONTACT]]," ","") &amp; " - Proper","- Follow Up")</f>
        <v>- Follow Up</v>
      </c>
      <c r="P162" s="383" t="s">
        <v>5630</v>
      </c>
      <c r="Q162" s="383">
        <v>555545916</v>
      </c>
      <c r="R162" s="383" t="str">
        <f>SUBSTITUTE(Table3937[[#This Row],[whatsapp_number]]," ","")</f>
        <v>555545916</v>
      </c>
      <c r="S162" s="383" t="str">
        <f>IF(Table3937[[#This Row],[PRIMARY CONTACT]]=Table3937[[#This Row],[WHATSAPP CONTACT]],"Same Contact","Different Contact")</f>
        <v>Same Contact</v>
      </c>
      <c r="T162" s="383" t="str">
        <f>IF(LEN(SUBSTITUTE(Table3937[[#This Row],[PRIMARY CONTACT]]," ",""))=10,SUBSTITUTE(Table3937[[#This Row],[PRIMARY CONTACT]]," ","") &amp; " - Proper","- Follow Up")</f>
        <v>- Follow Up</v>
      </c>
      <c r="U162" s="383" t="s">
        <v>8341</v>
      </c>
      <c r="V162" s="393" t="s">
        <v>5612</v>
      </c>
      <c r="W162" s="383" t="s">
        <v>47</v>
      </c>
      <c r="X162" s="420" t="s">
        <v>44</v>
      </c>
      <c r="Y162" s="420" t="s">
        <v>44</v>
      </c>
      <c r="Z162" s="420" t="s">
        <v>44</v>
      </c>
      <c r="AA162" s="420" t="s">
        <v>44</v>
      </c>
      <c r="AB162" s="383"/>
    </row>
    <row r="163" spans="1:28" ht="13.8">
      <c r="A163" s="387">
        <v>162</v>
      </c>
      <c r="B163" s="387" t="s">
        <v>10710</v>
      </c>
      <c r="C163" s="387" t="s">
        <v>10710</v>
      </c>
      <c r="D163" s="387" t="s">
        <v>10710</v>
      </c>
      <c r="E163" s="383" t="s">
        <v>8749</v>
      </c>
      <c r="F163" s="383">
        <v>629</v>
      </c>
      <c r="G163" s="383" t="s">
        <v>71</v>
      </c>
      <c r="H163" s="383" t="s">
        <v>5632</v>
      </c>
      <c r="I163" s="383" t="s">
        <v>8408</v>
      </c>
      <c r="J163" s="383" t="s">
        <v>9370</v>
      </c>
      <c r="K163" s="383" t="s">
        <v>8341</v>
      </c>
      <c r="L163" s="383" t="s">
        <v>8341</v>
      </c>
      <c r="M163" s="383" t="s">
        <v>10035</v>
      </c>
      <c r="N163" s="420" t="s">
        <v>44</v>
      </c>
      <c r="O163" s="383" t="str">
        <f>IF(LEN(SUBSTITUTE(Table3937[[#This Row],[PRIMARY CONTACT]]," ",""))=10,SUBSTITUTE(Table3937[[#This Row],[PRIMARY CONTACT]]," ","") &amp; " - Proper","- Follow Up")</f>
        <v>9844033749 - Proper</v>
      </c>
      <c r="P163" s="383" t="s">
        <v>5635</v>
      </c>
      <c r="Q163" s="383">
        <v>9844033749</v>
      </c>
      <c r="R163" s="383" t="str">
        <f>SUBSTITUTE(Table3937[[#This Row],[whatsapp_number]]," ","")</f>
        <v>9844033749</v>
      </c>
      <c r="S163" s="383" t="str">
        <f>IF(Table3937[[#This Row],[PRIMARY CONTACT]]=Table3937[[#This Row],[WHATSAPP CONTACT]],"Same Contact","Different Contact")</f>
        <v>Same Contact</v>
      </c>
      <c r="T163" s="383" t="str">
        <f>IF(LEN(SUBSTITUTE(Table3937[[#This Row],[PRIMARY CONTACT]]," ",""))=10,SUBSTITUTE(Table3937[[#This Row],[PRIMARY CONTACT]]," ","") &amp; " - Proper","- Follow Up")</f>
        <v>9844033749 - Proper</v>
      </c>
      <c r="U163" s="383" t="s">
        <v>8341</v>
      </c>
      <c r="V163" s="383" t="s">
        <v>71</v>
      </c>
      <c r="W163" s="383" t="s">
        <v>47</v>
      </c>
      <c r="X163" s="420" t="s">
        <v>44</v>
      </c>
      <c r="Y163" s="420" t="s">
        <v>44</v>
      </c>
      <c r="Z163" s="420" t="s">
        <v>44</v>
      </c>
      <c r="AA163" s="420" t="s">
        <v>44</v>
      </c>
      <c r="AB163" s="383"/>
    </row>
    <row r="164" spans="1:28" ht="13.8">
      <c r="A164" s="387">
        <v>163</v>
      </c>
      <c r="B164" s="387" t="s">
        <v>10710</v>
      </c>
      <c r="C164" s="387" t="s">
        <v>10710</v>
      </c>
      <c r="D164" s="387" t="s">
        <v>10710</v>
      </c>
      <c r="E164" s="383" t="s">
        <v>8750</v>
      </c>
      <c r="F164" s="383">
        <v>630</v>
      </c>
      <c r="G164" s="383" t="s">
        <v>71</v>
      </c>
      <c r="H164" s="383" t="s">
        <v>5637</v>
      </c>
      <c r="I164" s="383" t="s">
        <v>8409</v>
      </c>
      <c r="J164" s="383" t="s">
        <v>5639</v>
      </c>
      <c r="K164" s="383" t="s">
        <v>8341</v>
      </c>
      <c r="L164" s="383" t="s">
        <v>8341</v>
      </c>
      <c r="M164" s="383" t="s">
        <v>10036</v>
      </c>
      <c r="N164" s="420" t="s">
        <v>44</v>
      </c>
      <c r="O164" s="383" t="str">
        <f>IF(LEN(SUBSTITUTE(Table3937[[#This Row],[PRIMARY CONTACT]]," ",""))=10,SUBSTITUTE(Table3937[[#This Row],[PRIMARY CONTACT]]," ","") &amp; " - Proper","- Follow Up")</f>
        <v>9744784447 - Proper</v>
      </c>
      <c r="P164" s="383" t="s">
        <v>5640</v>
      </c>
      <c r="Q164" s="383">
        <v>9744784447</v>
      </c>
      <c r="R164" s="383" t="str">
        <f>SUBSTITUTE(Table3937[[#This Row],[whatsapp_number]]," ","")</f>
        <v>9744784447</v>
      </c>
      <c r="S164" s="383" t="str">
        <f>IF(Table3937[[#This Row],[PRIMARY CONTACT]]=Table3937[[#This Row],[WHATSAPP CONTACT]],"Same Contact","Different Contact")</f>
        <v>Same Contact</v>
      </c>
      <c r="T164" s="383" t="str">
        <f>IF(LEN(SUBSTITUTE(Table3937[[#This Row],[PRIMARY CONTACT]]," ",""))=10,SUBSTITUTE(Table3937[[#This Row],[PRIMARY CONTACT]]," ","") &amp; " - Proper","- Follow Up")</f>
        <v>9744784447 - Proper</v>
      </c>
      <c r="U164" s="383" t="s">
        <v>8341</v>
      </c>
      <c r="V164" s="383" t="s">
        <v>71</v>
      </c>
      <c r="W164" s="383" t="s">
        <v>47</v>
      </c>
      <c r="X164" s="420" t="s">
        <v>44</v>
      </c>
      <c r="Y164" s="420" t="s">
        <v>44</v>
      </c>
      <c r="Z164" s="420" t="s">
        <v>44</v>
      </c>
      <c r="AA164" s="420" t="s">
        <v>44</v>
      </c>
      <c r="AB164" s="383"/>
    </row>
    <row r="165" spans="1:28" ht="13.8">
      <c r="A165" s="387">
        <v>164</v>
      </c>
      <c r="B165" s="387" t="s">
        <v>10710</v>
      </c>
      <c r="C165" s="387" t="s">
        <v>10710</v>
      </c>
      <c r="D165" s="387" t="s">
        <v>10710</v>
      </c>
      <c r="E165" s="383" t="s">
        <v>8751</v>
      </c>
      <c r="F165" s="383">
        <v>631</v>
      </c>
      <c r="G165" s="383" t="s">
        <v>71</v>
      </c>
      <c r="H165" s="383" t="s">
        <v>5637</v>
      </c>
      <c r="I165" s="383" t="s">
        <v>8409</v>
      </c>
      <c r="J165" s="383" t="s">
        <v>5642</v>
      </c>
      <c r="K165" s="383" t="s">
        <v>8341</v>
      </c>
      <c r="L165" s="383" t="s">
        <v>8341</v>
      </c>
      <c r="M165" s="383" t="s">
        <v>10037</v>
      </c>
      <c r="N165" s="420" t="s">
        <v>44</v>
      </c>
      <c r="O165" s="383" t="str">
        <f>IF(LEN(SUBSTITUTE(Table3937[[#This Row],[PRIMARY CONTACT]]," ",""))=10,SUBSTITUTE(Table3937[[#This Row],[PRIMARY CONTACT]]," ","") &amp; " - Proper","- Follow Up")</f>
        <v>- Follow Up</v>
      </c>
      <c r="P165" s="383" t="s">
        <v>5643</v>
      </c>
      <c r="Q165" s="383">
        <v>507028721</v>
      </c>
      <c r="R165" s="383" t="str">
        <f>SUBSTITUTE(Table3937[[#This Row],[whatsapp_number]]," ","")</f>
        <v>507028721</v>
      </c>
      <c r="S165" s="383" t="str">
        <f>IF(Table3937[[#This Row],[PRIMARY CONTACT]]=Table3937[[#This Row],[WHATSAPP CONTACT]],"Same Contact","Different Contact")</f>
        <v>Same Contact</v>
      </c>
      <c r="T165" s="383" t="str">
        <f>IF(LEN(SUBSTITUTE(Table3937[[#This Row],[PRIMARY CONTACT]]," ",""))=10,SUBSTITUTE(Table3937[[#This Row],[PRIMARY CONTACT]]," ","") &amp; " - Proper","- Follow Up")</f>
        <v>- Follow Up</v>
      </c>
      <c r="U165" s="383" t="s">
        <v>8341</v>
      </c>
      <c r="V165" s="383" t="s">
        <v>71</v>
      </c>
      <c r="W165" s="383" t="s">
        <v>47</v>
      </c>
      <c r="X165" s="420" t="s">
        <v>44</v>
      </c>
      <c r="Y165" s="420" t="s">
        <v>44</v>
      </c>
      <c r="Z165" s="420" t="s">
        <v>44</v>
      </c>
      <c r="AA165" s="420" t="s">
        <v>44</v>
      </c>
      <c r="AB165" s="383"/>
    </row>
    <row r="166" spans="1:28" ht="13.8">
      <c r="A166" s="387">
        <v>165</v>
      </c>
      <c r="B166" s="387" t="s">
        <v>10710</v>
      </c>
      <c r="C166" s="387" t="s">
        <v>10710</v>
      </c>
      <c r="D166" s="387" t="s">
        <v>10710</v>
      </c>
      <c r="E166" s="383" t="s">
        <v>8752</v>
      </c>
      <c r="F166" s="383">
        <v>632</v>
      </c>
      <c r="G166" s="383" t="s">
        <v>71</v>
      </c>
      <c r="H166" s="383" t="s">
        <v>5637</v>
      </c>
      <c r="I166" s="383" t="s">
        <v>8409</v>
      </c>
      <c r="J166" s="383" t="s">
        <v>5645</v>
      </c>
      <c r="K166" s="383" t="s">
        <v>8341</v>
      </c>
      <c r="L166" s="383" t="s">
        <v>8341</v>
      </c>
      <c r="M166" s="383" t="s">
        <v>10038</v>
      </c>
      <c r="N166" s="420" t="s">
        <v>44</v>
      </c>
      <c r="O166" s="383" t="str">
        <f>IF(LEN(SUBSTITUTE(Table3937[[#This Row],[PRIMARY CONTACT]]," ",""))=10,SUBSTITUTE(Table3937[[#This Row],[PRIMARY CONTACT]]," ","") &amp; " - Proper","- Follow Up")</f>
        <v>- Follow Up</v>
      </c>
      <c r="P166" s="383" t="s">
        <v>5646</v>
      </c>
      <c r="Q166" s="383">
        <v>502777347</v>
      </c>
      <c r="R166" s="383" t="str">
        <f>SUBSTITUTE(Table3937[[#This Row],[whatsapp_number]]," ","")</f>
        <v>502777347</v>
      </c>
      <c r="S166" s="383" t="str">
        <f>IF(Table3937[[#This Row],[PRIMARY CONTACT]]=Table3937[[#This Row],[WHATSAPP CONTACT]],"Same Contact","Different Contact")</f>
        <v>Same Contact</v>
      </c>
      <c r="T166" s="383" t="str">
        <f>IF(LEN(SUBSTITUTE(Table3937[[#This Row],[PRIMARY CONTACT]]," ",""))=10,SUBSTITUTE(Table3937[[#This Row],[PRIMARY CONTACT]]," ","") &amp; " - Proper","- Follow Up")</f>
        <v>- Follow Up</v>
      </c>
      <c r="U166" s="383" t="s">
        <v>8341</v>
      </c>
      <c r="V166" s="383" t="s">
        <v>71</v>
      </c>
      <c r="W166" s="383" t="s">
        <v>47</v>
      </c>
      <c r="X166" s="420" t="s">
        <v>44</v>
      </c>
      <c r="Y166" s="420" t="s">
        <v>44</v>
      </c>
      <c r="Z166" s="420" t="s">
        <v>44</v>
      </c>
      <c r="AA166" s="420" t="s">
        <v>44</v>
      </c>
      <c r="AB166" s="383"/>
    </row>
    <row r="167" spans="1:28" ht="13.8">
      <c r="A167" s="387">
        <v>166</v>
      </c>
      <c r="B167" s="387" t="s">
        <v>10710</v>
      </c>
      <c r="C167" s="387" t="s">
        <v>10710</v>
      </c>
      <c r="D167" s="387" t="s">
        <v>10710</v>
      </c>
      <c r="E167" s="383" t="s">
        <v>8753</v>
      </c>
      <c r="F167" s="383">
        <v>633</v>
      </c>
      <c r="G167" s="383" t="s">
        <v>71</v>
      </c>
      <c r="H167" s="383" t="s">
        <v>5648</v>
      </c>
      <c r="I167" s="383" t="s">
        <v>8410</v>
      </c>
      <c r="J167" s="383" t="s">
        <v>9371</v>
      </c>
      <c r="K167" s="383" t="s">
        <v>8341</v>
      </c>
      <c r="L167" s="383" t="s">
        <v>8341</v>
      </c>
      <c r="M167" s="383" t="s">
        <v>10039</v>
      </c>
      <c r="N167" s="420" t="s">
        <v>44</v>
      </c>
      <c r="O167" s="383" t="str">
        <f>IF(LEN(SUBSTITUTE(Table3937[[#This Row],[PRIMARY CONTACT]]," ",""))=10,SUBSTITUTE(Table3937[[#This Row],[PRIMARY CONTACT]]," ","") &amp; " - Proper","- Follow Up")</f>
        <v>9447777899 - Proper</v>
      </c>
      <c r="P167" s="383" t="s">
        <v>5651</v>
      </c>
      <c r="Q167" s="383">
        <v>9447777899</v>
      </c>
      <c r="R167" s="383" t="str">
        <f>SUBSTITUTE(Table3937[[#This Row],[whatsapp_number]]," ","")</f>
        <v>9447777899</v>
      </c>
      <c r="S167" s="383" t="str">
        <f>IF(Table3937[[#This Row],[PRIMARY CONTACT]]=Table3937[[#This Row],[WHATSAPP CONTACT]],"Same Contact","Different Contact")</f>
        <v>Same Contact</v>
      </c>
      <c r="T167" s="383" t="str">
        <f>IF(LEN(SUBSTITUTE(Table3937[[#This Row],[PRIMARY CONTACT]]," ",""))=10,SUBSTITUTE(Table3937[[#This Row],[PRIMARY CONTACT]]," ","") &amp; " - Proper","- Follow Up")</f>
        <v>9447777899 - Proper</v>
      </c>
      <c r="U167" s="383" t="s">
        <v>8341</v>
      </c>
      <c r="V167" s="393" t="s">
        <v>5652</v>
      </c>
      <c r="W167" s="383" t="s">
        <v>47</v>
      </c>
      <c r="X167" s="420" t="s">
        <v>44</v>
      </c>
      <c r="Y167" s="420" t="s">
        <v>44</v>
      </c>
      <c r="Z167" s="420" t="s">
        <v>44</v>
      </c>
      <c r="AA167" s="420" t="s">
        <v>44</v>
      </c>
      <c r="AB167" s="383"/>
    </row>
    <row r="168" spans="1:28" ht="13.8">
      <c r="A168" s="387">
        <v>167</v>
      </c>
      <c r="B168" s="387" t="s">
        <v>10710</v>
      </c>
      <c r="C168" s="387" t="s">
        <v>10710</v>
      </c>
      <c r="D168" s="387" t="s">
        <v>10710</v>
      </c>
      <c r="E168" s="383" t="s">
        <v>8754</v>
      </c>
      <c r="F168" s="383">
        <v>634</v>
      </c>
      <c r="G168" s="383" t="s">
        <v>71</v>
      </c>
      <c r="H168" s="383" t="s">
        <v>5648</v>
      </c>
      <c r="I168" s="383" t="s">
        <v>8410</v>
      </c>
      <c r="J168" s="383" t="s">
        <v>9372</v>
      </c>
      <c r="K168" s="383" t="s">
        <v>8341</v>
      </c>
      <c r="L168" s="383" t="s">
        <v>8341</v>
      </c>
      <c r="M168" s="383" t="s">
        <v>10040</v>
      </c>
      <c r="N168" s="420" t="s">
        <v>44</v>
      </c>
      <c r="O168" s="383" t="str">
        <f>IF(LEN(SUBSTITUTE(Table3937[[#This Row],[PRIMARY CONTACT]]," ",""))=10,SUBSTITUTE(Table3937[[#This Row],[PRIMARY CONTACT]]," ","") &amp; " - Proper","- Follow Up")</f>
        <v>9496991600 - Proper</v>
      </c>
      <c r="P168" s="383" t="s">
        <v>5655</v>
      </c>
      <c r="Q168" s="383">
        <v>9496991600</v>
      </c>
      <c r="R168" s="383" t="str">
        <f>SUBSTITUTE(Table3937[[#This Row],[whatsapp_number]]," ","")</f>
        <v>9496991600</v>
      </c>
      <c r="S168" s="383" t="str">
        <f>IF(Table3937[[#This Row],[PRIMARY CONTACT]]=Table3937[[#This Row],[WHATSAPP CONTACT]],"Same Contact","Different Contact")</f>
        <v>Same Contact</v>
      </c>
      <c r="T168" s="383" t="str">
        <f>IF(LEN(SUBSTITUTE(Table3937[[#This Row],[PRIMARY CONTACT]]," ",""))=10,SUBSTITUTE(Table3937[[#This Row],[PRIMARY CONTACT]]," ","") &amp; " - Proper","- Follow Up")</f>
        <v>9496991600 - Proper</v>
      </c>
      <c r="U168" s="383" t="s">
        <v>8341</v>
      </c>
      <c r="V168" s="393" t="s">
        <v>5652</v>
      </c>
      <c r="W168" s="383" t="s">
        <v>47</v>
      </c>
      <c r="X168" s="420" t="s">
        <v>44</v>
      </c>
      <c r="Y168" s="420" t="s">
        <v>44</v>
      </c>
      <c r="Z168" s="420" t="s">
        <v>44</v>
      </c>
      <c r="AA168" s="420" t="s">
        <v>44</v>
      </c>
      <c r="AB168" s="383"/>
    </row>
    <row r="169" spans="1:28" ht="13.8">
      <c r="A169" s="387">
        <v>168</v>
      </c>
      <c r="B169" s="387" t="s">
        <v>10710</v>
      </c>
      <c r="C169" s="387" t="s">
        <v>10710</v>
      </c>
      <c r="D169" s="387" t="s">
        <v>10710</v>
      </c>
      <c r="E169" s="383" t="s">
        <v>8755</v>
      </c>
      <c r="F169" s="383">
        <v>635</v>
      </c>
      <c r="G169" s="383" t="s">
        <v>71</v>
      </c>
      <c r="H169" s="383" t="s">
        <v>5648</v>
      </c>
      <c r="I169" s="383" t="s">
        <v>8410</v>
      </c>
      <c r="J169" s="383" t="s">
        <v>5657</v>
      </c>
      <c r="K169" s="383" t="s">
        <v>8341</v>
      </c>
      <c r="L169" s="383" t="s">
        <v>8341</v>
      </c>
      <c r="M169" s="383" t="s">
        <v>10041</v>
      </c>
      <c r="N169" s="420" t="s">
        <v>44</v>
      </c>
      <c r="O169" s="383" t="str">
        <f>IF(LEN(SUBSTITUTE(Table3937[[#This Row],[PRIMARY CONTACT]]," ",""))=10,SUBSTITUTE(Table3937[[#This Row],[PRIMARY CONTACT]]," ","") &amp; " - Proper","- Follow Up")</f>
        <v>9447777918 - Proper</v>
      </c>
      <c r="P169" s="383" t="s">
        <v>5658</v>
      </c>
      <c r="Q169" s="383">
        <v>9447777918</v>
      </c>
      <c r="R169" s="383" t="str">
        <f>SUBSTITUTE(Table3937[[#This Row],[whatsapp_number]]," ","")</f>
        <v>9447777918</v>
      </c>
      <c r="S169" s="383" t="str">
        <f>IF(Table3937[[#This Row],[PRIMARY CONTACT]]=Table3937[[#This Row],[WHATSAPP CONTACT]],"Same Contact","Different Contact")</f>
        <v>Same Contact</v>
      </c>
      <c r="T169" s="383" t="str">
        <f>IF(LEN(SUBSTITUTE(Table3937[[#This Row],[PRIMARY CONTACT]]," ",""))=10,SUBSTITUTE(Table3937[[#This Row],[PRIMARY CONTACT]]," ","") &amp; " - Proper","- Follow Up")</f>
        <v>9447777918 - Proper</v>
      </c>
      <c r="U169" s="383" t="s">
        <v>8341</v>
      </c>
      <c r="V169" s="393" t="s">
        <v>5652</v>
      </c>
      <c r="W169" s="383" t="s">
        <v>47</v>
      </c>
      <c r="X169" s="420" t="s">
        <v>44</v>
      </c>
      <c r="Y169" s="420" t="s">
        <v>44</v>
      </c>
      <c r="Z169" s="420" t="s">
        <v>44</v>
      </c>
      <c r="AA169" s="420" t="s">
        <v>44</v>
      </c>
      <c r="AB169" s="383"/>
    </row>
    <row r="170" spans="1:28" ht="13.8">
      <c r="A170" s="387">
        <v>169</v>
      </c>
      <c r="B170" s="387" t="s">
        <v>10710</v>
      </c>
      <c r="C170" s="387" t="s">
        <v>10710</v>
      </c>
      <c r="D170" s="387" t="s">
        <v>10710</v>
      </c>
      <c r="E170" s="383" t="s">
        <v>8756</v>
      </c>
      <c r="F170" s="383">
        <v>636</v>
      </c>
      <c r="G170" s="383" t="s">
        <v>71</v>
      </c>
      <c r="H170" s="383" t="s">
        <v>5660</v>
      </c>
      <c r="I170" s="383" t="s">
        <v>8411</v>
      </c>
      <c r="J170" s="383" t="s">
        <v>9373</v>
      </c>
      <c r="K170" s="383" t="s">
        <v>8341</v>
      </c>
      <c r="L170" s="383" t="s">
        <v>8341</v>
      </c>
      <c r="M170" s="383" t="s">
        <v>10042</v>
      </c>
      <c r="N170" s="420" t="s">
        <v>44</v>
      </c>
      <c r="O170" s="383" t="str">
        <f>IF(LEN(SUBSTITUTE(Table3937[[#This Row],[PRIMARY CONTACT]]," ",""))=10,SUBSTITUTE(Table3937[[#This Row],[PRIMARY CONTACT]]," ","") &amp; " - Proper","- Follow Up")</f>
        <v>8879180056 - Proper</v>
      </c>
      <c r="P170" s="383" t="s">
        <v>5663</v>
      </c>
      <c r="Q170" s="383">
        <v>8879180056</v>
      </c>
      <c r="R170" s="383" t="str">
        <f>SUBSTITUTE(Table3937[[#This Row],[whatsapp_number]]," ","")</f>
        <v>8879180056</v>
      </c>
      <c r="S170" s="383" t="str">
        <f>IF(Table3937[[#This Row],[PRIMARY CONTACT]]=Table3937[[#This Row],[WHATSAPP CONTACT]],"Same Contact","Different Contact")</f>
        <v>Same Contact</v>
      </c>
      <c r="T170" s="383" t="str">
        <f>IF(LEN(SUBSTITUTE(Table3937[[#This Row],[PRIMARY CONTACT]]," ",""))=10,SUBSTITUTE(Table3937[[#This Row],[PRIMARY CONTACT]]," ","") &amp; " - Proper","- Follow Up")</f>
        <v>8879180056 - Proper</v>
      </c>
      <c r="U170" s="383" t="s">
        <v>8341</v>
      </c>
      <c r="V170" s="393" t="s">
        <v>5664</v>
      </c>
      <c r="W170" s="383" t="s">
        <v>47</v>
      </c>
      <c r="X170" s="420" t="s">
        <v>44</v>
      </c>
      <c r="Y170" s="420" t="s">
        <v>44</v>
      </c>
      <c r="Z170" s="420" t="s">
        <v>44</v>
      </c>
      <c r="AA170" s="420" t="s">
        <v>44</v>
      </c>
      <c r="AB170" s="383"/>
    </row>
    <row r="171" spans="1:28" ht="13.8">
      <c r="A171" s="387">
        <v>170</v>
      </c>
      <c r="B171" s="387" t="s">
        <v>10710</v>
      </c>
      <c r="C171" s="387" t="s">
        <v>10710</v>
      </c>
      <c r="D171" s="387" t="s">
        <v>10710</v>
      </c>
      <c r="E171" s="383" t="s">
        <v>8757</v>
      </c>
      <c r="F171" s="383">
        <v>637</v>
      </c>
      <c r="G171" s="383" t="s">
        <v>71</v>
      </c>
      <c r="H171" s="383" t="s">
        <v>5660</v>
      </c>
      <c r="I171" s="383" t="s">
        <v>8411</v>
      </c>
      <c r="J171" s="383" t="s">
        <v>9374</v>
      </c>
      <c r="K171" s="383" t="s">
        <v>8341</v>
      </c>
      <c r="L171" s="383" t="s">
        <v>8341</v>
      </c>
      <c r="M171" s="383" t="s">
        <v>10043</v>
      </c>
      <c r="N171" s="420" t="s">
        <v>44</v>
      </c>
      <c r="O171" s="383" t="str">
        <f>IF(LEN(SUBSTITUTE(Table3937[[#This Row],[PRIMARY CONTACT]]," ",""))=10,SUBSTITUTE(Table3937[[#This Row],[PRIMARY CONTACT]]," ","") &amp; " - Proper","- Follow Up")</f>
        <v>7738760566 - Proper</v>
      </c>
      <c r="P171" s="383" t="s">
        <v>5667</v>
      </c>
      <c r="Q171" s="383">
        <v>7738760566</v>
      </c>
      <c r="R171" s="383" t="str">
        <f>SUBSTITUTE(Table3937[[#This Row],[whatsapp_number]]," ","")</f>
        <v>7738760566</v>
      </c>
      <c r="S171" s="383" t="str">
        <f>IF(Table3937[[#This Row],[PRIMARY CONTACT]]=Table3937[[#This Row],[WHATSAPP CONTACT]],"Same Contact","Different Contact")</f>
        <v>Same Contact</v>
      </c>
      <c r="T171" s="383" t="str">
        <f>IF(LEN(SUBSTITUTE(Table3937[[#This Row],[PRIMARY CONTACT]]," ",""))=10,SUBSTITUTE(Table3937[[#This Row],[PRIMARY CONTACT]]," ","") &amp; " - Proper","- Follow Up")</f>
        <v>7738760566 - Proper</v>
      </c>
      <c r="U171" s="383" t="s">
        <v>8341</v>
      </c>
      <c r="V171" s="393" t="s">
        <v>5664</v>
      </c>
      <c r="W171" s="383" t="s">
        <v>47</v>
      </c>
      <c r="X171" s="420" t="s">
        <v>44</v>
      </c>
      <c r="Y171" s="420" t="s">
        <v>44</v>
      </c>
      <c r="Z171" s="420" t="s">
        <v>44</v>
      </c>
      <c r="AA171" s="420" t="s">
        <v>44</v>
      </c>
      <c r="AB171" s="383"/>
    </row>
    <row r="172" spans="1:28" ht="13.8">
      <c r="A172" s="387">
        <v>171</v>
      </c>
      <c r="B172" s="387" t="s">
        <v>10710</v>
      </c>
      <c r="C172" s="387" t="s">
        <v>10710</v>
      </c>
      <c r="D172" s="387" t="s">
        <v>10710</v>
      </c>
      <c r="E172" s="383" t="s">
        <v>8758</v>
      </c>
      <c r="F172" s="383">
        <v>638</v>
      </c>
      <c r="G172" s="383" t="s">
        <v>71</v>
      </c>
      <c r="H172" s="383" t="s">
        <v>5660</v>
      </c>
      <c r="I172" s="383" t="s">
        <v>8411</v>
      </c>
      <c r="J172" s="383" t="s">
        <v>9375</v>
      </c>
      <c r="K172" s="383" t="s">
        <v>8341</v>
      </c>
      <c r="L172" s="383" t="s">
        <v>8341</v>
      </c>
      <c r="M172" s="383" t="s">
        <v>10044</v>
      </c>
      <c r="N172" s="420" t="s">
        <v>44</v>
      </c>
      <c r="O172" s="383" t="str">
        <f>IF(LEN(SUBSTITUTE(Table3937[[#This Row],[PRIMARY CONTACT]]," ",""))=10,SUBSTITUTE(Table3937[[#This Row],[PRIMARY CONTACT]]," ","") &amp; " - Proper","- Follow Up")</f>
        <v>9987045485 - Proper</v>
      </c>
      <c r="P172" s="383" t="s">
        <v>5670</v>
      </c>
      <c r="Q172" s="383">
        <v>9987045485</v>
      </c>
      <c r="R172" s="383" t="str">
        <f>SUBSTITUTE(Table3937[[#This Row],[whatsapp_number]]," ","")</f>
        <v>9987045485</v>
      </c>
      <c r="S172" s="383" t="str">
        <f>IF(Table3937[[#This Row],[PRIMARY CONTACT]]=Table3937[[#This Row],[WHATSAPP CONTACT]],"Same Contact","Different Contact")</f>
        <v>Same Contact</v>
      </c>
      <c r="T172" s="383" t="str">
        <f>IF(LEN(SUBSTITUTE(Table3937[[#This Row],[PRIMARY CONTACT]]," ",""))=10,SUBSTITUTE(Table3937[[#This Row],[PRIMARY CONTACT]]," ","") &amp; " - Proper","- Follow Up")</f>
        <v>9987045485 - Proper</v>
      </c>
      <c r="U172" s="383" t="s">
        <v>8341</v>
      </c>
      <c r="V172" s="393" t="s">
        <v>5664</v>
      </c>
      <c r="W172" s="383" t="s">
        <v>47</v>
      </c>
      <c r="X172" s="420" t="s">
        <v>44</v>
      </c>
      <c r="Y172" s="420" t="s">
        <v>44</v>
      </c>
      <c r="Z172" s="420" t="s">
        <v>44</v>
      </c>
      <c r="AA172" s="420" t="s">
        <v>44</v>
      </c>
      <c r="AB172" s="383"/>
    </row>
    <row r="173" spans="1:28" ht="13.8">
      <c r="A173" s="387">
        <v>172</v>
      </c>
      <c r="B173" s="387" t="s">
        <v>10710</v>
      </c>
      <c r="C173" s="387" t="s">
        <v>10710</v>
      </c>
      <c r="D173" s="387" t="s">
        <v>10710</v>
      </c>
      <c r="E173" s="383" t="s">
        <v>8759</v>
      </c>
      <c r="F173" s="383">
        <v>640</v>
      </c>
      <c r="G173" s="383" t="s">
        <v>71</v>
      </c>
      <c r="H173" s="383" t="s">
        <v>71</v>
      </c>
      <c r="I173" s="383" t="s">
        <v>8412</v>
      </c>
      <c r="J173" s="383" t="s">
        <v>9376</v>
      </c>
      <c r="K173" s="383" t="s">
        <v>8341</v>
      </c>
      <c r="L173" s="383" t="s">
        <v>8341</v>
      </c>
      <c r="M173" s="383" t="s">
        <v>10045</v>
      </c>
      <c r="N173" s="420" t="s">
        <v>44</v>
      </c>
      <c r="O173" s="383" t="str">
        <f>IF(LEN(SUBSTITUTE(Table3937[[#This Row],[PRIMARY CONTACT]]," ",""))=10,SUBSTITUTE(Table3937[[#This Row],[PRIMARY CONTACT]]," ","") &amp; " - Proper","- Follow Up")</f>
        <v>9810413805 - Proper</v>
      </c>
      <c r="P173" s="383" t="s">
        <v>5674</v>
      </c>
      <c r="Q173" s="383">
        <v>9810413805</v>
      </c>
      <c r="R173" s="383" t="str">
        <f>SUBSTITUTE(Table3937[[#This Row],[whatsapp_number]]," ","")</f>
        <v>9810413805</v>
      </c>
      <c r="S173" s="383" t="str">
        <f>IF(Table3937[[#This Row],[PRIMARY CONTACT]]=Table3937[[#This Row],[WHATSAPP CONTACT]],"Same Contact","Different Contact")</f>
        <v>Same Contact</v>
      </c>
      <c r="T173" s="383" t="str">
        <f>IF(LEN(SUBSTITUTE(Table3937[[#This Row],[PRIMARY CONTACT]]," ",""))=10,SUBSTITUTE(Table3937[[#This Row],[PRIMARY CONTACT]]," ","") &amp; " - Proper","- Follow Up")</f>
        <v>9810413805 - Proper</v>
      </c>
      <c r="U173" s="383" t="s">
        <v>8341</v>
      </c>
      <c r="V173" s="393" t="s">
        <v>5675</v>
      </c>
      <c r="W173" s="383" t="s">
        <v>47</v>
      </c>
      <c r="X173" s="420" t="s">
        <v>44</v>
      </c>
      <c r="Y173" s="420" t="s">
        <v>44</v>
      </c>
      <c r="Z173" s="420" t="s">
        <v>44</v>
      </c>
      <c r="AA173" s="420" t="s">
        <v>44</v>
      </c>
      <c r="AB173" s="383"/>
    </row>
    <row r="174" spans="1:28" ht="13.8">
      <c r="A174" s="387">
        <v>173</v>
      </c>
      <c r="B174" s="387" t="s">
        <v>10710</v>
      </c>
      <c r="C174" s="387" t="s">
        <v>10710</v>
      </c>
      <c r="D174" s="387" t="s">
        <v>10710</v>
      </c>
      <c r="E174" s="383" t="s">
        <v>8760</v>
      </c>
      <c r="F174" s="383">
        <v>641</v>
      </c>
      <c r="G174" s="383" t="s">
        <v>71</v>
      </c>
      <c r="H174" s="383" t="s">
        <v>71</v>
      </c>
      <c r="I174" s="383" t="s">
        <v>8413</v>
      </c>
      <c r="J174" s="383" t="s">
        <v>9377</v>
      </c>
      <c r="K174" s="383" t="s">
        <v>8341</v>
      </c>
      <c r="L174" s="383" t="s">
        <v>8341</v>
      </c>
      <c r="M174" s="383" t="s">
        <v>10046</v>
      </c>
      <c r="N174" s="420" t="s">
        <v>44</v>
      </c>
      <c r="O174" s="383" t="str">
        <f>IF(LEN(SUBSTITUTE(Table3937[[#This Row],[PRIMARY CONTACT]]," ",""))=10,SUBSTITUTE(Table3937[[#This Row],[PRIMARY CONTACT]]," ","") &amp; " - Proper","- Follow Up")</f>
        <v>- Follow Up</v>
      </c>
      <c r="P174" s="383" t="s">
        <v>5679</v>
      </c>
      <c r="Q174" s="383">
        <v>556839000</v>
      </c>
      <c r="R174" s="383" t="str">
        <f>SUBSTITUTE(Table3937[[#This Row],[whatsapp_number]]," ","")</f>
        <v>556839000</v>
      </c>
      <c r="S174" s="383" t="str">
        <f>IF(Table3937[[#This Row],[PRIMARY CONTACT]]=Table3937[[#This Row],[WHATSAPP CONTACT]],"Same Contact","Different Contact")</f>
        <v>Same Contact</v>
      </c>
      <c r="T174" s="383" t="str">
        <f>IF(LEN(SUBSTITUTE(Table3937[[#This Row],[PRIMARY CONTACT]]," ",""))=10,SUBSTITUTE(Table3937[[#This Row],[PRIMARY CONTACT]]," ","") &amp; " - Proper","- Follow Up")</f>
        <v>- Follow Up</v>
      </c>
      <c r="U174" s="383" t="s">
        <v>8341</v>
      </c>
      <c r="V174" s="393" t="s">
        <v>5680</v>
      </c>
      <c r="W174" s="383" t="s">
        <v>47</v>
      </c>
      <c r="X174" s="420" t="s">
        <v>44</v>
      </c>
      <c r="Y174" s="420" t="s">
        <v>44</v>
      </c>
      <c r="Z174" s="420" t="s">
        <v>44</v>
      </c>
      <c r="AA174" s="420" t="s">
        <v>44</v>
      </c>
      <c r="AB174" s="383"/>
    </row>
    <row r="175" spans="1:28" ht="13.8">
      <c r="A175" s="387">
        <v>174</v>
      </c>
      <c r="B175" s="387" t="s">
        <v>10710</v>
      </c>
      <c r="C175" s="387" t="s">
        <v>10710</v>
      </c>
      <c r="D175" s="387" t="s">
        <v>10710</v>
      </c>
      <c r="E175" s="383" t="s">
        <v>8761</v>
      </c>
      <c r="F175" s="383">
        <v>642</v>
      </c>
      <c r="G175" s="383" t="s">
        <v>71</v>
      </c>
      <c r="H175" s="383" t="s">
        <v>71</v>
      </c>
      <c r="I175" s="383" t="s">
        <v>8413</v>
      </c>
      <c r="J175" s="383" t="s">
        <v>9378</v>
      </c>
      <c r="K175" s="383" t="s">
        <v>8341</v>
      </c>
      <c r="L175" s="383" t="s">
        <v>8341</v>
      </c>
      <c r="M175" s="383" t="s">
        <v>10047</v>
      </c>
      <c r="N175" s="420" t="s">
        <v>44</v>
      </c>
      <c r="O175" s="383" t="str">
        <f>IF(LEN(SUBSTITUTE(Table3937[[#This Row],[PRIMARY CONTACT]]," ",""))=10,SUBSTITUTE(Table3937[[#This Row],[PRIMARY CONTACT]]," ","") &amp; " - Proper","- Follow Up")</f>
        <v>- Follow Up</v>
      </c>
      <c r="P175" s="383" t="s">
        <v>5683</v>
      </c>
      <c r="Q175" s="383">
        <v>505883623</v>
      </c>
      <c r="R175" s="383" t="str">
        <f>SUBSTITUTE(Table3937[[#This Row],[whatsapp_number]]," ","")</f>
        <v>505883623</v>
      </c>
      <c r="S175" s="383" t="str">
        <f>IF(Table3937[[#This Row],[PRIMARY CONTACT]]=Table3937[[#This Row],[WHATSAPP CONTACT]],"Same Contact","Different Contact")</f>
        <v>Same Contact</v>
      </c>
      <c r="T175" s="383" t="str">
        <f>IF(LEN(SUBSTITUTE(Table3937[[#This Row],[PRIMARY CONTACT]]," ",""))=10,SUBSTITUTE(Table3937[[#This Row],[PRIMARY CONTACT]]," ","") &amp; " - Proper","- Follow Up")</f>
        <v>- Follow Up</v>
      </c>
      <c r="U175" s="383" t="s">
        <v>8341</v>
      </c>
      <c r="V175" s="393" t="s">
        <v>5680</v>
      </c>
      <c r="W175" s="383" t="s">
        <v>47</v>
      </c>
      <c r="X175" s="420" t="s">
        <v>44</v>
      </c>
      <c r="Y175" s="420" t="s">
        <v>44</v>
      </c>
      <c r="Z175" s="420" t="s">
        <v>44</v>
      </c>
      <c r="AA175" s="420" t="s">
        <v>44</v>
      </c>
      <c r="AB175" s="383"/>
    </row>
    <row r="176" spans="1:28" ht="13.8">
      <c r="A176" s="387">
        <v>175</v>
      </c>
      <c r="B176" s="387" t="s">
        <v>10710</v>
      </c>
      <c r="C176" s="387" t="s">
        <v>10710</v>
      </c>
      <c r="D176" s="387" t="s">
        <v>10710</v>
      </c>
      <c r="E176" s="383" t="s">
        <v>8762</v>
      </c>
      <c r="F176" s="383">
        <v>643</v>
      </c>
      <c r="G176" s="383" t="s">
        <v>71</v>
      </c>
      <c r="H176" s="383" t="s">
        <v>71</v>
      </c>
      <c r="I176" s="383" t="s">
        <v>8414</v>
      </c>
      <c r="J176" s="383" t="s">
        <v>9379</v>
      </c>
      <c r="K176" s="383" t="s">
        <v>8341</v>
      </c>
      <c r="L176" s="383" t="s">
        <v>8341</v>
      </c>
      <c r="M176" s="383" t="s">
        <v>10048</v>
      </c>
      <c r="N176" s="420" t="s">
        <v>44</v>
      </c>
      <c r="O176" s="383" t="str">
        <f>IF(LEN(SUBSTITUTE(Table3937[[#This Row],[PRIMARY CONTACT]]," ",""))=10,SUBSTITUTE(Table3937[[#This Row],[PRIMARY CONTACT]]," ","") &amp; " - Proper","- Follow Up")</f>
        <v>9848057291 - Proper</v>
      </c>
      <c r="P176" s="383" t="s">
        <v>5687</v>
      </c>
      <c r="Q176" s="383">
        <v>9848057291</v>
      </c>
      <c r="R176" s="383" t="str">
        <f>SUBSTITUTE(Table3937[[#This Row],[whatsapp_number]]," ","")</f>
        <v>9848057291</v>
      </c>
      <c r="S176" s="383" t="str">
        <f>IF(Table3937[[#This Row],[PRIMARY CONTACT]]=Table3937[[#This Row],[WHATSAPP CONTACT]],"Same Contact","Different Contact")</f>
        <v>Same Contact</v>
      </c>
      <c r="T176" s="383" t="str">
        <f>IF(LEN(SUBSTITUTE(Table3937[[#This Row],[PRIMARY CONTACT]]," ",""))=10,SUBSTITUTE(Table3937[[#This Row],[PRIMARY CONTACT]]," ","") &amp; " - Proper","- Follow Up")</f>
        <v>9848057291 - Proper</v>
      </c>
      <c r="U176" s="383" t="s">
        <v>8341</v>
      </c>
      <c r="V176" s="383" t="s">
        <v>71</v>
      </c>
      <c r="W176" s="383" t="s">
        <v>47</v>
      </c>
      <c r="X176" s="420" t="s">
        <v>44</v>
      </c>
      <c r="Y176" s="420" t="s">
        <v>44</v>
      </c>
      <c r="Z176" s="420" t="s">
        <v>44</v>
      </c>
      <c r="AA176" s="420" t="s">
        <v>44</v>
      </c>
      <c r="AB176" s="383"/>
    </row>
    <row r="177" spans="1:28" ht="13.8">
      <c r="A177" s="387">
        <v>176</v>
      </c>
      <c r="B177" s="387" t="s">
        <v>10710</v>
      </c>
      <c r="C177" s="387" t="s">
        <v>10710</v>
      </c>
      <c r="D177" s="387" t="s">
        <v>10710</v>
      </c>
      <c r="E177" s="383" t="s">
        <v>8763</v>
      </c>
      <c r="F177" s="383">
        <v>644</v>
      </c>
      <c r="G177" s="383" t="s">
        <v>71</v>
      </c>
      <c r="H177" s="383" t="s">
        <v>71</v>
      </c>
      <c r="I177" s="383" t="s">
        <v>8415</v>
      </c>
      <c r="J177" s="383" t="s">
        <v>9380</v>
      </c>
      <c r="K177" s="383" t="s">
        <v>8341</v>
      </c>
      <c r="L177" s="383" t="s">
        <v>8341</v>
      </c>
      <c r="M177" s="383" t="s">
        <v>10049</v>
      </c>
      <c r="N177" s="420" t="s">
        <v>44</v>
      </c>
      <c r="O177" s="383" t="str">
        <f>IF(LEN(SUBSTITUTE(Table3937[[#This Row],[PRIMARY CONTACT]]," ",""))=10,SUBSTITUTE(Table3937[[#This Row],[PRIMARY CONTACT]]," ","") &amp; " - Proper","- Follow Up")</f>
        <v>- Follow Up</v>
      </c>
      <c r="P177" s="383" t="s">
        <v>5691</v>
      </c>
      <c r="Q177" s="383">
        <v>553046740</v>
      </c>
      <c r="R177" s="383" t="str">
        <f>SUBSTITUTE(Table3937[[#This Row],[whatsapp_number]]," ","")</f>
        <v>553046740</v>
      </c>
      <c r="S177" s="383" t="str">
        <f>IF(Table3937[[#This Row],[PRIMARY CONTACT]]=Table3937[[#This Row],[WHATSAPP CONTACT]],"Same Contact","Different Contact")</f>
        <v>Same Contact</v>
      </c>
      <c r="T177" s="383" t="str">
        <f>IF(LEN(SUBSTITUTE(Table3937[[#This Row],[PRIMARY CONTACT]]," ",""))=10,SUBSTITUTE(Table3937[[#This Row],[PRIMARY CONTACT]]," ","") &amp; " - Proper","- Follow Up")</f>
        <v>- Follow Up</v>
      </c>
      <c r="U177" s="383" t="s">
        <v>8341</v>
      </c>
      <c r="V177" s="393" t="s">
        <v>5692</v>
      </c>
      <c r="W177" s="383" t="s">
        <v>47</v>
      </c>
      <c r="X177" s="420" t="s">
        <v>44</v>
      </c>
      <c r="Y177" s="420" t="s">
        <v>44</v>
      </c>
      <c r="Z177" s="420" t="s">
        <v>44</v>
      </c>
      <c r="AA177" s="420" t="s">
        <v>44</v>
      </c>
      <c r="AB177" s="383"/>
    </row>
    <row r="178" spans="1:28" ht="13.8">
      <c r="A178" s="387">
        <v>177</v>
      </c>
      <c r="B178" s="387" t="s">
        <v>10710</v>
      </c>
      <c r="C178" s="387" t="s">
        <v>10710</v>
      </c>
      <c r="D178" s="387" t="s">
        <v>10710</v>
      </c>
      <c r="E178" s="383" t="s">
        <v>8764</v>
      </c>
      <c r="F178" s="383">
        <v>645</v>
      </c>
      <c r="G178" s="383" t="s">
        <v>71</v>
      </c>
      <c r="H178" s="383" t="s">
        <v>5694</v>
      </c>
      <c r="I178" s="383" t="s">
        <v>8416</v>
      </c>
      <c r="J178" s="383" t="s">
        <v>9381</v>
      </c>
      <c r="K178" s="383" t="s">
        <v>8341</v>
      </c>
      <c r="L178" s="383" t="s">
        <v>8341</v>
      </c>
      <c r="M178" s="383" t="s">
        <v>10050</v>
      </c>
      <c r="N178" s="420" t="s">
        <v>44</v>
      </c>
      <c r="O178" s="383" t="str">
        <f>IF(LEN(SUBSTITUTE(Table3937[[#This Row],[PRIMARY CONTACT]]," ",""))=10,SUBSTITUTE(Table3937[[#This Row],[PRIMARY CONTACT]]," ","") &amp; " - Proper","- Follow Up")</f>
        <v>9850699999 - Proper</v>
      </c>
      <c r="P178" s="383" t="s">
        <v>5697</v>
      </c>
      <c r="Q178" s="383">
        <v>9850699999</v>
      </c>
      <c r="R178" s="383" t="str">
        <f>SUBSTITUTE(Table3937[[#This Row],[whatsapp_number]]," ","")</f>
        <v>9850699999</v>
      </c>
      <c r="S178" s="383" t="str">
        <f>IF(Table3937[[#This Row],[PRIMARY CONTACT]]=Table3937[[#This Row],[WHATSAPP CONTACT]],"Same Contact","Different Contact")</f>
        <v>Same Contact</v>
      </c>
      <c r="T178" s="383" t="str">
        <f>IF(LEN(SUBSTITUTE(Table3937[[#This Row],[PRIMARY CONTACT]]," ",""))=10,SUBSTITUTE(Table3937[[#This Row],[PRIMARY CONTACT]]," ","") &amp; " - Proper","- Follow Up")</f>
        <v>9850699999 - Proper</v>
      </c>
      <c r="U178" s="383" t="s">
        <v>8341</v>
      </c>
      <c r="V178" s="393" t="s">
        <v>5698</v>
      </c>
      <c r="W178" s="383" t="s">
        <v>47</v>
      </c>
      <c r="X178" s="420" t="s">
        <v>44</v>
      </c>
      <c r="Y178" s="420" t="s">
        <v>44</v>
      </c>
      <c r="Z178" s="420" t="s">
        <v>44</v>
      </c>
      <c r="AA178" s="420" t="s">
        <v>44</v>
      </c>
      <c r="AB178" s="383"/>
    </row>
    <row r="179" spans="1:28" ht="13.8">
      <c r="A179" s="387">
        <v>178</v>
      </c>
      <c r="B179" s="387" t="s">
        <v>10710</v>
      </c>
      <c r="C179" s="387" t="s">
        <v>10710</v>
      </c>
      <c r="D179" s="387" t="s">
        <v>10710</v>
      </c>
      <c r="E179" s="383" t="s">
        <v>8765</v>
      </c>
      <c r="F179" s="383">
        <v>646</v>
      </c>
      <c r="G179" s="383" t="s">
        <v>71</v>
      </c>
      <c r="H179" s="383" t="s">
        <v>5694</v>
      </c>
      <c r="I179" s="383" t="s">
        <v>8416</v>
      </c>
      <c r="J179" s="383" t="s">
        <v>9382</v>
      </c>
      <c r="K179" s="383" t="s">
        <v>8341</v>
      </c>
      <c r="L179" s="383" t="s">
        <v>8341</v>
      </c>
      <c r="M179" s="383" t="s">
        <v>10051</v>
      </c>
      <c r="N179" s="420" t="s">
        <v>44</v>
      </c>
      <c r="O179" s="383" t="str">
        <f>IF(LEN(SUBSTITUTE(Table3937[[#This Row],[PRIMARY CONTACT]]," ",""))=10,SUBSTITUTE(Table3937[[#This Row],[PRIMARY CONTACT]]," ","") &amp; " - Proper","- Follow Up")</f>
        <v>9822417119 - Proper</v>
      </c>
      <c r="P179" s="383" t="s">
        <v>5701</v>
      </c>
      <c r="Q179" s="383">
        <v>9822417119</v>
      </c>
      <c r="R179" s="383" t="str">
        <f>SUBSTITUTE(Table3937[[#This Row],[whatsapp_number]]," ","")</f>
        <v>9822417119</v>
      </c>
      <c r="S179" s="383" t="str">
        <f>IF(Table3937[[#This Row],[PRIMARY CONTACT]]=Table3937[[#This Row],[WHATSAPP CONTACT]],"Same Contact","Different Contact")</f>
        <v>Same Contact</v>
      </c>
      <c r="T179" s="383" t="str">
        <f>IF(LEN(SUBSTITUTE(Table3937[[#This Row],[PRIMARY CONTACT]]," ",""))=10,SUBSTITUTE(Table3937[[#This Row],[PRIMARY CONTACT]]," ","") &amp; " - Proper","- Follow Up")</f>
        <v>9822417119 - Proper</v>
      </c>
      <c r="U179" s="383" t="s">
        <v>8341</v>
      </c>
      <c r="V179" s="393" t="s">
        <v>5698</v>
      </c>
      <c r="W179" s="383" t="s">
        <v>47</v>
      </c>
      <c r="X179" s="420" t="s">
        <v>44</v>
      </c>
      <c r="Y179" s="420" t="s">
        <v>44</v>
      </c>
      <c r="Z179" s="420" t="s">
        <v>44</v>
      </c>
      <c r="AA179" s="420" t="s">
        <v>44</v>
      </c>
      <c r="AB179" s="383"/>
    </row>
    <row r="180" spans="1:28" ht="13.8">
      <c r="A180" s="387">
        <v>179</v>
      </c>
      <c r="B180" s="387" t="s">
        <v>10710</v>
      </c>
      <c r="C180" s="387" t="s">
        <v>10710</v>
      </c>
      <c r="D180" s="387" t="s">
        <v>10710</v>
      </c>
      <c r="E180" s="383" t="s">
        <v>8766</v>
      </c>
      <c r="F180" s="383">
        <v>647</v>
      </c>
      <c r="G180" s="383" t="s">
        <v>71</v>
      </c>
      <c r="H180" s="383" t="s">
        <v>5694</v>
      </c>
      <c r="I180" s="383" t="s">
        <v>8416</v>
      </c>
      <c r="J180" s="383" t="s">
        <v>9383</v>
      </c>
      <c r="K180" s="383" t="s">
        <v>8341</v>
      </c>
      <c r="L180" s="383" t="s">
        <v>8341</v>
      </c>
      <c r="M180" s="383" t="s">
        <v>10052</v>
      </c>
      <c r="N180" s="420" t="s">
        <v>44</v>
      </c>
      <c r="O180" s="383" t="str">
        <f>IF(LEN(SUBSTITUTE(Table3937[[#This Row],[PRIMARY CONTACT]]," ",""))=10,SUBSTITUTE(Table3937[[#This Row],[PRIMARY CONTACT]]," ","") &amp; " - Proper","- Follow Up")</f>
        <v>9850205685 - Proper</v>
      </c>
      <c r="P180" s="383" t="s">
        <v>5704</v>
      </c>
      <c r="Q180" s="383">
        <v>9850205685</v>
      </c>
      <c r="R180" s="383" t="str">
        <f>SUBSTITUTE(Table3937[[#This Row],[whatsapp_number]]," ","")</f>
        <v>9850205685</v>
      </c>
      <c r="S180" s="383" t="str">
        <f>IF(Table3937[[#This Row],[PRIMARY CONTACT]]=Table3937[[#This Row],[WHATSAPP CONTACT]],"Same Contact","Different Contact")</f>
        <v>Same Contact</v>
      </c>
      <c r="T180" s="383" t="str">
        <f>IF(LEN(SUBSTITUTE(Table3937[[#This Row],[PRIMARY CONTACT]]," ",""))=10,SUBSTITUTE(Table3937[[#This Row],[PRIMARY CONTACT]]," ","") &amp; " - Proper","- Follow Up")</f>
        <v>9850205685 - Proper</v>
      </c>
      <c r="U180" s="383" t="s">
        <v>8341</v>
      </c>
      <c r="V180" s="393" t="s">
        <v>5698</v>
      </c>
      <c r="W180" s="383" t="s">
        <v>47</v>
      </c>
      <c r="X180" s="420" t="s">
        <v>44</v>
      </c>
      <c r="Y180" s="420" t="s">
        <v>44</v>
      </c>
      <c r="Z180" s="420" t="s">
        <v>44</v>
      </c>
      <c r="AA180" s="420" t="s">
        <v>44</v>
      </c>
      <c r="AB180" s="383"/>
    </row>
    <row r="181" spans="1:28" ht="13.8">
      <c r="A181" s="387">
        <v>180</v>
      </c>
      <c r="B181" s="387" t="s">
        <v>10710</v>
      </c>
      <c r="C181" s="387" t="s">
        <v>10710</v>
      </c>
      <c r="D181" s="387" t="s">
        <v>10710</v>
      </c>
      <c r="E181" s="383" t="s">
        <v>8767</v>
      </c>
      <c r="F181" s="383">
        <v>648</v>
      </c>
      <c r="G181" s="383" t="s">
        <v>71</v>
      </c>
      <c r="H181" s="383" t="s">
        <v>5694</v>
      </c>
      <c r="I181" s="383" t="s">
        <v>8416</v>
      </c>
      <c r="J181" s="383" t="s">
        <v>9384</v>
      </c>
      <c r="K181" s="383" t="s">
        <v>8341</v>
      </c>
      <c r="L181" s="383" t="s">
        <v>8341</v>
      </c>
      <c r="M181" s="383" t="s">
        <v>10053</v>
      </c>
      <c r="N181" s="420" t="s">
        <v>44</v>
      </c>
      <c r="O181" s="383" t="str">
        <f>IF(LEN(SUBSTITUTE(Table3937[[#This Row],[PRIMARY CONTACT]]," ",""))=10,SUBSTITUTE(Table3937[[#This Row],[PRIMARY CONTACT]]," ","") &amp; " - Proper","- Follow Up")</f>
        <v>8806907546 - Proper</v>
      </c>
      <c r="P181" s="383" t="s">
        <v>5707</v>
      </c>
      <c r="Q181" s="383">
        <v>8806907546</v>
      </c>
      <c r="R181" s="383" t="str">
        <f>SUBSTITUTE(Table3937[[#This Row],[whatsapp_number]]," ","")</f>
        <v>8806907546</v>
      </c>
      <c r="S181" s="383" t="str">
        <f>IF(Table3937[[#This Row],[PRIMARY CONTACT]]=Table3937[[#This Row],[WHATSAPP CONTACT]],"Same Contact","Different Contact")</f>
        <v>Same Contact</v>
      </c>
      <c r="T181" s="383" t="str">
        <f>IF(LEN(SUBSTITUTE(Table3937[[#This Row],[PRIMARY CONTACT]]," ",""))=10,SUBSTITUTE(Table3937[[#This Row],[PRIMARY CONTACT]]," ","") &amp; " - Proper","- Follow Up")</f>
        <v>8806907546 - Proper</v>
      </c>
      <c r="U181" s="383" t="s">
        <v>8341</v>
      </c>
      <c r="V181" s="393" t="s">
        <v>5698</v>
      </c>
      <c r="W181" s="383" t="s">
        <v>47</v>
      </c>
      <c r="X181" s="420" t="s">
        <v>44</v>
      </c>
      <c r="Y181" s="420" t="s">
        <v>44</v>
      </c>
      <c r="Z181" s="420" t="s">
        <v>44</v>
      </c>
      <c r="AA181" s="420" t="s">
        <v>44</v>
      </c>
      <c r="AB181" s="383"/>
    </row>
    <row r="182" spans="1:28" ht="13.8">
      <c r="A182" s="387">
        <v>181</v>
      </c>
      <c r="B182" s="387" t="s">
        <v>10710</v>
      </c>
      <c r="C182" s="387" t="s">
        <v>10710</v>
      </c>
      <c r="D182" s="387" t="s">
        <v>10710</v>
      </c>
      <c r="E182" s="383" t="s">
        <v>8768</v>
      </c>
      <c r="F182" s="383">
        <v>649</v>
      </c>
      <c r="G182" s="383" t="s">
        <v>71</v>
      </c>
      <c r="H182" s="383" t="s">
        <v>5694</v>
      </c>
      <c r="I182" s="383" t="s">
        <v>8416</v>
      </c>
      <c r="J182" s="383" t="s">
        <v>9385</v>
      </c>
      <c r="K182" s="383" t="s">
        <v>8341</v>
      </c>
      <c r="L182" s="383" t="s">
        <v>8341</v>
      </c>
      <c r="M182" s="383" t="s">
        <v>10054</v>
      </c>
      <c r="N182" s="420" t="s">
        <v>44</v>
      </c>
      <c r="O182" s="383" t="str">
        <f>IF(LEN(SUBSTITUTE(Table3937[[#This Row],[PRIMARY CONTACT]]," ",""))=10,SUBSTITUTE(Table3937[[#This Row],[PRIMARY CONTACT]]," ","") &amp; " - Proper","- Follow Up")</f>
        <v>7768073377 - Proper</v>
      </c>
      <c r="P182" s="383" t="s">
        <v>5710</v>
      </c>
      <c r="Q182" s="383">
        <v>7768073377</v>
      </c>
      <c r="R182" s="383" t="str">
        <f>SUBSTITUTE(Table3937[[#This Row],[whatsapp_number]]," ","")</f>
        <v>7768073377</v>
      </c>
      <c r="S182" s="383" t="str">
        <f>IF(Table3937[[#This Row],[PRIMARY CONTACT]]=Table3937[[#This Row],[WHATSAPP CONTACT]],"Same Contact","Different Contact")</f>
        <v>Same Contact</v>
      </c>
      <c r="T182" s="383" t="str">
        <f>IF(LEN(SUBSTITUTE(Table3937[[#This Row],[PRIMARY CONTACT]]," ",""))=10,SUBSTITUTE(Table3937[[#This Row],[PRIMARY CONTACT]]," ","") &amp; " - Proper","- Follow Up")</f>
        <v>7768073377 - Proper</v>
      </c>
      <c r="U182" s="383" t="s">
        <v>8341</v>
      </c>
      <c r="V182" s="393" t="s">
        <v>5698</v>
      </c>
      <c r="W182" s="383" t="s">
        <v>47</v>
      </c>
      <c r="X182" s="420" t="s">
        <v>44</v>
      </c>
      <c r="Y182" s="420" t="s">
        <v>44</v>
      </c>
      <c r="Z182" s="420" t="s">
        <v>44</v>
      </c>
      <c r="AA182" s="420" t="s">
        <v>44</v>
      </c>
      <c r="AB182" s="383"/>
    </row>
    <row r="183" spans="1:28" ht="13.8">
      <c r="A183" s="387">
        <v>182</v>
      </c>
      <c r="B183" s="387" t="s">
        <v>10710</v>
      </c>
      <c r="C183" s="387" t="s">
        <v>10710</v>
      </c>
      <c r="D183" s="387" t="s">
        <v>10710</v>
      </c>
      <c r="E183" s="383" t="s">
        <v>8769</v>
      </c>
      <c r="F183" s="383">
        <v>650</v>
      </c>
      <c r="G183" s="383" t="s">
        <v>71</v>
      </c>
      <c r="H183" s="383" t="s">
        <v>5694</v>
      </c>
      <c r="I183" s="383" t="s">
        <v>8416</v>
      </c>
      <c r="J183" s="383" t="s">
        <v>9386</v>
      </c>
      <c r="K183" s="383" t="s">
        <v>8341</v>
      </c>
      <c r="L183" s="383" t="s">
        <v>8341</v>
      </c>
      <c r="M183" s="383" t="s">
        <v>10055</v>
      </c>
      <c r="N183" s="420" t="s">
        <v>44</v>
      </c>
      <c r="O183" s="383" t="str">
        <f>IF(LEN(SUBSTITUTE(Table3937[[#This Row],[PRIMARY CONTACT]]," ",""))=10,SUBSTITUTE(Table3937[[#This Row],[PRIMARY CONTACT]]," ","") &amp; " - Proper","- Follow Up")</f>
        <v>9850955199 - Proper</v>
      </c>
      <c r="P183" s="383" t="s">
        <v>5713</v>
      </c>
      <c r="Q183" s="383">
        <v>9850955199</v>
      </c>
      <c r="R183" s="383" t="str">
        <f>SUBSTITUTE(Table3937[[#This Row],[whatsapp_number]]," ","")</f>
        <v>9850955199</v>
      </c>
      <c r="S183" s="383" t="str">
        <f>IF(Table3937[[#This Row],[PRIMARY CONTACT]]=Table3937[[#This Row],[WHATSAPP CONTACT]],"Same Contact","Different Contact")</f>
        <v>Same Contact</v>
      </c>
      <c r="T183" s="383" t="str">
        <f>IF(LEN(SUBSTITUTE(Table3937[[#This Row],[PRIMARY CONTACT]]," ",""))=10,SUBSTITUTE(Table3937[[#This Row],[PRIMARY CONTACT]]," ","") &amp; " - Proper","- Follow Up")</f>
        <v>9850955199 - Proper</v>
      </c>
      <c r="U183" s="383" t="s">
        <v>8341</v>
      </c>
      <c r="V183" s="393" t="s">
        <v>5698</v>
      </c>
      <c r="W183" s="383" t="s">
        <v>47</v>
      </c>
      <c r="X183" s="420" t="s">
        <v>44</v>
      </c>
      <c r="Y183" s="420" t="s">
        <v>44</v>
      </c>
      <c r="Z183" s="420" t="s">
        <v>44</v>
      </c>
      <c r="AA183" s="420" t="s">
        <v>44</v>
      </c>
      <c r="AB183" s="383"/>
    </row>
    <row r="184" spans="1:28" ht="13.8">
      <c r="A184" s="387">
        <v>183</v>
      </c>
      <c r="B184" s="387" t="s">
        <v>10710</v>
      </c>
      <c r="C184" s="387" t="s">
        <v>10710</v>
      </c>
      <c r="D184" s="387" t="s">
        <v>10710</v>
      </c>
      <c r="E184" s="383" t="s">
        <v>8770</v>
      </c>
      <c r="F184" s="383">
        <v>651</v>
      </c>
      <c r="G184" s="383" t="s">
        <v>71</v>
      </c>
      <c r="H184" s="383" t="s">
        <v>71</v>
      </c>
      <c r="I184" s="383" t="s">
        <v>8417</v>
      </c>
      <c r="J184" s="383" t="s">
        <v>9387</v>
      </c>
      <c r="K184" s="383" t="s">
        <v>8341</v>
      </c>
      <c r="L184" s="383" t="s">
        <v>8341</v>
      </c>
      <c r="M184" s="383" t="s">
        <v>10056</v>
      </c>
      <c r="N184" s="420" t="s">
        <v>44</v>
      </c>
      <c r="O184" s="383" t="str">
        <f>IF(LEN(SUBSTITUTE(Table3937[[#This Row],[PRIMARY CONTACT]]," ",""))=10,SUBSTITUTE(Table3937[[#This Row],[PRIMARY CONTACT]]," ","") &amp; " - Proper","- Follow Up")</f>
        <v>- Follow Up</v>
      </c>
      <c r="P184" s="383" t="s">
        <v>5717</v>
      </c>
      <c r="Q184" s="383">
        <v>506250063</v>
      </c>
      <c r="R184" s="383" t="str">
        <f>SUBSTITUTE(Table3937[[#This Row],[whatsapp_number]]," ","")</f>
        <v>506250063</v>
      </c>
      <c r="S184" s="383" t="str">
        <f>IF(Table3937[[#This Row],[PRIMARY CONTACT]]=Table3937[[#This Row],[WHATSAPP CONTACT]],"Same Contact","Different Contact")</f>
        <v>Same Contact</v>
      </c>
      <c r="T184" s="383" t="str">
        <f>IF(LEN(SUBSTITUTE(Table3937[[#This Row],[PRIMARY CONTACT]]," ",""))=10,SUBSTITUTE(Table3937[[#This Row],[PRIMARY CONTACT]]," ","") &amp; " - Proper","- Follow Up")</f>
        <v>- Follow Up</v>
      </c>
      <c r="U184" s="383" t="s">
        <v>8341</v>
      </c>
      <c r="V184" s="383" t="s">
        <v>71</v>
      </c>
      <c r="W184" s="383" t="s">
        <v>47</v>
      </c>
      <c r="X184" s="420" t="s">
        <v>44</v>
      </c>
      <c r="Y184" s="420" t="s">
        <v>44</v>
      </c>
      <c r="Z184" s="420" t="s">
        <v>44</v>
      </c>
      <c r="AA184" s="420" t="s">
        <v>44</v>
      </c>
      <c r="AB184" s="383"/>
    </row>
    <row r="185" spans="1:28" ht="13.8">
      <c r="A185" s="387">
        <v>184</v>
      </c>
      <c r="B185" s="387" t="s">
        <v>10710</v>
      </c>
      <c r="C185" s="387" t="s">
        <v>10710</v>
      </c>
      <c r="D185" s="387" t="s">
        <v>10710</v>
      </c>
      <c r="E185" s="383" t="s">
        <v>8771</v>
      </c>
      <c r="F185" s="383">
        <v>652</v>
      </c>
      <c r="G185" s="383" t="s">
        <v>71</v>
      </c>
      <c r="H185" s="383" t="s">
        <v>5596</v>
      </c>
      <c r="I185" s="383" t="s">
        <v>8418</v>
      </c>
      <c r="J185" s="383" t="s">
        <v>5720</v>
      </c>
      <c r="K185" s="383" t="s">
        <v>8341</v>
      </c>
      <c r="L185" s="383" t="s">
        <v>8341</v>
      </c>
      <c r="M185" s="383" t="s">
        <v>10057</v>
      </c>
      <c r="N185" s="420" t="s">
        <v>44</v>
      </c>
      <c r="O185" s="383" t="str">
        <f>IF(LEN(SUBSTITUTE(Table3937[[#This Row],[PRIMARY CONTACT]]," ",""))=10,SUBSTITUTE(Table3937[[#This Row],[PRIMARY CONTACT]]," ","") &amp; " - Proper","- Follow Up")</f>
        <v>9880344121 - Proper</v>
      </c>
      <c r="P185" s="383" t="s">
        <v>5721</v>
      </c>
      <c r="Q185" s="383">
        <v>9880344121</v>
      </c>
      <c r="R185" s="383" t="str">
        <f>SUBSTITUTE(Table3937[[#This Row],[whatsapp_number]]," ","")</f>
        <v>9880344121</v>
      </c>
      <c r="S185" s="383" t="str">
        <f>IF(Table3937[[#This Row],[PRIMARY CONTACT]]=Table3937[[#This Row],[WHATSAPP CONTACT]],"Same Contact","Different Contact")</f>
        <v>Same Contact</v>
      </c>
      <c r="T185" s="383" t="str">
        <f>IF(LEN(SUBSTITUTE(Table3937[[#This Row],[PRIMARY CONTACT]]," ",""))=10,SUBSTITUTE(Table3937[[#This Row],[PRIMARY CONTACT]]," ","") &amp; " - Proper","- Follow Up")</f>
        <v>9880344121 - Proper</v>
      </c>
      <c r="U185" s="383" t="s">
        <v>8341</v>
      </c>
      <c r="V185" s="393" t="s">
        <v>5600</v>
      </c>
      <c r="W185" s="383" t="s">
        <v>47</v>
      </c>
      <c r="X185" s="420" t="s">
        <v>44</v>
      </c>
      <c r="Y185" s="420" t="s">
        <v>44</v>
      </c>
      <c r="Z185" s="420" t="s">
        <v>44</v>
      </c>
      <c r="AA185" s="420" t="s">
        <v>44</v>
      </c>
      <c r="AB185" s="383"/>
    </row>
    <row r="186" spans="1:28" ht="13.8">
      <c r="A186" s="387">
        <v>185</v>
      </c>
      <c r="B186" s="387" t="s">
        <v>10710</v>
      </c>
      <c r="C186" s="387" t="s">
        <v>10710</v>
      </c>
      <c r="D186" s="387" t="s">
        <v>10710</v>
      </c>
      <c r="E186" s="383" t="s">
        <v>8772</v>
      </c>
      <c r="F186" s="383">
        <v>653</v>
      </c>
      <c r="G186" s="383" t="s">
        <v>71</v>
      </c>
      <c r="H186" s="383" t="s">
        <v>5596</v>
      </c>
      <c r="I186" s="383" t="s">
        <v>8418</v>
      </c>
      <c r="J186" s="383" t="s">
        <v>5723</v>
      </c>
      <c r="K186" s="383" t="s">
        <v>8341</v>
      </c>
      <c r="L186" s="383" t="s">
        <v>9623</v>
      </c>
      <c r="M186" s="383" t="s">
        <v>10058</v>
      </c>
      <c r="N186" s="420" t="s">
        <v>44</v>
      </c>
      <c r="O186" s="383" t="str">
        <f>IF(LEN(SUBSTITUTE(Table3937[[#This Row],[PRIMARY CONTACT]]," ",""))=10,SUBSTITUTE(Table3937[[#This Row],[PRIMARY CONTACT]]," ","") &amp; " - Proper","- Follow Up")</f>
        <v>9886008825 - Proper</v>
      </c>
      <c r="P186" s="383" t="s">
        <v>5725</v>
      </c>
      <c r="Q186" s="383">
        <v>9886008825</v>
      </c>
      <c r="R186" s="383" t="str">
        <f>SUBSTITUTE(Table3937[[#This Row],[whatsapp_number]]," ","")</f>
        <v>9886008825</v>
      </c>
      <c r="S186" s="383" t="str">
        <f>IF(Table3937[[#This Row],[PRIMARY CONTACT]]=Table3937[[#This Row],[WHATSAPP CONTACT]],"Same Contact","Different Contact")</f>
        <v>Same Contact</v>
      </c>
      <c r="T186" s="383" t="str">
        <f>IF(LEN(SUBSTITUTE(Table3937[[#This Row],[PRIMARY CONTACT]]," ",""))=10,SUBSTITUTE(Table3937[[#This Row],[PRIMARY CONTACT]]," ","") &amp; " - Proper","- Follow Up")</f>
        <v>9886008825 - Proper</v>
      </c>
      <c r="U186" s="383" t="s">
        <v>8341</v>
      </c>
      <c r="V186" s="393" t="s">
        <v>5600</v>
      </c>
      <c r="W186" s="383" t="s">
        <v>47</v>
      </c>
      <c r="X186" s="420" t="s">
        <v>44</v>
      </c>
      <c r="Y186" s="420" t="s">
        <v>44</v>
      </c>
      <c r="Z186" s="420" t="s">
        <v>44</v>
      </c>
      <c r="AA186" s="420" t="s">
        <v>44</v>
      </c>
      <c r="AB186" s="383"/>
    </row>
    <row r="187" spans="1:28" ht="13.8">
      <c r="A187" s="387">
        <v>186</v>
      </c>
      <c r="B187" s="387" t="s">
        <v>10710</v>
      </c>
      <c r="C187" s="387" t="s">
        <v>10710</v>
      </c>
      <c r="D187" s="387" t="s">
        <v>10710</v>
      </c>
      <c r="E187" s="383" t="s">
        <v>8773</v>
      </c>
      <c r="F187" s="383">
        <v>654</v>
      </c>
      <c r="G187" s="383" t="s">
        <v>71</v>
      </c>
      <c r="H187" s="383" t="s">
        <v>5727</v>
      </c>
      <c r="I187" s="383" t="s">
        <v>8419</v>
      </c>
      <c r="J187" s="383" t="s">
        <v>5729</v>
      </c>
      <c r="K187" s="383" t="s">
        <v>8341</v>
      </c>
      <c r="L187" s="383" t="s">
        <v>9623</v>
      </c>
      <c r="M187" s="383" t="s">
        <v>10059</v>
      </c>
      <c r="N187" s="420" t="s">
        <v>44</v>
      </c>
      <c r="O187" s="383" t="str">
        <f>IF(LEN(SUBSTITUTE(Table3937[[#This Row],[PRIMARY CONTACT]]," ",""))=10,SUBSTITUTE(Table3937[[#This Row],[PRIMARY CONTACT]]," ","") &amp; " - Proper","- Follow Up")</f>
        <v>9838009999 - Proper</v>
      </c>
      <c r="P187" s="383" t="s">
        <v>5730</v>
      </c>
      <c r="Q187" s="383">
        <v>9838009999</v>
      </c>
      <c r="R187" s="383" t="str">
        <f>SUBSTITUTE(Table3937[[#This Row],[whatsapp_number]]," ","")</f>
        <v>9838009999</v>
      </c>
      <c r="S187" s="383" t="str">
        <f>IF(Table3937[[#This Row],[PRIMARY CONTACT]]=Table3937[[#This Row],[WHATSAPP CONTACT]],"Same Contact","Different Contact")</f>
        <v>Same Contact</v>
      </c>
      <c r="T187" s="383" t="str">
        <f>IF(LEN(SUBSTITUTE(Table3937[[#This Row],[PRIMARY CONTACT]]," ",""))=10,SUBSTITUTE(Table3937[[#This Row],[PRIMARY CONTACT]]," ","") &amp; " - Proper","- Follow Up")</f>
        <v>9838009999 - Proper</v>
      </c>
      <c r="U187" s="383" t="s">
        <v>8341</v>
      </c>
      <c r="V187" s="393" t="s">
        <v>5731</v>
      </c>
      <c r="W187" s="383" t="s">
        <v>47</v>
      </c>
      <c r="X187" s="420" t="s">
        <v>44</v>
      </c>
      <c r="Y187" s="420" t="s">
        <v>44</v>
      </c>
      <c r="Z187" s="420" t="s">
        <v>44</v>
      </c>
      <c r="AA187" s="420" t="s">
        <v>44</v>
      </c>
      <c r="AB187" s="383"/>
    </row>
    <row r="188" spans="1:28" ht="13.8">
      <c r="A188" s="387">
        <v>187</v>
      </c>
      <c r="B188" s="387" t="s">
        <v>10710</v>
      </c>
      <c r="C188" s="387" t="s">
        <v>10710</v>
      </c>
      <c r="D188" s="387" t="s">
        <v>10710</v>
      </c>
      <c r="E188" s="383" t="s">
        <v>8774</v>
      </c>
      <c r="F188" s="383">
        <v>655</v>
      </c>
      <c r="G188" s="383" t="s">
        <v>71</v>
      </c>
      <c r="H188" s="383" t="s">
        <v>5727</v>
      </c>
      <c r="I188" s="383" t="s">
        <v>8419</v>
      </c>
      <c r="J188" s="383" t="s">
        <v>5733</v>
      </c>
      <c r="K188" s="383" t="s">
        <v>8341</v>
      </c>
      <c r="L188" s="383" t="s">
        <v>9623</v>
      </c>
      <c r="M188" s="383" t="s">
        <v>10060</v>
      </c>
      <c r="N188" s="420" t="s">
        <v>44</v>
      </c>
      <c r="O188" s="383" t="str">
        <f>IF(LEN(SUBSTITUTE(Table3937[[#This Row],[PRIMARY CONTACT]]," ",""))=10,SUBSTITUTE(Table3937[[#This Row],[PRIMARY CONTACT]]," ","") &amp; " - Proper","- Follow Up")</f>
        <v>9838079999 - Proper</v>
      </c>
      <c r="P188" s="383" t="s">
        <v>5734</v>
      </c>
      <c r="Q188" s="383">
        <v>9838079999</v>
      </c>
      <c r="R188" s="383" t="str">
        <f>SUBSTITUTE(Table3937[[#This Row],[whatsapp_number]]," ","")</f>
        <v>9838079999</v>
      </c>
      <c r="S188" s="383" t="str">
        <f>IF(Table3937[[#This Row],[PRIMARY CONTACT]]=Table3937[[#This Row],[WHATSAPP CONTACT]],"Same Contact","Different Contact")</f>
        <v>Same Contact</v>
      </c>
      <c r="T188" s="383" t="str">
        <f>IF(LEN(SUBSTITUTE(Table3937[[#This Row],[PRIMARY CONTACT]]," ",""))=10,SUBSTITUTE(Table3937[[#This Row],[PRIMARY CONTACT]]," ","") &amp; " - Proper","- Follow Up")</f>
        <v>9838079999 - Proper</v>
      </c>
      <c r="U188" s="383" t="s">
        <v>8341</v>
      </c>
      <c r="V188" s="393" t="s">
        <v>5731</v>
      </c>
      <c r="W188" s="383" t="s">
        <v>47</v>
      </c>
      <c r="X188" s="420" t="s">
        <v>44</v>
      </c>
      <c r="Y188" s="420" t="s">
        <v>44</v>
      </c>
      <c r="Z188" s="420" t="s">
        <v>44</v>
      </c>
      <c r="AA188" s="420" t="s">
        <v>44</v>
      </c>
      <c r="AB188" s="383"/>
    </row>
    <row r="189" spans="1:28" ht="13.8">
      <c r="A189" s="387">
        <v>188</v>
      </c>
      <c r="B189" s="387" t="s">
        <v>10710</v>
      </c>
      <c r="C189" s="387" t="s">
        <v>10710</v>
      </c>
      <c r="D189" s="387" t="s">
        <v>10710</v>
      </c>
      <c r="E189" s="383" t="s">
        <v>8775</v>
      </c>
      <c r="F189" s="383">
        <v>656</v>
      </c>
      <c r="G189" s="383" t="s">
        <v>71</v>
      </c>
      <c r="H189" s="383" t="s">
        <v>5727</v>
      </c>
      <c r="I189" s="383" t="s">
        <v>8419</v>
      </c>
      <c r="J189" s="383" t="s">
        <v>5736</v>
      </c>
      <c r="K189" s="383" t="s">
        <v>8341</v>
      </c>
      <c r="L189" s="383" t="s">
        <v>9623</v>
      </c>
      <c r="M189" s="383" t="s">
        <v>10061</v>
      </c>
      <c r="N189" s="420" t="s">
        <v>44</v>
      </c>
      <c r="O189" s="383" t="str">
        <f>IF(LEN(SUBSTITUTE(Table3937[[#This Row],[PRIMARY CONTACT]]," ",""))=10,SUBSTITUTE(Table3937[[#This Row],[PRIMARY CONTACT]]," ","") &amp; " - Proper","- Follow Up")</f>
        <v>9918363111 - Proper</v>
      </c>
      <c r="P189" s="383" t="s">
        <v>5737</v>
      </c>
      <c r="Q189" s="383">
        <v>9918363111</v>
      </c>
      <c r="R189" s="383" t="str">
        <f>SUBSTITUTE(Table3937[[#This Row],[whatsapp_number]]," ","")</f>
        <v>9918363111</v>
      </c>
      <c r="S189" s="383" t="str">
        <f>IF(Table3937[[#This Row],[PRIMARY CONTACT]]=Table3937[[#This Row],[WHATSAPP CONTACT]],"Same Contact","Different Contact")</f>
        <v>Same Contact</v>
      </c>
      <c r="T189" s="383" t="str">
        <f>IF(LEN(SUBSTITUTE(Table3937[[#This Row],[PRIMARY CONTACT]]," ",""))=10,SUBSTITUTE(Table3937[[#This Row],[PRIMARY CONTACT]]," ","") &amp; " - Proper","- Follow Up")</f>
        <v>9918363111 - Proper</v>
      </c>
      <c r="U189" s="383" t="s">
        <v>8341</v>
      </c>
      <c r="V189" s="393" t="s">
        <v>5731</v>
      </c>
      <c r="W189" s="383" t="s">
        <v>47</v>
      </c>
      <c r="X189" s="420" t="s">
        <v>44</v>
      </c>
      <c r="Y189" s="420" t="s">
        <v>44</v>
      </c>
      <c r="Z189" s="420" t="s">
        <v>44</v>
      </c>
      <c r="AA189" s="420" t="s">
        <v>44</v>
      </c>
      <c r="AB189" s="383"/>
    </row>
    <row r="190" spans="1:28" ht="13.8">
      <c r="A190" s="387">
        <v>189</v>
      </c>
      <c r="B190" s="387" t="s">
        <v>10710</v>
      </c>
      <c r="C190" s="387" t="s">
        <v>10710</v>
      </c>
      <c r="D190" s="387" t="s">
        <v>10710</v>
      </c>
      <c r="E190" s="383" t="s">
        <v>8776</v>
      </c>
      <c r="F190" s="383">
        <v>657</v>
      </c>
      <c r="G190" s="383" t="s">
        <v>71</v>
      </c>
      <c r="H190" s="383" t="s">
        <v>5727</v>
      </c>
      <c r="I190" s="383" t="s">
        <v>8419</v>
      </c>
      <c r="J190" s="383" t="s">
        <v>5739</v>
      </c>
      <c r="K190" s="383" t="s">
        <v>8341</v>
      </c>
      <c r="L190" s="383" t="s">
        <v>9623</v>
      </c>
      <c r="M190" s="383" t="s">
        <v>10062</v>
      </c>
      <c r="N190" s="420" t="s">
        <v>44</v>
      </c>
      <c r="O190" s="383" t="str">
        <f>IF(LEN(SUBSTITUTE(Table3937[[#This Row],[PRIMARY CONTACT]]," ",""))=10,SUBSTITUTE(Table3937[[#This Row],[PRIMARY CONTACT]]," ","") &amp; " - Proper","- Follow Up")</f>
        <v>9984559999 - Proper</v>
      </c>
      <c r="P190" s="383" t="s">
        <v>5740</v>
      </c>
      <c r="Q190" s="383">
        <v>9984559999</v>
      </c>
      <c r="R190" s="383" t="str">
        <f>SUBSTITUTE(Table3937[[#This Row],[whatsapp_number]]," ","")</f>
        <v>9984559999</v>
      </c>
      <c r="S190" s="383" t="str">
        <f>IF(Table3937[[#This Row],[PRIMARY CONTACT]]=Table3937[[#This Row],[WHATSAPP CONTACT]],"Same Contact","Different Contact")</f>
        <v>Same Contact</v>
      </c>
      <c r="T190" s="383" t="str">
        <f>IF(LEN(SUBSTITUTE(Table3937[[#This Row],[PRIMARY CONTACT]]," ",""))=10,SUBSTITUTE(Table3937[[#This Row],[PRIMARY CONTACT]]," ","") &amp; " - Proper","- Follow Up")</f>
        <v>9984559999 - Proper</v>
      </c>
      <c r="U190" s="383" t="s">
        <v>8341</v>
      </c>
      <c r="V190" s="393" t="s">
        <v>5731</v>
      </c>
      <c r="W190" s="383" t="s">
        <v>47</v>
      </c>
      <c r="X190" s="420" t="s">
        <v>44</v>
      </c>
      <c r="Y190" s="420" t="s">
        <v>44</v>
      </c>
      <c r="Z190" s="420" t="s">
        <v>44</v>
      </c>
      <c r="AA190" s="420" t="s">
        <v>44</v>
      </c>
      <c r="AB190" s="383"/>
    </row>
    <row r="191" spans="1:28" ht="13.8">
      <c r="A191" s="387">
        <v>190</v>
      </c>
      <c r="B191" s="387" t="s">
        <v>10710</v>
      </c>
      <c r="C191" s="387" t="s">
        <v>10710</v>
      </c>
      <c r="D191" s="387" t="s">
        <v>10710</v>
      </c>
      <c r="E191" s="383" t="s">
        <v>8777</v>
      </c>
      <c r="F191" s="383">
        <v>658</v>
      </c>
      <c r="G191" s="383" t="s">
        <v>71</v>
      </c>
      <c r="H191" s="383" t="s">
        <v>71</v>
      </c>
      <c r="I191" s="383" t="s">
        <v>8420</v>
      </c>
      <c r="J191" s="383" t="s">
        <v>9388</v>
      </c>
      <c r="K191" s="383" t="s">
        <v>8341</v>
      </c>
      <c r="L191" s="383" t="s">
        <v>9623</v>
      </c>
      <c r="M191" s="383" t="s">
        <v>10063</v>
      </c>
      <c r="N191" s="420" t="s">
        <v>44</v>
      </c>
      <c r="O191" s="383" t="str">
        <f>IF(LEN(SUBSTITUTE(Table3937[[#This Row],[PRIMARY CONTACT]]," ",""))=10,SUBSTITUTE(Table3937[[#This Row],[PRIMARY CONTACT]]," ","") &amp; " - Proper","- Follow Up")</f>
        <v>8008203789 - Proper</v>
      </c>
      <c r="P191" s="383" t="s">
        <v>5744</v>
      </c>
      <c r="Q191" s="383">
        <v>8008203789</v>
      </c>
      <c r="R191" s="383" t="str">
        <f>SUBSTITUTE(Table3937[[#This Row],[whatsapp_number]]," ","")</f>
        <v>8008203789</v>
      </c>
      <c r="S191" s="383" t="str">
        <f>IF(Table3937[[#This Row],[PRIMARY CONTACT]]=Table3937[[#This Row],[WHATSAPP CONTACT]],"Same Contact","Different Contact")</f>
        <v>Same Contact</v>
      </c>
      <c r="T191" s="383" t="str">
        <f>IF(LEN(SUBSTITUTE(Table3937[[#This Row],[PRIMARY CONTACT]]," ",""))=10,SUBSTITUTE(Table3937[[#This Row],[PRIMARY CONTACT]]," ","") &amp; " - Proper","- Follow Up")</f>
        <v>8008203789 - Proper</v>
      </c>
      <c r="U191" s="383" t="s">
        <v>8341</v>
      </c>
      <c r="V191" s="383" t="s">
        <v>71</v>
      </c>
      <c r="W191" s="383" t="s">
        <v>47</v>
      </c>
      <c r="X191" s="420" t="s">
        <v>44</v>
      </c>
      <c r="Y191" s="420" t="s">
        <v>44</v>
      </c>
      <c r="Z191" s="420" t="s">
        <v>44</v>
      </c>
      <c r="AA191" s="420" t="s">
        <v>44</v>
      </c>
      <c r="AB191" s="383"/>
    </row>
    <row r="192" spans="1:28" ht="13.8">
      <c r="A192" s="387">
        <v>191</v>
      </c>
      <c r="B192" s="387" t="s">
        <v>10710</v>
      </c>
      <c r="C192" s="387" t="s">
        <v>10710</v>
      </c>
      <c r="D192" s="387" t="s">
        <v>10710</v>
      </c>
      <c r="E192" s="383" t="s">
        <v>8778</v>
      </c>
      <c r="F192" s="383">
        <v>659</v>
      </c>
      <c r="G192" s="383" t="s">
        <v>71</v>
      </c>
      <c r="H192" s="383" t="s">
        <v>71</v>
      </c>
      <c r="I192" s="383" t="s">
        <v>8420</v>
      </c>
      <c r="J192" s="383" t="s">
        <v>9389</v>
      </c>
      <c r="K192" s="383" t="s">
        <v>9510</v>
      </c>
      <c r="L192" s="383" t="s">
        <v>9623</v>
      </c>
      <c r="M192" s="383" t="s">
        <v>10064</v>
      </c>
      <c r="N192" s="420" t="s">
        <v>44</v>
      </c>
      <c r="O192" s="383" t="str">
        <f>IF(LEN(SUBSTITUTE(Table3937[[#This Row],[PRIMARY CONTACT]]," ",""))=10,SUBSTITUTE(Table3937[[#This Row],[PRIMARY CONTACT]]," ","") &amp; " - Proper","- Follow Up")</f>
        <v>9948577777 - Proper</v>
      </c>
      <c r="P192" s="383" t="s">
        <v>5748</v>
      </c>
      <c r="Q192" s="383">
        <v>9948577777</v>
      </c>
      <c r="R192" s="383" t="str">
        <f>SUBSTITUTE(Table3937[[#This Row],[whatsapp_number]]," ","")</f>
        <v>9948577777</v>
      </c>
      <c r="S192" s="383" t="str">
        <f>IF(Table3937[[#This Row],[PRIMARY CONTACT]]=Table3937[[#This Row],[WHATSAPP CONTACT]],"Same Contact","Different Contact")</f>
        <v>Same Contact</v>
      </c>
      <c r="T192" s="383" t="str">
        <f>IF(LEN(SUBSTITUTE(Table3937[[#This Row],[PRIMARY CONTACT]]," ",""))=10,SUBSTITUTE(Table3937[[#This Row],[PRIMARY CONTACT]]," ","") &amp; " - Proper","- Follow Up")</f>
        <v>9948577777 - Proper</v>
      </c>
      <c r="U192" s="383" t="s">
        <v>8341</v>
      </c>
      <c r="V192" s="383" t="s">
        <v>71</v>
      </c>
      <c r="W192" s="383" t="s">
        <v>47</v>
      </c>
      <c r="X192" s="420" t="s">
        <v>44</v>
      </c>
      <c r="Y192" s="420" t="s">
        <v>44</v>
      </c>
      <c r="Z192" s="420" t="s">
        <v>44</v>
      </c>
      <c r="AA192" s="420" t="s">
        <v>44</v>
      </c>
      <c r="AB192" s="383"/>
    </row>
    <row r="193" spans="1:28" ht="13.8">
      <c r="A193" s="387">
        <v>192</v>
      </c>
      <c r="B193" s="387" t="s">
        <v>10710</v>
      </c>
      <c r="C193" s="387" t="s">
        <v>10710</v>
      </c>
      <c r="D193" s="387" t="s">
        <v>10710</v>
      </c>
      <c r="E193" s="383" t="s">
        <v>8779</v>
      </c>
      <c r="F193" s="383">
        <v>660</v>
      </c>
      <c r="G193" s="383" t="s">
        <v>71</v>
      </c>
      <c r="H193" s="383" t="s">
        <v>71</v>
      </c>
      <c r="I193" s="383" t="s">
        <v>8420</v>
      </c>
      <c r="J193" s="383" t="s">
        <v>9390</v>
      </c>
      <c r="K193" s="383" t="s">
        <v>9511</v>
      </c>
      <c r="L193" s="383" t="s">
        <v>9623</v>
      </c>
      <c r="M193" s="383" t="s">
        <v>10065</v>
      </c>
      <c r="N193" s="420" t="s">
        <v>44</v>
      </c>
      <c r="O193" s="383" t="str">
        <f>IF(LEN(SUBSTITUTE(Table3937[[#This Row],[PRIMARY CONTACT]]," ",""))=10,SUBSTITUTE(Table3937[[#This Row],[PRIMARY CONTACT]]," ","") &amp; " - Proper","- Follow Up")</f>
        <v>9581694777 - Proper</v>
      </c>
      <c r="P193" s="383" t="s">
        <v>5752</v>
      </c>
      <c r="Q193" s="383">
        <v>9581694777</v>
      </c>
      <c r="R193" s="383" t="str">
        <f>SUBSTITUTE(Table3937[[#This Row],[whatsapp_number]]," ","")</f>
        <v>9581694777</v>
      </c>
      <c r="S193" s="383" t="str">
        <f>IF(Table3937[[#This Row],[PRIMARY CONTACT]]=Table3937[[#This Row],[WHATSAPP CONTACT]],"Same Contact","Different Contact")</f>
        <v>Same Contact</v>
      </c>
      <c r="T193" s="383" t="str">
        <f>IF(LEN(SUBSTITUTE(Table3937[[#This Row],[PRIMARY CONTACT]]," ",""))=10,SUBSTITUTE(Table3937[[#This Row],[PRIMARY CONTACT]]," ","") &amp; " - Proper","- Follow Up")</f>
        <v>9581694777 - Proper</v>
      </c>
      <c r="U193" s="383" t="s">
        <v>8341</v>
      </c>
      <c r="V193" s="383" t="s">
        <v>71</v>
      </c>
      <c r="W193" s="383" t="s">
        <v>47</v>
      </c>
      <c r="X193" s="420" t="s">
        <v>44</v>
      </c>
      <c r="Y193" s="420" t="s">
        <v>44</v>
      </c>
      <c r="Z193" s="420" t="s">
        <v>44</v>
      </c>
      <c r="AA193" s="420" t="s">
        <v>44</v>
      </c>
      <c r="AB193" s="383"/>
    </row>
    <row r="194" spans="1:28" ht="13.8">
      <c r="A194" s="387">
        <v>193</v>
      </c>
      <c r="B194" s="387" t="s">
        <v>10710</v>
      </c>
      <c r="C194" s="387" t="s">
        <v>10710</v>
      </c>
      <c r="D194" s="387" t="s">
        <v>10710</v>
      </c>
      <c r="E194" s="383" t="s">
        <v>8780</v>
      </c>
      <c r="F194" s="383">
        <v>661</v>
      </c>
      <c r="G194" s="383" t="s">
        <v>71</v>
      </c>
      <c r="H194" s="383" t="s">
        <v>71</v>
      </c>
      <c r="I194" s="383" t="s">
        <v>8421</v>
      </c>
      <c r="J194" s="383" t="s">
        <v>9391</v>
      </c>
      <c r="K194" s="383" t="s">
        <v>8341</v>
      </c>
      <c r="L194" s="383" t="s">
        <v>9624</v>
      </c>
      <c r="M194" s="383" t="s">
        <v>10066</v>
      </c>
      <c r="N194" s="420" t="s">
        <v>44</v>
      </c>
      <c r="O194" s="383" t="str">
        <f>IF(LEN(SUBSTITUTE(Table3937[[#This Row],[PRIMARY CONTACT]]," ",""))=10,SUBSTITUTE(Table3937[[#This Row],[PRIMARY CONTACT]]," ","") &amp; " - Proper","- Follow Up")</f>
        <v>9301625557 - Proper</v>
      </c>
      <c r="P194" s="383" t="s">
        <v>5757</v>
      </c>
      <c r="Q194" s="383">
        <v>9301625557</v>
      </c>
      <c r="R194" s="383" t="str">
        <f>SUBSTITUTE(Table3937[[#This Row],[whatsapp_number]]," ","")</f>
        <v>9301625557</v>
      </c>
      <c r="S194" s="383" t="str">
        <f>IF(Table3937[[#This Row],[PRIMARY CONTACT]]=Table3937[[#This Row],[WHATSAPP CONTACT]],"Same Contact","Different Contact")</f>
        <v>Same Contact</v>
      </c>
      <c r="T194" s="383" t="str">
        <f>IF(LEN(SUBSTITUTE(Table3937[[#This Row],[PRIMARY CONTACT]]," ",""))=10,SUBSTITUTE(Table3937[[#This Row],[PRIMARY CONTACT]]," ","") &amp; " - Proper","- Follow Up")</f>
        <v>9301625557 - Proper</v>
      </c>
      <c r="U194" s="383" t="s">
        <v>8341</v>
      </c>
      <c r="V194" s="383" t="s">
        <v>71</v>
      </c>
      <c r="W194" s="383" t="s">
        <v>47</v>
      </c>
      <c r="X194" s="420" t="s">
        <v>44</v>
      </c>
      <c r="Y194" s="420" t="s">
        <v>44</v>
      </c>
      <c r="Z194" s="420" t="s">
        <v>44</v>
      </c>
      <c r="AA194" s="420" t="s">
        <v>44</v>
      </c>
      <c r="AB194" s="383"/>
    </row>
    <row r="195" spans="1:28" ht="13.8">
      <c r="A195" s="387">
        <v>194</v>
      </c>
      <c r="B195" s="387" t="s">
        <v>10710</v>
      </c>
      <c r="C195" s="387" t="s">
        <v>10710</v>
      </c>
      <c r="D195" s="387" t="s">
        <v>10710</v>
      </c>
      <c r="E195" s="383" t="s">
        <v>8781</v>
      </c>
      <c r="F195" s="383">
        <v>662</v>
      </c>
      <c r="G195" s="383" t="s">
        <v>71</v>
      </c>
      <c r="H195" s="383" t="s">
        <v>5759</v>
      </c>
      <c r="I195" s="383" t="s">
        <v>5886</v>
      </c>
      <c r="J195" s="383" t="s">
        <v>9392</v>
      </c>
      <c r="K195" s="383" t="s">
        <v>8341</v>
      </c>
      <c r="L195" s="383" t="s">
        <v>9624</v>
      </c>
      <c r="M195" s="383" t="s">
        <v>10067</v>
      </c>
      <c r="N195" s="420" t="s">
        <v>44</v>
      </c>
      <c r="O195" s="383" t="str">
        <f>IF(LEN(SUBSTITUTE(Table3937[[#This Row],[PRIMARY CONTACT]]," ",""))=10,SUBSTITUTE(Table3937[[#This Row],[PRIMARY CONTACT]]," ","") &amp; " - Proper","- Follow Up")</f>
        <v>9334700454 - Proper</v>
      </c>
      <c r="P195" s="383" t="s">
        <v>5762</v>
      </c>
      <c r="Q195" s="383">
        <v>9334700454</v>
      </c>
      <c r="R195" s="383" t="str">
        <f>SUBSTITUTE(Table3937[[#This Row],[whatsapp_number]]," ","")</f>
        <v>9334700454</v>
      </c>
      <c r="S195" s="383" t="str">
        <f>IF(Table3937[[#This Row],[PRIMARY CONTACT]]=Table3937[[#This Row],[WHATSAPP CONTACT]],"Same Contact","Different Contact")</f>
        <v>Same Contact</v>
      </c>
      <c r="T195" s="383" t="str">
        <f>IF(LEN(SUBSTITUTE(Table3937[[#This Row],[PRIMARY CONTACT]]," ",""))=10,SUBSTITUTE(Table3937[[#This Row],[PRIMARY CONTACT]]," ","") &amp; " - Proper","- Follow Up")</f>
        <v>9334700454 - Proper</v>
      </c>
      <c r="U195" s="383" t="s">
        <v>8341</v>
      </c>
      <c r="V195" s="383" t="s">
        <v>71</v>
      </c>
      <c r="W195" s="383" t="s">
        <v>47</v>
      </c>
      <c r="X195" s="420" t="s">
        <v>44</v>
      </c>
      <c r="Y195" s="420" t="s">
        <v>44</v>
      </c>
      <c r="Z195" s="420" t="s">
        <v>44</v>
      </c>
      <c r="AA195" s="420" t="s">
        <v>44</v>
      </c>
      <c r="AB195" s="383"/>
    </row>
    <row r="196" spans="1:28" ht="13.8">
      <c r="A196" s="387">
        <v>195</v>
      </c>
      <c r="B196" s="387" t="s">
        <v>10710</v>
      </c>
      <c r="C196" s="387" t="s">
        <v>10710</v>
      </c>
      <c r="D196" s="387" t="s">
        <v>10710</v>
      </c>
      <c r="E196" s="383" t="s">
        <v>8782</v>
      </c>
      <c r="F196" s="383">
        <v>663</v>
      </c>
      <c r="G196" s="383" t="s">
        <v>71</v>
      </c>
      <c r="H196" s="383" t="s">
        <v>5764</v>
      </c>
      <c r="I196" s="383" t="s">
        <v>8422</v>
      </c>
      <c r="J196" s="383" t="s">
        <v>5766</v>
      </c>
      <c r="K196" s="383" t="s">
        <v>8341</v>
      </c>
      <c r="L196" s="383" t="s">
        <v>9625</v>
      </c>
      <c r="M196" s="383" t="s">
        <v>10068</v>
      </c>
      <c r="N196" s="420" t="s">
        <v>44</v>
      </c>
      <c r="O196" s="383" t="str">
        <f>IF(LEN(SUBSTITUTE(Table3937[[#This Row],[PRIMARY CONTACT]]," ",""))=10,SUBSTITUTE(Table3937[[#This Row],[PRIMARY CONTACT]]," ","") &amp; " - Proper","- Follow Up")</f>
        <v>9843012343 - Proper</v>
      </c>
      <c r="P196" s="383" t="s">
        <v>5768</v>
      </c>
      <c r="Q196" s="383">
        <v>9843012343</v>
      </c>
      <c r="R196" s="383" t="str">
        <f>SUBSTITUTE(Table3937[[#This Row],[whatsapp_number]]," ","")</f>
        <v>9843012343</v>
      </c>
      <c r="S196" s="383" t="str">
        <f>IF(Table3937[[#This Row],[PRIMARY CONTACT]]=Table3937[[#This Row],[WHATSAPP CONTACT]],"Same Contact","Different Contact")</f>
        <v>Same Contact</v>
      </c>
      <c r="T196" s="383" t="str">
        <f>IF(LEN(SUBSTITUTE(Table3937[[#This Row],[PRIMARY CONTACT]]," ",""))=10,SUBSTITUTE(Table3937[[#This Row],[PRIMARY CONTACT]]," ","") &amp; " - Proper","- Follow Up")</f>
        <v>9843012343 - Proper</v>
      </c>
      <c r="U196" s="383" t="s">
        <v>8341</v>
      </c>
      <c r="V196" s="393" t="s">
        <v>5769</v>
      </c>
      <c r="W196" s="383" t="s">
        <v>47</v>
      </c>
      <c r="X196" s="420" t="s">
        <v>44</v>
      </c>
      <c r="Y196" s="420" t="s">
        <v>44</v>
      </c>
      <c r="Z196" s="420" t="s">
        <v>44</v>
      </c>
      <c r="AA196" s="420" t="s">
        <v>44</v>
      </c>
      <c r="AB196" s="383"/>
    </row>
    <row r="197" spans="1:28" ht="13.8">
      <c r="A197" s="387">
        <v>196</v>
      </c>
      <c r="B197" s="387" t="s">
        <v>10710</v>
      </c>
      <c r="C197" s="387" t="s">
        <v>10710</v>
      </c>
      <c r="D197" s="387" t="s">
        <v>10710</v>
      </c>
      <c r="E197" s="383" t="s">
        <v>8783</v>
      </c>
      <c r="F197" s="383">
        <v>664</v>
      </c>
      <c r="G197" s="383" t="s">
        <v>71</v>
      </c>
      <c r="H197" s="383" t="s">
        <v>5764</v>
      </c>
      <c r="I197" s="383" t="s">
        <v>8422</v>
      </c>
      <c r="J197" s="383" t="s">
        <v>5771</v>
      </c>
      <c r="K197" s="383" t="s">
        <v>8341</v>
      </c>
      <c r="L197" s="383" t="s">
        <v>9626</v>
      </c>
      <c r="M197" s="383" t="s">
        <v>10069</v>
      </c>
      <c r="N197" s="420" t="s">
        <v>44</v>
      </c>
      <c r="O197" s="383" t="str">
        <f>IF(LEN(SUBSTITUTE(Table3937[[#This Row],[PRIMARY CONTACT]]," ",""))=10,SUBSTITUTE(Table3937[[#This Row],[PRIMARY CONTACT]]," ","") &amp; " - Proper","- Follow Up")</f>
        <v>9843112343 - Proper</v>
      </c>
      <c r="P197" s="383" t="s">
        <v>5773</v>
      </c>
      <c r="Q197" s="383">
        <v>9843112343</v>
      </c>
      <c r="R197" s="383" t="str">
        <f>SUBSTITUTE(Table3937[[#This Row],[whatsapp_number]]," ","")</f>
        <v>9843112343</v>
      </c>
      <c r="S197" s="383" t="str">
        <f>IF(Table3937[[#This Row],[PRIMARY CONTACT]]=Table3937[[#This Row],[WHATSAPP CONTACT]],"Same Contact","Different Contact")</f>
        <v>Same Contact</v>
      </c>
      <c r="T197" s="383" t="str">
        <f>IF(LEN(SUBSTITUTE(Table3937[[#This Row],[PRIMARY CONTACT]]," ",""))=10,SUBSTITUTE(Table3937[[#This Row],[PRIMARY CONTACT]]," ","") &amp; " - Proper","- Follow Up")</f>
        <v>9843112343 - Proper</v>
      </c>
      <c r="U197" s="383" t="s">
        <v>8341</v>
      </c>
      <c r="V197" s="393" t="s">
        <v>5769</v>
      </c>
      <c r="W197" s="383" t="s">
        <v>47</v>
      </c>
      <c r="X197" s="420" t="s">
        <v>44</v>
      </c>
      <c r="Y197" s="420" t="s">
        <v>44</v>
      </c>
      <c r="Z197" s="420" t="s">
        <v>44</v>
      </c>
      <c r="AA197" s="420" t="s">
        <v>44</v>
      </c>
      <c r="AB197" s="383"/>
    </row>
    <row r="198" spans="1:28" ht="13.8">
      <c r="A198" s="387">
        <v>197</v>
      </c>
      <c r="B198" s="387" t="s">
        <v>10710</v>
      </c>
      <c r="C198" s="387" t="s">
        <v>10710</v>
      </c>
      <c r="D198" s="387" t="s">
        <v>10710</v>
      </c>
      <c r="E198" s="383" t="s">
        <v>8784</v>
      </c>
      <c r="F198" s="383">
        <v>665</v>
      </c>
      <c r="G198" s="383" t="s">
        <v>71</v>
      </c>
      <c r="H198" s="383" t="s">
        <v>5764</v>
      </c>
      <c r="I198" s="383" t="s">
        <v>8422</v>
      </c>
      <c r="J198" s="383" t="s">
        <v>5775</v>
      </c>
      <c r="K198" s="383" t="s">
        <v>8341</v>
      </c>
      <c r="L198" s="383" t="s">
        <v>9627</v>
      </c>
      <c r="M198" s="383" t="s">
        <v>10070</v>
      </c>
      <c r="N198" s="420" t="s">
        <v>44</v>
      </c>
      <c r="O198" s="383" t="str">
        <f>IF(LEN(SUBSTITUTE(Table3937[[#This Row],[PRIMARY CONTACT]]," ",""))=10,SUBSTITUTE(Table3937[[#This Row],[PRIMARY CONTACT]]," ","") &amp; " - Proper","- Follow Up")</f>
        <v>9843612343 - Proper</v>
      </c>
      <c r="P198" s="383" t="s">
        <v>5777</v>
      </c>
      <c r="Q198" s="383">
        <v>9843612343</v>
      </c>
      <c r="R198" s="383" t="str">
        <f>SUBSTITUTE(Table3937[[#This Row],[whatsapp_number]]," ","")</f>
        <v>9843612343</v>
      </c>
      <c r="S198" s="383" t="str">
        <f>IF(Table3937[[#This Row],[PRIMARY CONTACT]]=Table3937[[#This Row],[WHATSAPP CONTACT]],"Same Contact","Different Contact")</f>
        <v>Same Contact</v>
      </c>
      <c r="T198" s="383" t="str">
        <f>IF(LEN(SUBSTITUTE(Table3937[[#This Row],[PRIMARY CONTACT]]," ",""))=10,SUBSTITUTE(Table3937[[#This Row],[PRIMARY CONTACT]]," ","") &amp; " - Proper","- Follow Up")</f>
        <v>9843612343 - Proper</v>
      </c>
      <c r="U198" s="383" t="s">
        <v>8341</v>
      </c>
      <c r="V198" s="393" t="s">
        <v>5769</v>
      </c>
      <c r="W198" s="383" t="s">
        <v>47</v>
      </c>
      <c r="X198" s="420" t="s">
        <v>44</v>
      </c>
      <c r="Y198" s="420" t="s">
        <v>44</v>
      </c>
      <c r="Z198" s="420" t="s">
        <v>44</v>
      </c>
      <c r="AA198" s="420" t="s">
        <v>44</v>
      </c>
      <c r="AB198" s="383"/>
    </row>
    <row r="199" spans="1:28" ht="13.8">
      <c r="A199" s="387">
        <v>198</v>
      </c>
      <c r="B199" s="387" t="s">
        <v>10710</v>
      </c>
      <c r="C199" s="387" t="s">
        <v>10710</v>
      </c>
      <c r="D199" s="387" t="s">
        <v>10710</v>
      </c>
      <c r="E199" s="383" t="s">
        <v>8785</v>
      </c>
      <c r="F199" s="383">
        <v>666</v>
      </c>
      <c r="G199" s="383" t="s">
        <v>71</v>
      </c>
      <c r="H199" s="383" t="s">
        <v>5764</v>
      </c>
      <c r="I199" s="383" t="s">
        <v>8422</v>
      </c>
      <c r="J199" s="383" t="s">
        <v>5779</v>
      </c>
      <c r="K199" s="383" t="s">
        <v>8341</v>
      </c>
      <c r="L199" s="383" t="s">
        <v>9627</v>
      </c>
      <c r="M199" s="383" t="s">
        <v>10071</v>
      </c>
      <c r="N199" s="420" t="s">
        <v>44</v>
      </c>
      <c r="O199" s="383" t="str">
        <f>IF(LEN(SUBSTITUTE(Table3937[[#This Row],[PRIMARY CONTACT]]," ",""))=10,SUBSTITUTE(Table3937[[#This Row],[PRIMARY CONTACT]]," ","") &amp; " - Proper","- Follow Up")</f>
        <v>9790688300 - Proper</v>
      </c>
      <c r="P199" s="383" t="s">
        <v>5780</v>
      </c>
      <c r="Q199" s="383">
        <v>9790688300</v>
      </c>
      <c r="R199" s="383" t="str">
        <f>SUBSTITUTE(Table3937[[#This Row],[whatsapp_number]]," ","")</f>
        <v>9790688300</v>
      </c>
      <c r="S199" s="383" t="str">
        <f>IF(Table3937[[#This Row],[PRIMARY CONTACT]]=Table3937[[#This Row],[WHATSAPP CONTACT]],"Same Contact","Different Contact")</f>
        <v>Same Contact</v>
      </c>
      <c r="T199" s="383" t="str">
        <f>IF(LEN(SUBSTITUTE(Table3937[[#This Row],[PRIMARY CONTACT]]," ",""))=10,SUBSTITUTE(Table3937[[#This Row],[PRIMARY CONTACT]]," ","") &amp; " - Proper","- Follow Up")</f>
        <v>9790688300 - Proper</v>
      </c>
      <c r="U199" s="383" t="s">
        <v>8341</v>
      </c>
      <c r="V199" s="393" t="s">
        <v>5769</v>
      </c>
      <c r="W199" s="383" t="s">
        <v>47</v>
      </c>
      <c r="X199" s="420" t="s">
        <v>44</v>
      </c>
      <c r="Y199" s="420" t="s">
        <v>44</v>
      </c>
      <c r="Z199" s="420" t="s">
        <v>44</v>
      </c>
      <c r="AA199" s="420" t="s">
        <v>44</v>
      </c>
      <c r="AB199" s="383"/>
    </row>
    <row r="200" spans="1:28" ht="13.8">
      <c r="A200" s="387">
        <v>199</v>
      </c>
      <c r="B200" s="387" t="s">
        <v>10710</v>
      </c>
      <c r="C200" s="387" t="s">
        <v>10710</v>
      </c>
      <c r="D200" s="387" t="s">
        <v>10710</v>
      </c>
      <c r="E200" s="383" t="s">
        <v>8786</v>
      </c>
      <c r="F200" s="383">
        <v>667</v>
      </c>
      <c r="G200" s="383" t="s">
        <v>71</v>
      </c>
      <c r="H200" s="383" t="s">
        <v>71</v>
      </c>
      <c r="I200" s="383" t="s">
        <v>8420</v>
      </c>
      <c r="J200" s="383" t="s">
        <v>9393</v>
      </c>
      <c r="K200" s="383" t="s">
        <v>9512</v>
      </c>
      <c r="L200" s="383" t="s">
        <v>9628</v>
      </c>
      <c r="M200" s="383" t="s">
        <v>10072</v>
      </c>
      <c r="N200" s="420" t="s">
        <v>44</v>
      </c>
      <c r="O200" s="383" t="str">
        <f>IF(LEN(SUBSTITUTE(Table3937[[#This Row],[PRIMARY CONTACT]]," ",""))=10,SUBSTITUTE(Table3937[[#This Row],[PRIMARY CONTACT]]," ","") &amp; " - Proper","- Follow Up")</f>
        <v>9676754368 - Proper</v>
      </c>
      <c r="P200" s="383" t="s">
        <v>5785</v>
      </c>
      <c r="Q200" s="383">
        <v>9676754368</v>
      </c>
      <c r="R200" s="383" t="str">
        <f>SUBSTITUTE(Table3937[[#This Row],[whatsapp_number]]," ","")</f>
        <v>9676754368</v>
      </c>
      <c r="S200" s="383" t="str">
        <f>IF(Table3937[[#This Row],[PRIMARY CONTACT]]=Table3937[[#This Row],[WHATSAPP CONTACT]],"Same Contact","Different Contact")</f>
        <v>Same Contact</v>
      </c>
      <c r="T200" s="383" t="str">
        <f>IF(LEN(SUBSTITUTE(Table3937[[#This Row],[PRIMARY CONTACT]]," ",""))=10,SUBSTITUTE(Table3937[[#This Row],[PRIMARY CONTACT]]," ","") &amp; " - Proper","- Follow Up")</f>
        <v>9676754368 - Proper</v>
      </c>
      <c r="U200" s="383" t="s">
        <v>8341</v>
      </c>
      <c r="V200" s="383" t="s">
        <v>71</v>
      </c>
      <c r="W200" s="383" t="s">
        <v>47</v>
      </c>
      <c r="X200" s="420" t="s">
        <v>44</v>
      </c>
      <c r="Y200" s="420" t="s">
        <v>44</v>
      </c>
      <c r="Z200" s="420" t="s">
        <v>44</v>
      </c>
      <c r="AA200" s="420" t="s">
        <v>44</v>
      </c>
      <c r="AB200" s="383"/>
    </row>
    <row r="201" spans="1:28" ht="13.8">
      <c r="A201" s="387">
        <v>200</v>
      </c>
      <c r="B201" s="387" t="s">
        <v>10710</v>
      </c>
      <c r="C201" s="387" t="s">
        <v>10710</v>
      </c>
      <c r="D201" s="387" t="s">
        <v>10710</v>
      </c>
      <c r="E201" s="383" t="s">
        <v>8787</v>
      </c>
      <c r="F201" s="383">
        <v>668</v>
      </c>
      <c r="G201" s="383" t="s">
        <v>71</v>
      </c>
      <c r="H201" s="383" t="s">
        <v>5416</v>
      </c>
      <c r="I201" s="383" t="s">
        <v>8423</v>
      </c>
      <c r="J201" s="383" t="s">
        <v>5788</v>
      </c>
      <c r="K201" s="383" t="s">
        <v>207</v>
      </c>
      <c r="L201" s="383" t="s">
        <v>9629</v>
      </c>
      <c r="M201" s="383" t="s">
        <v>10073</v>
      </c>
      <c r="N201" s="420" t="s">
        <v>44</v>
      </c>
      <c r="O201" s="383" t="str">
        <f>IF(LEN(SUBSTITUTE(Table3937[[#This Row],[PRIMARY CONTACT]]," ",""))=10,SUBSTITUTE(Table3937[[#This Row],[PRIMARY CONTACT]]," ","") &amp; " - Proper","- Follow Up")</f>
        <v>9366607111 - Proper</v>
      </c>
      <c r="P201" s="383" t="s">
        <v>5790</v>
      </c>
      <c r="Q201" s="383">
        <v>9366607111</v>
      </c>
      <c r="R201" s="383" t="str">
        <f>SUBSTITUTE(Table3937[[#This Row],[whatsapp_number]]," ","")</f>
        <v>9366607111</v>
      </c>
      <c r="S201" s="383" t="str">
        <f>IF(Table3937[[#This Row],[PRIMARY CONTACT]]=Table3937[[#This Row],[WHATSAPP CONTACT]],"Same Contact","Different Contact")</f>
        <v>Same Contact</v>
      </c>
      <c r="T201" s="383" t="str">
        <f>IF(LEN(SUBSTITUTE(Table3937[[#This Row],[PRIMARY CONTACT]]," ",""))=10,SUBSTITUTE(Table3937[[#This Row],[PRIMARY CONTACT]]," ","") &amp; " - Proper","- Follow Up")</f>
        <v>9366607111 - Proper</v>
      </c>
      <c r="U201" s="383" t="s">
        <v>8341</v>
      </c>
      <c r="V201" s="393" t="s">
        <v>5791</v>
      </c>
      <c r="W201" s="383" t="s">
        <v>47</v>
      </c>
      <c r="X201" s="420" t="s">
        <v>44</v>
      </c>
      <c r="Y201" s="420" t="s">
        <v>44</v>
      </c>
      <c r="Z201" s="420" t="s">
        <v>44</v>
      </c>
      <c r="AA201" s="420" t="s">
        <v>44</v>
      </c>
      <c r="AB201" s="383"/>
    </row>
    <row r="202" spans="1:28" ht="13.8">
      <c r="A202" s="387">
        <v>201</v>
      </c>
      <c r="B202" s="387" t="s">
        <v>10710</v>
      </c>
      <c r="C202" s="387" t="s">
        <v>10710</v>
      </c>
      <c r="D202" s="387" t="s">
        <v>10710</v>
      </c>
      <c r="E202" s="383" t="s">
        <v>8788</v>
      </c>
      <c r="F202" s="383">
        <v>669</v>
      </c>
      <c r="G202" s="383" t="s">
        <v>71</v>
      </c>
      <c r="H202" s="383" t="s">
        <v>71</v>
      </c>
      <c r="I202" s="383" t="s">
        <v>8355</v>
      </c>
      <c r="J202" s="383" t="s">
        <v>9394</v>
      </c>
      <c r="K202" s="383" t="s">
        <v>8341</v>
      </c>
      <c r="L202" s="383" t="s">
        <v>9630</v>
      </c>
      <c r="M202" s="383" t="s">
        <v>10074</v>
      </c>
      <c r="N202" s="420" t="s">
        <v>44</v>
      </c>
      <c r="O202" s="383" t="str">
        <f>IF(LEN(SUBSTITUTE(Table3937[[#This Row],[PRIMARY CONTACT]]," ",""))=10,SUBSTITUTE(Table3937[[#This Row],[PRIMARY CONTACT]]," ","") &amp; " - Proper","- Follow Up")</f>
        <v>9910033158 - Proper</v>
      </c>
      <c r="P202" s="383" t="s">
        <v>5120</v>
      </c>
      <c r="Q202" s="383">
        <v>9910033158</v>
      </c>
      <c r="R202" s="383" t="str">
        <f>SUBSTITUTE(Table3937[[#This Row],[whatsapp_number]]," ","")</f>
        <v>9910033158</v>
      </c>
      <c r="S202" s="383" t="str">
        <f>IF(Table3937[[#This Row],[PRIMARY CONTACT]]=Table3937[[#This Row],[WHATSAPP CONTACT]],"Same Contact","Different Contact")</f>
        <v>Same Contact</v>
      </c>
      <c r="T202" s="383" t="str">
        <f>IF(LEN(SUBSTITUTE(Table3937[[#This Row],[PRIMARY CONTACT]]," ",""))=10,SUBSTITUTE(Table3937[[#This Row],[PRIMARY CONTACT]]," ","") &amp; " - Proper","- Follow Up")</f>
        <v>9910033158 - Proper</v>
      </c>
      <c r="U202" s="383" t="s">
        <v>8341</v>
      </c>
      <c r="V202" s="393" t="s">
        <v>5121</v>
      </c>
      <c r="W202" s="383" t="s">
        <v>47</v>
      </c>
      <c r="X202" s="420" t="s">
        <v>44</v>
      </c>
      <c r="Y202" s="420" t="s">
        <v>44</v>
      </c>
      <c r="Z202" s="420" t="s">
        <v>44</v>
      </c>
      <c r="AA202" s="420" t="s">
        <v>44</v>
      </c>
      <c r="AB202" s="383"/>
    </row>
    <row r="203" spans="1:28" ht="13.8">
      <c r="A203" s="387">
        <v>202</v>
      </c>
      <c r="B203" s="387" t="s">
        <v>10710</v>
      </c>
      <c r="C203" s="387" t="s">
        <v>10710</v>
      </c>
      <c r="D203" s="387" t="s">
        <v>10710</v>
      </c>
      <c r="E203" s="383" t="s">
        <v>8789</v>
      </c>
      <c r="F203" s="383">
        <v>670</v>
      </c>
      <c r="G203" s="383" t="s">
        <v>71</v>
      </c>
      <c r="H203" s="383" t="s">
        <v>5204</v>
      </c>
      <c r="I203" s="383" t="s">
        <v>8364</v>
      </c>
      <c r="J203" s="383" t="s">
        <v>5800</v>
      </c>
      <c r="K203" s="383" t="s">
        <v>8341</v>
      </c>
      <c r="L203" s="383" t="s">
        <v>9631</v>
      </c>
      <c r="M203" s="383" t="s">
        <v>10075</v>
      </c>
      <c r="N203" s="420" t="s">
        <v>44</v>
      </c>
      <c r="O203" s="383" t="str">
        <f>IF(LEN(SUBSTITUTE(Table3937[[#This Row],[PRIMARY CONTACT]]," ",""))=10,SUBSTITUTE(Table3937[[#This Row],[PRIMARY CONTACT]]," ","") &amp; " - Proper","- Follow Up")</f>
        <v>9820364447 - Proper</v>
      </c>
      <c r="P203" s="383" t="s">
        <v>5207</v>
      </c>
      <c r="Q203" s="383">
        <v>9820364447</v>
      </c>
      <c r="R203" s="383" t="str">
        <f>SUBSTITUTE(Table3937[[#This Row],[whatsapp_number]]," ","")</f>
        <v>9820364447</v>
      </c>
      <c r="S203" s="383" t="str">
        <f>IF(Table3937[[#This Row],[PRIMARY CONTACT]]=Table3937[[#This Row],[WHATSAPP CONTACT]],"Same Contact","Different Contact")</f>
        <v>Same Contact</v>
      </c>
      <c r="T203" s="383" t="str">
        <f>IF(LEN(SUBSTITUTE(Table3937[[#This Row],[PRIMARY CONTACT]]," ",""))=10,SUBSTITUTE(Table3937[[#This Row],[PRIMARY CONTACT]]," ","") &amp; " - Proper","- Follow Up")</f>
        <v>9820364447 - Proper</v>
      </c>
      <c r="U203" s="383" t="s">
        <v>8341</v>
      </c>
      <c r="V203" s="393" t="s">
        <v>5208</v>
      </c>
      <c r="W203" s="383" t="s">
        <v>47</v>
      </c>
      <c r="X203" s="420" t="s">
        <v>44</v>
      </c>
      <c r="Y203" s="420" t="s">
        <v>44</v>
      </c>
      <c r="Z203" s="420" t="s">
        <v>44</v>
      </c>
      <c r="AA203" s="420" t="s">
        <v>44</v>
      </c>
      <c r="AB203" s="383"/>
    </row>
    <row r="204" spans="1:28" ht="13.8">
      <c r="A204" s="387">
        <v>203</v>
      </c>
      <c r="B204" s="387" t="s">
        <v>10710</v>
      </c>
      <c r="C204" s="387" t="s">
        <v>10710</v>
      </c>
      <c r="D204" s="387" t="s">
        <v>10710</v>
      </c>
      <c r="E204" s="383" t="s">
        <v>8790</v>
      </c>
      <c r="F204" s="383">
        <v>671</v>
      </c>
      <c r="G204" s="383" t="s">
        <v>71</v>
      </c>
      <c r="H204" s="383" t="s">
        <v>5204</v>
      </c>
      <c r="I204" s="383" t="s">
        <v>8364</v>
      </c>
      <c r="J204" s="383" t="s">
        <v>5797</v>
      </c>
      <c r="K204" s="383" t="s">
        <v>8341</v>
      </c>
      <c r="L204" s="383" t="s">
        <v>9632</v>
      </c>
      <c r="M204" s="383" t="s">
        <v>10076</v>
      </c>
      <c r="N204" s="420" t="s">
        <v>44</v>
      </c>
      <c r="O204" s="383" t="str">
        <f>IF(LEN(SUBSTITUTE(Table3937[[#This Row],[PRIMARY CONTACT]]," ",""))=10,SUBSTITUTE(Table3937[[#This Row],[PRIMARY CONTACT]]," ","") &amp; " - Proper","- Follow Up")</f>
        <v>9821010480 - Proper</v>
      </c>
      <c r="P204" s="383" t="s">
        <v>5211</v>
      </c>
      <c r="Q204" s="383">
        <v>9821010480</v>
      </c>
      <c r="R204" s="383" t="str">
        <f>SUBSTITUTE(Table3937[[#This Row],[whatsapp_number]]," ","")</f>
        <v>9821010480</v>
      </c>
      <c r="S204" s="383" t="str">
        <f>IF(Table3937[[#This Row],[PRIMARY CONTACT]]=Table3937[[#This Row],[WHATSAPP CONTACT]],"Same Contact","Different Contact")</f>
        <v>Same Contact</v>
      </c>
      <c r="T204" s="383" t="str">
        <f>IF(LEN(SUBSTITUTE(Table3937[[#This Row],[PRIMARY CONTACT]]," ",""))=10,SUBSTITUTE(Table3937[[#This Row],[PRIMARY CONTACT]]," ","") &amp; " - Proper","- Follow Up")</f>
        <v>9821010480 - Proper</v>
      </c>
      <c r="U204" s="383" t="s">
        <v>8341</v>
      </c>
      <c r="V204" s="393" t="s">
        <v>5208</v>
      </c>
      <c r="W204" s="383" t="s">
        <v>47</v>
      </c>
      <c r="X204" s="420" t="s">
        <v>44</v>
      </c>
      <c r="Y204" s="420" t="s">
        <v>44</v>
      </c>
      <c r="Z204" s="420" t="s">
        <v>44</v>
      </c>
      <c r="AA204" s="420" t="s">
        <v>44</v>
      </c>
      <c r="AB204" s="383"/>
    </row>
    <row r="205" spans="1:28" ht="13.8">
      <c r="A205" s="387">
        <v>204</v>
      </c>
      <c r="B205" s="387" t="s">
        <v>10710</v>
      </c>
      <c r="C205" s="387" t="s">
        <v>10710</v>
      </c>
      <c r="D205" s="387" t="s">
        <v>10710</v>
      </c>
      <c r="E205" s="383" t="s">
        <v>8791</v>
      </c>
      <c r="F205" s="383">
        <v>672</v>
      </c>
      <c r="G205" s="383" t="s">
        <v>71</v>
      </c>
      <c r="H205" s="383" t="s">
        <v>5345</v>
      </c>
      <c r="I205" s="383" t="s">
        <v>8382</v>
      </c>
      <c r="J205" s="383" t="s">
        <v>9395</v>
      </c>
      <c r="K205" s="383" t="s">
        <v>8341</v>
      </c>
      <c r="L205" s="383" t="s">
        <v>9633</v>
      </c>
      <c r="M205" s="383" t="s">
        <v>10077</v>
      </c>
      <c r="N205" s="420" t="s">
        <v>44</v>
      </c>
      <c r="O205" s="383" t="str">
        <f>IF(LEN(SUBSTITUTE(Table3937[[#This Row],[PRIMARY CONTACT]]," ",""))=10,SUBSTITUTE(Table3937[[#This Row],[PRIMARY CONTACT]]," ","") &amp; " - Proper","- Follow Up")</f>
        <v>9994166063 - Proper</v>
      </c>
      <c r="P205" s="383" t="s">
        <v>5351</v>
      </c>
      <c r="Q205" s="383">
        <v>9994166063</v>
      </c>
      <c r="R205" s="383" t="str">
        <f>SUBSTITUTE(Table3937[[#This Row],[whatsapp_number]]," ","")</f>
        <v>9994166063</v>
      </c>
      <c r="S205" s="383" t="str">
        <f>IF(Table3937[[#This Row],[PRIMARY CONTACT]]=Table3937[[#This Row],[WHATSAPP CONTACT]],"Same Contact","Different Contact")</f>
        <v>Same Contact</v>
      </c>
      <c r="T205" s="383" t="str">
        <f>IF(LEN(SUBSTITUTE(Table3937[[#This Row],[PRIMARY CONTACT]]," ",""))=10,SUBSTITUTE(Table3937[[#This Row],[PRIMARY CONTACT]]," ","") &amp; " - Proper","- Follow Up")</f>
        <v>9994166063 - Proper</v>
      </c>
      <c r="U205" s="383" t="s">
        <v>8341</v>
      </c>
      <c r="V205" s="383" t="s">
        <v>71</v>
      </c>
      <c r="W205" s="383" t="s">
        <v>47</v>
      </c>
      <c r="X205" s="420" t="s">
        <v>44</v>
      </c>
      <c r="Y205" s="420" t="s">
        <v>44</v>
      </c>
      <c r="Z205" s="420" t="s">
        <v>44</v>
      </c>
      <c r="AA205" s="420" t="s">
        <v>44</v>
      </c>
      <c r="AB205" s="383"/>
    </row>
    <row r="206" spans="1:28" ht="13.8">
      <c r="A206" s="387">
        <v>205</v>
      </c>
      <c r="B206" s="387" t="s">
        <v>10710</v>
      </c>
      <c r="C206" s="387" t="s">
        <v>10710</v>
      </c>
      <c r="D206" s="387" t="s">
        <v>10710</v>
      </c>
      <c r="E206" s="383" t="s">
        <v>8792</v>
      </c>
      <c r="F206" s="383">
        <v>673</v>
      </c>
      <c r="G206" s="383" t="s">
        <v>71</v>
      </c>
      <c r="H206" s="383" t="s">
        <v>71</v>
      </c>
      <c r="I206" s="383" t="s">
        <v>8385</v>
      </c>
      <c r="J206" s="383" t="s">
        <v>9396</v>
      </c>
      <c r="K206" s="383" t="s">
        <v>8341</v>
      </c>
      <c r="L206" s="383" t="s">
        <v>8341</v>
      </c>
      <c r="M206" s="383" t="s">
        <v>10078</v>
      </c>
      <c r="N206" s="420" t="s">
        <v>44</v>
      </c>
      <c r="O206" s="383" t="str">
        <f>IF(LEN(SUBSTITUTE(Table3937[[#This Row],[PRIMARY CONTACT]]," ",""))=10,SUBSTITUTE(Table3937[[#This Row],[PRIMARY CONTACT]]," ","") &amp; " - Proper","- Follow Up")</f>
        <v>9980421448 - Proper</v>
      </c>
      <c r="P206" s="383" t="s">
        <v>5368</v>
      </c>
      <c r="Q206" s="383">
        <v>9980421448</v>
      </c>
      <c r="R206" s="383" t="str">
        <f>SUBSTITUTE(Table3937[[#This Row],[whatsapp_number]]," ","")</f>
        <v>9980421448</v>
      </c>
      <c r="S206" s="383" t="str">
        <f>IF(Table3937[[#This Row],[PRIMARY CONTACT]]=Table3937[[#This Row],[WHATSAPP CONTACT]],"Same Contact","Different Contact")</f>
        <v>Same Contact</v>
      </c>
      <c r="T206" s="383" t="str">
        <f>IF(LEN(SUBSTITUTE(Table3937[[#This Row],[PRIMARY CONTACT]]," ",""))=10,SUBSTITUTE(Table3937[[#This Row],[PRIMARY CONTACT]]," ","") &amp; " - Proper","- Follow Up")</f>
        <v>9980421448 - Proper</v>
      </c>
      <c r="U206" s="383" t="s">
        <v>8341</v>
      </c>
      <c r="V206" s="393" t="s">
        <v>5369</v>
      </c>
      <c r="W206" s="383" t="s">
        <v>47</v>
      </c>
      <c r="X206" s="420" t="s">
        <v>44</v>
      </c>
      <c r="Y206" s="420" t="s">
        <v>44</v>
      </c>
      <c r="Z206" s="420" t="s">
        <v>44</v>
      </c>
      <c r="AA206" s="420" t="s">
        <v>44</v>
      </c>
      <c r="AB206" s="383"/>
    </row>
    <row r="207" spans="1:28" ht="13.8">
      <c r="A207" s="387">
        <v>206</v>
      </c>
      <c r="B207" s="387" t="s">
        <v>10710</v>
      </c>
      <c r="C207" s="387" t="s">
        <v>10710</v>
      </c>
      <c r="D207" s="387" t="s">
        <v>10710</v>
      </c>
      <c r="E207" s="383" t="s">
        <v>8793</v>
      </c>
      <c r="F207" s="383">
        <v>674</v>
      </c>
      <c r="G207" s="383" t="s">
        <v>71</v>
      </c>
      <c r="H207" s="383" t="s">
        <v>5569</v>
      </c>
      <c r="I207" s="383" t="s">
        <v>8403</v>
      </c>
      <c r="J207" s="383" t="s">
        <v>9397</v>
      </c>
      <c r="K207" s="383" t="s">
        <v>8341</v>
      </c>
      <c r="L207" s="383" t="s">
        <v>9634</v>
      </c>
      <c r="M207" s="383" t="s">
        <v>10079</v>
      </c>
      <c r="N207" s="420" t="s">
        <v>44</v>
      </c>
      <c r="O207" s="383" t="str">
        <f>IF(LEN(SUBSTITUTE(Table3937[[#This Row],[PRIMARY CONTACT]]," ",""))=10,SUBSTITUTE(Table3937[[#This Row],[PRIMARY CONTACT]]," ","") &amp; " - Proper","- Follow Up")</f>
        <v>9819835803 - Proper</v>
      </c>
      <c r="P207" s="383" t="s">
        <v>5572</v>
      </c>
      <c r="Q207" s="383">
        <v>9819835803</v>
      </c>
      <c r="R207" s="383" t="str">
        <f>SUBSTITUTE(Table3937[[#This Row],[whatsapp_number]]," ","")</f>
        <v>9819835803</v>
      </c>
      <c r="S207" s="383" t="str">
        <f>IF(Table3937[[#This Row],[PRIMARY CONTACT]]=Table3937[[#This Row],[WHATSAPP CONTACT]],"Same Contact","Different Contact")</f>
        <v>Same Contact</v>
      </c>
      <c r="T207" s="383" t="str">
        <f>IF(LEN(SUBSTITUTE(Table3937[[#This Row],[PRIMARY CONTACT]]," ",""))=10,SUBSTITUTE(Table3937[[#This Row],[PRIMARY CONTACT]]," ","") &amp; " - Proper","- Follow Up")</f>
        <v>9819835803 - Proper</v>
      </c>
      <c r="U207" s="383" t="s">
        <v>8341</v>
      </c>
      <c r="V207" s="393" t="s">
        <v>5573</v>
      </c>
      <c r="W207" s="383" t="s">
        <v>47</v>
      </c>
      <c r="X207" s="420" t="s">
        <v>44</v>
      </c>
      <c r="Y207" s="420" t="s">
        <v>44</v>
      </c>
      <c r="Z207" s="420" t="s">
        <v>44</v>
      </c>
      <c r="AA207" s="420" t="s">
        <v>44</v>
      </c>
      <c r="AB207" s="383"/>
    </row>
    <row r="208" spans="1:28" ht="13.8">
      <c r="A208" s="387">
        <v>207</v>
      </c>
      <c r="B208" s="387" t="s">
        <v>10710</v>
      </c>
      <c r="C208" s="387" t="s">
        <v>10710</v>
      </c>
      <c r="D208" s="387" t="s">
        <v>10710</v>
      </c>
      <c r="E208" s="383" t="s">
        <v>8794</v>
      </c>
      <c r="F208" s="383">
        <v>675</v>
      </c>
      <c r="G208" s="383" t="s">
        <v>71</v>
      </c>
      <c r="H208" s="383" t="s">
        <v>5602</v>
      </c>
      <c r="I208" s="383" t="s">
        <v>8406</v>
      </c>
      <c r="J208" s="383" t="s">
        <v>9398</v>
      </c>
      <c r="K208" s="383" t="s">
        <v>8341</v>
      </c>
      <c r="L208" s="383" t="s">
        <v>8341</v>
      </c>
      <c r="M208" s="383" t="s">
        <v>10080</v>
      </c>
      <c r="N208" s="420" t="s">
        <v>44</v>
      </c>
      <c r="O208" s="383" t="str">
        <f>IF(LEN(SUBSTITUTE(Table3937[[#This Row],[PRIMARY CONTACT]]," ",""))=10,SUBSTITUTE(Table3937[[#This Row],[PRIMARY CONTACT]]," ","") &amp; " - Proper","- Follow Up")</f>
        <v>9019427190 - Proper</v>
      </c>
      <c r="P208" s="383" t="s">
        <v>5605</v>
      </c>
      <c r="Q208" s="383">
        <v>9019427190</v>
      </c>
      <c r="R208" s="383" t="str">
        <f>SUBSTITUTE(Table3937[[#This Row],[whatsapp_number]]," ","")</f>
        <v>9019427190</v>
      </c>
      <c r="S208" s="383" t="str">
        <f>IF(Table3937[[#This Row],[PRIMARY CONTACT]]=Table3937[[#This Row],[WHATSAPP CONTACT]],"Same Contact","Different Contact")</f>
        <v>Same Contact</v>
      </c>
      <c r="T208" s="383" t="str">
        <f>IF(LEN(SUBSTITUTE(Table3937[[#This Row],[PRIMARY CONTACT]]," ",""))=10,SUBSTITUTE(Table3937[[#This Row],[PRIMARY CONTACT]]," ","") &amp; " - Proper","- Follow Up")</f>
        <v>9019427190 - Proper</v>
      </c>
      <c r="U208" s="383" t="s">
        <v>8341</v>
      </c>
      <c r="V208" s="383" t="s">
        <v>71</v>
      </c>
      <c r="W208" s="383" t="s">
        <v>47</v>
      </c>
      <c r="X208" s="420" t="s">
        <v>44</v>
      </c>
      <c r="Y208" s="420" t="s">
        <v>44</v>
      </c>
      <c r="Z208" s="420" t="s">
        <v>44</v>
      </c>
      <c r="AA208" s="420" t="s">
        <v>44</v>
      </c>
      <c r="AB208" s="383"/>
    </row>
    <row r="209" spans="1:28" ht="13.8">
      <c r="A209" s="387">
        <v>208</v>
      </c>
      <c r="B209" s="387" t="s">
        <v>10710</v>
      </c>
      <c r="C209" s="387" t="s">
        <v>10710</v>
      </c>
      <c r="D209" s="387" t="s">
        <v>10710</v>
      </c>
      <c r="E209" s="383" t="s">
        <v>8795</v>
      </c>
      <c r="F209" s="383">
        <v>676</v>
      </c>
      <c r="G209" s="383" t="s">
        <v>71</v>
      </c>
      <c r="H209" s="383" t="s">
        <v>5602</v>
      </c>
      <c r="I209" s="383" t="s">
        <v>8406</v>
      </c>
      <c r="J209" s="383" t="s">
        <v>9399</v>
      </c>
      <c r="K209" s="383" t="s">
        <v>8341</v>
      </c>
      <c r="L209" s="383" t="s">
        <v>9635</v>
      </c>
      <c r="M209" s="383" t="s">
        <v>10081</v>
      </c>
      <c r="N209" s="420" t="s">
        <v>44</v>
      </c>
      <c r="O209" s="383" t="str">
        <f>IF(LEN(SUBSTITUTE(Table3937[[#This Row],[PRIMARY CONTACT]]," ",""))=10,SUBSTITUTE(Table3937[[#This Row],[PRIMARY CONTACT]]," ","") &amp; " - Proper","- Follow Up")</f>
        <v>9886468485 - Proper</v>
      </c>
      <c r="P209" s="383" t="s">
        <v>5605</v>
      </c>
      <c r="Q209" s="383">
        <v>9886468485</v>
      </c>
      <c r="R209" s="383" t="str">
        <f>SUBSTITUTE(Table3937[[#This Row],[whatsapp_number]]," ","")</f>
        <v>9886468485</v>
      </c>
      <c r="S209" s="383" t="str">
        <f>IF(Table3937[[#This Row],[PRIMARY CONTACT]]=Table3937[[#This Row],[WHATSAPP CONTACT]],"Same Contact","Different Contact")</f>
        <v>Same Contact</v>
      </c>
      <c r="T209" s="383" t="str">
        <f>IF(LEN(SUBSTITUTE(Table3937[[#This Row],[PRIMARY CONTACT]]," ",""))=10,SUBSTITUTE(Table3937[[#This Row],[PRIMARY CONTACT]]," ","") &amp; " - Proper","- Follow Up")</f>
        <v>9886468485 - Proper</v>
      </c>
      <c r="U209" s="383" t="s">
        <v>8341</v>
      </c>
      <c r="V209" s="383" t="s">
        <v>71</v>
      </c>
      <c r="W209" s="383" t="s">
        <v>47</v>
      </c>
      <c r="X209" s="420" t="s">
        <v>44</v>
      </c>
      <c r="Y209" s="420" t="s">
        <v>44</v>
      </c>
      <c r="Z209" s="420" t="s">
        <v>44</v>
      </c>
      <c r="AA209" s="420" t="s">
        <v>44</v>
      </c>
      <c r="AB209" s="383"/>
    </row>
    <row r="210" spans="1:28" ht="13.8">
      <c r="A210" s="387">
        <v>209</v>
      </c>
      <c r="B210" s="387" t="s">
        <v>10710</v>
      </c>
      <c r="C210" s="387" t="s">
        <v>10710</v>
      </c>
      <c r="D210" s="387" t="s">
        <v>10710</v>
      </c>
      <c r="E210" s="383" t="s">
        <v>8796</v>
      </c>
      <c r="F210" s="383">
        <v>677</v>
      </c>
      <c r="G210" s="383" t="s">
        <v>71</v>
      </c>
      <c r="H210" s="383" t="s">
        <v>5602</v>
      </c>
      <c r="I210" s="383" t="s">
        <v>8406</v>
      </c>
      <c r="J210" s="383" t="s">
        <v>9400</v>
      </c>
      <c r="K210" s="383" t="s">
        <v>8341</v>
      </c>
      <c r="L210" s="383" t="s">
        <v>9636</v>
      </c>
      <c r="M210" s="383" t="s">
        <v>10082</v>
      </c>
      <c r="N210" s="420" t="s">
        <v>44</v>
      </c>
      <c r="O210" s="383" t="str">
        <f>IF(LEN(SUBSTITUTE(Table3937[[#This Row],[PRIMARY CONTACT]]," ",""))=10,SUBSTITUTE(Table3937[[#This Row],[PRIMARY CONTACT]]," ","") &amp; " - Proper","- Follow Up")</f>
        <v>9845146496 - Proper</v>
      </c>
      <c r="P210" s="383" t="s">
        <v>5605</v>
      </c>
      <c r="Q210" s="383">
        <v>9845146496</v>
      </c>
      <c r="R210" s="383" t="str">
        <f>SUBSTITUTE(Table3937[[#This Row],[whatsapp_number]]," ","")</f>
        <v>9845146496</v>
      </c>
      <c r="S210" s="383" t="str">
        <f>IF(Table3937[[#This Row],[PRIMARY CONTACT]]=Table3937[[#This Row],[WHATSAPP CONTACT]],"Same Contact","Different Contact")</f>
        <v>Same Contact</v>
      </c>
      <c r="T210" s="383" t="str">
        <f>IF(LEN(SUBSTITUTE(Table3937[[#This Row],[PRIMARY CONTACT]]," ",""))=10,SUBSTITUTE(Table3937[[#This Row],[PRIMARY CONTACT]]," ","") &amp; " - Proper","- Follow Up")</f>
        <v>9845146496 - Proper</v>
      </c>
      <c r="U210" s="383" t="s">
        <v>8341</v>
      </c>
      <c r="V210" s="383" t="s">
        <v>71</v>
      </c>
      <c r="W210" s="383" t="s">
        <v>47</v>
      </c>
      <c r="X210" s="420" t="s">
        <v>44</v>
      </c>
      <c r="Y210" s="420" t="s">
        <v>44</v>
      </c>
      <c r="Z210" s="420" t="s">
        <v>44</v>
      </c>
      <c r="AA210" s="420" t="s">
        <v>44</v>
      </c>
      <c r="AB210" s="383"/>
    </row>
    <row r="211" spans="1:28" ht="13.8">
      <c r="A211" s="387">
        <v>210</v>
      </c>
      <c r="B211" s="387" t="s">
        <v>10710</v>
      </c>
      <c r="C211" s="387" t="s">
        <v>10710</v>
      </c>
      <c r="D211" s="387" t="s">
        <v>10710</v>
      </c>
      <c r="E211" s="383" t="s">
        <v>8797</v>
      </c>
      <c r="F211" s="383">
        <v>678</v>
      </c>
      <c r="G211" s="383" t="s">
        <v>71</v>
      </c>
      <c r="H211" s="383" t="s">
        <v>5632</v>
      </c>
      <c r="I211" s="383" t="s">
        <v>8408</v>
      </c>
      <c r="J211" s="383" t="s">
        <v>9401</v>
      </c>
      <c r="K211" s="383" t="s">
        <v>8341</v>
      </c>
      <c r="L211" s="383" t="s">
        <v>8341</v>
      </c>
      <c r="M211" s="383" t="s">
        <v>10083</v>
      </c>
      <c r="N211" s="420" t="s">
        <v>44</v>
      </c>
      <c r="O211" s="383" t="str">
        <f>IF(LEN(SUBSTITUTE(Table3937[[#This Row],[PRIMARY CONTACT]]," ",""))=10,SUBSTITUTE(Table3937[[#This Row],[PRIMARY CONTACT]]," ","") &amp; " - Proper","- Follow Up")</f>
        <v>9901933749 - Proper</v>
      </c>
      <c r="P211" s="383" t="s">
        <v>5635</v>
      </c>
      <c r="Q211" s="383">
        <v>9901933749</v>
      </c>
      <c r="R211" s="383" t="str">
        <f>SUBSTITUTE(Table3937[[#This Row],[whatsapp_number]]," ","")</f>
        <v>9901933749</v>
      </c>
      <c r="S211" s="383" t="str">
        <f>IF(Table3937[[#This Row],[PRIMARY CONTACT]]=Table3937[[#This Row],[WHATSAPP CONTACT]],"Same Contact","Different Contact")</f>
        <v>Same Contact</v>
      </c>
      <c r="T211" s="383" t="str">
        <f>IF(LEN(SUBSTITUTE(Table3937[[#This Row],[PRIMARY CONTACT]]," ",""))=10,SUBSTITUTE(Table3937[[#This Row],[PRIMARY CONTACT]]," ","") &amp; " - Proper","- Follow Up")</f>
        <v>9901933749 - Proper</v>
      </c>
      <c r="U211" s="383" t="s">
        <v>8341</v>
      </c>
      <c r="V211" s="383" t="s">
        <v>71</v>
      </c>
      <c r="W211" s="383" t="s">
        <v>47</v>
      </c>
      <c r="X211" s="420" t="s">
        <v>44</v>
      </c>
      <c r="Y211" s="420" t="s">
        <v>44</v>
      </c>
      <c r="Z211" s="420" t="s">
        <v>44</v>
      </c>
      <c r="AA211" s="420" t="s">
        <v>44</v>
      </c>
      <c r="AB211" s="383"/>
    </row>
    <row r="212" spans="1:28" ht="13.8">
      <c r="A212" s="387">
        <v>211</v>
      </c>
      <c r="B212" s="387" t="s">
        <v>10710</v>
      </c>
      <c r="C212" s="387" t="s">
        <v>10710</v>
      </c>
      <c r="D212" s="387" t="s">
        <v>10710</v>
      </c>
      <c r="E212" s="383" t="s">
        <v>8798</v>
      </c>
      <c r="F212" s="383">
        <v>679</v>
      </c>
      <c r="G212" s="383" t="s">
        <v>71</v>
      </c>
      <c r="H212" s="383" t="s">
        <v>5632</v>
      </c>
      <c r="I212" s="383" t="s">
        <v>8408</v>
      </c>
      <c r="J212" s="383" t="s">
        <v>9402</v>
      </c>
      <c r="K212" s="383" t="s">
        <v>8341</v>
      </c>
      <c r="L212" s="383" t="s">
        <v>9637</v>
      </c>
      <c r="M212" s="383" t="s">
        <v>10084</v>
      </c>
      <c r="N212" s="420" t="s">
        <v>44</v>
      </c>
      <c r="O212" s="383" t="str">
        <f>IF(LEN(SUBSTITUTE(Table3937[[#This Row],[PRIMARY CONTACT]]," ",""))=10,SUBSTITUTE(Table3937[[#This Row],[PRIMARY CONTACT]]," ","") &amp; " - Proper","- Follow Up")</f>
        <v>9844365155 - Proper</v>
      </c>
      <c r="P212" s="383" t="s">
        <v>5635</v>
      </c>
      <c r="Q212" s="383">
        <v>9844365155</v>
      </c>
      <c r="R212" s="383" t="str">
        <f>SUBSTITUTE(Table3937[[#This Row],[whatsapp_number]]," ","")</f>
        <v>9844365155</v>
      </c>
      <c r="S212" s="383" t="str">
        <f>IF(Table3937[[#This Row],[PRIMARY CONTACT]]=Table3937[[#This Row],[WHATSAPP CONTACT]],"Same Contact","Different Contact")</f>
        <v>Same Contact</v>
      </c>
      <c r="T212" s="383" t="str">
        <f>IF(LEN(SUBSTITUTE(Table3937[[#This Row],[PRIMARY CONTACT]]," ",""))=10,SUBSTITUTE(Table3937[[#This Row],[PRIMARY CONTACT]]," ","") &amp; " - Proper","- Follow Up")</f>
        <v>9844365155 - Proper</v>
      </c>
      <c r="U212" s="383" t="s">
        <v>8341</v>
      </c>
      <c r="V212" s="383" t="s">
        <v>71</v>
      </c>
      <c r="W212" s="383" t="s">
        <v>47</v>
      </c>
      <c r="X212" s="420" t="s">
        <v>44</v>
      </c>
      <c r="Y212" s="420" t="s">
        <v>44</v>
      </c>
      <c r="Z212" s="420" t="s">
        <v>44</v>
      </c>
      <c r="AA212" s="420" t="s">
        <v>44</v>
      </c>
      <c r="AB212" s="383"/>
    </row>
    <row r="213" spans="1:28" ht="13.8">
      <c r="A213" s="387">
        <v>212</v>
      </c>
      <c r="B213" s="387" t="s">
        <v>10710</v>
      </c>
      <c r="C213" s="387" t="s">
        <v>10710</v>
      </c>
      <c r="D213" s="387" t="s">
        <v>10710</v>
      </c>
      <c r="E213" s="383" t="s">
        <v>8799</v>
      </c>
      <c r="F213" s="383">
        <v>680</v>
      </c>
      <c r="G213" s="383" t="s">
        <v>71</v>
      </c>
      <c r="H213" s="383" t="s">
        <v>71</v>
      </c>
      <c r="I213" s="383" t="s">
        <v>8414</v>
      </c>
      <c r="J213" s="383" t="s">
        <v>9403</v>
      </c>
      <c r="K213" s="383" t="s">
        <v>8341</v>
      </c>
      <c r="L213" s="383" t="s">
        <v>8341</v>
      </c>
      <c r="M213" s="383" t="s">
        <v>10085</v>
      </c>
      <c r="N213" s="420" t="s">
        <v>44</v>
      </c>
      <c r="O213" s="383" t="str">
        <f>IF(LEN(SUBSTITUTE(Table3937[[#This Row],[PRIMARY CONTACT]]," ",""))=10,SUBSTITUTE(Table3937[[#This Row],[PRIMARY CONTACT]]," ","") &amp; " - Proper","- Follow Up")</f>
        <v>9849447104 - Proper</v>
      </c>
      <c r="P213" s="383" t="s">
        <v>5687</v>
      </c>
      <c r="Q213" s="383">
        <v>9849447104</v>
      </c>
      <c r="R213" s="383" t="str">
        <f>SUBSTITUTE(Table3937[[#This Row],[whatsapp_number]]," ","")</f>
        <v>9849447104</v>
      </c>
      <c r="S213" s="383" t="str">
        <f>IF(Table3937[[#This Row],[PRIMARY CONTACT]]=Table3937[[#This Row],[WHATSAPP CONTACT]],"Same Contact","Different Contact")</f>
        <v>Same Contact</v>
      </c>
      <c r="T213" s="383" t="str">
        <f>IF(LEN(SUBSTITUTE(Table3937[[#This Row],[PRIMARY CONTACT]]," ",""))=10,SUBSTITUTE(Table3937[[#This Row],[PRIMARY CONTACT]]," ","") &amp; " - Proper","- Follow Up")</f>
        <v>9849447104 - Proper</v>
      </c>
      <c r="U213" s="383" t="s">
        <v>8341</v>
      </c>
      <c r="V213" s="383" t="s">
        <v>71</v>
      </c>
      <c r="W213" s="383" t="s">
        <v>47</v>
      </c>
      <c r="X213" s="420" t="s">
        <v>44</v>
      </c>
      <c r="Y213" s="420" t="s">
        <v>44</v>
      </c>
      <c r="Z213" s="420" t="s">
        <v>44</v>
      </c>
      <c r="AA213" s="420" t="s">
        <v>44</v>
      </c>
      <c r="AB213" s="383"/>
    </row>
    <row r="214" spans="1:28" ht="13.8">
      <c r="A214" s="387">
        <v>213</v>
      </c>
      <c r="B214" s="387" t="s">
        <v>10710</v>
      </c>
      <c r="C214" s="387" t="s">
        <v>10710</v>
      </c>
      <c r="D214" s="387" t="s">
        <v>10710</v>
      </c>
      <c r="E214" s="383" t="s">
        <v>8800</v>
      </c>
      <c r="F214" s="383">
        <v>681</v>
      </c>
      <c r="G214" s="383" t="s">
        <v>71</v>
      </c>
      <c r="H214" s="383" t="s">
        <v>71</v>
      </c>
      <c r="I214" s="383" t="s">
        <v>8414</v>
      </c>
      <c r="J214" s="383" t="s">
        <v>9404</v>
      </c>
      <c r="K214" s="383" t="s">
        <v>8341</v>
      </c>
      <c r="L214" s="383" t="s">
        <v>8341</v>
      </c>
      <c r="M214" s="383" t="s">
        <v>10086</v>
      </c>
      <c r="N214" s="420" t="s">
        <v>44</v>
      </c>
      <c r="O214" s="383" t="str">
        <f>IF(LEN(SUBSTITUTE(Table3937[[#This Row],[PRIMARY CONTACT]]," ",""))=10,SUBSTITUTE(Table3937[[#This Row],[PRIMARY CONTACT]]," ","") &amp; " - Proper","- Follow Up")</f>
        <v>8897588670 - Proper</v>
      </c>
      <c r="P214" s="383" t="s">
        <v>5687</v>
      </c>
      <c r="Q214" s="383">
        <v>8897588670</v>
      </c>
      <c r="R214" s="383" t="str">
        <f>SUBSTITUTE(Table3937[[#This Row],[whatsapp_number]]," ","")</f>
        <v>8897588670</v>
      </c>
      <c r="S214" s="383" t="str">
        <f>IF(Table3937[[#This Row],[PRIMARY CONTACT]]=Table3937[[#This Row],[WHATSAPP CONTACT]],"Same Contact","Different Contact")</f>
        <v>Same Contact</v>
      </c>
      <c r="T214" s="383" t="str">
        <f>IF(LEN(SUBSTITUTE(Table3937[[#This Row],[PRIMARY CONTACT]]," ",""))=10,SUBSTITUTE(Table3937[[#This Row],[PRIMARY CONTACT]]," ","") &amp; " - Proper","- Follow Up")</f>
        <v>8897588670 - Proper</v>
      </c>
      <c r="U214" s="383" t="s">
        <v>8341</v>
      </c>
      <c r="V214" s="383" t="s">
        <v>71</v>
      </c>
      <c r="W214" s="383" t="s">
        <v>47</v>
      </c>
      <c r="X214" s="420" t="s">
        <v>44</v>
      </c>
      <c r="Y214" s="420" t="s">
        <v>44</v>
      </c>
      <c r="Z214" s="420" t="s">
        <v>44</v>
      </c>
      <c r="AA214" s="420" t="s">
        <v>44</v>
      </c>
      <c r="AB214" s="383"/>
    </row>
    <row r="215" spans="1:28" ht="13.8">
      <c r="A215" s="387">
        <v>214</v>
      </c>
      <c r="B215" s="387" t="s">
        <v>10710</v>
      </c>
      <c r="C215" s="387" t="s">
        <v>10710</v>
      </c>
      <c r="D215" s="387" t="s">
        <v>10710</v>
      </c>
      <c r="E215" s="383" t="s">
        <v>8801</v>
      </c>
      <c r="F215" s="383">
        <v>682</v>
      </c>
      <c r="G215" s="383" t="s">
        <v>71</v>
      </c>
      <c r="H215" s="383" t="s">
        <v>5416</v>
      </c>
      <c r="I215" s="383" t="s">
        <v>8424</v>
      </c>
      <c r="J215" s="383" t="s">
        <v>5829</v>
      </c>
      <c r="K215" s="383" t="s">
        <v>8341</v>
      </c>
      <c r="L215" s="383" t="s">
        <v>9638</v>
      </c>
      <c r="M215" s="383" t="s">
        <v>10087</v>
      </c>
      <c r="N215" s="420" t="s">
        <v>44</v>
      </c>
      <c r="O215" s="383" t="str">
        <f>IF(LEN(SUBSTITUTE(Table3937[[#This Row],[PRIMARY CONTACT]]," ",""))=10,SUBSTITUTE(Table3937[[#This Row],[PRIMARY CONTACT]]," ","") &amp; " - Proper","- Follow Up")</f>
        <v>7708007110 - Proper</v>
      </c>
      <c r="P215" s="383" t="s">
        <v>5831</v>
      </c>
      <c r="Q215" s="383">
        <v>7708007110</v>
      </c>
      <c r="R215" s="383" t="str">
        <f>SUBSTITUTE(Table3937[[#This Row],[whatsapp_number]]," ","")</f>
        <v>7708007110</v>
      </c>
      <c r="S215" s="383" t="str">
        <f>IF(Table3937[[#This Row],[PRIMARY CONTACT]]=Table3937[[#This Row],[WHATSAPP CONTACT]],"Same Contact","Different Contact")</f>
        <v>Same Contact</v>
      </c>
      <c r="T215" s="383" t="str">
        <f>IF(LEN(SUBSTITUTE(Table3937[[#This Row],[PRIMARY CONTACT]]," ",""))=10,SUBSTITUTE(Table3937[[#This Row],[PRIMARY CONTACT]]," ","") &amp; " - Proper","- Follow Up")</f>
        <v>7708007110 - Proper</v>
      </c>
      <c r="U215" s="383" t="s">
        <v>8341</v>
      </c>
      <c r="V215" s="383" t="s">
        <v>71</v>
      </c>
      <c r="W215" s="383" t="s">
        <v>47</v>
      </c>
      <c r="X215" s="420" t="s">
        <v>44</v>
      </c>
      <c r="Y215" s="420" t="s">
        <v>44</v>
      </c>
      <c r="Z215" s="420" t="s">
        <v>44</v>
      </c>
      <c r="AA215" s="420" t="s">
        <v>44</v>
      </c>
      <c r="AB215" s="383"/>
    </row>
    <row r="216" spans="1:28" ht="13.8">
      <c r="A216" s="387">
        <v>215</v>
      </c>
      <c r="B216" s="387" t="s">
        <v>10710</v>
      </c>
      <c r="C216" s="387" t="s">
        <v>10710</v>
      </c>
      <c r="D216" s="387" t="s">
        <v>10710</v>
      </c>
      <c r="E216" s="383" t="s">
        <v>8802</v>
      </c>
      <c r="F216" s="383">
        <v>683</v>
      </c>
      <c r="G216" s="383" t="s">
        <v>71</v>
      </c>
      <c r="H216" s="383" t="s">
        <v>71</v>
      </c>
      <c r="I216" s="383" t="s">
        <v>5833</v>
      </c>
      <c r="J216" s="383" t="s">
        <v>5834</v>
      </c>
      <c r="K216" s="383" t="s">
        <v>8341</v>
      </c>
      <c r="L216" s="383" t="s">
        <v>9639</v>
      </c>
      <c r="M216" s="383" t="s">
        <v>10088</v>
      </c>
      <c r="N216" s="420" t="s">
        <v>44</v>
      </c>
      <c r="O216" s="383" t="str">
        <f>IF(LEN(SUBSTITUTE(Table3937[[#This Row],[PRIMARY CONTACT]]," ",""))=10,SUBSTITUTE(Table3937[[#This Row],[PRIMARY CONTACT]]," ","") &amp; " - Proper","- Follow Up")</f>
        <v>9837002000 - Proper</v>
      </c>
      <c r="P216" s="383" t="s">
        <v>5836</v>
      </c>
      <c r="Q216" s="383">
        <v>9837002000</v>
      </c>
      <c r="R216" s="383" t="str">
        <f>SUBSTITUTE(Table3937[[#This Row],[whatsapp_number]]," ","")</f>
        <v>9837002000</v>
      </c>
      <c r="S216" s="383" t="str">
        <f>IF(Table3937[[#This Row],[PRIMARY CONTACT]]=Table3937[[#This Row],[WHATSAPP CONTACT]],"Same Contact","Different Contact")</f>
        <v>Same Contact</v>
      </c>
      <c r="T216" s="383" t="str">
        <f>IF(LEN(SUBSTITUTE(Table3937[[#This Row],[PRIMARY CONTACT]]," ",""))=10,SUBSTITUTE(Table3937[[#This Row],[PRIMARY CONTACT]]," ","") &amp; " - Proper","- Follow Up")</f>
        <v>9837002000 - Proper</v>
      </c>
      <c r="U216" s="383" t="s">
        <v>8341</v>
      </c>
      <c r="V216" s="383" t="s">
        <v>71</v>
      </c>
      <c r="W216" s="383" t="s">
        <v>47</v>
      </c>
      <c r="X216" s="420" t="s">
        <v>44</v>
      </c>
      <c r="Y216" s="420" t="s">
        <v>44</v>
      </c>
      <c r="Z216" s="420" t="s">
        <v>44</v>
      </c>
      <c r="AA216" s="420" t="s">
        <v>44</v>
      </c>
      <c r="AB216" s="383"/>
    </row>
    <row r="217" spans="1:28" ht="13.8">
      <c r="A217" s="387">
        <v>216</v>
      </c>
      <c r="B217" s="387" t="s">
        <v>10710</v>
      </c>
      <c r="C217" s="387" t="s">
        <v>10710</v>
      </c>
      <c r="D217" s="387" t="s">
        <v>10710</v>
      </c>
      <c r="E217" s="383" t="s">
        <v>8803</v>
      </c>
      <c r="F217" s="383">
        <v>684</v>
      </c>
      <c r="G217" s="383" t="s">
        <v>71</v>
      </c>
      <c r="H217" s="383" t="s">
        <v>71</v>
      </c>
      <c r="I217" s="383" t="s">
        <v>5838</v>
      </c>
      <c r="J217" s="383" t="s">
        <v>5839</v>
      </c>
      <c r="K217" s="383" t="s">
        <v>8341</v>
      </c>
      <c r="L217" s="383" t="s">
        <v>9640</v>
      </c>
      <c r="M217" s="383" t="s">
        <v>10089</v>
      </c>
      <c r="N217" s="420" t="s">
        <v>44</v>
      </c>
      <c r="O217" s="383" t="str">
        <f>IF(LEN(SUBSTITUTE(Table3937[[#This Row],[PRIMARY CONTACT]]," ",""))=10,SUBSTITUTE(Table3937[[#This Row],[PRIMARY CONTACT]]," ","") &amp; " - Proper","- Follow Up")</f>
        <v>9837007012 - Proper</v>
      </c>
      <c r="P217" s="383" t="s">
        <v>5841</v>
      </c>
      <c r="Q217" s="383">
        <v>9837007012</v>
      </c>
      <c r="R217" s="383" t="str">
        <f>SUBSTITUTE(Table3937[[#This Row],[whatsapp_number]]," ","")</f>
        <v>9837007012</v>
      </c>
      <c r="S217" s="383" t="str">
        <f>IF(Table3937[[#This Row],[PRIMARY CONTACT]]=Table3937[[#This Row],[WHATSAPP CONTACT]],"Same Contact","Different Contact")</f>
        <v>Same Contact</v>
      </c>
      <c r="T217" s="383" t="str">
        <f>IF(LEN(SUBSTITUTE(Table3937[[#This Row],[PRIMARY CONTACT]]," ",""))=10,SUBSTITUTE(Table3937[[#This Row],[PRIMARY CONTACT]]," ","") &amp; " - Proper","- Follow Up")</f>
        <v>9837007012 - Proper</v>
      </c>
      <c r="U217" s="383" t="s">
        <v>8341</v>
      </c>
      <c r="V217" s="383" t="s">
        <v>71</v>
      </c>
      <c r="W217" s="383" t="s">
        <v>47</v>
      </c>
      <c r="X217" s="420" t="s">
        <v>44</v>
      </c>
      <c r="Y217" s="420" t="s">
        <v>44</v>
      </c>
      <c r="Z217" s="420" t="s">
        <v>44</v>
      </c>
      <c r="AA217" s="420" t="s">
        <v>44</v>
      </c>
      <c r="AB217" s="383"/>
    </row>
    <row r="218" spans="1:28" ht="13.8">
      <c r="A218" s="387">
        <v>217</v>
      </c>
      <c r="B218" s="387" t="s">
        <v>10710</v>
      </c>
      <c r="C218" s="387" t="s">
        <v>10710</v>
      </c>
      <c r="D218" s="387" t="s">
        <v>10710</v>
      </c>
      <c r="E218" s="383" t="s">
        <v>8804</v>
      </c>
      <c r="F218" s="383">
        <v>685</v>
      </c>
      <c r="G218" s="383" t="s">
        <v>71</v>
      </c>
      <c r="H218" s="383" t="s">
        <v>5843</v>
      </c>
      <c r="I218" s="383" t="s">
        <v>8425</v>
      </c>
      <c r="J218" s="383" t="s">
        <v>5845</v>
      </c>
      <c r="K218" s="383" t="s">
        <v>8341</v>
      </c>
      <c r="L218" s="383" t="s">
        <v>9641</v>
      </c>
      <c r="M218" s="383" t="s">
        <v>10090</v>
      </c>
      <c r="N218" s="420" t="s">
        <v>44</v>
      </c>
      <c r="O218" s="383" t="str">
        <f>IF(LEN(SUBSTITUTE(Table3937[[#This Row],[PRIMARY CONTACT]]," ",""))=10,SUBSTITUTE(Table3937[[#This Row],[PRIMARY CONTACT]]," ","") &amp; " - Proper","- Follow Up")</f>
        <v>9810512900 - Proper</v>
      </c>
      <c r="P218" s="383" t="s">
        <v>5847</v>
      </c>
      <c r="Q218" s="383">
        <v>9810512900</v>
      </c>
      <c r="R218" s="383" t="str">
        <f>SUBSTITUTE(Table3937[[#This Row],[whatsapp_number]]," ","")</f>
        <v>9810512900</v>
      </c>
      <c r="S218" s="383" t="str">
        <f>IF(Table3937[[#This Row],[PRIMARY CONTACT]]=Table3937[[#This Row],[WHATSAPP CONTACT]],"Same Contact","Different Contact")</f>
        <v>Same Contact</v>
      </c>
      <c r="T218" s="383" t="str">
        <f>IF(LEN(SUBSTITUTE(Table3937[[#This Row],[PRIMARY CONTACT]]," ",""))=10,SUBSTITUTE(Table3937[[#This Row],[PRIMARY CONTACT]]," ","") &amp; " - Proper","- Follow Up")</f>
        <v>9810512900 - Proper</v>
      </c>
      <c r="U218" s="383" t="s">
        <v>8341</v>
      </c>
      <c r="V218" s="383" t="s">
        <v>71</v>
      </c>
      <c r="W218" s="383" t="s">
        <v>47</v>
      </c>
      <c r="X218" s="420" t="s">
        <v>44</v>
      </c>
      <c r="Y218" s="420" t="s">
        <v>44</v>
      </c>
      <c r="Z218" s="420" t="s">
        <v>44</v>
      </c>
      <c r="AA218" s="420" t="s">
        <v>44</v>
      </c>
      <c r="AB218" s="383"/>
    </row>
    <row r="219" spans="1:28" ht="13.8">
      <c r="A219" s="387">
        <v>218</v>
      </c>
      <c r="B219" s="387" t="s">
        <v>10710</v>
      </c>
      <c r="C219" s="387" t="s">
        <v>10710</v>
      </c>
      <c r="D219" s="387" t="s">
        <v>10710</v>
      </c>
      <c r="E219" s="383" t="s">
        <v>8805</v>
      </c>
      <c r="F219" s="383">
        <v>686</v>
      </c>
      <c r="G219" s="383" t="s">
        <v>71</v>
      </c>
      <c r="H219" s="383" t="s">
        <v>71</v>
      </c>
      <c r="I219" s="383" t="s">
        <v>8341</v>
      </c>
      <c r="J219" s="383" t="s">
        <v>5849</v>
      </c>
      <c r="K219" s="383" t="s">
        <v>8341</v>
      </c>
      <c r="L219" s="383" t="s">
        <v>9642</v>
      </c>
      <c r="M219" s="383" t="s">
        <v>10091</v>
      </c>
      <c r="N219" s="420" t="s">
        <v>44</v>
      </c>
      <c r="O219" s="383" t="str">
        <f>IF(LEN(SUBSTITUTE(Table3937[[#This Row],[PRIMARY CONTACT]]," ",""))=10,SUBSTITUTE(Table3937[[#This Row],[PRIMARY CONTACT]]," ","") &amp; " - Proper","- Follow Up")</f>
        <v>9820055544 - Proper</v>
      </c>
      <c r="P219" s="383" t="s">
        <v>5851</v>
      </c>
      <c r="Q219" s="383">
        <v>9820055544</v>
      </c>
      <c r="R219" s="383" t="str">
        <f>SUBSTITUTE(Table3937[[#This Row],[whatsapp_number]]," ","")</f>
        <v>9820055544</v>
      </c>
      <c r="S219" s="383" t="str">
        <f>IF(Table3937[[#This Row],[PRIMARY CONTACT]]=Table3937[[#This Row],[WHATSAPP CONTACT]],"Same Contact","Different Contact")</f>
        <v>Same Contact</v>
      </c>
      <c r="T219" s="383" t="str">
        <f>IF(LEN(SUBSTITUTE(Table3937[[#This Row],[PRIMARY CONTACT]]," ",""))=10,SUBSTITUTE(Table3937[[#This Row],[PRIMARY CONTACT]]," ","") &amp; " - Proper","- Follow Up")</f>
        <v>9820055544 - Proper</v>
      </c>
      <c r="U219" s="383" t="s">
        <v>8341</v>
      </c>
      <c r="V219" s="383" t="s">
        <v>71</v>
      </c>
      <c r="W219" s="383" t="s">
        <v>47</v>
      </c>
      <c r="X219" s="420" t="s">
        <v>44</v>
      </c>
      <c r="Y219" s="420" t="s">
        <v>44</v>
      </c>
      <c r="Z219" s="420" t="s">
        <v>44</v>
      </c>
      <c r="AA219" s="420" t="s">
        <v>44</v>
      </c>
      <c r="AB219" s="383"/>
    </row>
    <row r="220" spans="1:28" ht="13.8">
      <c r="A220" s="387">
        <v>219</v>
      </c>
      <c r="B220" s="387" t="s">
        <v>10710</v>
      </c>
      <c r="C220" s="387" t="s">
        <v>10710</v>
      </c>
      <c r="D220" s="387" t="s">
        <v>10710</v>
      </c>
      <c r="E220" s="383" t="s">
        <v>8806</v>
      </c>
      <c r="F220" s="383">
        <v>687</v>
      </c>
      <c r="G220" s="383" t="s">
        <v>71</v>
      </c>
      <c r="H220" s="383" t="s">
        <v>71</v>
      </c>
      <c r="I220" s="383" t="s">
        <v>8426</v>
      </c>
      <c r="J220" s="383" t="s">
        <v>5854</v>
      </c>
      <c r="K220" s="383" t="s">
        <v>8341</v>
      </c>
      <c r="L220" s="383" t="s">
        <v>9643</v>
      </c>
      <c r="M220" s="383" t="s">
        <v>10092</v>
      </c>
      <c r="N220" s="420" t="s">
        <v>44</v>
      </c>
      <c r="O220" s="383" t="str">
        <f>IF(LEN(SUBSTITUTE(Table3937[[#This Row],[PRIMARY CONTACT]]," ",""))=10,SUBSTITUTE(Table3937[[#This Row],[PRIMARY CONTACT]]," ","") &amp; " - Proper","- Follow Up")</f>
        <v>9841043299 - Proper</v>
      </c>
      <c r="P220" s="383" t="s">
        <v>5856</v>
      </c>
      <c r="Q220" s="383">
        <v>9841043299</v>
      </c>
      <c r="R220" s="383" t="str">
        <f>SUBSTITUTE(Table3937[[#This Row],[whatsapp_number]]," ","")</f>
        <v>9841043299</v>
      </c>
      <c r="S220" s="383" t="str">
        <f>IF(Table3937[[#This Row],[PRIMARY CONTACT]]=Table3937[[#This Row],[WHATSAPP CONTACT]],"Same Contact","Different Contact")</f>
        <v>Same Contact</v>
      </c>
      <c r="T220" s="383" t="str">
        <f>IF(LEN(SUBSTITUTE(Table3937[[#This Row],[PRIMARY CONTACT]]," ",""))=10,SUBSTITUTE(Table3937[[#This Row],[PRIMARY CONTACT]]," ","") &amp; " - Proper","- Follow Up")</f>
        <v>9841043299 - Proper</v>
      </c>
      <c r="U220" s="383" t="s">
        <v>8341</v>
      </c>
      <c r="V220" s="383" t="s">
        <v>71</v>
      </c>
      <c r="W220" s="383" t="s">
        <v>47</v>
      </c>
      <c r="X220" s="420" t="s">
        <v>44</v>
      </c>
      <c r="Y220" s="420" t="s">
        <v>44</v>
      </c>
      <c r="Z220" s="420" t="s">
        <v>44</v>
      </c>
      <c r="AA220" s="420" t="s">
        <v>44</v>
      </c>
      <c r="AB220" s="383"/>
    </row>
    <row r="221" spans="1:28" ht="13.8">
      <c r="A221" s="387">
        <v>220</v>
      </c>
      <c r="B221" s="387" t="s">
        <v>10710</v>
      </c>
      <c r="C221" s="387" t="s">
        <v>10710</v>
      </c>
      <c r="D221" s="387" t="s">
        <v>10710</v>
      </c>
      <c r="E221" s="383" t="s">
        <v>8807</v>
      </c>
      <c r="F221" s="383">
        <v>688</v>
      </c>
      <c r="G221" s="383" t="s">
        <v>71</v>
      </c>
      <c r="H221" s="383" t="s">
        <v>71</v>
      </c>
      <c r="I221" s="383" t="s">
        <v>8426</v>
      </c>
      <c r="J221" s="383" t="s">
        <v>9405</v>
      </c>
      <c r="K221" s="383" t="s">
        <v>8341</v>
      </c>
      <c r="L221" s="383" t="s">
        <v>9644</v>
      </c>
      <c r="M221" s="383" t="s">
        <v>10093</v>
      </c>
      <c r="N221" s="420" t="s">
        <v>44</v>
      </c>
      <c r="O221" s="383" t="str">
        <f>IF(LEN(SUBSTITUTE(Table3937[[#This Row],[PRIMARY CONTACT]]," ",""))=10,SUBSTITUTE(Table3937[[#This Row],[PRIMARY CONTACT]]," ","") &amp; " - Proper","- Follow Up")</f>
        <v>9841045052 - Proper</v>
      </c>
      <c r="P221" s="383" t="s">
        <v>5860</v>
      </c>
      <c r="Q221" s="383">
        <v>9841045052</v>
      </c>
      <c r="R221" s="383" t="str">
        <f>SUBSTITUTE(Table3937[[#This Row],[whatsapp_number]]," ","")</f>
        <v>9841045052</v>
      </c>
      <c r="S221" s="383" t="str">
        <f>IF(Table3937[[#This Row],[PRIMARY CONTACT]]=Table3937[[#This Row],[WHATSAPP CONTACT]],"Same Contact","Different Contact")</f>
        <v>Same Contact</v>
      </c>
      <c r="T221" s="383" t="str">
        <f>IF(LEN(SUBSTITUTE(Table3937[[#This Row],[PRIMARY CONTACT]]," ",""))=10,SUBSTITUTE(Table3937[[#This Row],[PRIMARY CONTACT]]," ","") &amp; " - Proper","- Follow Up")</f>
        <v>9841045052 - Proper</v>
      </c>
      <c r="U221" s="383" t="s">
        <v>8341</v>
      </c>
      <c r="V221" s="383" t="s">
        <v>71</v>
      </c>
      <c r="W221" s="383" t="s">
        <v>47</v>
      </c>
      <c r="X221" s="420" t="s">
        <v>44</v>
      </c>
      <c r="Y221" s="420" t="s">
        <v>44</v>
      </c>
      <c r="Z221" s="420" t="s">
        <v>44</v>
      </c>
      <c r="AA221" s="420" t="s">
        <v>44</v>
      </c>
      <c r="AB221" s="383"/>
    </row>
    <row r="222" spans="1:28" ht="13.8">
      <c r="A222" s="387">
        <v>221</v>
      </c>
      <c r="B222" s="387" t="s">
        <v>10710</v>
      </c>
      <c r="C222" s="387" t="s">
        <v>10710</v>
      </c>
      <c r="D222" s="387" t="s">
        <v>10710</v>
      </c>
      <c r="E222" s="383" t="s">
        <v>8808</v>
      </c>
      <c r="F222" s="383">
        <v>689</v>
      </c>
      <c r="G222" s="383" t="s">
        <v>71</v>
      </c>
      <c r="H222" s="383" t="s">
        <v>71</v>
      </c>
      <c r="I222" s="383" t="s">
        <v>8427</v>
      </c>
      <c r="J222" s="383" t="s">
        <v>5863</v>
      </c>
      <c r="K222" s="383" t="s">
        <v>8341</v>
      </c>
      <c r="L222" s="383" t="s">
        <v>9645</v>
      </c>
      <c r="M222" s="383" t="s">
        <v>10094</v>
      </c>
      <c r="N222" s="420" t="s">
        <v>44</v>
      </c>
      <c r="O222" s="383" t="str">
        <f>IF(LEN(SUBSTITUTE(Table3937[[#This Row],[PRIMARY CONTACT]]," ",""))=10,SUBSTITUTE(Table3937[[#This Row],[PRIMARY CONTACT]]," ","") &amp; " - Proper","- Follow Up")</f>
        <v>9919999936 - Proper</v>
      </c>
      <c r="P222" s="383" t="s">
        <v>5865</v>
      </c>
      <c r="Q222" s="383">
        <v>9919999936</v>
      </c>
      <c r="R222" s="383" t="str">
        <f>SUBSTITUTE(Table3937[[#This Row],[whatsapp_number]]," ","")</f>
        <v>9919999936</v>
      </c>
      <c r="S222" s="383" t="str">
        <f>IF(Table3937[[#This Row],[PRIMARY CONTACT]]=Table3937[[#This Row],[WHATSAPP CONTACT]],"Same Contact","Different Contact")</f>
        <v>Same Contact</v>
      </c>
      <c r="T222" s="383" t="str">
        <f>IF(LEN(SUBSTITUTE(Table3937[[#This Row],[PRIMARY CONTACT]]," ",""))=10,SUBSTITUTE(Table3937[[#This Row],[PRIMARY CONTACT]]," ","") &amp; " - Proper","- Follow Up")</f>
        <v>9919999936 - Proper</v>
      </c>
      <c r="U222" s="383" t="s">
        <v>8341</v>
      </c>
      <c r="V222" s="383" t="s">
        <v>71</v>
      </c>
      <c r="W222" s="383" t="s">
        <v>47</v>
      </c>
      <c r="X222" s="420" t="s">
        <v>44</v>
      </c>
      <c r="Y222" s="420" t="s">
        <v>44</v>
      </c>
      <c r="Z222" s="420" t="s">
        <v>44</v>
      </c>
      <c r="AA222" s="420" t="s">
        <v>44</v>
      </c>
      <c r="AB222" s="383"/>
    </row>
    <row r="223" spans="1:28" ht="13.8">
      <c r="A223" s="387">
        <v>222</v>
      </c>
      <c r="B223" s="387" t="s">
        <v>10710</v>
      </c>
      <c r="C223" s="387" t="s">
        <v>10710</v>
      </c>
      <c r="D223" s="387" t="s">
        <v>10710</v>
      </c>
      <c r="E223" s="383" t="s">
        <v>8809</v>
      </c>
      <c r="F223" s="383">
        <v>690</v>
      </c>
      <c r="G223" s="383" t="s">
        <v>71</v>
      </c>
      <c r="H223" s="383" t="s">
        <v>5867</v>
      </c>
      <c r="I223" s="383" t="s">
        <v>5868</v>
      </c>
      <c r="J223" s="383" t="s">
        <v>5869</v>
      </c>
      <c r="K223" s="383" t="s">
        <v>9513</v>
      </c>
      <c r="L223" s="383" t="s">
        <v>8341</v>
      </c>
      <c r="M223" s="383" t="s">
        <v>10095</v>
      </c>
      <c r="N223" s="420" t="s">
        <v>44</v>
      </c>
      <c r="O223" s="383" t="str">
        <f>IF(LEN(SUBSTITUTE(Table3937[[#This Row],[PRIMARY CONTACT]]," ",""))=10,SUBSTITUTE(Table3937[[#This Row],[PRIMARY CONTACT]]," ","") &amp; " - Proper","- Follow Up")</f>
        <v>- Follow Up</v>
      </c>
      <c r="P223" s="383" t="s">
        <v>5871</v>
      </c>
      <c r="Q223" s="383">
        <v>15624028755</v>
      </c>
      <c r="R223" s="383" t="str">
        <f>SUBSTITUTE(Table3937[[#This Row],[whatsapp_number]]," ","")</f>
        <v>15624028755</v>
      </c>
      <c r="S223" s="383" t="str">
        <f>IF(Table3937[[#This Row],[PRIMARY CONTACT]]=Table3937[[#This Row],[WHATSAPP CONTACT]],"Same Contact","Different Contact")</f>
        <v>Same Contact</v>
      </c>
      <c r="T223" s="383" t="str">
        <f>IF(LEN(SUBSTITUTE(Table3937[[#This Row],[PRIMARY CONTACT]]," ",""))=10,SUBSTITUTE(Table3937[[#This Row],[PRIMARY CONTACT]]," ","") &amp; " - Proper","- Follow Up")</f>
        <v>- Follow Up</v>
      </c>
      <c r="U223" s="383" t="s">
        <v>8341</v>
      </c>
      <c r="V223" s="383" t="s">
        <v>71</v>
      </c>
      <c r="W223" s="383" t="s">
        <v>47</v>
      </c>
      <c r="X223" s="420" t="s">
        <v>44</v>
      </c>
      <c r="Y223" s="420" t="s">
        <v>44</v>
      </c>
      <c r="Z223" s="420" t="s">
        <v>44</v>
      </c>
      <c r="AA223" s="420" t="s">
        <v>44</v>
      </c>
      <c r="AB223" s="383"/>
    </row>
    <row r="224" spans="1:28" ht="13.8">
      <c r="A224" s="387">
        <v>223</v>
      </c>
      <c r="B224" s="387" t="s">
        <v>10710</v>
      </c>
      <c r="C224" s="387" t="s">
        <v>10710</v>
      </c>
      <c r="D224" s="387" t="s">
        <v>10710</v>
      </c>
      <c r="E224" s="383" t="s">
        <v>8810</v>
      </c>
      <c r="F224" s="383">
        <v>691</v>
      </c>
      <c r="G224" s="383" t="s">
        <v>71</v>
      </c>
      <c r="H224" s="383" t="s">
        <v>144</v>
      </c>
      <c r="I224" s="383" t="s">
        <v>135</v>
      </c>
      <c r="J224" s="383" t="s">
        <v>5873</v>
      </c>
      <c r="K224" s="383" t="s">
        <v>5874</v>
      </c>
      <c r="L224" s="383" t="s">
        <v>8341</v>
      </c>
      <c r="M224" s="383" t="s">
        <v>10096</v>
      </c>
      <c r="N224" s="420" t="s">
        <v>44</v>
      </c>
      <c r="O224" s="383" t="str">
        <f>IF(LEN(SUBSTITUTE(Table3937[[#This Row],[PRIMARY CONTACT]]," ",""))=10,SUBSTITUTE(Table3937[[#This Row],[PRIMARY CONTACT]]," ","") &amp; " - Proper","- Follow Up")</f>
        <v>9222223645 - Proper</v>
      </c>
      <c r="P224" s="383" t="s">
        <v>5875</v>
      </c>
      <c r="Q224" s="383">
        <v>9222223645</v>
      </c>
      <c r="R224" s="383" t="str">
        <f>SUBSTITUTE(Table3937[[#This Row],[whatsapp_number]]," ","")</f>
        <v>9222223645</v>
      </c>
      <c r="S224" s="383" t="str">
        <f>IF(Table3937[[#This Row],[PRIMARY CONTACT]]=Table3937[[#This Row],[WHATSAPP CONTACT]],"Same Contact","Different Contact")</f>
        <v>Same Contact</v>
      </c>
      <c r="T224" s="383" t="str">
        <f>IF(LEN(SUBSTITUTE(Table3937[[#This Row],[PRIMARY CONTACT]]," ",""))=10,SUBSTITUTE(Table3937[[#This Row],[PRIMARY CONTACT]]," ","") &amp; " - Proper","- Follow Up")</f>
        <v>9222223645 - Proper</v>
      </c>
      <c r="U224" s="383" t="s">
        <v>8341</v>
      </c>
      <c r="V224" s="383" t="s">
        <v>71</v>
      </c>
      <c r="W224" s="383" t="s">
        <v>47</v>
      </c>
      <c r="X224" s="420" t="s">
        <v>44</v>
      </c>
      <c r="Y224" s="420" t="s">
        <v>44</v>
      </c>
      <c r="Z224" s="420" t="s">
        <v>44</v>
      </c>
      <c r="AA224" s="420" t="s">
        <v>44</v>
      </c>
      <c r="AB224" s="383"/>
    </row>
    <row r="225" spans="1:28" ht="13.8">
      <c r="A225" s="387">
        <v>224</v>
      </c>
      <c r="B225" s="387" t="s">
        <v>10710</v>
      </c>
      <c r="C225" s="387" t="s">
        <v>10710</v>
      </c>
      <c r="D225" s="387" t="s">
        <v>10710</v>
      </c>
      <c r="E225" s="383" t="s">
        <v>8811</v>
      </c>
      <c r="F225" s="383">
        <v>692</v>
      </c>
      <c r="G225" s="383" t="s">
        <v>71</v>
      </c>
      <c r="H225" s="383" t="s">
        <v>144</v>
      </c>
      <c r="I225" s="383" t="s">
        <v>135</v>
      </c>
      <c r="J225" s="383" t="s">
        <v>5877</v>
      </c>
      <c r="K225" s="383" t="s">
        <v>5878</v>
      </c>
      <c r="L225" s="383" t="s">
        <v>8341</v>
      </c>
      <c r="M225" s="383" t="s">
        <v>10097</v>
      </c>
      <c r="N225" s="420" t="s">
        <v>44</v>
      </c>
      <c r="O225" s="383" t="str">
        <f>IF(LEN(SUBSTITUTE(Table3937[[#This Row],[PRIMARY CONTACT]]," ",""))=10,SUBSTITUTE(Table3937[[#This Row],[PRIMARY CONTACT]]," ","") &amp; " - Proper","- Follow Up")</f>
        <v>8591266096 - Proper</v>
      </c>
      <c r="P225" s="383" t="s">
        <v>5879</v>
      </c>
      <c r="Q225" s="383">
        <v>8591266096</v>
      </c>
      <c r="R225" s="383" t="str">
        <f>SUBSTITUTE(Table3937[[#This Row],[whatsapp_number]]," ","")</f>
        <v>8591266096</v>
      </c>
      <c r="S225" s="383" t="str">
        <f>IF(Table3937[[#This Row],[PRIMARY CONTACT]]=Table3937[[#This Row],[WHATSAPP CONTACT]],"Same Contact","Different Contact")</f>
        <v>Same Contact</v>
      </c>
      <c r="T225" s="383" t="str">
        <f>IF(LEN(SUBSTITUTE(Table3937[[#This Row],[PRIMARY CONTACT]]," ",""))=10,SUBSTITUTE(Table3937[[#This Row],[PRIMARY CONTACT]]," ","") &amp; " - Proper","- Follow Up")</f>
        <v>8591266096 - Proper</v>
      </c>
      <c r="U225" s="383" t="s">
        <v>8341</v>
      </c>
      <c r="V225" s="383" t="s">
        <v>71</v>
      </c>
      <c r="W225" s="383" t="s">
        <v>47</v>
      </c>
      <c r="X225" s="420" t="s">
        <v>44</v>
      </c>
      <c r="Y225" s="420" t="s">
        <v>44</v>
      </c>
      <c r="Z225" s="420" t="s">
        <v>44</v>
      </c>
      <c r="AA225" s="420" t="s">
        <v>44</v>
      </c>
      <c r="AB225" s="383"/>
    </row>
    <row r="226" spans="1:28" ht="13.8">
      <c r="A226" s="387">
        <v>225</v>
      </c>
      <c r="B226" s="387" t="s">
        <v>10710</v>
      </c>
      <c r="C226" s="387" t="s">
        <v>10710</v>
      </c>
      <c r="D226" s="387" t="s">
        <v>10710</v>
      </c>
      <c r="E226" s="383" t="s">
        <v>8812</v>
      </c>
      <c r="F226" s="383">
        <v>695</v>
      </c>
      <c r="G226" s="383" t="s">
        <v>71</v>
      </c>
      <c r="H226" s="383" t="s">
        <v>5881</v>
      </c>
      <c r="I226" s="383" t="s">
        <v>5882</v>
      </c>
      <c r="J226" s="383" t="s">
        <v>5883</v>
      </c>
      <c r="K226" s="383" t="s">
        <v>78</v>
      </c>
      <c r="L226" s="383" t="s">
        <v>8341</v>
      </c>
      <c r="M226" s="383" t="s">
        <v>8341</v>
      </c>
      <c r="N226" s="420" t="s">
        <v>44</v>
      </c>
      <c r="O226" s="383" t="str">
        <f>IF(LEN(SUBSTITUTE(Table3937[[#This Row],[PRIMARY CONTACT]]," ",""))=10,SUBSTITUTE(Table3937[[#This Row],[PRIMARY CONTACT]]," ","") &amp; " - Proper","- Follow Up")</f>
        <v>- Follow Up</v>
      </c>
      <c r="P226" s="383" t="s">
        <v>5884</v>
      </c>
      <c r="Q226" s="383" t="s">
        <v>71</v>
      </c>
      <c r="R226" s="383" t="str">
        <f>SUBSTITUTE(Table3937[[#This Row],[whatsapp_number]]," ","")</f>
        <v>UNDEFINED</v>
      </c>
      <c r="S226" s="383" t="str">
        <f>IF(Table3937[[#This Row],[PRIMARY CONTACT]]=Table3937[[#This Row],[WHATSAPP CONTACT]],"Same Contact","Different Contact")</f>
        <v>Same Contact</v>
      </c>
      <c r="T226" s="383" t="str">
        <f>IF(LEN(SUBSTITUTE(Table3937[[#This Row],[PRIMARY CONTACT]]," ",""))=10,SUBSTITUTE(Table3937[[#This Row],[PRIMARY CONTACT]]," ","") &amp; " - Proper","- Follow Up")</f>
        <v>- Follow Up</v>
      </c>
      <c r="U226" s="383" t="s">
        <v>8341</v>
      </c>
      <c r="V226" s="383" t="s">
        <v>71</v>
      </c>
      <c r="W226" s="383" t="s">
        <v>47</v>
      </c>
      <c r="X226" s="420" t="s">
        <v>44</v>
      </c>
      <c r="Y226" s="420" t="s">
        <v>44</v>
      </c>
      <c r="Z226" s="420" t="s">
        <v>44</v>
      </c>
      <c r="AA226" s="420" t="s">
        <v>44</v>
      </c>
      <c r="AB226" s="383"/>
    </row>
    <row r="227" spans="1:28" ht="13.8">
      <c r="A227" s="387">
        <v>226</v>
      </c>
      <c r="B227" s="387" t="s">
        <v>10710</v>
      </c>
      <c r="C227" s="387" t="s">
        <v>10710</v>
      </c>
      <c r="D227" s="387" t="s">
        <v>10710</v>
      </c>
      <c r="E227" s="383" t="s">
        <v>8813</v>
      </c>
      <c r="F227" s="383">
        <v>696</v>
      </c>
      <c r="G227" s="383" t="s">
        <v>71</v>
      </c>
      <c r="H227" s="383" t="s">
        <v>5759</v>
      </c>
      <c r="I227" s="383" t="s">
        <v>5886</v>
      </c>
      <c r="J227" s="383" t="s">
        <v>5887</v>
      </c>
      <c r="K227" s="383" t="s">
        <v>8341</v>
      </c>
      <c r="L227" s="383" t="s">
        <v>8341</v>
      </c>
      <c r="M227" s="383" t="s">
        <v>8341</v>
      </c>
      <c r="N227" s="420" t="s">
        <v>44</v>
      </c>
      <c r="O227" s="383" t="str">
        <f>IF(LEN(SUBSTITUTE(Table3937[[#This Row],[PRIMARY CONTACT]]," ",""))=10,SUBSTITUTE(Table3937[[#This Row],[PRIMARY CONTACT]]," ","") &amp; " - Proper","- Follow Up")</f>
        <v>- Follow Up</v>
      </c>
      <c r="P227" s="383" t="s">
        <v>5762</v>
      </c>
      <c r="Q227" s="383" t="s">
        <v>71</v>
      </c>
      <c r="R227" s="383" t="str">
        <f>SUBSTITUTE(Table3937[[#This Row],[whatsapp_number]]," ","")</f>
        <v>UNDEFINED</v>
      </c>
      <c r="S227" s="383" t="str">
        <f>IF(Table3937[[#This Row],[PRIMARY CONTACT]]=Table3937[[#This Row],[WHATSAPP CONTACT]],"Same Contact","Different Contact")</f>
        <v>Same Contact</v>
      </c>
      <c r="T227" s="383" t="str">
        <f>IF(LEN(SUBSTITUTE(Table3937[[#This Row],[PRIMARY CONTACT]]," ",""))=10,SUBSTITUTE(Table3937[[#This Row],[PRIMARY CONTACT]]," ","") &amp; " - Proper","- Follow Up")</f>
        <v>- Follow Up</v>
      </c>
      <c r="U227" s="383" t="s">
        <v>8341</v>
      </c>
      <c r="V227" s="383" t="s">
        <v>71</v>
      </c>
      <c r="W227" s="383" t="s">
        <v>47</v>
      </c>
      <c r="X227" s="420" t="s">
        <v>44</v>
      </c>
      <c r="Y227" s="420" t="s">
        <v>44</v>
      </c>
      <c r="Z227" s="420" t="s">
        <v>44</v>
      </c>
      <c r="AA227" s="420" t="s">
        <v>44</v>
      </c>
      <c r="AB227" s="383"/>
    </row>
    <row r="228" spans="1:28" ht="13.8">
      <c r="A228" s="387">
        <v>227</v>
      </c>
      <c r="B228" s="387" t="s">
        <v>10710</v>
      </c>
      <c r="C228" s="387" t="s">
        <v>10710</v>
      </c>
      <c r="D228" s="387" t="s">
        <v>10710</v>
      </c>
      <c r="E228" s="383" t="s">
        <v>8814</v>
      </c>
      <c r="F228" s="383">
        <v>697</v>
      </c>
      <c r="G228" s="383" t="s">
        <v>71</v>
      </c>
      <c r="H228" s="383" t="s">
        <v>5889</v>
      </c>
      <c r="I228" s="383" t="s">
        <v>5890</v>
      </c>
      <c r="J228" s="383" t="s">
        <v>5891</v>
      </c>
      <c r="K228" s="383" t="s">
        <v>8341</v>
      </c>
      <c r="L228" s="383" t="s">
        <v>8341</v>
      </c>
      <c r="M228" s="383" t="s">
        <v>8341</v>
      </c>
      <c r="N228" s="420" t="s">
        <v>44</v>
      </c>
      <c r="O228" s="383" t="str">
        <f>IF(LEN(SUBSTITUTE(Table3937[[#This Row],[PRIMARY CONTACT]]," ",""))=10,SUBSTITUTE(Table3937[[#This Row],[PRIMARY CONTACT]]," ","") &amp; " - Proper","- Follow Up")</f>
        <v>- Follow Up</v>
      </c>
      <c r="P228" s="383" t="s">
        <v>5892</v>
      </c>
      <c r="Q228" s="383" t="s">
        <v>71</v>
      </c>
      <c r="R228" s="383" t="str">
        <f>SUBSTITUTE(Table3937[[#This Row],[whatsapp_number]]," ","")</f>
        <v>UNDEFINED</v>
      </c>
      <c r="S228" s="383" t="str">
        <f>IF(Table3937[[#This Row],[PRIMARY CONTACT]]=Table3937[[#This Row],[WHATSAPP CONTACT]],"Same Contact","Different Contact")</f>
        <v>Same Contact</v>
      </c>
      <c r="T228" s="383" t="str">
        <f>IF(LEN(SUBSTITUTE(Table3937[[#This Row],[PRIMARY CONTACT]]," ",""))=10,SUBSTITUTE(Table3937[[#This Row],[PRIMARY CONTACT]]," ","") &amp; " - Proper","- Follow Up")</f>
        <v>- Follow Up</v>
      </c>
      <c r="U228" s="383" t="s">
        <v>8341</v>
      </c>
      <c r="V228" s="383" t="s">
        <v>71</v>
      </c>
      <c r="W228" s="383" t="s">
        <v>47</v>
      </c>
      <c r="X228" s="420" t="s">
        <v>44</v>
      </c>
      <c r="Y228" s="420" t="s">
        <v>44</v>
      </c>
      <c r="Z228" s="420" t="s">
        <v>44</v>
      </c>
      <c r="AA228" s="420" t="s">
        <v>44</v>
      </c>
      <c r="AB228" s="383"/>
    </row>
    <row r="229" spans="1:28" ht="13.8">
      <c r="A229" s="387">
        <v>228</v>
      </c>
      <c r="B229" s="387" t="s">
        <v>10710</v>
      </c>
      <c r="C229" s="387" t="s">
        <v>10710</v>
      </c>
      <c r="D229" s="387" t="s">
        <v>10710</v>
      </c>
      <c r="E229" s="383" t="s">
        <v>8815</v>
      </c>
      <c r="F229" s="383">
        <v>698</v>
      </c>
      <c r="G229" s="383" t="s">
        <v>71</v>
      </c>
      <c r="H229" s="383" t="s">
        <v>5894</v>
      </c>
      <c r="I229" s="383" t="s">
        <v>8428</v>
      </c>
      <c r="J229" s="383" t="s">
        <v>5896</v>
      </c>
      <c r="K229" s="383" t="s">
        <v>8341</v>
      </c>
      <c r="L229" s="383" t="s">
        <v>8341</v>
      </c>
      <c r="M229" s="383" t="s">
        <v>10098</v>
      </c>
      <c r="N229" s="420" t="s">
        <v>44</v>
      </c>
      <c r="O229" s="383" t="str">
        <f>IF(LEN(SUBSTITUTE(Table3937[[#This Row],[PRIMARY CONTACT]]," ",""))=10,SUBSTITUTE(Table3937[[#This Row],[PRIMARY CONTACT]]," ","") &amp; " - Proper","- Follow Up")</f>
        <v>9414075764 - Proper</v>
      </c>
      <c r="P229" s="383" t="s">
        <v>5897</v>
      </c>
      <c r="Q229" s="383">
        <v>9414075764</v>
      </c>
      <c r="R229" s="383" t="str">
        <f>SUBSTITUTE(Table3937[[#This Row],[whatsapp_number]]," ","")</f>
        <v>9414075764</v>
      </c>
      <c r="S229" s="383" t="str">
        <f>IF(Table3937[[#This Row],[PRIMARY CONTACT]]=Table3937[[#This Row],[WHATSAPP CONTACT]],"Same Contact","Different Contact")</f>
        <v>Same Contact</v>
      </c>
      <c r="T229" s="383" t="str">
        <f>IF(LEN(SUBSTITUTE(Table3937[[#This Row],[PRIMARY CONTACT]]," ",""))=10,SUBSTITUTE(Table3937[[#This Row],[PRIMARY CONTACT]]," ","") &amp; " - Proper","- Follow Up")</f>
        <v>9414075764 - Proper</v>
      </c>
      <c r="U229" s="383" t="s">
        <v>8341</v>
      </c>
      <c r="V229" s="383" t="s">
        <v>71</v>
      </c>
      <c r="W229" s="383" t="s">
        <v>47</v>
      </c>
      <c r="X229" s="420" t="s">
        <v>44</v>
      </c>
      <c r="Y229" s="420" t="s">
        <v>44</v>
      </c>
      <c r="Z229" s="420" t="s">
        <v>44</v>
      </c>
      <c r="AA229" s="420" t="s">
        <v>44</v>
      </c>
      <c r="AB229" s="383"/>
    </row>
    <row r="230" spans="1:28" ht="13.8">
      <c r="A230" s="387">
        <v>229</v>
      </c>
      <c r="B230" s="387" t="s">
        <v>10710</v>
      </c>
      <c r="C230" s="387" t="s">
        <v>10710</v>
      </c>
      <c r="D230" s="387" t="s">
        <v>10710</v>
      </c>
      <c r="E230" s="383" t="s">
        <v>8816</v>
      </c>
      <c r="F230" s="383">
        <v>699</v>
      </c>
      <c r="G230" s="383" t="s">
        <v>71</v>
      </c>
      <c r="H230" s="383" t="s">
        <v>5894</v>
      </c>
      <c r="I230" s="383" t="s">
        <v>8428</v>
      </c>
      <c r="J230" s="383" t="s">
        <v>5899</v>
      </c>
      <c r="K230" s="383" t="s">
        <v>8341</v>
      </c>
      <c r="L230" s="383" t="s">
        <v>8341</v>
      </c>
      <c r="M230" s="383" t="s">
        <v>10099</v>
      </c>
      <c r="N230" s="420" t="s">
        <v>44</v>
      </c>
      <c r="O230" s="383" t="str">
        <f>IF(LEN(SUBSTITUTE(Table3937[[#This Row],[PRIMARY CONTACT]]," ",""))=10,SUBSTITUTE(Table3937[[#This Row],[PRIMARY CONTACT]]," ","") &amp; " - Proper","- Follow Up")</f>
        <v>- Follow Up</v>
      </c>
      <c r="P230" s="383" t="s">
        <v>5900</v>
      </c>
      <c r="Q230" s="409">
        <v>8800000000000</v>
      </c>
      <c r="R230" s="383" t="str">
        <f>SUBSTITUTE(Table3937[[#This Row],[whatsapp_number]]," ","")</f>
        <v>8800000000000</v>
      </c>
      <c r="S230" s="383" t="str">
        <f>IF(Table3937[[#This Row],[PRIMARY CONTACT]]=Table3937[[#This Row],[WHATSAPP CONTACT]],"Same Contact","Different Contact")</f>
        <v>Same Contact</v>
      </c>
      <c r="T230" s="383" t="str">
        <f>IF(LEN(SUBSTITUTE(Table3937[[#This Row],[PRIMARY CONTACT]]," ",""))=10,SUBSTITUTE(Table3937[[#This Row],[PRIMARY CONTACT]]," ","") &amp; " - Proper","- Follow Up")</f>
        <v>- Follow Up</v>
      </c>
      <c r="U230" s="383" t="s">
        <v>8341</v>
      </c>
      <c r="V230" s="383" t="s">
        <v>71</v>
      </c>
      <c r="W230" s="383" t="s">
        <v>47</v>
      </c>
      <c r="X230" s="420" t="s">
        <v>44</v>
      </c>
      <c r="Y230" s="420" t="s">
        <v>44</v>
      </c>
      <c r="Z230" s="420" t="s">
        <v>44</v>
      </c>
      <c r="AA230" s="420" t="s">
        <v>44</v>
      </c>
      <c r="AB230" s="383"/>
    </row>
    <row r="231" spans="1:28" ht="13.8">
      <c r="A231" s="387">
        <v>230</v>
      </c>
      <c r="B231" s="397" t="s">
        <v>378</v>
      </c>
      <c r="C231" s="383" t="s">
        <v>10709</v>
      </c>
      <c r="D231" s="383" t="s">
        <v>381</v>
      </c>
      <c r="E231" s="383" t="s">
        <v>8817</v>
      </c>
      <c r="F231" s="383">
        <v>704</v>
      </c>
      <c r="G231" s="383" t="s">
        <v>71</v>
      </c>
      <c r="H231" s="383" t="s">
        <v>386</v>
      </c>
      <c r="I231" s="383" t="s">
        <v>382</v>
      </c>
      <c r="J231" s="383" t="s">
        <v>381</v>
      </c>
      <c r="K231" s="383" t="s">
        <v>9514</v>
      </c>
      <c r="L231" s="383" t="s">
        <v>9646</v>
      </c>
      <c r="M231" s="383" t="s">
        <v>10100</v>
      </c>
      <c r="N231" s="420" t="s">
        <v>44</v>
      </c>
      <c r="O231" s="383" t="str">
        <f>IF(LEN(SUBSTITUTE(Table3937[[#This Row],[PRIMARY CONTACT]]," ",""))=10,SUBSTITUTE(Table3937[[#This Row],[PRIMARY CONTACT]]," ","") &amp; " - Proper","- Follow Up")</f>
        <v>9819439878 - Proper</v>
      </c>
      <c r="P231" s="383" t="s">
        <v>380</v>
      </c>
      <c r="Q231" s="383">
        <v>9819439878</v>
      </c>
      <c r="R231" s="383" t="str">
        <f>SUBSTITUTE(Table3937[[#This Row],[whatsapp_number]]," ","")</f>
        <v>9819439878</v>
      </c>
      <c r="S231" s="383" t="str">
        <f>IF(Table3937[[#This Row],[PRIMARY CONTACT]]=Table3937[[#This Row],[WHATSAPP CONTACT]],"Same Contact","Different Contact")</f>
        <v>Same Contact</v>
      </c>
      <c r="T231" s="383" t="str">
        <f>IF(LEN(SUBSTITUTE(Table3937[[#This Row],[PRIMARY CONTACT]]," ",""))=10,SUBSTITUTE(Table3937[[#This Row],[PRIMARY CONTACT]]," ","") &amp; " - Proper","- Follow Up")</f>
        <v>9819439878 - Proper</v>
      </c>
      <c r="U231" s="383" t="s">
        <v>8341</v>
      </c>
      <c r="V231" s="383" t="s">
        <v>71</v>
      </c>
      <c r="W231" s="383" t="s">
        <v>47</v>
      </c>
      <c r="X231" s="407" t="s">
        <v>49</v>
      </c>
      <c r="Y231" s="407" t="s">
        <v>385</v>
      </c>
      <c r="Z231" s="407" t="s">
        <v>385</v>
      </c>
      <c r="AA231" s="407" t="s">
        <v>49</v>
      </c>
      <c r="AB231" s="383"/>
    </row>
    <row r="232" spans="1:28" ht="13.8">
      <c r="A232" s="387">
        <v>231</v>
      </c>
      <c r="B232" s="383" t="s">
        <v>10710</v>
      </c>
      <c r="C232" s="383" t="s">
        <v>10710</v>
      </c>
      <c r="D232" s="399" t="s">
        <v>10710</v>
      </c>
      <c r="E232" s="383" t="s">
        <v>8818</v>
      </c>
      <c r="F232" s="383">
        <v>722</v>
      </c>
      <c r="G232" s="383" t="s">
        <v>396</v>
      </c>
      <c r="H232" s="383" t="s">
        <v>397</v>
      </c>
      <c r="I232" s="383" t="s">
        <v>391</v>
      </c>
      <c r="J232" s="383" t="s">
        <v>392</v>
      </c>
      <c r="K232" s="383" t="s">
        <v>191</v>
      </c>
      <c r="L232" s="383" t="s">
        <v>9647</v>
      </c>
      <c r="M232" s="383" t="s">
        <v>10101</v>
      </c>
      <c r="N232" s="410">
        <v>9227097100</v>
      </c>
      <c r="O232" s="383" t="str">
        <f>IF(LEN(SUBSTITUTE(Table3937[[#This Row],[PRIMARY CONTACT]]," ",""))=10,SUBSTITUTE(Table3937[[#This Row],[PRIMARY CONTACT]]," ","") &amp; " - Proper","- Follow Up")</f>
        <v>9227097100 - Proper</v>
      </c>
      <c r="P232" s="383" t="s">
        <v>3019</v>
      </c>
      <c r="Q232" s="383">
        <v>9227097100</v>
      </c>
      <c r="R232" s="383" t="str">
        <f>SUBSTITUTE(Table3937[[#This Row],[whatsapp_number]]," ","")</f>
        <v>9227097100</v>
      </c>
      <c r="S232" s="383" t="str">
        <f>IF(Table3937[[#This Row],[PRIMARY CONTACT]]=Table3937[[#This Row],[WHATSAPP CONTACT]],"Same Contact","Different Contact")</f>
        <v>Same Contact</v>
      </c>
      <c r="T232" s="383" t="str">
        <f>IF(LEN(SUBSTITUTE(Table3937[[#This Row],[PRIMARY CONTACT]]," ",""))=10,SUBSTITUTE(Table3937[[#This Row],[PRIMARY CONTACT]]," ","") &amp; " - Proper","- Follow Up")</f>
        <v>9227097100 - Proper</v>
      </c>
      <c r="U232" s="383" t="s">
        <v>10551</v>
      </c>
      <c r="V232" s="393" t="s">
        <v>3021</v>
      </c>
      <c r="W232" s="383" t="s">
        <v>47</v>
      </c>
      <c r="X232" s="386" t="s">
        <v>395</v>
      </c>
      <c r="Y232" s="386" t="s">
        <v>395</v>
      </c>
      <c r="Z232" s="386" t="s">
        <v>395</v>
      </c>
      <c r="AA232" s="386" t="s">
        <v>395</v>
      </c>
      <c r="AB232" s="383"/>
    </row>
    <row r="233" spans="1:28" ht="13.8">
      <c r="A233" s="387">
        <v>232</v>
      </c>
      <c r="B233" s="26" t="s">
        <v>398</v>
      </c>
      <c r="C233" s="383" t="s">
        <v>10709</v>
      </c>
      <c r="D233" s="383" t="str">
        <f>MID(Table3937[[#This Row],[URL]], FIND("_",Table3937[[#This Row],[URL]])+1, FIND("/",Table3937[[#This Row],[URL]],FIND("_",Table3937[[#This Row],[URL]])+5) - (FIND("_",Table3937[[#This Row],[URL]])-1))</f>
        <v>NEHAL-PAREKH/7</v>
      </c>
      <c r="E233" s="383" t="s">
        <v>8819</v>
      </c>
      <c r="F233" s="383">
        <v>731</v>
      </c>
      <c r="G233" s="383" t="s">
        <v>71</v>
      </c>
      <c r="H233" s="383" t="s">
        <v>409</v>
      </c>
      <c r="I233" s="383" t="s">
        <v>8429</v>
      </c>
      <c r="J233" s="383" t="s">
        <v>403</v>
      </c>
      <c r="K233" s="383" t="s">
        <v>404</v>
      </c>
      <c r="L233" s="383" t="s">
        <v>9648</v>
      </c>
      <c r="M233" s="383" t="s">
        <v>10102</v>
      </c>
      <c r="N233" s="29" t="s">
        <v>44</v>
      </c>
      <c r="O233" s="383" t="str">
        <f>IF(LEN(SUBSTITUTE(Table3937[[#This Row],[PRIMARY CONTACT]]," ",""))=10,SUBSTITUTE(Table3937[[#This Row],[PRIMARY CONTACT]]," ","") &amp; " - Proper","- Follow Up")</f>
        <v>9833997796 - Proper</v>
      </c>
      <c r="P233" s="383" t="s">
        <v>400</v>
      </c>
      <c r="Q233" s="383">
        <v>9833997796</v>
      </c>
      <c r="R233" s="383" t="str">
        <f>SUBSTITUTE(Table3937[[#This Row],[whatsapp_number]]," ","")</f>
        <v>9833997796</v>
      </c>
      <c r="S233" s="383" t="str">
        <f>IF(Table3937[[#This Row],[PRIMARY CONTACT]]=Table3937[[#This Row],[WHATSAPP CONTACT]],"Same Contact","Different Contact")</f>
        <v>Same Contact</v>
      </c>
      <c r="T233" s="383" t="str">
        <f>IF(LEN(SUBSTITUTE(Table3937[[#This Row],[PRIMARY CONTACT]]," ",""))=10,SUBSTITUTE(Table3937[[#This Row],[PRIMARY CONTACT]]," ","") &amp; " - Proper","- Follow Up")</f>
        <v>9833997796 - Proper</v>
      </c>
      <c r="U233" s="383" t="s">
        <v>2953</v>
      </c>
      <c r="V233" s="383" t="s">
        <v>71</v>
      </c>
      <c r="W233" s="383" t="s">
        <v>47</v>
      </c>
      <c r="X233" s="51" t="s">
        <v>170</v>
      </c>
      <c r="Y233" s="51" t="s">
        <v>406</v>
      </c>
      <c r="Z233" s="51" t="s">
        <v>407</v>
      </c>
      <c r="AA233" s="51" t="s">
        <v>408</v>
      </c>
      <c r="AB233" s="383"/>
    </row>
    <row r="234" spans="1:28" ht="13.8">
      <c r="A234" s="387">
        <v>233</v>
      </c>
      <c r="B234" s="26" t="s">
        <v>410</v>
      </c>
      <c r="C234" s="383" t="s">
        <v>10709</v>
      </c>
      <c r="D234" s="383" t="s">
        <v>10914</v>
      </c>
      <c r="E234" s="383" t="s">
        <v>8820</v>
      </c>
      <c r="F234" s="383">
        <v>744</v>
      </c>
      <c r="G234" s="383" t="s">
        <v>421</v>
      </c>
      <c r="H234" s="383" t="s">
        <v>421</v>
      </c>
      <c r="I234" s="383" t="s">
        <v>8430</v>
      </c>
      <c r="J234" s="383" t="s">
        <v>415</v>
      </c>
      <c r="K234" s="383" t="s">
        <v>416</v>
      </c>
      <c r="L234" s="383" t="s">
        <v>8341</v>
      </c>
      <c r="M234" s="383" t="s">
        <v>10103</v>
      </c>
      <c r="N234" s="29" t="s">
        <v>44</v>
      </c>
      <c r="O234" s="383" t="str">
        <f>IF(LEN(SUBSTITUTE(Table3937[[#This Row],[PRIMARY CONTACT]]," ",""))=10,SUBSTITUTE(Table3937[[#This Row],[PRIMARY CONTACT]]," ","") &amp; " - Proper","- Follow Up")</f>
        <v>9920031422 - Proper</v>
      </c>
      <c r="P234" s="383" t="s">
        <v>3024</v>
      </c>
      <c r="Q234" s="383">
        <v>9920031422</v>
      </c>
      <c r="R234" s="383" t="str">
        <f>SUBSTITUTE(Table3937[[#This Row],[whatsapp_number]]," ","")</f>
        <v>9920031422</v>
      </c>
      <c r="S234" s="383" t="str">
        <f>IF(Table3937[[#This Row],[PRIMARY CONTACT]]=Table3937[[#This Row],[WHATSAPP CONTACT]],"Same Contact","Different Contact")</f>
        <v>Same Contact</v>
      </c>
      <c r="T234" s="383" t="str">
        <f>IF(LEN(SUBSTITUTE(Table3937[[#This Row],[PRIMARY CONTACT]]," ",""))=10,SUBSTITUTE(Table3937[[#This Row],[PRIMARY CONTACT]]," ","") &amp; " - Proper","- Follow Up")</f>
        <v>9920031422 - Proper</v>
      </c>
      <c r="U234" s="383" t="s">
        <v>10552</v>
      </c>
      <c r="V234" s="383" t="s">
        <v>71</v>
      </c>
      <c r="W234" s="383" t="s">
        <v>47</v>
      </c>
      <c r="X234" s="51" t="s">
        <v>418</v>
      </c>
      <c r="Y234" s="51" t="s">
        <v>419</v>
      </c>
      <c r="Z234" s="51" t="s">
        <v>197</v>
      </c>
      <c r="AA234" s="51" t="s">
        <v>420</v>
      </c>
      <c r="AB234" s="383"/>
    </row>
    <row r="235" spans="1:28" ht="16.2">
      <c r="A235" s="387">
        <v>234</v>
      </c>
      <c r="B235" s="7" t="s">
        <v>422</v>
      </c>
      <c r="C235" s="383" t="s">
        <v>10709</v>
      </c>
      <c r="D235" s="383" t="str">
        <f>MID([1]!Table3937[[#This Row],[URL]],FIND("_",[1]!Table3937[[#This Row],[URL]])+1,FIND("/",[1]!Table3937[[#This Row],[URL]],FIND("_",[1]!Table3937[[#This Row],[URL]]))-FIND("_",[1]!Table3937[[#This Row],[URL]])-1)</f>
        <v>PrimeIndiaInternational</v>
      </c>
      <c r="E235" s="383" t="s">
        <v>8821</v>
      </c>
      <c r="F235" s="383">
        <v>753</v>
      </c>
      <c r="G235" s="383" t="s">
        <v>71</v>
      </c>
      <c r="H235" s="383" t="s">
        <v>431</v>
      </c>
      <c r="I235" s="383" t="s">
        <v>426</v>
      </c>
      <c r="J235" s="383" t="s">
        <v>427</v>
      </c>
      <c r="K235" s="383" t="s">
        <v>42</v>
      </c>
      <c r="L235" s="383" t="s">
        <v>9649</v>
      </c>
      <c r="M235" s="383" t="s">
        <v>10104</v>
      </c>
      <c r="N235" s="61">
        <v>9321246670</v>
      </c>
      <c r="O235" s="383" t="str">
        <f>IF(LEN(SUBSTITUTE(Table3937[[#This Row],[PRIMARY CONTACT]]," ",""))=10,SUBSTITUTE(Table3937[[#This Row],[PRIMARY CONTACT]]," ","") &amp; " - Proper","- Follow Up")</f>
        <v>9322246670 - Proper</v>
      </c>
      <c r="P235" s="383" t="s">
        <v>424</v>
      </c>
      <c r="Q235" s="383">
        <v>9322246670</v>
      </c>
      <c r="R235" s="383" t="str">
        <f>SUBSTITUTE(Table3937[[#This Row],[whatsapp_number]]," ","")</f>
        <v>9322246670</v>
      </c>
      <c r="S235" s="383" t="str">
        <f>IF(Table3937[[#This Row],[PRIMARY CONTACT]]=Table3937[[#This Row],[WHATSAPP CONTACT]],"Same Contact","Different Contact")</f>
        <v>Same Contact</v>
      </c>
      <c r="T235" s="383" t="str">
        <f>IF(LEN(SUBSTITUTE(Table3937[[#This Row],[PRIMARY CONTACT]]," ",""))=10,SUBSTITUTE(Table3937[[#This Row],[PRIMARY CONTACT]]," ","") &amp; " - Proper","- Follow Up")</f>
        <v>9322246670 - Proper</v>
      </c>
      <c r="U235" s="383" t="s">
        <v>3026</v>
      </c>
      <c r="V235" s="393" t="s">
        <v>429</v>
      </c>
      <c r="W235" s="383" t="s">
        <v>47</v>
      </c>
      <c r="X235" s="45" t="s">
        <v>170</v>
      </c>
      <c r="Y235" s="45" t="s">
        <v>49</v>
      </c>
      <c r="Z235" s="45" t="s">
        <v>197</v>
      </c>
      <c r="AA235" s="45" t="s">
        <v>49</v>
      </c>
      <c r="AB235" s="383"/>
    </row>
    <row r="236" spans="1:28" ht="13.8">
      <c r="A236" s="387">
        <v>235</v>
      </c>
      <c r="B236" s="26" t="s">
        <v>432</v>
      </c>
      <c r="C236" s="383" t="s">
        <v>10709</v>
      </c>
      <c r="D236" s="383" t="str">
        <f>MID([1]!Table3937[[#This Row],[URL]],FIND("_",[1]!Table3937[[#This Row],[URL]])+1,FIND("/",[1]!Table3937[[#This Row],[URL]],FIND("_",[1]!Table3937[[#This Row],[URL]]))-FIND("_",[1]!Table3937[[#This Row],[URL]])-1)</f>
        <v>AMIT-JAIN</v>
      </c>
      <c r="E236" s="383" t="s">
        <v>8822</v>
      </c>
      <c r="F236" s="383">
        <v>759</v>
      </c>
      <c r="G236" s="383" t="s">
        <v>71</v>
      </c>
      <c r="H236" s="383" t="s">
        <v>442</v>
      </c>
      <c r="I236" s="383" t="s">
        <v>8431</v>
      </c>
      <c r="J236" s="383" t="s">
        <v>437</v>
      </c>
      <c r="K236" s="383" t="s">
        <v>438</v>
      </c>
      <c r="L236" s="383" t="s">
        <v>9650</v>
      </c>
      <c r="M236" s="383" t="s">
        <v>10105</v>
      </c>
      <c r="N236" s="29" t="s">
        <v>44</v>
      </c>
      <c r="O236" s="383" t="str">
        <f>IF(LEN(SUBSTITUTE(Table3937[[#This Row],[PRIMARY CONTACT]]," ",""))=10,SUBSTITUTE(Table3937[[#This Row],[PRIMARY CONTACT]]," ","") &amp; " - Proper","- Follow Up")</f>
        <v>9819656189 - Proper</v>
      </c>
      <c r="P236" s="383" t="s">
        <v>3027</v>
      </c>
      <c r="Q236" s="383">
        <v>9819656189</v>
      </c>
      <c r="R236" s="383" t="str">
        <f>SUBSTITUTE(Table3937[[#This Row],[whatsapp_number]]," ","")</f>
        <v>9819656189</v>
      </c>
      <c r="S236" s="383" t="str">
        <f>IF(Table3937[[#This Row],[PRIMARY CONTACT]]=Table3937[[#This Row],[WHATSAPP CONTACT]],"Same Contact","Different Contact")</f>
        <v>Same Contact</v>
      </c>
      <c r="T236" s="383" t="str">
        <f>IF(LEN(SUBSTITUTE(Table3937[[#This Row],[PRIMARY CONTACT]]," ",""))=10,SUBSTITUTE(Table3937[[#This Row],[PRIMARY CONTACT]]," ","") &amp; " - Proper","- Follow Up")</f>
        <v>9819656189 - Proper</v>
      </c>
      <c r="U236" s="383" t="s">
        <v>10553</v>
      </c>
      <c r="V236" s="383" t="s">
        <v>71</v>
      </c>
      <c r="W236" s="383" t="s">
        <v>47</v>
      </c>
      <c r="X236" s="32" t="s">
        <v>170</v>
      </c>
      <c r="Y236" s="32" t="s">
        <v>49</v>
      </c>
      <c r="Z236" s="32" t="s">
        <v>441</v>
      </c>
      <c r="AA236" s="32" t="s">
        <v>51</v>
      </c>
      <c r="AB236" s="383"/>
    </row>
    <row r="237" spans="1:28" ht="13.8">
      <c r="A237" s="387">
        <v>236</v>
      </c>
      <c r="B237" s="26" t="s">
        <v>443</v>
      </c>
      <c r="C237" s="383" t="s">
        <v>10709</v>
      </c>
      <c r="D237" s="383" t="str">
        <f>MID([1]!Table3937[[#This Row],[URL]],FIND("_",[1]!Table3937[[#This Row],[URL]])+1,FIND("/",[1]!Table3937[[#This Row],[URL]],FIND("_",[1]!Table3937[[#This Row],[URL]]))-FIND("_",[1]!Table3937[[#This Row],[URL]])-1)</f>
        <v>HIMMAT-JAIN</v>
      </c>
      <c r="E237" s="383" t="s">
        <v>8823</v>
      </c>
      <c r="F237" s="383">
        <v>760</v>
      </c>
      <c r="G237" s="383" t="s">
        <v>71</v>
      </c>
      <c r="H237" s="383" t="s">
        <v>442</v>
      </c>
      <c r="I237" s="383" t="s">
        <v>8431</v>
      </c>
      <c r="J237" s="383" t="s">
        <v>9406</v>
      </c>
      <c r="K237" s="383" t="s">
        <v>438</v>
      </c>
      <c r="L237" s="383" t="s">
        <v>9650</v>
      </c>
      <c r="M237" s="383" t="s">
        <v>10106</v>
      </c>
      <c r="N237" s="29" t="s">
        <v>44</v>
      </c>
      <c r="O237" s="383" t="str">
        <f>IF(LEN(SUBSTITUTE(Table3937[[#This Row],[PRIMARY CONTACT]]," ",""))=10,SUBSTITUTE(Table3937[[#This Row],[PRIMARY CONTACT]]," ","") &amp; " - Proper","- Follow Up")</f>
        <v>9699087887 - Proper</v>
      </c>
      <c r="P237" s="383" t="s">
        <v>3027</v>
      </c>
      <c r="Q237" s="383">
        <v>9699087887</v>
      </c>
      <c r="R237" s="383" t="str">
        <f>SUBSTITUTE(Table3937[[#This Row],[whatsapp_number]]," ","")</f>
        <v>9699087887</v>
      </c>
      <c r="S237" s="383" t="str">
        <f>IF(Table3937[[#This Row],[PRIMARY CONTACT]]=Table3937[[#This Row],[WHATSAPP CONTACT]],"Same Contact","Different Contact")</f>
        <v>Same Contact</v>
      </c>
      <c r="T237" s="383" t="str">
        <f>IF(LEN(SUBSTITUTE(Table3937[[#This Row],[PRIMARY CONTACT]]," ",""))=10,SUBSTITUTE(Table3937[[#This Row],[PRIMARY CONTACT]]," ","") &amp; " - Proper","- Follow Up")</f>
        <v>9699087887 - Proper</v>
      </c>
      <c r="U237" s="383" t="s">
        <v>10553</v>
      </c>
      <c r="V237" s="383" t="s">
        <v>71</v>
      </c>
      <c r="W237" s="383" t="s">
        <v>47</v>
      </c>
      <c r="X237" s="32" t="s">
        <v>300</v>
      </c>
      <c r="Y237" s="32" t="s">
        <v>301</v>
      </c>
      <c r="Z237" s="32" t="s">
        <v>447</v>
      </c>
      <c r="AA237" s="32" t="s">
        <v>448</v>
      </c>
      <c r="AB237" s="383"/>
    </row>
    <row r="238" spans="1:28" ht="13.8">
      <c r="A238" s="387">
        <v>237</v>
      </c>
      <c r="B238" s="26" t="s">
        <v>449</v>
      </c>
      <c r="C238" s="383" t="s">
        <v>10709</v>
      </c>
      <c r="D238" s="383" t="str">
        <f>MID([1]!Table3937[[#This Row],[URL]],FIND("_",[1]!Table3937[[#This Row],[URL]])+1,FIND("/",[1]!Table3937[[#This Row],[URL]],FIND("_",[1]!Table3937[[#This Row],[URL]]))-FIND("_",[1]!Table3937[[#This Row],[URL]])-1)</f>
        <v>PRAVIN-JAIN</v>
      </c>
      <c r="E238" s="383" t="s">
        <v>8824</v>
      </c>
      <c r="F238" s="383">
        <v>761</v>
      </c>
      <c r="G238" s="383" t="s">
        <v>71</v>
      </c>
      <c r="H238" s="383" t="s">
        <v>442</v>
      </c>
      <c r="I238" s="383" t="s">
        <v>8431</v>
      </c>
      <c r="J238" s="383" t="s">
        <v>453</v>
      </c>
      <c r="K238" s="383" t="s">
        <v>438</v>
      </c>
      <c r="L238" s="383" t="s">
        <v>9650</v>
      </c>
      <c r="M238" s="383" t="s">
        <v>10107</v>
      </c>
      <c r="N238" s="29" t="s">
        <v>44</v>
      </c>
      <c r="O238" s="383" t="str">
        <f>IF(LEN(SUBSTITUTE(Table3937[[#This Row],[PRIMARY CONTACT]]," ",""))=10,SUBSTITUTE(Table3937[[#This Row],[PRIMARY CONTACT]]," ","") &amp; " - Proper","- Follow Up")</f>
        <v>9324625627 - Proper</v>
      </c>
      <c r="P238" s="383" t="s">
        <v>3028</v>
      </c>
      <c r="Q238" s="383">
        <v>9324625627</v>
      </c>
      <c r="R238" s="383" t="str">
        <f>SUBSTITUTE(Table3937[[#This Row],[whatsapp_number]]," ","")</f>
        <v>9324625627</v>
      </c>
      <c r="S238" s="383" t="str">
        <f>IF(Table3937[[#This Row],[PRIMARY CONTACT]]=Table3937[[#This Row],[WHATSAPP CONTACT]],"Same Contact","Different Contact")</f>
        <v>Same Contact</v>
      </c>
      <c r="T238" s="383" t="str">
        <f>IF(LEN(SUBSTITUTE(Table3937[[#This Row],[PRIMARY CONTACT]]," ",""))=10,SUBSTITUTE(Table3937[[#This Row],[PRIMARY CONTACT]]," ","") &amp; " - Proper","- Follow Up")</f>
        <v>9324625627 - Proper</v>
      </c>
      <c r="U238" s="383" t="s">
        <v>10553</v>
      </c>
      <c r="V238" s="383" t="s">
        <v>71</v>
      </c>
      <c r="W238" s="383" t="s">
        <v>47</v>
      </c>
      <c r="X238" s="32" t="s">
        <v>311</v>
      </c>
      <c r="Y238" s="32" t="s">
        <v>312</v>
      </c>
      <c r="Z238" s="32" t="s">
        <v>454</v>
      </c>
      <c r="AA238" s="32" t="s">
        <v>455</v>
      </c>
      <c r="AB238" s="383"/>
    </row>
    <row r="239" spans="1:28" ht="13.8">
      <c r="A239" s="387">
        <v>238</v>
      </c>
      <c r="B239" s="26" t="s">
        <v>457</v>
      </c>
      <c r="C239" s="383" t="s">
        <v>10709</v>
      </c>
      <c r="D239" s="383" t="s">
        <v>8825</v>
      </c>
      <c r="E239" s="383" t="s">
        <v>8825</v>
      </c>
      <c r="F239" s="383">
        <v>762</v>
      </c>
      <c r="G239" s="383" t="s">
        <v>71</v>
      </c>
      <c r="H239" s="383" t="s">
        <v>467</v>
      </c>
      <c r="I239" s="383" t="s">
        <v>461</v>
      </c>
      <c r="J239" s="383" t="s">
        <v>462</v>
      </c>
      <c r="K239" s="383" t="s">
        <v>191</v>
      </c>
      <c r="L239" s="383" t="s">
        <v>9651</v>
      </c>
      <c r="M239" s="383" t="s">
        <v>10108</v>
      </c>
      <c r="N239" s="29" t="s">
        <v>44</v>
      </c>
      <c r="O239" s="383" t="str">
        <f>IF(LEN(SUBSTITUTE(Table3937[[#This Row],[PRIMARY CONTACT]]," ",""))=10,SUBSTITUTE(Table3937[[#This Row],[PRIMARY CONTACT]]," ","") &amp; " - Proper","- Follow Up")</f>
        <v>8104934764 - Proper</v>
      </c>
      <c r="P239" s="383" t="s">
        <v>459</v>
      </c>
      <c r="Q239" s="383">
        <v>8104934764</v>
      </c>
      <c r="R239" s="383" t="str">
        <f>SUBSTITUTE(Table3937[[#This Row],[whatsapp_number]]," ","")</f>
        <v>8104934764</v>
      </c>
      <c r="S239" s="383" t="str">
        <f>IF(Table3937[[#This Row],[PRIMARY CONTACT]]=Table3937[[#This Row],[WHATSAPP CONTACT]],"Same Contact","Different Contact")</f>
        <v>Same Contact</v>
      </c>
      <c r="T239" s="383" t="str">
        <f>IF(LEN(SUBSTITUTE(Table3937[[#This Row],[PRIMARY CONTACT]]," ",""))=10,SUBSTITUTE(Table3937[[#This Row],[PRIMARY CONTACT]]," ","") &amp; " - Proper","- Follow Up")</f>
        <v>8104934764 - Proper</v>
      </c>
      <c r="U239" s="383" t="s">
        <v>3030</v>
      </c>
      <c r="V239" s="393" t="s">
        <v>2920</v>
      </c>
      <c r="W239" s="383" t="s">
        <v>47</v>
      </c>
      <c r="X239" s="51" t="s">
        <v>464</v>
      </c>
      <c r="Y239" s="51" t="s">
        <v>465</v>
      </c>
      <c r="Z239" s="51" t="s">
        <v>466</v>
      </c>
      <c r="AA239" s="51" t="s">
        <v>465</v>
      </c>
      <c r="AB239" s="383"/>
    </row>
    <row r="240" spans="1:28" ht="13.8">
      <c r="A240" s="387">
        <v>239</v>
      </c>
      <c r="B240" s="26" t="s">
        <v>468</v>
      </c>
      <c r="C240" s="383" t="s">
        <v>10709</v>
      </c>
      <c r="D240" s="383" t="s">
        <v>8826</v>
      </c>
      <c r="E240" s="383" t="s">
        <v>8826</v>
      </c>
      <c r="F240" s="383">
        <v>763</v>
      </c>
      <c r="G240" s="383" t="s">
        <v>477</v>
      </c>
      <c r="H240" s="383" t="s">
        <v>467</v>
      </c>
      <c r="I240" s="383" t="s">
        <v>461</v>
      </c>
      <c r="J240" s="383" t="s">
        <v>472</v>
      </c>
      <c r="K240" s="383" t="s">
        <v>9515</v>
      </c>
      <c r="L240" s="383" t="s">
        <v>9651</v>
      </c>
      <c r="M240" s="383" t="s">
        <v>10109</v>
      </c>
      <c r="N240" s="65">
        <v>8104934764</v>
      </c>
      <c r="O240" s="383" t="str">
        <f>IF(LEN(SUBSTITUTE(Table3937[[#This Row],[PRIMARY CONTACT]]," ",""))=10,SUBSTITUTE(Table3937[[#This Row],[PRIMARY CONTACT]]," ","") &amp; " - Proper","- Follow Up")</f>
        <v>9711247007 - Proper</v>
      </c>
      <c r="P240" s="383" t="s">
        <v>459</v>
      </c>
      <c r="Q240" s="383">
        <v>9711247007</v>
      </c>
      <c r="R240" s="383" t="str">
        <f>SUBSTITUTE(Table3937[[#This Row],[whatsapp_number]]," ","")</f>
        <v>9711247007</v>
      </c>
      <c r="S240" s="383" t="str">
        <f>IF(Table3937[[#This Row],[PRIMARY CONTACT]]=Table3937[[#This Row],[WHATSAPP CONTACT]],"Same Contact","Different Contact")</f>
        <v>Same Contact</v>
      </c>
      <c r="T240" s="383" t="str">
        <f>IF(LEN(SUBSTITUTE(Table3937[[#This Row],[PRIMARY CONTACT]]," ",""))=10,SUBSTITUTE(Table3937[[#This Row],[PRIMARY CONTACT]]," ","") &amp; " - Proper","- Follow Up")</f>
        <v>9711247007 - Proper</v>
      </c>
      <c r="U240" s="383" t="s">
        <v>3030</v>
      </c>
      <c r="V240" s="393" t="s">
        <v>2920</v>
      </c>
      <c r="W240" s="383" t="s">
        <v>47</v>
      </c>
      <c r="X240" s="51" t="s">
        <v>475</v>
      </c>
      <c r="Y240" s="51" t="s">
        <v>465</v>
      </c>
      <c r="Z240" s="51" t="s">
        <v>476</v>
      </c>
      <c r="AA240" s="51" t="s">
        <v>465</v>
      </c>
      <c r="AB240" s="383"/>
    </row>
    <row r="241" spans="1:28" ht="13.8">
      <c r="A241" s="387">
        <v>240</v>
      </c>
      <c r="B241" s="26" t="s">
        <v>478</v>
      </c>
      <c r="C241" s="383" t="s">
        <v>10709</v>
      </c>
      <c r="D241" s="383" t="str">
        <f>MID([1]!Table3937[[#This Row],[URL]],FIND("_",[1]!Table3937[[#This Row],[URL]])+1,FIND("/",[1]!Table3937[[#This Row],[URL]],FIND("_",[1]!Table3937[[#This Row],[URL]]))-FIND("_",[1]!Table3937[[#This Row],[URL]])-1)</f>
        <v>NIRAJ-LALWANI</v>
      </c>
      <c r="E241" s="383" t="s">
        <v>8827</v>
      </c>
      <c r="F241" s="383">
        <v>765</v>
      </c>
      <c r="G241" s="383" t="s">
        <v>488</v>
      </c>
      <c r="H241" s="383" t="s">
        <v>489</v>
      </c>
      <c r="I241" s="383" t="s">
        <v>482</v>
      </c>
      <c r="J241" s="383" t="s">
        <v>9407</v>
      </c>
      <c r="K241" s="383" t="s">
        <v>116</v>
      </c>
      <c r="L241" s="383" t="s">
        <v>9652</v>
      </c>
      <c r="M241" s="383" t="s">
        <v>10110</v>
      </c>
      <c r="N241" s="67">
        <v>9920043366</v>
      </c>
      <c r="O241" s="383" t="str">
        <f>IF(LEN(SUBSTITUTE(Table3937[[#This Row],[PRIMARY CONTACT]]," ",""))=10,SUBSTITUTE(Table3937[[#This Row],[PRIMARY CONTACT]]," ","") &amp; " - Proper","- Follow Up")</f>
        <v>7666368119 - Proper</v>
      </c>
      <c r="P241" s="383" t="s">
        <v>480</v>
      </c>
      <c r="Q241" s="383">
        <v>7666368119</v>
      </c>
      <c r="R241" s="383" t="str">
        <f>SUBSTITUTE(Table3937[[#This Row],[whatsapp_number]]," ","")</f>
        <v>7666368119</v>
      </c>
      <c r="S241" s="383" t="str">
        <f>IF(Table3937[[#This Row],[PRIMARY CONTACT]]=Table3937[[#This Row],[WHATSAPP CONTACT]],"Same Contact","Different Contact")</f>
        <v>Same Contact</v>
      </c>
      <c r="T241" s="383" t="str">
        <f>IF(LEN(SUBSTITUTE(Table3937[[#This Row],[PRIMARY CONTACT]]," ",""))=10,SUBSTITUTE(Table3937[[#This Row],[PRIMARY CONTACT]]," ","") &amp; " - Proper","- Follow Up")</f>
        <v>7666368119 - Proper</v>
      </c>
      <c r="U241" s="383" t="s">
        <v>3033</v>
      </c>
      <c r="V241" s="393" t="s">
        <v>3035</v>
      </c>
      <c r="W241" s="383" t="s">
        <v>47</v>
      </c>
      <c r="X241" s="51" t="s">
        <v>170</v>
      </c>
      <c r="Y241" s="51" t="s">
        <v>485</v>
      </c>
      <c r="Z241" s="51" t="s">
        <v>486</v>
      </c>
      <c r="AA241" s="51" t="s">
        <v>487</v>
      </c>
      <c r="AB241" s="383"/>
    </row>
    <row r="242" spans="1:28" ht="16.2">
      <c r="A242" s="387">
        <v>241</v>
      </c>
      <c r="B242" s="26" t="s">
        <v>501</v>
      </c>
      <c r="C242" s="383" t="s">
        <v>10709</v>
      </c>
      <c r="D242" s="383" t="str">
        <f>MID([1]!Table3937[[#This Row],[URL]],FIND("_",[1]!Table3937[[#This Row],[URL]])+1,FIND("/",[1]!Table3937[[#This Row],[URL]],FIND("_",[1]!Table3937[[#This Row],[URL]]))-FIND("_",[1]!Table3937[[#This Row],[URL]])-1)</f>
        <v>SULAKSHANA-HEREKAR</v>
      </c>
      <c r="E242" s="383" t="s">
        <v>8828</v>
      </c>
      <c r="F242" s="383">
        <v>769</v>
      </c>
      <c r="G242" s="383" t="s">
        <v>514</v>
      </c>
      <c r="H242" s="383" t="s">
        <v>515</v>
      </c>
      <c r="I242" s="383" t="s">
        <v>505</v>
      </c>
      <c r="J242" s="383" t="s">
        <v>3037</v>
      </c>
      <c r="K242" s="383" t="s">
        <v>507</v>
      </c>
      <c r="L242" s="383" t="s">
        <v>9653</v>
      </c>
      <c r="M242" s="383" t="s">
        <v>10111</v>
      </c>
      <c r="N242" s="54">
        <v>9821019645</v>
      </c>
      <c r="O242" s="383" t="str">
        <f>IF(LEN(SUBSTITUTE(Table3937[[#This Row],[PRIMARY CONTACT]]," ",""))=10,SUBSTITUTE(Table3937[[#This Row],[PRIMARY CONTACT]]," ","") &amp; " - Proper","- Follow Up")</f>
        <v>9619098408 - Proper</v>
      </c>
      <c r="P242" s="383" t="s">
        <v>503</v>
      </c>
      <c r="Q242" s="383">
        <v>9619098408</v>
      </c>
      <c r="R242" s="383" t="str">
        <f>SUBSTITUTE(Table3937[[#This Row],[whatsapp_number]]," ","")</f>
        <v>9619098408</v>
      </c>
      <c r="S242" s="383" t="str">
        <f>IF(Table3937[[#This Row],[PRIMARY CONTACT]]=Table3937[[#This Row],[WHATSAPP CONTACT]],"Same Contact","Different Contact")</f>
        <v>Same Contact</v>
      </c>
      <c r="T242" s="383" t="str">
        <f>IF(LEN(SUBSTITUTE(Table3937[[#This Row],[PRIMARY CONTACT]]," ",""))=10,SUBSTITUTE(Table3937[[#This Row],[PRIMARY CONTACT]]," ","") &amp; " - Proper","- Follow Up")</f>
        <v>9619098408 - Proper</v>
      </c>
      <c r="U242" s="383" t="s">
        <v>3039</v>
      </c>
      <c r="V242" s="393" t="s">
        <v>3040</v>
      </c>
      <c r="W242" s="383" t="s">
        <v>47</v>
      </c>
      <c r="X242" s="51" t="s">
        <v>510</v>
      </c>
      <c r="Y242" s="51" t="s">
        <v>511</v>
      </c>
      <c r="Z242" s="51" t="s">
        <v>512</v>
      </c>
      <c r="AA242" s="51" t="s">
        <v>513</v>
      </c>
      <c r="AB242" s="383"/>
    </row>
    <row r="243" spans="1:28" ht="13.8">
      <c r="A243" s="387">
        <v>242</v>
      </c>
      <c r="B243" s="26" t="s">
        <v>516</v>
      </c>
      <c r="C243" s="383" t="s">
        <v>10709</v>
      </c>
      <c r="D243" s="383" t="s">
        <v>10915</v>
      </c>
      <c r="E243" s="383" t="s">
        <v>8829</v>
      </c>
      <c r="F243" s="383">
        <v>774</v>
      </c>
      <c r="G243" s="383" t="s">
        <v>71</v>
      </c>
      <c r="H243" s="383" t="s">
        <v>527</v>
      </c>
      <c r="I243" s="383" t="s">
        <v>8432</v>
      </c>
      <c r="J243" s="383" t="s">
        <v>521</v>
      </c>
      <c r="K243" s="383" t="s">
        <v>8341</v>
      </c>
      <c r="L243" s="383" t="s">
        <v>9654</v>
      </c>
      <c r="M243" s="383" t="s">
        <v>10112</v>
      </c>
      <c r="N243" s="29" t="s">
        <v>44</v>
      </c>
      <c r="O243" s="383" t="str">
        <f>IF(LEN(SUBSTITUTE(Table3937[[#This Row],[PRIMARY CONTACT]]," ",""))=10,SUBSTITUTE(Table3937[[#This Row],[PRIMARY CONTACT]]," ","") &amp; " - Proper","- Follow Up")</f>
        <v>9920979629 - Proper</v>
      </c>
      <c r="P243" s="383" t="s">
        <v>3043</v>
      </c>
      <c r="Q243" s="383">
        <v>9920979629</v>
      </c>
      <c r="R243" s="383" t="str">
        <f>SUBSTITUTE(Table3937[[#This Row],[whatsapp_number]]," ","")</f>
        <v>9920979629</v>
      </c>
      <c r="S243" s="383" t="str">
        <f>IF(Table3937[[#This Row],[PRIMARY CONTACT]]=Table3937[[#This Row],[WHATSAPP CONTACT]],"Same Contact","Different Contact")</f>
        <v>Same Contact</v>
      </c>
      <c r="T243" s="383" t="str">
        <f>IF(LEN(SUBSTITUTE(Table3937[[#This Row],[PRIMARY CONTACT]]," ",""))=10,SUBSTITUTE(Table3937[[#This Row],[PRIMARY CONTACT]]," ","") &amp; " - Proper","- Follow Up")</f>
        <v>9920979629 - Proper</v>
      </c>
      <c r="U243" s="383" t="s">
        <v>10554</v>
      </c>
      <c r="V243" s="383" t="s">
        <v>71</v>
      </c>
      <c r="W243" s="383" t="s">
        <v>47</v>
      </c>
      <c r="X243" s="51" t="s">
        <v>524</v>
      </c>
      <c r="Y243" s="51" t="s">
        <v>49</v>
      </c>
      <c r="Z243" s="51" t="s">
        <v>525</v>
      </c>
      <c r="AA243" s="51" t="s">
        <v>526</v>
      </c>
      <c r="AB243" s="383"/>
    </row>
    <row r="244" spans="1:28" ht="13.8">
      <c r="A244" s="387">
        <v>243</v>
      </c>
      <c r="B244" s="26" t="s">
        <v>528</v>
      </c>
      <c r="C244" s="383" t="s">
        <v>10709</v>
      </c>
      <c r="D244" s="383" t="str">
        <f>MID([1]!Table3937[[#This Row],[URL]],FIND("_",[1]!Table3937[[#This Row],[URL]])+1,FIND("/",[1]!Table3937[[#This Row],[URL]],FIND("_",[1]!Table3937[[#This Row],[URL]]))-FIND("_",[1]!Table3937[[#This Row],[URL]])-1)</f>
        <v>ROSHAN-JAIN</v>
      </c>
      <c r="E244" s="383" t="s">
        <v>8830</v>
      </c>
      <c r="F244" s="383">
        <v>798</v>
      </c>
      <c r="G244" s="383" t="s">
        <v>71</v>
      </c>
      <c r="H244" s="383" t="s">
        <v>538</v>
      </c>
      <c r="I244" s="383" t="s">
        <v>8433</v>
      </c>
      <c r="J244" s="383" t="s">
        <v>533</v>
      </c>
      <c r="K244" s="383" t="s">
        <v>534</v>
      </c>
      <c r="L244" s="383" t="s">
        <v>9655</v>
      </c>
      <c r="M244" s="383" t="s">
        <v>10113</v>
      </c>
      <c r="N244" s="29" t="s">
        <v>44</v>
      </c>
      <c r="O244" s="383" t="str">
        <f>IF(LEN(SUBSTITUTE(Table3937[[#This Row],[PRIMARY CONTACT]]," ",""))=10,SUBSTITUTE(Table3937[[#This Row],[PRIMARY CONTACT]]," ","") &amp; " - Proper","- Follow Up")</f>
        <v>9820082259 - Proper</v>
      </c>
      <c r="P244" s="383" t="s">
        <v>3046</v>
      </c>
      <c r="Q244" s="383">
        <v>9820082259</v>
      </c>
      <c r="R244" s="383" t="str">
        <f>SUBSTITUTE(Table3937[[#This Row],[whatsapp_number]]," ","")</f>
        <v>9820082259</v>
      </c>
      <c r="S244" s="383" t="str">
        <f>IF(Table3937[[#This Row],[PRIMARY CONTACT]]=Table3937[[#This Row],[WHATSAPP CONTACT]],"Same Contact","Different Contact")</f>
        <v>Same Contact</v>
      </c>
      <c r="T244" s="383" t="str">
        <f>IF(LEN(SUBSTITUTE(Table3937[[#This Row],[PRIMARY CONTACT]]," ",""))=10,SUBSTITUTE(Table3937[[#This Row],[PRIMARY CONTACT]]," ","") &amp; " - Proper","- Follow Up")</f>
        <v>9820082259 - Proper</v>
      </c>
      <c r="U244" s="383" t="s">
        <v>10555</v>
      </c>
      <c r="V244" s="383" t="s">
        <v>71</v>
      </c>
      <c r="W244" s="383" t="s">
        <v>47</v>
      </c>
      <c r="X244" s="51" t="s">
        <v>170</v>
      </c>
      <c r="Y244" s="51" t="s">
        <v>49</v>
      </c>
      <c r="Z244" s="51" t="s">
        <v>537</v>
      </c>
      <c r="AA244" s="51" t="s">
        <v>49</v>
      </c>
      <c r="AB244" s="383"/>
    </row>
    <row r="245" spans="1:28" ht="13.8">
      <c r="A245" s="387">
        <v>244</v>
      </c>
      <c r="B245" s="7" t="s">
        <v>539</v>
      </c>
      <c r="C245" s="383" t="s">
        <v>10709</v>
      </c>
      <c r="D245" s="383" t="str">
        <f>MID([1]!Table3937[[#This Row],[URL]],FIND("_",[1]!Table3937[[#This Row],[URL]])+1,FIND("/",[1]!Table3937[[#This Row],[URL]],FIND("_",[1]!Table3937[[#This Row],[URL]]))-FIND("_",[1]!Table3937[[#This Row],[URL]])-1)</f>
        <v>MANOJ-DIMRI</v>
      </c>
      <c r="E245" s="383" t="s">
        <v>8831</v>
      </c>
      <c r="F245" s="383">
        <v>803</v>
      </c>
      <c r="G245" s="383" t="s">
        <v>71</v>
      </c>
      <c r="H245" s="383" t="s">
        <v>551</v>
      </c>
      <c r="I245" s="383" t="s">
        <v>543</v>
      </c>
      <c r="J245" s="383" t="s">
        <v>544</v>
      </c>
      <c r="K245" s="383" t="s">
        <v>9499</v>
      </c>
      <c r="L245" s="383" t="s">
        <v>9656</v>
      </c>
      <c r="M245" s="383" t="s">
        <v>10099</v>
      </c>
      <c r="N245" s="18" t="s">
        <v>44</v>
      </c>
      <c r="O245" s="383" t="str">
        <f>IF(LEN(SUBSTITUTE(Table3937[[#This Row],[PRIMARY CONTACT]]," ",""))=10,SUBSTITUTE(Table3937[[#This Row],[PRIMARY CONTACT]]," ","") &amp; " - Proper","- Follow Up")</f>
        <v>- Follow Up</v>
      </c>
      <c r="P245" s="383" t="s">
        <v>3049</v>
      </c>
      <c r="Q245" s="409">
        <v>8800000000000</v>
      </c>
      <c r="R245" s="383" t="str">
        <f>SUBSTITUTE(Table3937[[#This Row],[whatsapp_number]]," ","")</f>
        <v>8800000000000</v>
      </c>
      <c r="S245" s="383" t="str">
        <f>IF(Table3937[[#This Row],[PRIMARY CONTACT]]=Table3937[[#This Row],[WHATSAPP CONTACT]],"Same Contact","Different Contact")</f>
        <v>Same Contact</v>
      </c>
      <c r="T245" s="383" t="str">
        <f>IF(LEN(SUBSTITUTE(Table3937[[#This Row],[PRIMARY CONTACT]]," ",""))=10,SUBSTITUTE(Table3937[[#This Row],[PRIMARY CONTACT]]," ","") &amp; " - Proper","- Follow Up")</f>
        <v>- Follow Up</v>
      </c>
      <c r="U245" s="383" t="s">
        <v>8341</v>
      </c>
      <c r="V245" s="393" t="s">
        <v>547</v>
      </c>
      <c r="W245" s="383" t="s">
        <v>47</v>
      </c>
      <c r="X245" s="45" t="s">
        <v>548</v>
      </c>
      <c r="Y245" s="45" t="s">
        <v>48</v>
      </c>
      <c r="Z245" s="45" t="s">
        <v>549</v>
      </c>
      <c r="AA245" s="45" t="s">
        <v>550</v>
      </c>
      <c r="AB245" s="383"/>
    </row>
    <row r="246" spans="1:28" ht="13.8">
      <c r="A246" s="387">
        <v>245</v>
      </c>
      <c r="B246" s="7" t="s">
        <v>552</v>
      </c>
      <c r="C246" s="383" t="s">
        <v>10709</v>
      </c>
      <c r="D246" s="383" t="str">
        <f>MID([1]!Table3937[[#This Row],[URL]],FIND("_",[1]!Table3937[[#This Row],[URL]])+1,FIND("/",[1]!Table3937[[#This Row],[URL]],FIND("_",[1]!Table3937[[#This Row],[URL]]))-FIND("_",[1]!Table3937[[#This Row],[URL]])-1)</f>
        <v>PRATIK-MALDE</v>
      </c>
      <c r="E246" s="383" t="s">
        <v>8832</v>
      </c>
      <c r="F246" s="383">
        <v>804</v>
      </c>
      <c r="G246" s="383" t="s">
        <v>71</v>
      </c>
      <c r="H246" s="383" t="s">
        <v>561</v>
      </c>
      <c r="I246" s="383" t="s">
        <v>556</v>
      </c>
      <c r="J246" s="383" t="s">
        <v>557</v>
      </c>
      <c r="K246" s="383" t="s">
        <v>191</v>
      </c>
      <c r="L246" s="383" t="s">
        <v>9657</v>
      </c>
      <c r="M246" s="383" t="s">
        <v>10114</v>
      </c>
      <c r="N246" s="18" t="s">
        <v>44</v>
      </c>
      <c r="O246" s="383" t="str">
        <f>IF(LEN(SUBSTITUTE(Table3937[[#This Row],[PRIMARY CONTACT]]," ",""))=10,SUBSTITUTE(Table3937[[#This Row],[PRIMARY CONTACT]]," ","") &amp; " - Proper","- Follow Up")</f>
        <v>9892103999 - Proper</v>
      </c>
      <c r="P246" s="383" t="s">
        <v>3051</v>
      </c>
      <c r="Q246" s="383">
        <v>9892103999</v>
      </c>
      <c r="R246" s="383" t="str">
        <f>SUBSTITUTE(Table3937[[#This Row],[whatsapp_number]]," ","")</f>
        <v>9892103999</v>
      </c>
      <c r="S246" s="383" t="str">
        <f>IF(Table3937[[#This Row],[PRIMARY CONTACT]]=Table3937[[#This Row],[WHATSAPP CONTACT]],"Same Contact","Different Contact")</f>
        <v>Same Contact</v>
      </c>
      <c r="T246" s="383" t="str">
        <f>IF(LEN(SUBSTITUTE(Table3937[[#This Row],[PRIMARY CONTACT]]," ",""))=10,SUBSTITUTE(Table3937[[#This Row],[PRIMARY CONTACT]]," ","") &amp; " - Proper","- Follow Up")</f>
        <v>9892103999 - Proper</v>
      </c>
      <c r="U246" s="383" t="s">
        <v>10556</v>
      </c>
      <c r="V246" s="393" t="s">
        <v>559</v>
      </c>
      <c r="W246" s="383" t="s">
        <v>47</v>
      </c>
      <c r="X246" s="45" t="s">
        <v>170</v>
      </c>
      <c r="Y246" s="45" t="s">
        <v>49</v>
      </c>
      <c r="Z246" s="45" t="s">
        <v>197</v>
      </c>
      <c r="AA246" s="45" t="s">
        <v>49</v>
      </c>
      <c r="AB246" s="383"/>
    </row>
    <row r="247" spans="1:28" ht="16.2">
      <c r="A247" s="387">
        <v>246</v>
      </c>
      <c r="B247" s="26" t="s">
        <v>387</v>
      </c>
      <c r="C247" s="383" t="s">
        <v>10709</v>
      </c>
      <c r="D247" s="383" t="str">
        <f>MID([1]!Table3937[[#This Row],[URL]],FIND("_",[1]!Table3937[[#This Row],[URL]])+1,FIND("/",[1]!Table3937[[#This Row],[URL]],FIND("_",[1]!Table3937[[#This Row],[URL]]))-FIND("_",[1]!Table3937[[#This Row],[URL]])-1)</f>
        <v>SIMRA-SONULE</v>
      </c>
      <c r="E247" s="383" t="s">
        <v>8833</v>
      </c>
      <c r="F247" s="383">
        <v>805</v>
      </c>
      <c r="G247" s="383" t="s">
        <v>71</v>
      </c>
      <c r="H247" s="383" t="s">
        <v>71</v>
      </c>
      <c r="I247" s="383" t="s">
        <v>566</v>
      </c>
      <c r="J247" s="383" t="s">
        <v>567</v>
      </c>
      <c r="K247" s="383" t="s">
        <v>8341</v>
      </c>
      <c r="L247" s="383" t="s">
        <v>8341</v>
      </c>
      <c r="M247" s="383" t="s">
        <v>10115</v>
      </c>
      <c r="N247" s="54">
        <v>7977440315</v>
      </c>
      <c r="O247" s="383" t="str">
        <f>IF(LEN(SUBSTITUTE(Table3937[[#This Row],[PRIMARY CONTACT]]," ",""))=10,SUBSTITUTE(Table3937[[#This Row],[PRIMARY CONTACT]]," ","") &amp; " - Proper","- Follow Up")</f>
        <v>9930358990 - Proper</v>
      </c>
      <c r="P247" s="383" t="s">
        <v>3054</v>
      </c>
      <c r="Q247" s="383">
        <v>9930358990</v>
      </c>
      <c r="R247" s="383" t="str">
        <f>SUBSTITUTE(Table3937[[#This Row],[whatsapp_number]]," ","")</f>
        <v>9930358990</v>
      </c>
      <c r="S247" s="383" t="str">
        <f>IF(Table3937[[#This Row],[PRIMARY CONTACT]]=Table3937[[#This Row],[WHATSAPP CONTACT]],"Same Contact","Different Contact")</f>
        <v>Same Contact</v>
      </c>
      <c r="T247" s="383" t="str">
        <f>IF(LEN(SUBSTITUTE(Table3937[[#This Row],[PRIMARY CONTACT]]," ",""))=10,SUBSTITUTE(Table3937[[#This Row],[PRIMARY CONTACT]]," ","") &amp; " - Proper","- Follow Up")</f>
        <v>9930358990 - Proper</v>
      </c>
      <c r="U247" s="383" t="s">
        <v>8341</v>
      </c>
      <c r="V247" s="383" t="s">
        <v>71</v>
      </c>
      <c r="W247" s="383" t="s">
        <v>47</v>
      </c>
      <c r="X247" s="29" t="s">
        <v>395</v>
      </c>
      <c r="Y247" s="29" t="s">
        <v>395</v>
      </c>
      <c r="Z247" s="29" t="s">
        <v>395</v>
      </c>
      <c r="AA247" s="29" t="s">
        <v>395</v>
      </c>
      <c r="AB247" s="383"/>
    </row>
    <row r="248" spans="1:28" ht="13.8">
      <c r="A248" s="387">
        <v>247</v>
      </c>
      <c r="B248" s="26" t="s">
        <v>568</v>
      </c>
      <c r="C248" s="383" t="s">
        <v>10709</v>
      </c>
      <c r="D248" s="383" t="s">
        <v>8834</v>
      </c>
      <c r="E248" s="383" t="s">
        <v>8834</v>
      </c>
      <c r="F248" s="383">
        <v>807</v>
      </c>
      <c r="G248" s="383" t="s">
        <v>577</v>
      </c>
      <c r="H248" s="383" t="s">
        <v>578</v>
      </c>
      <c r="I248" s="383" t="s">
        <v>8434</v>
      </c>
      <c r="J248" s="383" t="s">
        <v>573</v>
      </c>
      <c r="K248" s="383" t="s">
        <v>9516</v>
      </c>
      <c r="L248" s="383" t="s">
        <v>9658</v>
      </c>
      <c r="M248" s="383" t="s">
        <v>10116</v>
      </c>
      <c r="N248" s="29" t="s">
        <v>44</v>
      </c>
      <c r="O248" s="383" t="str">
        <f>IF(LEN(SUBSTITUTE(Table3937[[#This Row],[PRIMARY CONTACT]]," ",""))=10,SUBSTITUTE(Table3937[[#This Row],[PRIMARY CONTACT]]," ","") &amp; " - Proper","- Follow Up")</f>
        <v>9819434975 - Proper</v>
      </c>
      <c r="P248" s="383" t="s">
        <v>3056</v>
      </c>
      <c r="Q248" s="383">
        <v>9819434975</v>
      </c>
      <c r="R248" s="383" t="str">
        <f>SUBSTITUTE(Table3937[[#This Row],[whatsapp_number]]," ","")</f>
        <v>9819434975</v>
      </c>
      <c r="S248" s="383" t="str">
        <f>IF(Table3937[[#This Row],[PRIMARY CONTACT]]=Table3937[[#This Row],[WHATSAPP CONTACT]],"Same Contact","Different Contact")</f>
        <v>Same Contact</v>
      </c>
      <c r="T248" s="383" t="str">
        <f>IF(LEN(SUBSTITUTE(Table3937[[#This Row],[PRIMARY CONTACT]]," ",""))=10,SUBSTITUTE(Table3937[[#This Row],[PRIMARY CONTACT]]," ","") &amp; " - Proper","- Follow Up")</f>
        <v>9819434975 - Proper</v>
      </c>
      <c r="U248" s="383" t="s">
        <v>3057</v>
      </c>
      <c r="V248" s="393" t="s">
        <v>3058</v>
      </c>
      <c r="W248" s="383" t="s">
        <v>47</v>
      </c>
      <c r="X248" s="51" t="s">
        <v>170</v>
      </c>
      <c r="Y248" s="51" t="s">
        <v>576</v>
      </c>
      <c r="Z248" s="51" t="s">
        <v>197</v>
      </c>
      <c r="AA248" s="51" t="s">
        <v>49</v>
      </c>
      <c r="AB248" s="383"/>
    </row>
    <row r="249" spans="1:28" ht="16.2">
      <c r="A249" s="387">
        <v>248</v>
      </c>
      <c r="B249" s="7" t="s">
        <v>579</v>
      </c>
      <c r="C249" s="383" t="s">
        <v>10709</v>
      </c>
      <c r="D249" s="383" t="s">
        <v>8835</v>
      </c>
      <c r="E249" s="383" t="s">
        <v>8835</v>
      </c>
      <c r="F249" s="383">
        <v>808</v>
      </c>
      <c r="G249" s="383" t="s">
        <v>71</v>
      </c>
      <c r="H249" s="383" t="s">
        <v>71</v>
      </c>
      <c r="I249" s="383" t="s">
        <v>583</v>
      </c>
      <c r="J249" s="383" t="s">
        <v>584</v>
      </c>
      <c r="K249" s="383" t="s">
        <v>8341</v>
      </c>
      <c r="L249" s="383" t="s">
        <v>9659</v>
      </c>
      <c r="M249" s="383" t="s">
        <v>10117</v>
      </c>
      <c r="N249" s="61">
        <v>9699994096</v>
      </c>
      <c r="O249" s="383" t="str">
        <f>IF(LEN(SUBSTITUTE(Table3937[[#This Row],[PRIMARY CONTACT]]," ",""))=10,SUBSTITUTE(Table3937[[#This Row],[PRIMARY CONTACT]]," ","") &amp; " - Proper","- Follow Up")</f>
        <v>7045557876 - Proper</v>
      </c>
      <c r="P249" s="383" t="s">
        <v>581</v>
      </c>
      <c r="Q249" s="383">
        <v>7045557876</v>
      </c>
      <c r="R249" s="383" t="str">
        <f>SUBSTITUTE(Table3937[[#This Row],[whatsapp_number]]," ","")</f>
        <v>7045557876</v>
      </c>
      <c r="S249" s="383" t="str">
        <f>IF(Table3937[[#This Row],[PRIMARY CONTACT]]=Table3937[[#This Row],[WHATSAPP CONTACT]],"Same Contact","Different Contact")</f>
        <v>Same Contact</v>
      </c>
      <c r="T249" s="383" t="str">
        <f>IF(LEN(SUBSTITUTE(Table3937[[#This Row],[PRIMARY CONTACT]]," ",""))=10,SUBSTITUTE(Table3937[[#This Row],[PRIMARY CONTACT]]," ","") &amp; " - Proper","- Follow Up")</f>
        <v>7045557876 - Proper</v>
      </c>
      <c r="U249" s="383" t="s">
        <v>10557</v>
      </c>
      <c r="V249" s="383" t="s">
        <v>71</v>
      </c>
      <c r="W249" s="383" t="s">
        <v>47</v>
      </c>
      <c r="X249" s="45" t="s">
        <v>587</v>
      </c>
      <c r="Y249" s="45" t="s">
        <v>588</v>
      </c>
      <c r="Z249" s="45" t="s">
        <v>589</v>
      </c>
      <c r="AA249" s="45" t="s">
        <v>590</v>
      </c>
      <c r="AB249" s="383"/>
    </row>
    <row r="250" spans="1:28" ht="16.2">
      <c r="A250" s="387">
        <v>249</v>
      </c>
      <c r="B250" s="26" t="s">
        <v>591</v>
      </c>
      <c r="C250" s="383" t="s">
        <v>10709</v>
      </c>
      <c r="D250" s="383" t="str">
        <f>MID([1]!Table3937[[#This Row],[URL]],FIND("_",[1]!Table3937[[#This Row],[URL]])+1,FIND("/",[1]!Table3937[[#This Row],[URL]],FIND("_",[1]!Table3937[[#This Row],[URL]]))-FIND("_",[1]!Table3937[[#This Row],[URL]])-1)</f>
        <v>NEHA-MISHRA</v>
      </c>
      <c r="E250" s="383" t="s">
        <v>8836</v>
      </c>
      <c r="F250" s="383">
        <v>810</v>
      </c>
      <c r="G250" s="383" t="s">
        <v>71</v>
      </c>
      <c r="H250" s="383" t="s">
        <v>71</v>
      </c>
      <c r="I250" s="383" t="s">
        <v>595</v>
      </c>
      <c r="J250" s="383" t="s">
        <v>596</v>
      </c>
      <c r="K250" s="383" t="s">
        <v>534</v>
      </c>
      <c r="L250" s="383" t="s">
        <v>9660</v>
      </c>
      <c r="M250" s="383" t="s">
        <v>10118</v>
      </c>
      <c r="N250" s="54">
        <v>9222202016</v>
      </c>
      <c r="O250" s="383" t="str">
        <f>IF(LEN(SUBSTITUTE(Table3937[[#This Row],[PRIMARY CONTACT]]," ",""))=10,SUBSTITUTE(Table3937[[#This Row],[PRIMARY CONTACT]]," ","") &amp; " - Proper","- Follow Up")</f>
        <v>9082236396 - Proper</v>
      </c>
      <c r="P250" s="383" t="s">
        <v>3063</v>
      </c>
      <c r="Q250" s="383">
        <v>9082236396</v>
      </c>
      <c r="R250" s="383" t="str">
        <f>SUBSTITUTE(Table3937[[#This Row],[whatsapp_number]]," ","")</f>
        <v>9082236396</v>
      </c>
      <c r="S250" s="383" t="str">
        <f>IF(Table3937[[#This Row],[PRIMARY CONTACT]]=Table3937[[#This Row],[WHATSAPP CONTACT]],"Same Contact","Different Contact")</f>
        <v>Same Contact</v>
      </c>
      <c r="T250" s="383" t="str">
        <f>IF(LEN(SUBSTITUTE(Table3937[[#This Row],[PRIMARY CONTACT]]," ",""))=10,SUBSTITUTE(Table3937[[#This Row],[PRIMARY CONTACT]]," ","") &amp; " - Proper","- Follow Up")</f>
        <v>9082236396 - Proper</v>
      </c>
      <c r="U250" s="383" t="s">
        <v>8341</v>
      </c>
      <c r="V250" s="383" t="s">
        <v>71</v>
      </c>
      <c r="W250" s="383" t="s">
        <v>47</v>
      </c>
      <c r="X250" s="29" t="s">
        <v>395</v>
      </c>
      <c r="Y250" s="29" t="s">
        <v>395</v>
      </c>
      <c r="Z250" s="29" t="s">
        <v>395</v>
      </c>
      <c r="AA250" s="29" t="s">
        <v>395</v>
      </c>
      <c r="AB250" s="383"/>
    </row>
    <row r="251" spans="1:28" ht="16.2">
      <c r="A251" s="387">
        <v>250</v>
      </c>
      <c r="B251" s="26" t="s">
        <v>598</v>
      </c>
      <c r="C251" s="383" t="s">
        <v>10709</v>
      </c>
      <c r="D251" s="383" t="s">
        <v>599</v>
      </c>
      <c r="E251" s="383" t="s">
        <v>599</v>
      </c>
      <c r="F251" s="383">
        <v>811</v>
      </c>
      <c r="G251" s="383" t="s">
        <v>71</v>
      </c>
      <c r="H251" s="383" t="s">
        <v>71</v>
      </c>
      <c r="I251" s="383" t="s">
        <v>602</v>
      </c>
      <c r="J251" s="383" t="s">
        <v>603</v>
      </c>
      <c r="K251" s="383" t="s">
        <v>604</v>
      </c>
      <c r="L251" s="383" t="s">
        <v>9661</v>
      </c>
      <c r="M251" s="383" t="s">
        <v>10119</v>
      </c>
      <c r="N251" s="54">
        <v>9920337999</v>
      </c>
      <c r="O251" s="383" t="str">
        <f>IF(LEN(SUBSTITUTE(Table3937[[#This Row],[PRIMARY CONTACT]]," ",""))=10,SUBSTITUTE(Table3937[[#This Row],[PRIMARY CONTACT]]," ","") &amp; " - Proper","- Follow Up")</f>
        <v>9321614638 - Proper</v>
      </c>
      <c r="P251" s="383" t="s">
        <v>3065</v>
      </c>
      <c r="Q251" s="383">
        <v>9321614638</v>
      </c>
      <c r="R251" s="383" t="str">
        <f>SUBSTITUTE(Table3937[[#This Row],[whatsapp_number]]," ","")</f>
        <v>9321614638</v>
      </c>
      <c r="S251" s="383" t="str">
        <f>IF(Table3937[[#This Row],[PRIMARY CONTACT]]=Table3937[[#This Row],[WHATSAPP CONTACT]],"Same Contact","Different Contact")</f>
        <v>Same Contact</v>
      </c>
      <c r="T251" s="383" t="str">
        <f>IF(LEN(SUBSTITUTE(Table3937[[#This Row],[PRIMARY CONTACT]]," ",""))=10,SUBSTITUTE(Table3937[[#This Row],[PRIMARY CONTACT]]," ","") &amp; " - Proper","- Follow Up")</f>
        <v>9321614638 - Proper</v>
      </c>
      <c r="U251" s="383" t="s">
        <v>10558</v>
      </c>
      <c r="V251" s="383" t="s">
        <v>71</v>
      </c>
      <c r="W251" s="383" t="s">
        <v>47</v>
      </c>
      <c r="X251" s="51" t="s">
        <v>607</v>
      </c>
      <c r="Y251" s="51" t="s">
        <v>49</v>
      </c>
      <c r="Z251" s="51" t="s">
        <v>608</v>
      </c>
      <c r="AA251" s="51" t="s">
        <v>609</v>
      </c>
      <c r="AB251" s="383"/>
    </row>
    <row r="252" spans="1:28" ht="13.8">
      <c r="A252" s="387">
        <v>251</v>
      </c>
      <c r="B252" s="26" t="s">
        <v>610</v>
      </c>
      <c r="C252" s="383" t="s">
        <v>10709</v>
      </c>
      <c r="D252" s="383" t="str">
        <f>MID([1]!Table3937[[#This Row],[URL]],FIND("_",[1]!Table3937[[#This Row],[URL]])+1,FIND("/",[1]!Table3937[[#This Row],[URL]],FIND("_",[1]!Table3937[[#This Row],[URL]]))-FIND("_",[1]!Table3937[[#This Row],[URL]])-1)</f>
        <v>RAJESH-AHUJA</v>
      </c>
      <c r="E252" s="383" t="s">
        <v>8837</v>
      </c>
      <c r="F252" s="383">
        <v>817</v>
      </c>
      <c r="G252" s="383" t="s">
        <v>71</v>
      </c>
      <c r="H252" s="383" t="s">
        <v>622</v>
      </c>
      <c r="I252" s="383" t="s">
        <v>8435</v>
      </c>
      <c r="J252" s="383" t="s">
        <v>615</v>
      </c>
      <c r="K252" s="383" t="s">
        <v>78</v>
      </c>
      <c r="L252" s="383" t="s">
        <v>9662</v>
      </c>
      <c r="M252" s="383" t="s">
        <v>10120</v>
      </c>
      <c r="N252" s="29" t="s">
        <v>44</v>
      </c>
      <c r="O252" s="383" t="str">
        <f>IF(LEN(SUBSTITUTE(Table3937[[#This Row],[PRIMARY CONTACT]]," ",""))=10,SUBSTITUTE(Table3937[[#This Row],[PRIMARY CONTACT]]," ","") &amp; " - Proper","- Follow Up")</f>
        <v>9167993517 - Proper</v>
      </c>
      <c r="P252" s="383" t="s">
        <v>612</v>
      </c>
      <c r="Q252" s="383">
        <v>9167993517</v>
      </c>
      <c r="R252" s="383" t="str">
        <f>SUBSTITUTE(Table3937[[#This Row],[whatsapp_number]]," ","")</f>
        <v>9167993517</v>
      </c>
      <c r="S252" s="383" t="str">
        <f>IF(Table3937[[#This Row],[PRIMARY CONTACT]]=Table3937[[#This Row],[WHATSAPP CONTACT]],"Same Contact","Different Contact")</f>
        <v>Same Contact</v>
      </c>
      <c r="T252" s="383" t="str">
        <f>IF(LEN(SUBSTITUTE(Table3937[[#This Row],[PRIMARY CONTACT]]," ",""))=10,SUBSTITUTE(Table3937[[#This Row],[PRIMARY CONTACT]]," ","") &amp; " - Proper","- Follow Up")</f>
        <v>9167993517 - Proper</v>
      </c>
      <c r="U252" s="383" t="s">
        <v>10559</v>
      </c>
      <c r="V252" s="393" t="s">
        <v>617</v>
      </c>
      <c r="W252" s="383" t="s">
        <v>47</v>
      </c>
      <c r="X252" s="51" t="s">
        <v>619</v>
      </c>
      <c r="Y252" s="51" t="s">
        <v>620</v>
      </c>
      <c r="Z252" s="51" t="s">
        <v>197</v>
      </c>
      <c r="AA252" s="51" t="s">
        <v>621</v>
      </c>
      <c r="AB252" s="383"/>
    </row>
    <row r="253" spans="1:28" ht="16.2">
      <c r="A253" s="387">
        <v>252</v>
      </c>
      <c r="B253" s="26" t="s">
        <v>623</v>
      </c>
      <c r="C253" s="383" t="s">
        <v>10709</v>
      </c>
      <c r="D253" s="383" t="str">
        <f>MID([1]!Table3937[[#This Row],[URL]],FIND("_",[1]!Table3937[[#This Row],[URL]])+1,FIND("/",[1]!Table3937[[#This Row],[URL]],FIND("_",[1]!Table3937[[#This Row],[URL]]))-FIND("_",[1]!Table3937[[#This Row],[URL]])-1)</f>
        <v>SUNIL-AKHADE</v>
      </c>
      <c r="E253" s="383" t="s">
        <v>8838</v>
      </c>
      <c r="F253" s="383">
        <v>819</v>
      </c>
      <c r="G253" s="383" t="s">
        <v>631</v>
      </c>
      <c r="H253" s="383" t="s">
        <v>632</v>
      </c>
      <c r="I253" s="383" t="s">
        <v>627</v>
      </c>
      <c r="J253" s="383" t="s">
        <v>628</v>
      </c>
      <c r="K253" s="383" t="s">
        <v>191</v>
      </c>
      <c r="L253" s="383" t="s">
        <v>9663</v>
      </c>
      <c r="M253" s="383" t="s">
        <v>10121</v>
      </c>
      <c r="N253" s="54">
        <v>9867103840</v>
      </c>
      <c r="O253" s="383" t="str">
        <f>IF(LEN(SUBSTITUTE(Table3937[[#This Row],[PRIMARY CONTACT]]," ",""))=10,SUBSTITUTE(Table3937[[#This Row],[PRIMARY CONTACT]]," ","") &amp; " - Proper","- Follow Up")</f>
        <v>8108693840 - Proper</v>
      </c>
      <c r="P253" s="383" t="s">
        <v>3071</v>
      </c>
      <c r="Q253" s="383">
        <v>8108693840</v>
      </c>
      <c r="R253" s="383" t="str">
        <f>SUBSTITUTE(Table3937[[#This Row],[whatsapp_number]]," ","")</f>
        <v>8108693840</v>
      </c>
      <c r="S253" s="383" t="str">
        <f>IF(Table3937[[#This Row],[PRIMARY CONTACT]]=Table3937[[#This Row],[WHATSAPP CONTACT]],"Same Contact","Different Contact")</f>
        <v>Same Contact</v>
      </c>
      <c r="T253" s="383" t="str">
        <f>IF(LEN(SUBSTITUTE(Table3937[[#This Row],[PRIMARY CONTACT]]," ",""))=10,SUBSTITUTE(Table3937[[#This Row],[PRIMARY CONTACT]]," ","") &amp; " - Proper","- Follow Up")</f>
        <v>8108693840 - Proper</v>
      </c>
      <c r="U253" s="383" t="s">
        <v>3072</v>
      </c>
      <c r="V253" s="393" t="s">
        <v>3073</v>
      </c>
      <c r="W253" s="383" t="s">
        <v>47</v>
      </c>
      <c r="X253" s="51" t="s">
        <v>629</v>
      </c>
      <c r="Y253" s="51" t="s">
        <v>630</v>
      </c>
      <c r="Z253" s="51" t="s">
        <v>197</v>
      </c>
      <c r="AA253" s="51" t="s">
        <v>49</v>
      </c>
      <c r="AB253" s="383"/>
    </row>
    <row r="254" spans="1:28" ht="13.8">
      <c r="A254" s="387">
        <v>253</v>
      </c>
      <c r="B254" s="26" t="s">
        <v>641</v>
      </c>
      <c r="C254" s="383" t="s">
        <v>10709</v>
      </c>
      <c r="D254" s="383" t="s">
        <v>8839</v>
      </c>
      <c r="E254" s="383" t="s">
        <v>8839</v>
      </c>
      <c r="F254" s="383">
        <v>823</v>
      </c>
      <c r="G254" s="383" t="s">
        <v>71</v>
      </c>
      <c r="H254" s="383" t="s">
        <v>71</v>
      </c>
      <c r="I254" s="383" t="s">
        <v>645</v>
      </c>
      <c r="J254" s="383" t="s">
        <v>646</v>
      </c>
      <c r="K254" s="383" t="s">
        <v>647</v>
      </c>
      <c r="L254" s="383" t="s">
        <v>8341</v>
      </c>
      <c r="M254" s="383" t="s">
        <v>10122</v>
      </c>
      <c r="N254" s="29" t="s">
        <v>44</v>
      </c>
      <c r="O254" s="383" t="str">
        <f>IF(LEN(SUBSTITUTE(Table3937[[#This Row],[PRIMARY CONTACT]]," ",""))=10,SUBSTITUTE(Table3937[[#This Row],[PRIMARY CONTACT]]," ","") &amp; " - Proper","- Follow Up")</f>
        <v>9833788744 - Proper</v>
      </c>
      <c r="P254" s="383" t="s">
        <v>3075</v>
      </c>
      <c r="Q254" s="383">
        <v>9833788744</v>
      </c>
      <c r="R254" s="383" t="str">
        <f>SUBSTITUTE(Table3937[[#This Row],[whatsapp_number]]," ","")</f>
        <v>9833788744</v>
      </c>
      <c r="S254" s="383" t="str">
        <f>IF(Table3937[[#This Row],[PRIMARY CONTACT]]=Table3937[[#This Row],[WHATSAPP CONTACT]],"Same Contact","Different Contact")</f>
        <v>Same Contact</v>
      </c>
      <c r="T254" s="383" t="str">
        <f>IF(LEN(SUBSTITUTE(Table3937[[#This Row],[PRIMARY CONTACT]]," ",""))=10,SUBSTITUTE(Table3937[[#This Row],[PRIMARY CONTACT]]," ","") &amp; " - Proper","- Follow Up")</f>
        <v>9833788744 - Proper</v>
      </c>
      <c r="U254" s="383" t="s">
        <v>3076</v>
      </c>
      <c r="V254" s="383" t="s">
        <v>71</v>
      </c>
      <c r="W254" s="383" t="s">
        <v>47</v>
      </c>
      <c r="X254" s="29" t="s">
        <v>395</v>
      </c>
      <c r="Y254" s="29" t="s">
        <v>395</v>
      </c>
      <c r="Z254" s="29" t="s">
        <v>395</v>
      </c>
      <c r="AA254" s="29" t="s">
        <v>395</v>
      </c>
      <c r="AB254" s="383"/>
    </row>
    <row r="255" spans="1:28" ht="13.8">
      <c r="A255" s="387">
        <v>254</v>
      </c>
      <c r="B255" s="26" t="s">
        <v>649</v>
      </c>
      <c r="C255" s="383" t="s">
        <v>10709</v>
      </c>
      <c r="D255" s="383" t="s">
        <v>650</v>
      </c>
      <c r="E255" s="383" t="s">
        <v>650</v>
      </c>
      <c r="F255" s="383">
        <v>824</v>
      </c>
      <c r="G255" s="383" t="s">
        <v>71</v>
      </c>
      <c r="H255" s="383" t="s">
        <v>71</v>
      </c>
      <c r="I255" s="383" t="s">
        <v>8341</v>
      </c>
      <c r="J255" s="383" t="s">
        <v>653</v>
      </c>
      <c r="K255" s="383" t="s">
        <v>8341</v>
      </c>
      <c r="L255" s="383" t="s">
        <v>8341</v>
      </c>
      <c r="M255" s="383" t="s">
        <v>10123</v>
      </c>
      <c r="N255" s="29" t="s">
        <v>44</v>
      </c>
      <c r="O255" s="383" t="str">
        <f>IF(LEN(SUBSTITUTE(Table3937[[#This Row],[PRIMARY CONTACT]]," ",""))=10,SUBSTITUTE(Table3937[[#This Row],[PRIMARY CONTACT]]," ","") &amp; " - Proper","- Follow Up")</f>
        <v>9945309551 - Proper</v>
      </c>
      <c r="P255" s="383" t="s">
        <v>651</v>
      </c>
      <c r="Q255" s="383">
        <v>9945309551</v>
      </c>
      <c r="R255" s="383" t="str">
        <f>SUBSTITUTE(Table3937[[#This Row],[whatsapp_number]]," ","")</f>
        <v>9945309551</v>
      </c>
      <c r="S255" s="383" t="str">
        <f>IF(Table3937[[#This Row],[PRIMARY CONTACT]]=Table3937[[#This Row],[WHATSAPP CONTACT]],"Same Contact","Different Contact")</f>
        <v>Same Contact</v>
      </c>
      <c r="T255" s="383" t="str">
        <f>IF(LEN(SUBSTITUTE(Table3937[[#This Row],[PRIMARY CONTACT]]," ",""))=10,SUBSTITUTE(Table3937[[#This Row],[PRIMARY CONTACT]]," ","") &amp; " - Proper","- Follow Up")</f>
        <v>9945309551 - Proper</v>
      </c>
      <c r="U255" s="383" t="s">
        <v>8341</v>
      </c>
      <c r="V255" s="383" t="s">
        <v>71</v>
      </c>
      <c r="W255" s="383" t="s">
        <v>47</v>
      </c>
      <c r="X255" s="51" t="s">
        <v>464</v>
      </c>
      <c r="Y255" s="51" t="s">
        <v>465</v>
      </c>
      <c r="Z255" s="51" t="s">
        <v>466</v>
      </c>
      <c r="AA255" s="51" t="s">
        <v>465</v>
      </c>
      <c r="AB255" s="383"/>
    </row>
    <row r="256" spans="1:28" ht="13.8">
      <c r="A256" s="387">
        <v>255</v>
      </c>
      <c r="B256" s="7" t="s">
        <v>654</v>
      </c>
      <c r="C256" s="383" t="s">
        <v>10709</v>
      </c>
      <c r="D256" s="383" t="s">
        <v>8840</v>
      </c>
      <c r="E256" s="383" t="s">
        <v>8840</v>
      </c>
      <c r="F256" s="383">
        <v>825</v>
      </c>
      <c r="G256" s="383" t="s">
        <v>71</v>
      </c>
      <c r="H256" s="383" t="s">
        <v>71</v>
      </c>
      <c r="I256" s="383" t="s">
        <v>8436</v>
      </c>
      <c r="J256" s="383" t="s">
        <v>659</v>
      </c>
      <c r="K256" s="383" t="s">
        <v>660</v>
      </c>
      <c r="L256" s="383" t="s">
        <v>9664</v>
      </c>
      <c r="M256" s="383" t="s">
        <v>10124</v>
      </c>
      <c r="N256" s="18" t="s">
        <v>44</v>
      </c>
      <c r="O256" s="383" t="str">
        <f>IF(LEN(SUBSTITUTE(Table3937[[#This Row],[PRIMARY CONTACT]]," ",""))=10,SUBSTITUTE(Table3937[[#This Row],[PRIMARY CONTACT]]," ","") &amp; " - Proper","- Follow Up")</f>
        <v>9321234527 - Proper</v>
      </c>
      <c r="P256" s="383" t="s">
        <v>3079</v>
      </c>
      <c r="Q256" s="383">
        <v>9321234527</v>
      </c>
      <c r="R256" s="383" t="str">
        <f>SUBSTITUTE(Table3937[[#This Row],[whatsapp_number]]," ","")</f>
        <v>9321234527</v>
      </c>
      <c r="S256" s="383" t="str">
        <f>IF(Table3937[[#This Row],[PRIMARY CONTACT]]=Table3937[[#This Row],[WHATSAPP CONTACT]],"Same Contact","Different Contact")</f>
        <v>Same Contact</v>
      </c>
      <c r="T256" s="383" t="str">
        <f>IF(LEN(SUBSTITUTE(Table3937[[#This Row],[PRIMARY CONTACT]]," ",""))=10,SUBSTITUTE(Table3937[[#This Row],[PRIMARY CONTACT]]," ","") &amp; " - Proper","- Follow Up")</f>
        <v>9321234527 - Proper</v>
      </c>
      <c r="U256" s="383" t="s">
        <v>8341</v>
      </c>
      <c r="V256" s="393" t="s">
        <v>661</v>
      </c>
      <c r="W256" s="383" t="s">
        <v>47</v>
      </c>
      <c r="X256" s="18" t="s">
        <v>395</v>
      </c>
      <c r="Y256" s="18" t="s">
        <v>395</v>
      </c>
      <c r="Z256" s="18" t="s">
        <v>395</v>
      </c>
      <c r="AA256" s="18" t="s">
        <v>395</v>
      </c>
      <c r="AB256" s="383"/>
    </row>
    <row r="257" spans="1:28" ht="14.4">
      <c r="A257" s="387">
        <v>256</v>
      </c>
      <c r="B257" s="294" t="s">
        <v>3544</v>
      </c>
      <c r="C257" s="383" t="s">
        <v>10709</v>
      </c>
      <c r="D257" s="383" t="s">
        <v>10916</v>
      </c>
      <c r="E257" s="383" t="s">
        <v>8841</v>
      </c>
      <c r="F257" s="383">
        <v>827</v>
      </c>
      <c r="G257" s="383" t="s">
        <v>3546</v>
      </c>
      <c r="H257" s="383" t="s">
        <v>3547</v>
      </c>
      <c r="I257" s="383" t="s">
        <v>2781</v>
      </c>
      <c r="J257" s="383" t="s">
        <v>3548</v>
      </c>
      <c r="K257" s="383" t="s">
        <v>3549</v>
      </c>
      <c r="L257" s="383" t="s">
        <v>9665</v>
      </c>
      <c r="M257" s="383" t="s">
        <v>10125</v>
      </c>
      <c r="N257" s="383" t="s">
        <v>10710</v>
      </c>
      <c r="O257" s="383" t="str">
        <f>IF(LEN(SUBSTITUTE(Table3937[[#This Row],[PRIMARY CONTACT]]," ",""))=10,SUBSTITUTE(Table3937[[#This Row],[PRIMARY CONTACT]]," ","") &amp; " - Proper","- Follow Up")</f>
        <v>9821178123 - Proper</v>
      </c>
      <c r="P257" s="383" t="s">
        <v>2780</v>
      </c>
      <c r="Q257" s="383">
        <v>9821178123</v>
      </c>
      <c r="R257" s="383" t="str">
        <f>SUBSTITUTE(Table3937[[#This Row],[whatsapp_number]]," ","")</f>
        <v>9821178123</v>
      </c>
      <c r="S257" s="383" t="str">
        <f>IF(Table3937[[#This Row],[PRIMARY CONTACT]]=Table3937[[#This Row],[WHATSAPP CONTACT]],"Same Contact","Different Contact")</f>
        <v>Same Contact</v>
      </c>
      <c r="T257" s="383" t="str">
        <f>IF(LEN(SUBSTITUTE(Table3937[[#This Row],[PRIMARY CONTACT]]," ",""))=10,SUBSTITUTE(Table3937[[#This Row],[PRIMARY CONTACT]]," ","") &amp; " - Proper","- Follow Up")</f>
        <v>9821178123 - Proper</v>
      </c>
      <c r="U257" s="383" t="s">
        <v>3550</v>
      </c>
      <c r="V257" s="393" t="s">
        <v>2786</v>
      </c>
      <c r="W257" s="383" t="s">
        <v>47</v>
      </c>
      <c r="X257" s="101" t="s">
        <v>49</v>
      </c>
      <c r="Y257" s="5" t="s">
        <v>2164</v>
      </c>
      <c r="Z257" s="5" t="s">
        <v>7773</v>
      </c>
      <c r="AA257" s="101" t="s">
        <v>7774</v>
      </c>
      <c r="AB257" s="383"/>
    </row>
    <row r="258" spans="1:28" ht="13.8">
      <c r="A258" s="387">
        <v>257</v>
      </c>
      <c r="B258" s="26" t="s">
        <v>662</v>
      </c>
      <c r="C258" s="383" t="s">
        <v>10709</v>
      </c>
      <c r="D258" s="383" t="str">
        <f>MID([1]!Table3937[[#This Row],[URL]],FIND("_",[1]!Table3937[[#This Row],[URL]])+1,FIND("/",[1]!Table3937[[#This Row],[URL]],FIND("_",[1]!Table3937[[#This Row],[URL]]))-FIND("_",[1]!Table3937[[#This Row],[URL]])-1)</f>
        <v>JAIN_TAP</v>
      </c>
      <c r="E258" s="383" t="s">
        <v>8842</v>
      </c>
      <c r="F258" s="383">
        <v>828</v>
      </c>
      <c r="G258" s="383" t="s">
        <v>71</v>
      </c>
      <c r="H258" s="383" t="s">
        <v>71</v>
      </c>
      <c r="I258" s="383" t="s">
        <v>8437</v>
      </c>
      <c r="J258" s="383" t="s">
        <v>9408</v>
      </c>
      <c r="K258" s="383" t="s">
        <v>9517</v>
      </c>
      <c r="L258" s="383" t="s">
        <v>8341</v>
      </c>
      <c r="M258" s="383" t="s">
        <v>10126</v>
      </c>
      <c r="N258" s="29">
        <v>9372006943</v>
      </c>
      <c r="O258" s="383" t="str">
        <f>IF(LEN(SUBSTITUTE(Table3937[[#This Row],[PRIMARY CONTACT]]," ",""))=10,SUBSTITUTE(Table3937[[#This Row],[PRIMARY CONTACT]]," ","") &amp; " - Proper","- Follow Up")</f>
        <v>9820720122 - Proper</v>
      </c>
      <c r="P258" s="383" t="s">
        <v>664</v>
      </c>
      <c r="Q258" s="383">
        <v>9820720122</v>
      </c>
      <c r="R258" s="383" t="str">
        <f>SUBSTITUTE(Table3937[[#This Row],[whatsapp_number]]," ","")</f>
        <v>9820720122</v>
      </c>
      <c r="S258" s="383" t="str">
        <f>IF(Table3937[[#This Row],[PRIMARY CONTACT]]=Table3937[[#This Row],[WHATSAPP CONTACT]],"Same Contact","Different Contact")</f>
        <v>Same Contact</v>
      </c>
      <c r="T258" s="383" t="str">
        <f>IF(LEN(SUBSTITUTE(Table3937[[#This Row],[PRIMARY CONTACT]]," ",""))=10,SUBSTITUTE(Table3937[[#This Row],[PRIMARY CONTACT]]," ","") &amp; " - Proper","- Follow Up")</f>
        <v>9820720122 - Proper</v>
      </c>
      <c r="U258" s="383" t="s">
        <v>10560</v>
      </c>
      <c r="V258" s="393" t="s">
        <v>669</v>
      </c>
      <c r="W258" s="383" t="s">
        <v>47</v>
      </c>
      <c r="X258" s="51" t="s">
        <v>170</v>
      </c>
      <c r="Y258" s="51" t="s">
        <v>49</v>
      </c>
      <c r="Z258" s="51" t="s">
        <v>671</v>
      </c>
      <c r="AA258" s="51" t="s">
        <v>672</v>
      </c>
      <c r="AB258" s="383"/>
    </row>
    <row r="259" spans="1:28" ht="13.8">
      <c r="A259" s="387">
        <v>258</v>
      </c>
      <c r="B259" s="26" t="s">
        <v>673</v>
      </c>
      <c r="C259" s="383" t="s">
        <v>10709</v>
      </c>
      <c r="D259" s="383" t="str">
        <f>MID([1]!Table3937[[#This Row],[URL]],FIND("_",[1]!Table3937[[#This Row],[URL]])+1,FIND("/",[1]!Table3937[[#This Row],[URL]],FIND("_",[1]!Table3937[[#This Row],[URL]]))-FIND("_",[1]!Table3937[[#This Row],[URL]])-1)</f>
        <v>Hemmali-Nadiyana</v>
      </c>
      <c r="E259" s="383" t="s">
        <v>674</v>
      </c>
      <c r="F259" s="383">
        <v>829</v>
      </c>
      <c r="G259" s="383" t="s">
        <v>71</v>
      </c>
      <c r="H259" s="383" t="s">
        <v>71</v>
      </c>
      <c r="I259" s="383" t="s">
        <v>677</v>
      </c>
      <c r="J259" s="383" t="s">
        <v>678</v>
      </c>
      <c r="K259" s="383" t="s">
        <v>534</v>
      </c>
      <c r="L259" s="383" t="s">
        <v>8341</v>
      </c>
      <c r="M259" s="383" t="s">
        <v>10127</v>
      </c>
      <c r="N259" s="29">
        <v>8779305431</v>
      </c>
      <c r="O259" s="383" t="str">
        <f>IF(LEN(SUBSTITUTE(Table3937[[#This Row],[PRIMARY CONTACT]]," ",""))=10,SUBSTITUTE(Table3937[[#This Row],[PRIMARY CONTACT]]," ","") &amp; " - Proper","- Follow Up")</f>
        <v>9833533469 - Proper</v>
      </c>
      <c r="P259" s="383" t="s">
        <v>675</v>
      </c>
      <c r="Q259" s="383">
        <v>9833533469</v>
      </c>
      <c r="R259" s="383" t="str">
        <f>SUBSTITUTE(Table3937[[#This Row],[whatsapp_number]]," ","")</f>
        <v>9833533469</v>
      </c>
      <c r="S259" s="383" t="str">
        <f>IF(Table3937[[#This Row],[PRIMARY CONTACT]]=Table3937[[#This Row],[WHATSAPP CONTACT]],"Same Contact","Different Contact")</f>
        <v>Same Contact</v>
      </c>
      <c r="T259" s="383" t="str">
        <f>IF(LEN(SUBSTITUTE(Table3937[[#This Row],[PRIMARY CONTACT]]," ",""))=10,SUBSTITUTE(Table3937[[#This Row],[PRIMARY CONTACT]]," ","") &amp; " - Proper","- Follow Up")</f>
        <v>9833533469 - Proper</v>
      </c>
      <c r="U259" s="383" t="s">
        <v>8341</v>
      </c>
      <c r="V259" s="393" t="s">
        <v>680</v>
      </c>
      <c r="W259" s="383" t="s">
        <v>47</v>
      </c>
      <c r="X259" s="51" t="s">
        <v>681</v>
      </c>
      <c r="Y259" s="51" t="s">
        <v>682</v>
      </c>
      <c r="Z259" s="51" t="s">
        <v>683</v>
      </c>
      <c r="AA259" s="51" t="s">
        <v>684</v>
      </c>
      <c r="AB259" s="383"/>
    </row>
    <row r="260" spans="1:28" ht="13.8">
      <c r="A260" s="387">
        <v>259</v>
      </c>
      <c r="B260" s="26" t="s">
        <v>685</v>
      </c>
      <c r="C260" s="383" t="s">
        <v>10709</v>
      </c>
      <c r="D260" s="383" t="s">
        <v>8843</v>
      </c>
      <c r="E260" s="383" t="s">
        <v>8843</v>
      </c>
      <c r="F260" s="383">
        <v>830</v>
      </c>
      <c r="G260" s="383" t="s">
        <v>71</v>
      </c>
      <c r="H260" s="383" t="s">
        <v>693</v>
      </c>
      <c r="I260" s="383" t="s">
        <v>689</v>
      </c>
      <c r="J260" s="383" t="s">
        <v>690</v>
      </c>
      <c r="K260" s="383" t="s">
        <v>42</v>
      </c>
      <c r="L260" s="383" t="s">
        <v>9666</v>
      </c>
      <c r="M260" s="383" t="s">
        <v>10128</v>
      </c>
      <c r="N260" s="29" t="s">
        <v>44</v>
      </c>
      <c r="O260" s="383" t="str">
        <f>IF(LEN(SUBSTITUTE(Table3937[[#This Row],[PRIMARY CONTACT]]," ",""))=10,SUBSTITUTE(Table3937[[#This Row],[PRIMARY CONTACT]]," ","") &amp; " - Proper","- Follow Up")</f>
        <v>9870942711 - Proper</v>
      </c>
      <c r="P260" s="383" t="s">
        <v>3084</v>
      </c>
      <c r="Q260" s="383">
        <v>9870942711</v>
      </c>
      <c r="R260" s="383" t="str">
        <f>SUBSTITUTE(Table3937[[#This Row],[whatsapp_number]]," ","")</f>
        <v>9870942711</v>
      </c>
      <c r="S260" s="383" t="str">
        <f>IF(Table3937[[#This Row],[PRIMARY CONTACT]]=Table3937[[#This Row],[WHATSAPP CONTACT]],"Same Contact","Different Contact")</f>
        <v>Same Contact</v>
      </c>
      <c r="T260" s="383" t="str">
        <f>IF(LEN(SUBSTITUTE(Table3937[[#This Row],[PRIMARY CONTACT]]," ",""))=10,SUBSTITUTE(Table3937[[#This Row],[PRIMARY CONTACT]]," ","") &amp; " - Proper","- Follow Up")</f>
        <v>9870942711 - Proper</v>
      </c>
      <c r="U260" s="383" t="s">
        <v>3085</v>
      </c>
      <c r="V260" s="383" t="s">
        <v>71</v>
      </c>
      <c r="W260" s="383" t="s">
        <v>47</v>
      </c>
      <c r="X260" s="51" t="s">
        <v>170</v>
      </c>
      <c r="Y260" s="51" t="s">
        <v>49</v>
      </c>
      <c r="Z260" s="51" t="s">
        <v>197</v>
      </c>
      <c r="AA260" s="51" t="s">
        <v>49</v>
      </c>
      <c r="AB260" s="383"/>
    </row>
    <row r="261" spans="1:28" ht="16.2">
      <c r="A261" s="387">
        <v>260</v>
      </c>
      <c r="B261" s="26" t="s">
        <v>694</v>
      </c>
      <c r="C261" s="383" t="s">
        <v>10709</v>
      </c>
      <c r="D261" s="383" t="s">
        <v>8844</v>
      </c>
      <c r="E261" s="383" t="s">
        <v>8844</v>
      </c>
      <c r="F261" s="383">
        <v>831</v>
      </c>
      <c r="G261" s="383" t="s">
        <v>71</v>
      </c>
      <c r="H261" s="383" t="s">
        <v>693</v>
      </c>
      <c r="I261" s="383" t="s">
        <v>689</v>
      </c>
      <c r="J261" s="383" t="s">
        <v>698</v>
      </c>
      <c r="K261" s="383" t="s">
        <v>42</v>
      </c>
      <c r="L261" s="383" t="s">
        <v>9666</v>
      </c>
      <c r="M261" s="383" t="s">
        <v>10129</v>
      </c>
      <c r="N261" s="54">
        <v>7021627453</v>
      </c>
      <c r="O261" s="383" t="str">
        <f>IF(LEN(SUBSTITUTE(Table3937[[#This Row],[PRIMARY CONTACT]]," ",""))=10,SUBSTITUTE(Table3937[[#This Row],[PRIMARY CONTACT]]," ","") &amp; " - Proper","- Follow Up")</f>
        <v>8976864436 - Proper</v>
      </c>
      <c r="P261" s="383" t="s">
        <v>3084</v>
      </c>
      <c r="Q261" s="383">
        <v>8976864436</v>
      </c>
      <c r="R261" s="383" t="str">
        <f>SUBSTITUTE(Table3937[[#This Row],[whatsapp_number]]," ","")</f>
        <v>8976864436</v>
      </c>
      <c r="S261" s="383" t="str">
        <f>IF(Table3937[[#This Row],[PRIMARY CONTACT]]=Table3937[[#This Row],[WHATSAPP CONTACT]],"Same Contact","Different Contact")</f>
        <v>Same Contact</v>
      </c>
      <c r="T261" s="383" t="str">
        <f>IF(LEN(SUBSTITUTE(Table3937[[#This Row],[PRIMARY CONTACT]]," ",""))=10,SUBSTITUTE(Table3937[[#This Row],[PRIMARY CONTACT]]," ","") &amp; " - Proper","- Follow Up")</f>
        <v>8976864436 - Proper</v>
      </c>
      <c r="U261" s="383" t="s">
        <v>3085</v>
      </c>
      <c r="V261" s="383" t="s">
        <v>71</v>
      </c>
      <c r="W261" s="383" t="s">
        <v>47</v>
      </c>
      <c r="X261" s="51" t="s">
        <v>300</v>
      </c>
      <c r="Y261" s="51" t="s">
        <v>301</v>
      </c>
      <c r="Z261" s="51" t="s">
        <v>699</v>
      </c>
      <c r="AA261" s="51" t="s">
        <v>301</v>
      </c>
      <c r="AB261" s="383"/>
    </row>
    <row r="262" spans="1:28" ht="13.8">
      <c r="A262" s="387">
        <v>261</v>
      </c>
      <c r="B262" s="26" t="s">
        <v>700</v>
      </c>
      <c r="C262" s="383" t="s">
        <v>10709</v>
      </c>
      <c r="D262" s="383" t="s">
        <v>703</v>
      </c>
      <c r="E262" s="383" t="s">
        <v>701</v>
      </c>
      <c r="F262" s="383">
        <v>833</v>
      </c>
      <c r="G262" s="383" t="s">
        <v>71</v>
      </c>
      <c r="H262" s="383" t="s">
        <v>561</v>
      </c>
      <c r="I262" s="383" t="s">
        <v>704</v>
      </c>
      <c r="J262" s="383" t="s">
        <v>705</v>
      </c>
      <c r="K262" s="383" t="s">
        <v>706</v>
      </c>
      <c r="L262" s="383" t="s">
        <v>8341</v>
      </c>
      <c r="M262" s="383" t="s">
        <v>10130</v>
      </c>
      <c r="N262" s="29" t="s">
        <v>44</v>
      </c>
      <c r="O262" s="383" t="str">
        <f>IF(LEN(SUBSTITUTE(Table3937[[#This Row],[PRIMARY CONTACT]]," ",""))=10,SUBSTITUTE(Table3937[[#This Row],[PRIMARY CONTACT]]," ","") &amp; " - Proper","- Follow Up")</f>
        <v>8169607878 - Proper</v>
      </c>
      <c r="P262" s="383" t="s">
        <v>3088</v>
      </c>
      <c r="Q262" s="383">
        <v>8169607878</v>
      </c>
      <c r="R262" s="383" t="str">
        <f>SUBSTITUTE(Table3937[[#This Row],[whatsapp_number]]," ","")</f>
        <v>8169607878</v>
      </c>
      <c r="S262" s="383" t="str">
        <f>IF(Table3937[[#This Row],[PRIMARY CONTACT]]=Table3937[[#This Row],[WHATSAPP CONTACT]],"Same Contact","Different Contact")</f>
        <v>Same Contact</v>
      </c>
      <c r="T262" s="383" t="str">
        <f>IF(LEN(SUBSTITUTE(Table3937[[#This Row],[PRIMARY CONTACT]]," ",""))=10,SUBSTITUTE(Table3937[[#This Row],[PRIMARY CONTACT]]," ","") &amp; " - Proper","- Follow Up")</f>
        <v>8169607878 - Proper</v>
      </c>
      <c r="U262" s="383" t="s">
        <v>10561</v>
      </c>
      <c r="V262" s="383" t="s">
        <v>71</v>
      </c>
      <c r="W262" s="383" t="s">
        <v>47</v>
      </c>
      <c r="X262" s="29" t="s">
        <v>395</v>
      </c>
      <c r="Y262" s="29" t="s">
        <v>395</v>
      </c>
      <c r="Z262" s="29" t="s">
        <v>395</v>
      </c>
      <c r="AA262" s="29" t="s">
        <v>395</v>
      </c>
      <c r="AB262" s="383"/>
    </row>
    <row r="263" spans="1:28" ht="16.2">
      <c r="A263" s="387">
        <v>262</v>
      </c>
      <c r="B263" s="26" t="s">
        <v>709</v>
      </c>
      <c r="C263" s="383" t="s">
        <v>10709</v>
      </c>
      <c r="D263" s="383" t="s">
        <v>8438</v>
      </c>
      <c r="E263" s="383" t="s">
        <v>8438</v>
      </c>
      <c r="F263" s="383">
        <v>835</v>
      </c>
      <c r="G263" s="383" t="s">
        <v>71</v>
      </c>
      <c r="H263" s="383" t="s">
        <v>71</v>
      </c>
      <c r="I263" s="383" t="s">
        <v>8438</v>
      </c>
      <c r="J263" s="383" t="s">
        <v>713</v>
      </c>
      <c r="K263" s="383" t="s">
        <v>507</v>
      </c>
      <c r="L263" s="383" t="s">
        <v>9667</v>
      </c>
      <c r="M263" s="383" t="s">
        <v>10131</v>
      </c>
      <c r="N263" s="54">
        <v>9324725176</v>
      </c>
      <c r="O263" s="383" t="str">
        <f>IF(LEN(SUBSTITUTE(Table3937[[#This Row],[PRIMARY CONTACT]]," ",""))=10,SUBSTITUTE(Table3937[[#This Row],[PRIMARY CONTACT]]," ","") &amp; " - Proper","- Follow Up")</f>
        <v>7666820738 - Proper</v>
      </c>
      <c r="P263" s="383" t="s">
        <v>3090</v>
      </c>
      <c r="Q263" s="383">
        <v>7666820738</v>
      </c>
      <c r="R263" s="383" t="str">
        <f>SUBSTITUTE(Table3937[[#This Row],[whatsapp_number]]," ","")</f>
        <v>7666820738</v>
      </c>
      <c r="S263" s="383" t="str">
        <f>IF(Table3937[[#This Row],[PRIMARY CONTACT]]=Table3937[[#This Row],[WHATSAPP CONTACT]],"Same Contact","Different Contact")</f>
        <v>Same Contact</v>
      </c>
      <c r="T263" s="383" t="str">
        <f>IF(LEN(SUBSTITUTE(Table3937[[#This Row],[PRIMARY CONTACT]]," ",""))=10,SUBSTITUTE(Table3937[[#This Row],[PRIMARY CONTACT]]," ","") &amp; " - Proper","- Follow Up")</f>
        <v>7666820738 - Proper</v>
      </c>
      <c r="U263" s="383" t="s">
        <v>10562</v>
      </c>
      <c r="V263" s="383" t="s">
        <v>71</v>
      </c>
      <c r="W263" s="383" t="s">
        <v>47</v>
      </c>
      <c r="X263" s="29" t="s">
        <v>716</v>
      </c>
      <c r="Y263" s="51" t="s">
        <v>48</v>
      </c>
      <c r="Z263" s="51" t="s">
        <v>717</v>
      </c>
      <c r="AA263" s="51" t="s">
        <v>718</v>
      </c>
      <c r="AB263" s="383"/>
    </row>
    <row r="264" spans="1:28" ht="13.8">
      <c r="A264" s="387">
        <v>263</v>
      </c>
      <c r="B264" s="26" t="s">
        <v>719</v>
      </c>
      <c r="C264" s="383" t="s">
        <v>10709</v>
      </c>
      <c r="D264" s="383" t="s">
        <v>720</v>
      </c>
      <c r="E264" s="383" t="s">
        <v>720</v>
      </c>
      <c r="F264" s="383">
        <v>836</v>
      </c>
      <c r="G264" s="383" t="s">
        <v>71</v>
      </c>
      <c r="H264" s="383" t="s">
        <v>71</v>
      </c>
      <c r="I264" s="383" t="s">
        <v>723</v>
      </c>
      <c r="J264" s="383" t="s">
        <v>724</v>
      </c>
      <c r="K264" s="383" t="s">
        <v>725</v>
      </c>
      <c r="L264" s="383" t="s">
        <v>9668</v>
      </c>
      <c r="M264" s="383" t="s">
        <v>10132</v>
      </c>
      <c r="N264" s="29" t="s">
        <v>44</v>
      </c>
      <c r="O264" s="383" t="str">
        <f>IF(LEN(SUBSTITUTE(Table3937[[#This Row],[PRIMARY CONTACT]]," ",""))=10,SUBSTITUTE(Table3937[[#This Row],[PRIMARY CONTACT]]," ","") &amp; " - Proper","- Follow Up")</f>
        <v>7021480916 - Proper</v>
      </c>
      <c r="P264" s="383" t="s">
        <v>3092</v>
      </c>
      <c r="Q264" s="383">
        <v>7021480916</v>
      </c>
      <c r="R264" s="383" t="str">
        <f>SUBSTITUTE(Table3937[[#This Row],[whatsapp_number]]," ","")</f>
        <v>7021480916</v>
      </c>
      <c r="S264" s="383" t="str">
        <f>IF(Table3937[[#This Row],[PRIMARY CONTACT]]=Table3937[[#This Row],[WHATSAPP CONTACT]],"Same Contact","Different Contact")</f>
        <v>Same Contact</v>
      </c>
      <c r="T264" s="383" t="str">
        <f>IF(LEN(SUBSTITUTE(Table3937[[#This Row],[PRIMARY CONTACT]]," ",""))=10,SUBSTITUTE(Table3937[[#This Row],[PRIMARY CONTACT]]," ","") &amp; " - Proper","- Follow Up")</f>
        <v>7021480916 - Proper</v>
      </c>
      <c r="U264" s="383" t="s">
        <v>8341</v>
      </c>
      <c r="V264" s="383" t="s">
        <v>71</v>
      </c>
      <c r="W264" s="383" t="s">
        <v>47</v>
      </c>
      <c r="X264" s="51" t="s">
        <v>727</v>
      </c>
      <c r="Y264" s="51" t="s">
        <v>728</v>
      </c>
      <c r="Z264" s="51" t="s">
        <v>727</v>
      </c>
      <c r="AA264" s="51" t="s">
        <v>728</v>
      </c>
      <c r="AB264" s="383"/>
    </row>
    <row r="265" spans="1:28" ht="13.8">
      <c r="A265" s="387">
        <v>264</v>
      </c>
      <c r="B265" s="7" t="s">
        <v>729</v>
      </c>
      <c r="C265" s="383" t="s">
        <v>10709</v>
      </c>
      <c r="D265" s="383" t="s">
        <v>730</v>
      </c>
      <c r="E265" s="383" t="s">
        <v>730</v>
      </c>
      <c r="F265" s="383">
        <v>837</v>
      </c>
      <c r="G265" s="383" t="s">
        <v>71</v>
      </c>
      <c r="H265" s="383" t="s">
        <v>71</v>
      </c>
      <c r="I265" s="383" t="s">
        <v>8439</v>
      </c>
      <c r="J265" s="383" t="s">
        <v>734</v>
      </c>
      <c r="K265" s="383" t="s">
        <v>78</v>
      </c>
      <c r="L265" s="383" t="s">
        <v>9667</v>
      </c>
      <c r="M265" s="383" t="s">
        <v>10133</v>
      </c>
      <c r="N265" s="18" t="s">
        <v>44</v>
      </c>
      <c r="O265" s="383" t="str">
        <f>IF(LEN(SUBSTITUTE(Table3937[[#This Row],[PRIMARY CONTACT]]," ",""))=10,SUBSTITUTE(Table3937[[#This Row],[PRIMARY CONTACT]]," ","") &amp; " - Proper","- Follow Up")</f>
        <v>- Follow Up</v>
      </c>
      <c r="P265" s="383" t="s">
        <v>3093</v>
      </c>
      <c r="Q265" s="409">
        <v>492000000000</v>
      </c>
      <c r="R265" s="383" t="str">
        <f>SUBSTITUTE(Table3937[[#This Row],[whatsapp_number]]," ","")</f>
        <v>492000000000</v>
      </c>
      <c r="S265" s="383" t="str">
        <f>IF(Table3937[[#This Row],[PRIMARY CONTACT]]=Table3937[[#This Row],[WHATSAPP CONTACT]],"Same Contact","Different Contact")</f>
        <v>Same Contact</v>
      </c>
      <c r="T265" s="383" t="str">
        <f>IF(LEN(SUBSTITUTE(Table3937[[#This Row],[PRIMARY CONTACT]]," ",""))=10,SUBSTITUTE(Table3937[[#This Row],[PRIMARY CONTACT]]," ","") &amp; " - Proper","- Follow Up")</f>
        <v>- Follow Up</v>
      </c>
      <c r="U265" s="383" t="s">
        <v>8341</v>
      </c>
      <c r="V265" s="383" t="s">
        <v>71</v>
      </c>
      <c r="W265" s="383" t="s">
        <v>47</v>
      </c>
      <c r="X265" s="18" t="s">
        <v>395</v>
      </c>
      <c r="Y265" s="18" t="s">
        <v>395</v>
      </c>
      <c r="Z265" s="18" t="s">
        <v>395</v>
      </c>
      <c r="AA265" s="18" t="s">
        <v>395</v>
      </c>
      <c r="AB265" s="383"/>
    </row>
    <row r="266" spans="1:28" ht="13.8">
      <c r="A266" s="387">
        <v>265</v>
      </c>
      <c r="B266" s="26" t="s">
        <v>735</v>
      </c>
      <c r="C266" s="383" t="s">
        <v>10709</v>
      </c>
      <c r="D266" s="383" t="s">
        <v>736</v>
      </c>
      <c r="E266" s="383" t="s">
        <v>736</v>
      </c>
      <c r="F266" s="383">
        <v>838</v>
      </c>
      <c r="G266" s="383" t="s">
        <v>71</v>
      </c>
      <c r="H266" s="383" t="s">
        <v>746</v>
      </c>
      <c r="I266" s="383" t="s">
        <v>8440</v>
      </c>
      <c r="J266" s="383" t="s">
        <v>9409</v>
      </c>
      <c r="K266" s="383" t="s">
        <v>191</v>
      </c>
      <c r="L266" s="383" t="s">
        <v>9667</v>
      </c>
      <c r="M266" s="383" t="s">
        <v>10134</v>
      </c>
      <c r="N266" s="29" t="s">
        <v>44</v>
      </c>
      <c r="O266" s="383" t="str">
        <f>IF(LEN(SUBSTITUTE(Table3937[[#This Row],[PRIMARY CONTACT]]," ",""))=10,SUBSTITUTE(Table3937[[#This Row],[PRIMARY CONTACT]]," ","") &amp; " - Proper","- Follow Up")</f>
        <v>7977755253 - Proper</v>
      </c>
      <c r="P266" s="383" t="s">
        <v>3094</v>
      </c>
      <c r="Q266" s="383">
        <v>7977755253</v>
      </c>
      <c r="R266" s="383" t="str">
        <f>SUBSTITUTE(Table3937[[#This Row],[whatsapp_number]]," ","")</f>
        <v>7977755253</v>
      </c>
      <c r="S266" s="383" t="str">
        <f>IF(Table3937[[#This Row],[PRIMARY CONTACT]]=Table3937[[#This Row],[WHATSAPP CONTACT]],"Same Contact","Different Contact")</f>
        <v>Same Contact</v>
      </c>
      <c r="T266" s="383" t="str">
        <f>IF(LEN(SUBSTITUTE(Table3937[[#This Row],[PRIMARY CONTACT]]," ",""))=10,SUBSTITUTE(Table3937[[#This Row],[PRIMARY CONTACT]]," ","") &amp; " - Proper","- Follow Up")</f>
        <v>7977755253 - Proper</v>
      </c>
      <c r="U266" s="383" t="s">
        <v>3095</v>
      </c>
      <c r="V266" s="393" t="s">
        <v>742</v>
      </c>
      <c r="W266" s="383" t="s">
        <v>47</v>
      </c>
      <c r="X266" s="51" t="s">
        <v>49</v>
      </c>
      <c r="Y266" s="51" t="s">
        <v>48</v>
      </c>
      <c r="Z266" s="51" t="s">
        <v>744</v>
      </c>
      <c r="AA266" s="51" t="s">
        <v>745</v>
      </c>
      <c r="AB266" s="383"/>
    </row>
    <row r="267" spans="1:28" ht="13.8">
      <c r="A267" s="387">
        <v>266</v>
      </c>
      <c r="B267" s="26" t="s">
        <v>747</v>
      </c>
      <c r="C267" s="383" t="s">
        <v>10709</v>
      </c>
      <c r="D267" s="383" t="str">
        <f>MID([1]!Table3937[[#This Row],[URL]],FIND("_",[1]!Table3937[[#This Row],[URL]])+1,FIND("/",[1]!Table3937[[#This Row],[URL]],FIND("_",[1]!Table3937[[#This Row],[URL]]))-FIND("_",[1]!Table3937[[#This Row],[URL]])-1)</f>
        <v>Harnish-Shah</v>
      </c>
      <c r="E267" s="383" t="s">
        <v>748</v>
      </c>
      <c r="F267" s="383">
        <v>839</v>
      </c>
      <c r="G267" s="383" t="s">
        <v>757</v>
      </c>
      <c r="H267" s="383" t="s">
        <v>758</v>
      </c>
      <c r="I267" s="383" t="s">
        <v>751</v>
      </c>
      <c r="J267" s="383" t="s">
        <v>752</v>
      </c>
      <c r="K267" s="383" t="s">
        <v>534</v>
      </c>
      <c r="L267" s="383" t="s">
        <v>9669</v>
      </c>
      <c r="M267" s="383" t="s">
        <v>10135</v>
      </c>
      <c r="N267" s="29" t="s">
        <v>44</v>
      </c>
      <c r="O267" s="383" t="str">
        <f>IF(LEN(SUBSTITUTE(Table3937[[#This Row],[PRIMARY CONTACT]]," ",""))=10,SUBSTITUTE(Table3937[[#This Row],[PRIMARY CONTACT]]," ","") &amp; " - Proper","- Follow Up")</f>
        <v>9920489374 - Proper</v>
      </c>
      <c r="P267" s="383" t="s">
        <v>3098</v>
      </c>
      <c r="Q267" s="383">
        <v>9920489374</v>
      </c>
      <c r="R267" s="383" t="str">
        <f>SUBSTITUTE(Table3937[[#This Row],[whatsapp_number]]," ","")</f>
        <v>9920489374</v>
      </c>
      <c r="S267" s="383" t="str">
        <f>IF(Table3937[[#This Row],[PRIMARY CONTACT]]=Table3937[[#This Row],[WHATSAPP CONTACT]],"Same Contact","Different Contact")</f>
        <v>Same Contact</v>
      </c>
      <c r="T267" s="383" t="str">
        <f>IF(LEN(SUBSTITUTE(Table3937[[#This Row],[PRIMARY CONTACT]]," ",""))=10,SUBSTITUTE(Table3937[[#This Row],[PRIMARY CONTACT]]," ","") &amp; " - Proper","- Follow Up")</f>
        <v>9920489374 - Proper</v>
      </c>
      <c r="U267" s="383" t="s">
        <v>10563</v>
      </c>
      <c r="V267" s="393" t="s">
        <v>754</v>
      </c>
      <c r="W267" s="383" t="s">
        <v>47</v>
      </c>
      <c r="X267" s="51" t="s">
        <v>170</v>
      </c>
      <c r="Y267" s="51" t="s">
        <v>49</v>
      </c>
      <c r="Z267" s="51" t="s">
        <v>756</v>
      </c>
      <c r="AA267" s="51" t="s">
        <v>48</v>
      </c>
      <c r="AB267" s="383"/>
    </row>
    <row r="268" spans="1:28" ht="14.4">
      <c r="A268" s="387">
        <v>267</v>
      </c>
      <c r="B268" s="294" t="s">
        <v>3551</v>
      </c>
      <c r="C268" s="383" t="s">
        <v>10710</v>
      </c>
      <c r="D268" s="383" t="s">
        <v>10710</v>
      </c>
      <c r="E268" s="383" t="s">
        <v>8845</v>
      </c>
      <c r="F268" s="383">
        <v>846</v>
      </c>
      <c r="G268" s="383" t="s">
        <v>3552</v>
      </c>
      <c r="H268" s="383" t="s">
        <v>3547</v>
      </c>
      <c r="I268" s="383" t="s">
        <v>2781</v>
      </c>
      <c r="J268" s="383" t="s">
        <v>3553</v>
      </c>
      <c r="K268" s="383" t="s">
        <v>9518</v>
      </c>
      <c r="L268" s="383" t="s">
        <v>9665</v>
      </c>
      <c r="M268" s="383" t="s">
        <v>10136</v>
      </c>
      <c r="N268" s="29" t="s">
        <v>44</v>
      </c>
      <c r="O268" s="383" t="str">
        <f>IF(LEN(SUBSTITUTE(Table3937[[#This Row],[PRIMARY CONTACT]]," ",""))=10,SUBSTITUTE(Table3937[[#This Row],[PRIMARY CONTACT]]," ","") &amp; " - Proper","- Follow Up")</f>
        <v>9004446670 - Proper</v>
      </c>
      <c r="P268" s="383" t="s">
        <v>2780</v>
      </c>
      <c r="Q268" s="383">
        <v>9004446670</v>
      </c>
      <c r="R268" s="383" t="str">
        <f>SUBSTITUTE(Table3937[[#This Row],[whatsapp_number]]," ","")</f>
        <v>9004446670</v>
      </c>
      <c r="S268" s="383" t="str">
        <f>IF(Table3937[[#This Row],[PRIMARY CONTACT]]=Table3937[[#This Row],[WHATSAPP CONTACT]],"Same Contact","Different Contact")</f>
        <v>Same Contact</v>
      </c>
      <c r="T268" s="383" t="str">
        <f>IF(LEN(SUBSTITUTE(Table3937[[#This Row],[PRIMARY CONTACT]]," ",""))=10,SUBSTITUTE(Table3937[[#This Row],[PRIMARY CONTACT]]," ","") &amp; " - Proper","- Follow Up")</f>
        <v>9004446670 - Proper</v>
      </c>
      <c r="U268" s="383" t="s">
        <v>3550</v>
      </c>
      <c r="V268" s="393" t="s">
        <v>2786</v>
      </c>
      <c r="W268" s="383" t="s">
        <v>47</v>
      </c>
      <c r="X268" s="101" t="s">
        <v>49</v>
      </c>
      <c r="Y268" s="5" t="s">
        <v>2164</v>
      </c>
      <c r="Z268" s="5" t="s">
        <v>7773</v>
      </c>
      <c r="AA268" s="101" t="s">
        <v>7774</v>
      </c>
      <c r="AB268" s="383"/>
    </row>
    <row r="269" spans="1:28" ht="14.4">
      <c r="A269" s="387">
        <v>268</v>
      </c>
      <c r="B269" s="294" t="s">
        <v>3555</v>
      </c>
      <c r="C269" s="383" t="s">
        <v>10709</v>
      </c>
      <c r="D269" s="383" t="s">
        <v>10917</v>
      </c>
      <c r="E269" s="383" t="s">
        <v>8846</v>
      </c>
      <c r="F269" s="383">
        <v>847</v>
      </c>
      <c r="G269" s="383" t="s">
        <v>3556</v>
      </c>
      <c r="H269" s="383" t="s">
        <v>3547</v>
      </c>
      <c r="I269" s="383" t="s">
        <v>2781</v>
      </c>
      <c r="J269" s="383" t="s">
        <v>3557</v>
      </c>
      <c r="K269" s="383" t="s">
        <v>9519</v>
      </c>
      <c r="L269" s="383" t="s">
        <v>9665</v>
      </c>
      <c r="M269" s="383" t="s">
        <v>10137</v>
      </c>
      <c r="N269" s="29" t="s">
        <v>44</v>
      </c>
      <c r="O269" s="383" t="str">
        <f>IF(LEN(SUBSTITUTE(Table3937[[#This Row],[PRIMARY CONTACT]]," ",""))=10,SUBSTITUTE(Table3937[[#This Row],[PRIMARY CONTACT]]," ","") &amp; " - Proper","- Follow Up")</f>
        <v>9136013074 - Proper</v>
      </c>
      <c r="P269" s="383" t="s">
        <v>2780</v>
      </c>
      <c r="Q269" s="383">
        <v>9136013074</v>
      </c>
      <c r="R269" s="383" t="str">
        <f>SUBSTITUTE(Table3937[[#This Row],[whatsapp_number]]," ","")</f>
        <v>9136013074</v>
      </c>
      <c r="S269" s="383" t="str">
        <f>IF(Table3937[[#This Row],[PRIMARY CONTACT]]=Table3937[[#This Row],[WHATSAPP CONTACT]],"Same Contact","Different Contact")</f>
        <v>Same Contact</v>
      </c>
      <c r="T269" s="383" t="str">
        <f>IF(LEN(SUBSTITUTE(Table3937[[#This Row],[PRIMARY CONTACT]]," ",""))=10,SUBSTITUTE(Table3937[[#This Row],[PRIMARY CONTACT]]," ","") &amp; " - Proper","- Follow Up")</f>
        <v>9136013074 - Proper</v>
      </c>
      <c r="U269" s="383" t="s">
        <v>3550</v>
      </c>
      <c r="V269" s="393" t="s">
        <v>2786</v>
      </c>
      <c r="W269" s="383" t="s">
        <v>47</v>
      </c>
      <c r="X269" s="101" t="s">
        <v>49</v>
      </c>
      <c r="Y269" s="5" t="s">
        <v>2164</v>
      </c>
      <c r="Z269" s="5" t="s">
        <v>7773</v>
      </c>
      <c r="AA269" s="101" t="s">
        <v>7774</v>
      </c>
      <c r="AB269" s="383"/>
    </row>
    <row r="270" spans="1:28" ht="14.4">
      <c r="A270" s="387">
        <v>269</v>
      </c>
      <c r="B270" s="294" t="s">
        <v>3559</v>
      </c>
      <c r="C270" s="383" t="s">
        <v>10710</v>
      </c>
      <c r="D270" s="383" t="s">
        <v>10710</v>
      </c>
      <c r="E270" s="383" t="s">
        <v>8847</v>
      </c>
      <c r="F270" s="383">
        <v>848</v>
      </c>
      <c r="G270" s="383" t="s">
        <v>3560</v>
      </c>
      <c r="H270" s="383" t="s">
        <v>3547</v>
      </c>
      <c r="I270" s="383" t="s">
        <v>2781</v>
      </c>
      <c r="J270" s="383" t="s">
        <v>3561</v>
      </c>
      <c r="K270" s="383" t="s">
        <v>3562</v>
      </c>
      <c r="L270" s="383" t="s">
        <v>9665</v>
      </c>
      <c r="M270" s="383" t="s">
        <v>10138</v>
      </c>
      <c r="N270" s="29" t="s">
        <v>44</v>
      </c>
      <c r="O270" s="383" t="str">
        <f>IF(LEN(SUBSTITUTE(Table3937[[#This Row],[PRIMARY CONTACT]]," ",""))=10,SUBSTITUTE(Table3937[[#This Row],[PRIMARY CONTACT]]," ","") &amp; " - Proper","- Follow Up")</f>
        <v>9004446682 - Proper</v>
      </c>
      <c r="P270" s="383" t="s">
        <v>2780</v>
      </c>
      <c r="Q270" s="383">
        <v>9004446682</v>
      </c>
      <c r="R270" s="383" t="str">
        <f>SUBSTITUTE(Table3937[[#This Row],[whatsapp_number]]," ","")</f>
        <v>9004446682</v>
      </c>
      <c r="S270" s="383" t="str">
        <f>IF(Table3937[[#This Row],[PRIMARY CONTACT]]=Table3937[[#This Row],[WHATSAPP CONTACT]],"Same Contact","Different Contact")</f>
        <v>Same Contact</v>
      </c>
      <c r="T270" s="383" t="str">
        <f>IF(LEN(SUBSTITUTE(Table3937[[#This Row],[PRIMARY CONTACT]]," ",""))=10,SUBSTITUTE(Table3937[[#This Row],[PRIMARY CONTACT]]," ","") &amp; " - Proper","- Follow Up")</f>
        <v>9004446682 - Proper</v>
      </c>
      <c r="U270" s="383" t="s">
        <v>3550</v>
      </c>
      <c r="V270" s="393" t="s">
        <v>2786</v>
      </c>
      <c r="W270" s="383" t="s">
        <v>47</v>
      </c>
      <c r="X270" s="101" t="s">
        <v>49</v>
      </c>
      <c r="Y270" s="5" t="s">
        <v>2164</v>
      </c>
      <c r="Z270" s="5" t="s">
        <v>7773</v>
      </c>
      <c r="AA270" s="101" t="s">
        <v>7774</v>
      </c>
      <c r="AB270" s="383"/>
    </row>
    <row r="271" spans="1:28" ht="14.4">
      <c r="A271" s="387">
        <v>270</v>
      </c>
      <c r="B271" s="294" t="s">
        <v>3563</v>
      </c>
      <c r="C271" s="383" t="s">
        <v>10709</v>
      </c>
      <c r="D271" s="383" t="s">
        <v>10918</v>
      </c>
      <c r="E271" s="383" t="s">
        <v>8848</v>
      </c>
      <c r="F271" s="383">
        <v>849</v>
      </c>
      <c r="G271" s="383" t="s">
        <v>3564</v>
      </c>
      <c r="H271" s="383" t="s">
        <v>3547</v>
      </c>
      <c r="I271" s="383" t="s">
        <v>2781</v>
      </c>
      <c r="J271" s="383" t="s">
        <v>3565</v>
      </c>
      <c r="K271" s="383" t="s">
        <v>3566</v>
      </c>
      <c r="L271" s="383" t="s">
        <v>9665</v>
      </c>
      <c r="M271" s="383" t="s">
        <v>10139</v>
      </c>
      <c r="N271" s="29" t="s">
        <v>44</v>
      </c>
      <c r="O271" s="383" t="str">
        <f>IF(LEN(SUBSTITUTE(Table3937[[#This Row],[PRIMARY CONTACT]]," ",""))=10,SUBSTITUTE(Table3937[[#This Row],[PRIMARY CONTACT]]," ","") &amp; " - Proper","- Follow Up")</f>
        <v>8657995911 - Proper</v>
      </c>
      <c r="P271" s="383" t="s">
        <v>2780</v>
      </c>
      <c r="Q271" s="383">
        <v>8657995911</v>
      </c>
      <c r="R271" s="383" t="str">
        <f>SUBSTITUTE(Table3937[[#This Row],[whatsapp_number]]," ","")</f>
        <v>8657995911</v>
      </c>
      <c r="S271" s="383" t="str">
        <f>IF(Table3937[[#This Row],[PRIMARY CONTACT]]=Table3937[[#This Row],[WHATSAPP CONTACT]],"Same Contact","Different Contact")</f>
        <v>Same Contact</v>
      </c>
      <c r="T271" s="383" t="str">
        <f>IF(LEN(SUBSTITUTE(Table3937[[#This Row],[PRIMARY CONTACT]]," ",""))=10,SUBSTITUTE(Table3937[[#This Row],[PRIMARY CONTACT]]," ","") &amp; " - Proper","- Follow Up")</f>
        <v>8657995911 - Proper</v>
      </c>
      <c r="U271" s="383" t="s">
        <v>3550</v>
      </c>
      <c r="V271" s="393" t="s">
        <v>2786</v>
      </c>
      <c r="W271" s="383" t="s">
        <v>47</v>
      </c>
      <c r="X271" s="101" t="s">
        <v>49</v>
      </c>
      <c r="Y271" s="5" t="s">
        <v>2164</v>
      </c>
      <c r="Z271" s="5" t="s">
        <v>7773</v>
      </c>
      <c r="AA271" s="101" t="s">
        <v>7774</v>
      </c>
      <c r="AB271" s="383"/>
    </row>
    <row r="272" spans="1:28" ht="14.4">
      <c r="A272" s="387">
        <v>271</v>
      </c>
      <c r="B272" s="294" t="s">
        <v>3567</v>
      </c>
      <c r="C272" s="383" t="s">
        <v>10709</v>
      </c>
      <c r="D272" s="383" t="s">
        <v>10919</v>
      </c>
      <c r="E272" s="383" t="s">
        <v>8849</v>
      </c>
      <c r="F272" s="383">
        <v>850</v>
      </c>
      <c r="G272" s="383" t="s">
        <v>3568</v>
      </c>
      <c r="H272" s="383" t="s">
        <v>3547</v>
      </c>
      <c r="I272" s="383" t="s">
        <v>2781</v>
      </c>
      <c r="J272" s="383" t="s">
        <v>9410</v>
      </c>
      <c r="K272" s="383" t="s">
        <v>9520</v>
      </c>
      <c r="L272" s="383" t="s">
        <v>9665</v>
      </c>
      <c r="M272" s="383" t="s">
        <v>10140</v>
      </c>
      <c r="N272" s="29" t="s">
        <v>44</v>
      </c>
      <c r="O272" s="383" t="str">
        <f>IF(LEN(SUBSTITUTE(Table3937[[#This Row],[PRIMARY CONTACT]]," ",""))=10,SUBSTITUTE(Table3937[[#This Row],[PRIMARY CONTACT]]," ","") &amp; " - Proper","- Follow Up")</f>
        <v>9004492304 - Proper</v>
      </c>
      <c r="P272" s="383" t="s">
        <v>2780</v>
      </c>
      <c r="Q272" s="383">
        <v>9004492304</v>
      </c>
      <c r="R272" s="383" t="str">
        <f>SUBSTITUTE(Table3937[[#This Row],[whatsapp_number]]," ","")</f>
        <v>9004492304</v>
      </c>
      <c r="S272" s="383" t="str">
        <f>IF(Table3937[[#This Row],[PRIMARY CONTACT]]=Table3937[[#This Row],[WHATSAPP CONTACT]],"Same Contact","Different Contact")</f>
        <v>Same Contact</v>
      </c>
      <c r="T272" s="383" t="str">
        <f>IF(LEN(SUBSTITUTE(Table3937[[#This Row],[PRIMARY CONTACT]]," ",""))=10,SUBSTITUTE(Table3937[[#This Row],[PRIMARY CONTACT]]," ","") &amp; " - Proper","- Follow Up")</f>
        <v>9004492304 - Proper</v>
      </c>
      <c r="U272" s="383" t="s">
        <v>3550</v>
      </c>
      <c r="V272" s="393" t="s">
        <v>2786</v>
      </c>
      <c r="W272" s="383" t="s">
        <v>47</v>
      </c>
      <c r="X272" s="101" t="s">
        <v>49</v>
      </c>
      <c r="Y272" s="5" t="s">
        <v>2164</v>
      </c>
      <c r="Z272" s="5" t="s">
        <v>7773</v>
      </c>
      <c r="AA272" s="101" t="s">
        <v>7774</v>
      </c>
      <c r="AB272" s="383"/>
    </row>
    <row r="273" spans="1:28" ht="14.4">
      <c r="A273" s="387">
        <v>272</v>
      </c>
      <c r="B273" s="294" t="s">
        <v>3571</v>
      </c>
      <c r="C273" s="383" t="s">
        <v>10709</v>
      </c>
      <c r="D273" s="383" t="s">
        <v>10920</v>
      </c>
      <c r="E273" s="383" t="s">
        <v>8850</v>
      </c>
      <c r="F273" s="383">
        <v>851</v>
      </c>
      <c r="G273" s="383" t="s">
        <v>3572</v>
      </c>
      <c r="H273" s="383" t="s">
        <v>3547</v>
      </c>
      <c r="I273" s="383" t="s">
        <v>2781</v>
      </c>
      <c r="J273" s="383" t="s">
        <v>3573</v>
      </c>
      <c r="K273" s="383" t="s">
        <v>3574</v>
      </c>
      <c r="L273" s="383" t="s">
        <v>9665</v>
      </c>
      <c r="M273" s="383" t="s">
        <v>10141</v>
      </c>
      <c r="N273" s="29" t="s">
        <v>44</v>
      </c>
      <c r="O273" s="383" t="str">
        <f>IF(LEN(SUBSTITUTE(Table3937[[#This Row],[PRIMARY CONTACT]]," ",""))=10,SUBSTITUTE(Table3937[[#This Row],[PRIMARY CONTACT]]," ","") &amp; " - Proper","- Follow Up")</f>
        <v>9004446693 - Proper</v>
      </c>
      <c r="P273" s="383" t="s">
        <v>2780</v>
      </c>
      <c r="Q273" s="383">
        <v>9004446693</v>
      </c>
      <c r="R273" s="383" t="str">
        <f>SUBSTITUTE(Table3937[[#This Row],[whatsapp_number]]," ","")</f>
        <v>9004446693</v>
      </c>
      <c r="S273" s="383" t="str">
        <f>IF(Table3937[[#This Row],[PRIMARY CONTACT]]=Table3937[[#This Row],[WHATSAPP CONTACT]],"Same Contact","Different Contact")</f>
        <v>Same Contact</v>
      </c>
      <c r="T273" s="383" t="str">
        <f>IF(LEN(SUBSTITUTE(Table3937[[#This Row],[PRIMARY CONTACT]]," ",""))=10,SUBSTITUTE(Table3937[[#This Row],[PRIMARY CONTACT]]," ","") &amp; " - Proper","- Follow Up")</f>
        <v>9004446693 - Proper</v>
      </c>
      <c r="U273" s="383" t="s">
        <v>3550</v>
      </c>
      <c r="V273" s="393" t="s">
        <v>2786</v>
      </c>
      <c r="W273" s="383" t="s">
        <v>47</v>
      </c>
      <c r="X273" s="101" t="s">
        <v>49</v>
      </c>
      <c r="Y273" s="5" t="s">
        <v>2164</v>
      </c>
      <c r="Z273" s="5" t="s">
        <v>7773</v>
      </c>
      <c r="AA273" s="101" t="s">
        <v>7774</v>
      </c>
      <c r="AB273" s="383"/>
    </row>
    <row r="274" spans="1:28" ht="14.4">
      <c r="A274" s="387">
        <v>273</v>
      </c>
      <c r="B274" s="294" t="s">
        <v>3575</v>
      </c>
      <c r="C274" s="383" t="s">
        <v>10709</v>
      </c>
      <c r="D274" s="383" t="s">
        <v>10921</v>
      </c>
      <c r="E274" s="383" t="s">
        <v>8851</v>
      </c>
      <c r="F274" s="383">
        <v>852</v>
      </c>
      <c r="G274" s="383" t="s">
        <v>3576</v>
      </c>
      <c r="H274" s="383" t="s">
        <v>3547</v>
      </c>
      <c r="I274" s="383" t="s">
        <v>2781</v>
      </c>
      <c r="J274" s="383" t="s">
        <v>3577</v>
      </c>
      <c r="K274" s="383" t="s">
        <v>3578</v>
      </c>
      <c r="L274" s="383" t="s">
        <v>9665</v>
      </c>
      <c r="M274" s="383" t="s">
        <v>10142</v>
      </c>
      <c r="N274" s="29" t="s">
        <v>44</v>
      </c>
      <c r="O274" s="383" t="str">
        <f>IF(LEN(SUBSTITUTE(Table3937[[#This Row],[PRIMARY CONTACT]]," ",""))=10,SUBSTITUTE(Table3937[[#This Row],[PRIMARY CONTACT]]," ","") &amp; " - Proper","- Follow Up")</f>
        <v>9833051251 - Proper</v>
      </c>
      <c r="P274" s="383" t="s">
        <v>2780</v>
      </c>
      <c r="Q274" s="383">
        <v>9833051251</v>
      </c>
      <c r="R274" s="383" t="str">
        <f>SUBSTITUTE(Table3937[[#This Row],[whatsapp_number]]," ","")</f>
        <v>9833051251</v>
      </c>
      <c r="S274" s="383" t="str">
        <f>IF(Table3937[[#This Row],[PRIMARY CONTACT]]=Table3937[[#This Row],[WHATSAPP CONTACT]],"Same Contact","Different Contact")</f>
        <v>Same Contact</v>
      </c>
      <c r="T274" s="383" t="str">
        <f>IF(LEN(SUBSTITUTE(Table3937[[#This Row],[PRIMARY CONTACT]]," ",""))=10,SUBSTITUTE(Table3937[[#This Row],[PRIMARY CONTACT]]," ","") &amp; " - Proper","- Follow Up")</f>
        <v>9833051251 - Proper</v>
      </c>
      <c r="U274" s="383" t="s">
        <v>3550</v>
      </c>
      <c r="V274" s="393" t="s">
        <v>2786</v>
      </c>
      <c r="W274" s="383" t="s">
        <v>47</v>
      </c>
      <c r="X274" s="101" t="s">
        <v>49</v>
      </c>
      <c r="Y274" s="5" t="s">
        <v>2164</v>
      </c>
      <c r="Z274" s="5" t="s">
        <v>7773</v>
      </c>
      <c r="AA274" s="101" t="s">
        <v>7774</v>
      </c>
      <c r="AB274" s="383"/>
    </row>
    <row r="275" spans="1:28" ht="14.4">
      <c r="A275" s="387">
        <v>274</v>
      </c>
      <c r="B275" s="294" t="s">
        <v>3579</v>
      </c>
      <c r="C275" s="383" t="s">
        <v>10709</v>
      </c>
      <c r="D275" s="383" t="s">
        <v>10922</v>
      </c>
      <c r="E275" s="383" t="s">
        <v>8852</v>
      </c>
      <c r="F275" s="383">
        <v>853</v>
      </c>
      <c r="G275" s="383" t="s">
        <v>3580</v>
      </c>
      <c r="H275" s="383" t="s">
        <v>3547</v>
      </c>
      <c r="I275" s="383" t="s">
        <v>2781</v>
      </c>
      <c r="J275" s="383" t="s">
        <v>3581</v>
      </c>
      <c r="K275" s="383" t="s">
        <v>3582</v>
      </c>
      <c r="L275" s="383" t="s">
        <v>9665</v>
      </c>
      <c r="M275" s="383" t="s">
        <v>10143</v>
      </c>
      <c r="N275" s="29" t="s">
        <v>44</v>
      </c>
      <c r="O275" s="383" t="str">
        <f>IF(LEN(SUBSTITUTE(Table3937[[#This Row],[PRIMARY CONTACT]]," ",""))=10,SUBSTITUTE(Table3937[[#This Row],[PRIMARY CONTACT]]," ","") &amp; " - Proper","- Follow Up")</f>
        <v>9821436720 - Proper</v>
      </c>
      <c r="P275" s="383" t="s">
        <v>2780</v>
      </c>
      <c r="Q275" s="383">
        <v>9821436720</v>
      </c>
      <c r="R275" s="383" t="str">
        <f>SUBSTITUTE(Table3937[[#This Row],[whatsapp_number]]," ","")</f>
        <v>9821436720</v>
      </c>
      <c r="S275" s="383" t="str">
        <f>IF(Table3937[[#This Row],[PRIMARY CONTACT]]=Table3937[[#This Row],[WHATSAPP CONTACT]],"Same Contact","Different Contact")</f>
        <v>Same Contact</v>
      </c>
      <c r="T275" s="383" t="str">
        <f>IF(LEN(SUBSTITUTE(Table3937[[#This Row],[PRIMARY CONTACT]]," ",""))=10,SUBSTITUTE(Table3937[[#This Row],[PRIMARY CONTACT]]," ","") &amp; " - Proper","- Follow Up")</f>
        <v>9821436720 - Proper</v>
      </c>
      <c r="U275" s="383" t="s">
        <v>3550</v>
      </c>
      <c r="V275" s="393" t="s">
        <v>2786</v>
      </c>
      <c r="W275" s="383" t="s">
        <v>47</v>
      </c>
      <c r="X275" s="101" t="s">
        <v>49</v>
      </c>
      <c r="Y275" s="5" t="s">
        <v>2164</v>
      </c>
      <c r="Z275" s="5" t="s">
        <v>7773</v>
      </c>
      <c r="AA275" s="101" t="s">
        <v>7774</v>
      </c>
      <c r="AB275" s="383"/>
    </row>
    <row r="276" spans="1:28" ht="14.4">
      <c r="A276" s="387">
        <v>275</v>
      </c>
      <c r="B276" s="294" t="s">
        <v>3583</v>
      </c>
      <c r="C276" s="383" t="s">
        <v>10709</v>
      </c>
      <c r="D276" s="383" t="s">
        <v>10923</v>
      </c>
      <c r="E276" s="383" t="s">
        <v>8853</v>
      </c>
      <c r="F276" s="383">
        <v>854</v>
      </c>
      <c r="G276" s="383" t="s">
        <v>3584</v>
      </c>
      <c r="H276" s="383" t="s">
        <v>3547</v>
      </c>
      <c r="I276" s="383" t="s">
        <v>2781</v>
      </c>
      <c r="J276" s="383" t="s">
        <v>3585</v>
      </c>
      <c r="K276" s="383" t="s">
        <v>1610</v>
      </c>
      <c r="L276" s="383" t="s">
        <v>9665</v>
      </c>
      <c r="M276" s="383" t="s">
        <v>10144</v>
      </c>
      <c r="N276" s="29" t="s">
        <v>44</v>
      </c>
      <c r="O276" s="383" t="str">
        <f>IF(LEN(SUBSTITUTE(Table3937[[#This Row],[PRIMARY CONTACT]]," ",""))=10,SUBSTITUTE(Table3937[[#This Row],[PRIMARY CONTACT]]," ","") &amp; " - Proper","- Follow Up")</f>
        <v>9821136720 - Proper</v>
      </c>
      <c r="P276" s="383" t="s">
        <v>2780</v>
      </c>
      <c r="Q276" s="383">
        <v>9821136720</v>
      </c>
      <c r="R276" s="383" t="str">
        <f>SUBSTITUTE(Table3937[[#This Row],[whatsapp_number]]," ","")</f>
        <v>9821136720</v>
      </c>
      <c r="S276" s="383" t="str">
        <f>IF(Table3937[[#This Row],[PRIMARY CONTACT]]=Table3937[[#This Row],[WHATSAPP CONTACT]],"Same Contact","Different Contact")</f>
        <v>Same Contact</v>
      </c>
      <c r="T276" s="383" t="str">
        <f>IF(LEN(SUBSTITUTE(Table3937[[#This Row],[PRIMARY CONTACT]]," ",""))=10,SUBSTITUTE(Table3937[[#This Row],[PRIMARY CONTACT]]," ","") &amp; " - Proper","- Follow Up")</f>
        <v>9821136720 - Proper</v>
      </c>
      <c r="U276" s="383" t="s">
        <v>3550</v>
      </c>
      <c r="V276" s="393" t="s">
        <v>2786</v>
      </c>
      <c r="W276" s="383" t="s">
        <v>47</v>
      </c>
      <c r="X276" s="101" t="s">
        <v>49</v>
      </c>
      <c r="Y276" s="5" t="s">
        <v>2164</v>
      </c>
      <c r="Z276" s="5" t="s">
        <v>7773</v>
      </c>
      <c r="AA276" s="101" t="s">
        <v>7774</v>
      </c>
      <c r="AB276" s="383"/>
    </row>
    <row r="277" spans="1:28" ht="14.4">
      <c r="A277" s="387">
        <v>276</v>
      </c>
      <c r="B277" s="294" t="s">
        <v>3586</v>
      </c>
      <c r="C277" s="383" t="s">
        <v>10709</v>
      </c>
      <c r="D277" s="383" t="s">
        <v>10924</v>
      </c>
      <c r="E277" s="383" t="s">
        <v>8854</v>
      </c>
      <c r="F277" s="383">
        <v>855</v>
      </c>
      <c r="G277" s="383" t="s">
        <v>3587</v>
      </c>
      <c r="H277" s="383" t="s">
        <v>3547</v>
      </c>
      <c r="I277" s="383" t="s">
        <v>2781</v>
      </c>
      <c r="J277" s="383" t="s">
        <v>3588</v>
      </c>
      <c r="K277" s="383" t="s">
        <v>191</v>
      </c>
      <c r="L277" s="383" t="s">
        <v>9665</v>
      </c>
      <c r="M277" s="383" t="s">
        <v>10145</v>
      </c>
      <c r="N277" s="29" t="s">
        <v>44</v>
      </c>
      <c r="O277" s="383" t="str">
        <f>IF(LEN(SUBSTITUTE(Table3937[[#This Row],[PRIMARY CONTACT]]," ",""))=10,SUBSTITUTE(Table3937[[#This Row],[PRIMARY CONTACT]]," ","") &amp; " - Proper","- Follow Up")</f>
        <v>9004446681 - Proper</v>
      </c>
      <c r="P277" s="383" t="s">
        <v>2780</v>
      </c>
      <c r="Q277" s="383">
        <v>9004446681</v>
      </c>
      <c r="R277" s="383" t="str">
        <f>SUBSTITUTE(Table3937[[#This Row],[whatsapp_number]]," ","")</f>
        <v>9004446681</v>
      </c>
      <c r="S277" s="383" t="str">
        <f>IF(Table3937[[#This Row],[PRIMARY CONTACT]]=Table3937[[#This Row],[WHATSAPP CONTACT]],"Same Contact","Different Contact")</f>
        <v>Same Contact</v>
      </c>
      <c r="T277" s="383" t="str">
        <f>IF(LEN(SUBSTITUTE(Table3937[[#This Row],[PRIMARY CONTACT]]," ",""))=10,SUBSTITUTE(Table3937[[#This Row],[PRIMARY CONTACT]]," ","") &amp; " - Proper","- Follow Up")</f>
        <v>9004446681 - Proper</v>
      </c>
      <c r="U277" s="383" t="s">
        <v>3550</v>
      </c>
      <c r="V277" s="393" t="s">
        <v>2786</v>
      </c>
      <c r="W277" s="383" t="s">
        <v>47</v>
      </c>
      <c r="X277" s="101" t="s">
        <v>49</v>
      </c>
      <c r="Y277" s="5" t="s">
        <v>2164</v>
      </c>
      <c r="Z277" s="5" t="s">
        <v>7773</v>
      </c>
      <c r="AA277" s="101" t="s">
        <v>7774</v>
      </c>
      <c r="AB277" s="383"/>
    </row>
    <row r="278" spans="1:28" ht="14.4">
      <c r="A278" s="387">
        <v>277</v>
      </c>
      <c r="B278" s="294" t="s">
        <v>3589</v>
      </c>
      <c r="C278" s="383" t="s">
        <v>10709</v>
      </c>
      <c r="D278" s="383" t="s">
        <v>10925</v>
      </c>
      <c r="E278" s="383" t="s">
        <v>8855</v>
      </c>
      <c r="F278" s="383">
        <v>856</v>
      </c>
      <c r="G278" s="383" t="s">
        <v>3590</v>
      </c>
      <c r="H278" s="383" t="s">
        <v>3547</v>
      </c>
      <c r="I278" s="383" t="s">
        <v>2781</v>
      </c>
      <c r="J278" s="383" t="s">
        <v>3591</v>
      </c>
      <c r="K278" s="383" t="s">
        <v>3592</v>
      </c>
      <c r="L278" s="383" t="s">
        <v>9665</v>
      </c>
      <c r="M278" s="383" t="s">
        <v>10146</v>
      </c>
      <c r="N278" s="29" t="s">
        <v>44</v>
      </c>
      <c r="O278" s="383" t="str">
        <f>IF(LEN(SUBSTITUTE(Table3937[[#This Row],[PRIMARY CONTACT]]," ",""))=10,SUBSTITUTE(Table3937[[#This Row],[PRIMARY CONTACT]]," ","") &amp; " - Proper","- Follow Up")</f>
        <v>8657859790 - Proper</v>
      </c>
      <c r="P278" s="383" t="s">
        <v>2780</v>
      </c>
      <c r="Q278" s="383">
        <v>8657859790</v>
      </c>
      <c r="R278" s="383" t="str">
        <f>SUBSTITUTE(Table3937[[#This Row],[whatsapp_number]]," ","")</f>
        <v>8657859790</v>
      </c>
      <c r="S278" s="383" t="str">
        <f>IF(Table3937[[#This Row],[PRIMARY CONTACT]]=Table3937[[#This Row],[WHATSAPP CONTACT]],"Same Contact","Different Contact")</f>
        <v>Same Contact</v>
      </c>
      <c r="T278" s="383" t="str">
        <f>IF(LEN(SUBSTITUTE(Table3937[[#This Row],[PRIMARY CONTACT]]," ",""))=10,SUBSTITUTE(Table3937[[#This Row],[PRIMARY CONTACT]]," ","") &amp; " - Proper","- Follow Up")</f>
        <v>8657859790 - Proper</v>
      </c>
      <c r="U278" s="383" t="s">
        <v>3550</v>
      </c>
      <c r="V278" s="393" t="s">
        <v>2786</v>
      </c>
      <c r="W278" s="383" t="s">
        <v>47</v>
      </c>
      <c r="X278" s="101" t="s">
        <v>49</v>
      </c>
      <c r="Y278" s="5" t="s">
        <v>2164</v>
      </c>
      <c r="Z278" s="5" t="s">
        <v>7773</v>
      </c>
      <c r="AA278" s="101" t="s">
        <v>7774</v>
      </c>
      <c r="AB278" s="383"/>
    </row>
    <row r="279" spans="1:28" ht="14.4">
      <c r="A279" s="387">
        <v>278</v>
      </c>
      <c r="B279" s="294" t="s">
        <v>3593</v>
      </c>
      <c r="C279" s="383" t="s">
        <v>10709</v>
      </c>
      <c r="D279" s="383" t="s">
        <v>10926</v>
      </c>
      <c r="E279" s="383" t="s">
        <v>8856</v>
      </c>
      <c r="F279" s="383">
        <v>857</v>
      </c>
      <c r="G279" s="383" t="s">
        <v>3594</v>
      </c>
      <c r="H279" s="383" t="s">
        <v>3547</v>
      </c>
      <c r="I279" s="383" t="s">
        <v>2781</v>
      </c>
      <c r="J279" s="383" t="s">
        <v>3595</v>
      </c>
      <c r="K279" s="383" t="s">
        <v>9521</v>
      </c>
      <c r="L279" s="383" t="s">
        <v>9665</v>
      </c>
      <c r="M279" s="383" t="s">
        <v>10147</v>
      </c>
      <c r="N279" s="29" t="s">
        <v>44</v>
      </c>
      <c r="O279" s="383" t="str">
        <f>IF(LEN(SUBSTITUTE(Table3937[[#This Row],[PRIMARY CONTACT]]," ",""))=10,SUBSTITUTE(Table3937[[#This Row],[PRIMARY CONTACT]]," ","") &amp; " - Proper","- Follow Up")</f>
        <v>9004425450 - Proper</v>
      </c>
      <c r="P279" s="383" t="s">
        <v>2780</v>
      </c>
      <c r="Q279" s="383">
        <v>9004425450</v>
      </c>
      <c r="R279" s="383" t="str">
        <f>SUBSTITUTE(Table3937[[#This Row],[whatsapp_number]]," ","")</f>
        <v>9004425450</v>
      </c>
      <c r="S279" s="383" t="str">
        <f>IF(Table3937[[#This Row],[PRIMARY CONTACT]]=Table3937[[#This Row],[WHATSAPP CONTACT]],"Same Contact","Different Contact")</f>
        <v>Same Contact</v>
      </c>
      <c r="T279" s="383" t="str">
        <f>IF(LEN(SUBSTITUTE(Table3937[[#This Row],[PRIMARY CONTACT]]," ",""))=10,SUBSTITUTE(Table3937[[#This Row],[PRIMARY CONTACT]]," ","") &amp; " - Proper","- Follow Up")</f>
        <v>9004425450 - Proper</v>
      </c>
      <c r="U279" s="383" t="s">
        <v>3550</v>
      </c>
      <c r="V279" s="393" t="s">
        <v>2786</v>
      </c>
      <c r="W279" s="383" t="s">
        <v>47</v>
      </c>
      <c r="X279" s="101" t="s">
        <v>49</v>
      </c>
      <c r="Y279" s="5" t="s">
        <v>2164</v>
      </c>
      <c r="Z279" s="5" t="s">
        <v>7773</v>
      </c>
      <c r="AA279" s="101" t="s">
        <v>7774</v>
      </c>
      <c r="AB279" s="383"/>
    </row>
    <row r="280" spans="1:28" ht="14.4">
      <c r="A280" s="387">
        <v>279</v>
      </c>
      <c r="B280" s="294" t="s">
        <v>3597</v>
      </c>
      <c r="C280" s="383" t="s">
        <v>10709</v>
      </c>
      <c r="D280" s="383" t="s">
        <v>10927</v>
      </c>
      <c r="E280" s="383" t="s">
        <v>8857</v>
      </c>
      <c r="F280" s="383">
        <v>858</v>
      </c>
      <c r="G280" s="383" t="s">
        <v>3598</v>
      </c>
      <c r="H280" s="383" t="s">
        <v>3547</v>
      </c>
      <c r="I280" s="383" t="s">
        <v>2781</v>
      </c>
      <c r="J280" s="383" t="s">
        <v>3599</v>
      </c>
      <c r="K280" s="383" t="s">
        <v>9522</v>
      </c>
      <c r="L280" s="383" t="s">
        <v>9665</v>
      </c>
      <c r="M280" s="383" t="s">
        <v>10148</v>
      </c>
      <c r="N280" s="29" t="s">
        <v>44</v>
      </c>
      <c r="O280" s="383" t="str">
        <f>IF(LEN(SUBSTITUTE(Table3937[[#This Row],[PRIMARY CONTACT]]," ",""))=10,SUBSTITUTE(Table3937[[#This Row],[PRIMARY CONTACT]]," ","") &amp; " - Proper","- Follow Up")</f>
        <v>8451901601 - Proper</v>
      </c>
      <c r="P280" s="383" t="s">
        <v>2780</v>
      </c>
      <c r="Q280" s="383">
        <v>8451901601</v>
      </c>
      <c r="R280" s="383" t="str">
        <f>SUBSTITUTE(Table3937[[#This Row],[whatsapp_number]]," ","")</f>
        <v>8451901601</v>
      </c>
      <c r="S280" s="383" t="str">
        <f>IF(Table3937[[#This Row],[PRIMARY CONTACT]]=Table3937[[#This Row],[WHATSAPP CONTACT]],"Same Contact","Different Contact")</f>
        <v>Same Contact</v>
      </c>
      <c r="T280" s="383" t="str">
        <f>IF(LEN(SUBSTITUTE(Table3937[[#This Row],[PRIMARY CONTACT]]," ",""))=10,SUBSTITUTE(Table3937[[#This Row],[PRIMARY CONTACT]]," ","") &amp; " - Proper","- Follow Up")</f>
        <v>8451901601 - Proper</v>
      </c>
      <c r="U280" s="383" t="s">
        <v>3550</v>
      </c>
      <c r="V280" s="393" t="s">
        <v>2786</v>
      </c>
      <c r="W280" s="383" t="s">
        <v>47</v>
      </c>
      <c r="X280" s="101" t="s">
        <v>49</v>
      </c>
      <c r="Y280" s="5" t="s">
        <v>2164</v>
      </c>
      <c r="Z280" s="5" t="s">
        <v>7773</v>
      </c>
      <c r="AA280" s="101" t="s">
        <v>7774</v>
      </c>
      <c r="AB280" s="383"/>
    </row>
    <row r="281" spans="1:28" ht="14.4">
      <c r="A281" s="387">
        <v>280</v>
      </c>
      <c r="B281" s="294" t="s">
        <v>3601</v>
      </c>
      <c r="C281" s="383" t="s">
        <v>10709</v>
      </c>
      <c r="D281" s="383" t="s">
        <v>10928</v>
      </c>
      <c r="E281" s="383" t="s">
        <v>8858</v>
      </c>
      <c r="F281" s="383">
        <v>859</v>
      </c>
      <c r="G281" s="383" t="s">
        <v>3602</v>
      </c>
      <c r="H281" s="383" t="s">
        <v>3547</v>
      </c>
      <c r="I281" s="383" t="s">
        <v>2781</v>
      </c>
      <c r="J281" s="383" t="s">
        <v>3603</v>
      </c>
      <c r="K281" s="383" t="s">
        <v>9523</v>
      </c>
      <c r="L281" s="383" t="s">
        <v>9665</v>
      </c>
      <c r="M281" s="383" t="s">
        <v>10149</v>
      </c>
      <c r="N281" s="29" t="s">
        <v>44</v>
      </c>
      <c r="O281" s="383" t="str">
        <f>IF(LEN(SUBSTITUTE(Table3937[[#This Row],[PRIMARY CONTACT]]," ",""))=10,SUBSTITUTE(Table3937[[#This Row],[PRIMARY CONTACT]]," ","") &amp; " - Proper","- Follow Up")</f>
        <v>7400420545 - Proper</v>
      </c>
      <c r="P281" s="383" t="s">
        <v>2780</v>
      </c>
      <c r="Q281" s="383">
        <v>7400420545</v>
      </c>
      <c r="R281" s="383" t="str">
        <f>SUBSTITUTE(Table3937[[#This Row],[whatsapp_number]]," ","")</f>
        <v>7400420545</v>
      </c>
      <c r="S281" s="383" t="str">
        <f>IF(Table3937[[#This Row],[PRIMARY CONTACT]]=Table3937[[#This Row],[WHATSAPP CONTACT]],"Same Contact","Different Contact")</f>
        <v>Same Contact</v>
      </c>
      <c r="T281" s="383" t="str">
        <f>IF(LEN(SUBSTITUTE(Table3937[[#This Row],[PRIMARY CONTACT]]," ",""))=10,SUBSTITUTE(Table3937[[#This Row],[PRIMARY CONTACT]]," ","") &amp; " - Proper","- Follow Up")</f>
        <v>7400420545 - Proper</v>
      </c>
      <c r="U281" s="383" t="s">
        <v>3550</v>
      </c>
      <c r="V281" s="393" t="s">
        <v>2786</v>
      </c>
      <c r="W281" s="383" t="s">
        <v>47</v>
      </c>
      <c r="X281" s="101" t="s">
        <v>49</v>
      </c>
      <c r="Y281" s="5" t="s">
        <v>2164</v>
      </c>
      <c r="Z281" s="5" t="s">
        <v>7773</v>
      </c>
      <c r="AA281" s="101" t="s">
        <v>7774</v>
      </c>
      <c r="AB281" s="383"/>
    </row>
    <row r="282" spans="1:28" ht="14.4">
      <c r="A282" s="387">
        <v>281</v>
      </c>
      <c r="B282" s="294" t="s">
        <v>3605</v>
      </c>
      <c r="C282" s="383" t="s">
        <v>10709</v>
      </c>
      <c r="D282" s="383" t="s">
        <v>10929</v>
      </c>
      <c r="E282" s="383" t="s">
        <v>8859</v>
      </c>
      <c r="F282" s="383">
        <v>860</v>
      </c>
      <c r="G282" s="383" t="s">
        <v>3606</v>
      </c>
      <c r="H282" s="383" t="s">
        <v>3547</v>
      </c>
      <c r="I282" s="383" t="s">
        <v>2781</v>
      </c>
      <c r="J282" s="383" t="s">
        <v>3607</v>
      </c>
      <c r="K282" s="383" t="s">
        <v>3608</v>
      </c>
      <c r="L282" s="383" t="s">
        <v>9665</v>
      </c>
      <c r="M282" s="383" t="s">
        <v>10150</v>
      </c>
      <c r="N282" s="29" t="s">
        <v>44</v>
      </c>
      <c r="O282" s="383" t="str">
        <f>IF(LEN(SUBSTITUTE(Table3937[[#This Row],[PRIMARY CONTACT]]," ",""))=10,SUBSTITUTE(Table3937[[#This Row],[PRIMARY CONTACT]]," ","") &amp; " - Proper","- Follow Up")</f>
        <v>8976909097 - Proper</v>
      </c>
      <c r="P282" s="383" t="s">
        <v>2780</v>
      </c>
      <c r="Q282" s="383">
        <v>8976909097</v>
      </c>
      <c r="R282" s="383" t="str">
        <f>SUBSTITUTE(Table3937[[#This Row],[whatsapp_number]]," ","")</f>
        <v>8976909097</v>
      </c>
      <c r="S282" s="383" t="str">
        <f>IF(Table3937[[#This Row],[PRIMARY CONTACT]]=Table3937[[#This Row],[WHATSAPP CONTACT]],"Same Contact","Different Contact")</f>
        <v>Same Contact</v>
      </c>
      <c r="T282" s="383" t="str">
        <f>IF(LEN(SUBSTITUTE(Table3937[[#This Row],[PRIMARY CONTACT]]," ",""))=10,SUBSTITUTE(Table3937[[#This Row],[PRIMARY CONTACT]]," ","") &amp; " - Proper","- Follow Up")</f>
        <v>8976909097 - Proper</v>
      </c>
      <c r="U282" s="383" t="s">
        <v>3550</v>
      </c>
      <c r="V282" s="393" t="s">
        <v>2786</v>
      </c>
      <c r="W282" s="383" t="s">
        <v>47</v>
      </c>
      <c r="X282" s="101" t="s">
        <v>49</v>
      </c>
      <c r="Y282" s="5" t="s">
        <v>2164</v>
      </c>
      <c r="Z282" s="5" t="s">
        <v>7773</v>
      </c>
      <c r="AA282" s="101" t="s">
        <v>7774</v>
      </c>
      <c r="AB282" s="383"/>
    </row>
    <row r="283" spans="1:28" ht="14.4">
      <c r="A283" s="387">
        <v>282</v>
      </c>
      <c r="B283" s="294" t="s">
        <v>3609</v>
      </c>
      <c r="C283" s="383" t="s">
        <v>10710</v>
      </c>
      <c r="D283" s="383" t="s">
        <v>10710</v>
      </c>
      <c r="E283" s="383" t="s">
        <v>8860</v>
      </c>
      <c r="F283" s="383">
        <v>861</v>
      </c>
      <c r="G283" s="383" t="s">
        <v>71</v>
      </c>
      <c r="H283" s="383" t="s">
        <v>3547</v>
      </c>
      <c r="I283" s="383" t="s">
        <v>2781</v>
      </c>
      <c r="J283" s="383" t="s">
        <v>3610</v>
      </c>
      <c r="K283" s="383" t="s">
        <v>3611</v>
      </c>
      <c r="L283" s="383" t="s">
        <v>9665</v>
      </c>
      <c r="M283" s="383" t="s">
        <v>10151</v>
      </c>
      <c r="N283" s="29" t="s">
        <v>44</v>
      </c>
      <c r="O283" s="383" t="str">
        <f>IF(LEN(SUBSTITUTE(Table3937[[#This Row],[PRIMARY CONTACT]]," ",""))=10,SUBSTITUTE(Table3937[[#This Row],[PRIMARY CONTACT]]," ","") &amp; " - Proper","- Follow Up")</f>
        <v>9136699303 - Proper</v>
      </c>
      <c r="P283" s="383" t="s">
        <v>2780</v>
      </c>
      <c r="Q283" s="383">
        <v>9136699303</v>
      </c>
      <c r="R283" s="383" t="str">
        <f>SUBSTITUTE(Table3937[[#This Row],[whatsapp_number]]," ","")</f>
        <v>9136699303</v>
      </c>
      <c r="S283" s="383" t="str">
        <f>IF(Table3937[[#This Row],[PRIMARY CONTACT]]=Table3937[[#This Row],[WHATSAPP CONTACT]],"Same Contact","Different Contact")</f>
        <v>Same Contact</v>
      </c>
      <c r="T283" s="383" t="str">
        <f>IF(LEN(SUBSTITUTE(Table3937[[#This Row],[PRIMARY CONTACT]]," ",""))=10,SUBSTITUTE(Table3937[[#This Row],[PRIMARY CONTACT]]," ","") &amp; " - Proper","- Follow Up")</f>
        <v>9136699303 - Proper</v>
      </c>
      <c r="U283" s="383" t="s">
        <v>3550</v>
      </c>
      <c r="V283" s="393" t="s">
        <v>2786</v>
      </c>
      <c r="W283" s="383" t="s">
        <v>47</v>
      </c>
      <c r="X283" s="101" t="s">
        <v>49</v>
      </c>
      <c r="Y283" s="5" t="s">
        <v>2164</v>
      </c>
      <c r="Z283" s="5" t="s">
        <v>7773</v>
      </c>
      <c r="AA283" s="101" t="s">
        <v>7774</v>
      </c>
      <c r="AB283" s="383"/>
    </row>
    <row r="284" spans="1:28" ht="14.4">
      <c r="A284" s="387">
        <v>283</v>
      </c>
      <c r="B284" s="294" t="s">
        <v>3612</v>
      </c>
      <c r="C284" s="383" t="s">
        <v>10709</v>
      </c>
      <c r="D284" s="383" t="s">
        <v>10930</v>
      </c>
      <c r="E284" s="383" t="s">
        <v>8861</v>
      </c>
      <c r="F284" s="383">
        <v>862</v>
      </c>
      <c r="G284" s="383" t="s">
        <v>71</v>
      </c>
      <c r="H284" s="383" t="s">
        <v>3547</v>
      </c>
      <c r="I284" s="383" t="s">
        <v>2781</v>
      </c>
      <c r="J284" s="383" t="s">
        <v>9411</v>
      </c>
      <c r="K284" s="383" t="s">
        <v>3614</v>
      </c>
      <c r="L284" s="383" t="s">
        <v>9665</v>
      </c>
      <c r="M284" s="383" t="s">
        <v>10152</v>
      </c>
      <c r="N284" s="29" t="s">
        <v>44</v>
      </c>
      <c r="O284" s="383" t="str">
        <f>IF(LEN(SUBSTITUTE(Table3937[[#This Row],[PRIMARY CONTACT]]," ",""))=10,SUBSTITUTE(Table3937[[#This Row],[PRIMARY CONTACT]]," ","") &amp; " - Proper","- Follow Up")</f>
        <v>8451903628 - Proper</v>
      </c>
      <c r="P284" s="383" t="s">
        <v>2780</v>
      </c>
      <c r="Q284" s="383">
        <v>8451903628</v>
      </c>
      <c r="R284" s="383" t="str">
        <f>SUBSTITUTE(Table3937[[#This Row],[whatsapp_number]]," ","")</f>
        <v>8451903628</v>
      </c>
      <c r="S284" s="383" t="str">
        <f>IF(Table3937[[#This Row],[PRIMARY CONTACT]]=Table3937[[#This Row],[WHATSAPP CONTACT]],"Same Contact","Different Contact")</f>
        <v>Same Contact</v>
      </c>
      <c r="T284" s="383" t="str">
        <f>IF(LEN(SUBSTITUTE(Table3937[[#This Row],[PRIMARY CONTACT]]," ",""))=10,SUBSTITUTE(Table3937[[#This Row],[PRIMARY CONTACT]]," ","") &amp; " - Proper","- Follow Up")</f>
        <v>8451903628 - Proper</v>
      </c>
      <c r="U284" s="383" t="s">
        <v>3550</v>
      </c>
      <c r="V284" s="393" t="s">
        <v>2786</v>
      </c>
      <c r="W284" s="383" t="s">
        <v>47</v>
      </c>
      <c r="X284" s="101" t="s">
        <v>49</v>
      </c>
      <c r="Y284" s="5" t="s">
        <v>2164</v>
      </c>
      <c r="Z284" s="5" t="s">
        <v>7773</v>
      </c>
      <c r="AA284" s="101" t="s">
        <v>7774</v>
      </c>
      <c r="AB284" s="383"/>
    </row>
    <row r="285" spans="1:28" ht="14.4">
      <c r="A285" s="387">
        <v>284</v>
      </c>
      <c r="B285" s="297" t="s">
        <v>3615</v>
      </c>
      <c r="C285" s="383" t="s">
        <v>10709</v>
      </c>
      <c r="D285" s="383" t="s">
        <v>10931</v>
      </c>
      <c r="E285" s="383" t="s">
        <v>8862</v>
      </c>
      <c r="F285" s="383">
        <v>863</v>
      </c>
      <c r="G285" s="383" t="s">
        <v>71</v>
      </c>
      <c r="H285" s="383" t="s">
        <v>3547</v>
      </c>
      <c r="I285" s="383" t="s">
        <v>2781</v>
      </c>
      <c r="J285" s="383" t="s">
        <v>3616</v>
      </c>
      <c r="K285" s="383" t="s">
        <v>9524</v>
      </c>
      <c r="L285" s="383" t="s">
        <v>9665</v>
      </c>
      <c r="M285" s="383" t="s">
        <v>10153</v>
      </c>
      <c r="N285" s="29" t="s">
        <v>44</v>
      </c>
      <c r="O285" s="383" t="str">
        <f>IF(LEN(SUBSTITUTE(Table3937[[#This Row],[PRIMARY CONTACT]]," ",""))=10,SUBSTITUTE(Table3937[[#This Row],[PRIMARY CONTACT]]," ","") &amp; " - Proper","- Follow Up")</f>
        <v>8879058840 - Proper</v>
      </c>
      <c r="P285" s="383" t="s">
        <v>2780</v>
      </c>
      <c r="Q285" s="383">
        <v>8879058840</v>
      </c>
      <c r="R285" s="383" t="str">
        <f>SUBSTITUTE(Table3937[[#This Row],[whatsapp_number]]," ","")</f>
        <v>8879058840</v>
      </c>
      <c r="S285" s="383" t="str">
        <f>IF(Table3937[[#This Row],[PRIMARY CONTACT]]=Table3937[[#This Row],[WHATSAPP CONTACT]],"Same Contact","Different Contact")</f>
        <v>Same Contact</v>
      </c>
      <c r="T285" s="383" t="str">
        <f>IF(LEN(SUBSTITUTE(Table3937[[#This Row],[PRIMARY CONTACT]]," ",""))=10,SUBSTITUTE(Table3937[[#This Row],[PRIMARY CONTACT]]," ","") &amp; " - Proper","- Follow Up")</f>
        <v>8879058840 - Proper</v>
      </c>
      <c r="U285" s="383" t="s">
        <v>3550</v>
      </c>
      <c r="V285" s="393" t="s">
        <v>2786</v>
      </c>
      <c r="W285" s="383" t="s">
        <v>47</v>
      </c>
      <c r="X285" s="101" t="s">
        <v>49</v>
      </c>
      <c r="Y285" s="5" t="s">
        <v>2164</v>
      </c>
      <c r="Z285" s="5" t="s">
        <v>7773</v>
      </c>
      <c r="AA285" s="101" t="s">
        <v>7774</v>
      </c>
      <c r="AB285" s="383"/>
    </row>
    <row r="286" spans="1:28" ht="14.4">
      <c r="A286" s="387">
        <v>285</v>
      </c>
      <c r="B286" s="294" t="s">
        <v>3618</v>
      </c>
      <c r="C286" s="383" t="s">
        <v>10710</v>
      </c>
      <c r="D286" s="383" t="s">
        <v>10710</v>
      </c>
      <c r="E286" s="383" t="s">
        <v>8863</v>
      </c>
      <c r="F286" s="383">
        <v>864</v>
      </c>
      <c r="G286" s="383" t="s">
        <v>71</v>
      </c>
      <c r="H286" s="383" t="s">
        <v>3547</v>
      </c>
      <c r="I286" s="383" t="s">
        <v>2781</v>
      </c>
      <c r="J286" s="383" t="s">
        <v>3619</v>
      </c>
      <c r="K286" s="383" t="s">
        <v>3620</v>
      </c>
      <c r="L286" s="383" t="s">
        <v>9665</v>
      </c>
      <c r="M286" s="383" t="s">
        <v>10154</v>
      </c>
      <c r="N286" s="29" t="s">
        <v>44</v>
      </c>
      <c r="O286" s="383" t="str">
        <f>IF(LEN(SUBSTITUTE(Table3937[[#This Row],[PRIMARY CONTACT]]," ",""))=10,SUBSTITUTE(Table3937[[#This Row],[PRIMARY CONTACT]]," ","") &amp; " - Proper","- Follow Up")</f>
        <v>7777078478 - Proper</v>
      </c>
      <c r="P286" s="383" t="s">
        <v>2780</v>
      </c>
      <c r="Q286" s="383">
        <v>7777078478</v>
      </c>
      <c r="R286" s="383" t="str">
        <f>SUBSTITUTE(Table3937[[#This Row],[whatsapp_number]]," ","")</f>
        <v>7777078478</v>
      </c>
      <c r="S286" s="383" t="str">
        <f>IF(Table3937[[#This Row],[PRIMARY CONTACT]]=Table3937[[#This Row],[WHATSAPP CONTACT]],"Same Contact","Different Contact")</f>
        <v>Same Contact</v>
      </c>
      <c r="T286" s="383" t="str">
        <f>IF(LEN(SUBSTITUTE(Table3937[[#This Row],[PRIMARY CONTACT]]," ",""))=10,SUBSTITUTE(Table3937[[#This Row],[PRIMARY CONTACT]]," ","") &amp; " - Proper","- Follow Up")</f>
        <v>7777078478 - Proper</v>
      </c>
      <c r="U286" s="383" t="s">
        <v>3550</v>
      </c>
      <c r="V286" s="393" t="s">
        <v>2786</v>
      </c>
      <c r="W286" s="383" t="s">
        <v>47</v>
      </c>
      <c r="X286" s="101" t="s">
        <v>49</v>
      </c>
      <c r="Y286" s="5" t="s">
        <v>2164</v>
      </c>
      <c r="Z286" s="5" t="s">
        <v>7773</v>
      </c>
      <c r="AA286" s="101" t="s">
        <v>7774</v>
      </c>
      <c r="AB286" s="383"/>
    </row>
    <row r="287" spans="1:28" ht="14.4">
      <c r="A287" s="387">
        <v>286</v>
      </c>
      <c r="B287" s="294" t="s">
        <v>3621</v>
      </c>
      <c r="C287" s="383" t="s">
        <v>10709</v>
      </c>
      <c r="D287" s="383" t="s">
        <v>10932</v>
      </c>
      <c r="E287" s="383" t="s">
        <v>8864</v>
      </c>
      <c r="F287" s="383">
        <v>865</v>
      </c>
      <c r="G287" s="383" t="s">
        <v>71</v>
      </c>
      <c r="H287" s="383" t="s">
        <v>3547</v>
      </c>
      <c r="I287" s="383" t="s">
        <v>2781</v>
      </c>
      <c r="J287" s="383" t="s">
        <v>3622</v>
      </c>
      <c r="K287" s="383" t="s">
        <v>9525</v>
      </c>
      <c r="L287" s="383" t="s">
        <v>9665</v>
      </c>
      <c r="M287" s="383" t="s">
        <v>10155</v>
      </c>
      <c r="N287" s="29" t="s">
        <v>44</v>
      </c>
      <c r="O287" s="383" t="str">
        <f>IF(LEN(SUBSTITUTE(Table3937[[#This Row],[PRIMARY CONTACT]]," ",""))=10,SUBSTITUTE(Table3937[[#This Row],[PRIMARY CONTACT]]," ","") &amp; " - Proper","- Follow Up")</f>
        <v>7400492872 - Proper</v>
      </c>
      <c r="P287" s="383" t="s">
        <v>2780</v>
      </c>
      <c r="Q287" s="383">
        <v>7400492872</v>
      </c>
      <c r="R287" s="383" t="str">
        <f>SUBSTITUTE(Table3937[[#This Row],[whatsapp_number]]," ","")</f>
        <v>7400492872</v>
      </c>
      <c r="S287" s="383" t="str">
        <f>IF(Table3937[[#This Row],[PRIMARY CONTACT]]=Table3937[[#This Row],[WHATSAPP CONTACT]],"Same Contact","Different Contact")</f>
        <v>Same Contact</v>
      </c>
      <c r="T287" s="383" t="str">
        <f>IF(LEN(SUBSTITUTE(Table3937[[#This Row],[PRIMARY CONTACT]]," ",""))=10,SUBSTITUTE(Table3937[[#This Row],[PRIMARY CONTACT]]," ","") &amp; " - Proper","- Follow Up")</f>
        <v>7400492872 - Proper</v>
      </c>
      <c r="U287" s="383" t="s">
        <v>3550</v>
      </c>
      <c r="V287" s="393" t="s">
        <v>2786</v>
      </c>
      <c r="W287" s="383" t="s">
        <v>47</v>
      </c>
      <c r="X287" s="101" t="s">
        <v>49</v>
      </c>
      <c r="Y287" s="5" t="s">
        <v>2164</v>
      </c>
      <c r="Z287" s="5" t="s">
        <v>7773</v>
      </c>
      <c r="AA287" s="101" t="s">
        <v>7774</v>
      </c>
      <c r="AB287" s="383"/>
    </row>
    <row r="288" spans="1:28" ht="13.8">
      <c r="A288" s="387">
        <v>287</v>
      </c>
      <c r="B288" s="15" t="s">
        <v>759</v>
      </c>
      <c r="C288" s="383" t="s">
        <v>10709</v>
      </c>
      <c r="D288" s="383" t="s">
        <v>760</v>
      </c>
      <c r="E288" s="383" t="s">
        <v>760</v>
      </c>
      <c r="F288" s="383">
        <v>869</v>
      </c>
      <c r="G288" s="383" t="s">
        <v>71</v>
      </c>
      <c r="H288" s="383" t="s">
        <v>71</v>
      </c>
      <c r="I288" s="383" t="s">
        <v>8441</v>
      </c>
      <c r="J288" s="383" t="s">
        <v>764</v>
      </c>
      <c r="K288" s="383" t="s">
        <v>8341</v>
      </c>
      <c r="L288" s="383" t="s">
        <v>8341</v>
      </c>
      <c r="M288" s="383" t="s">
        <v>10156</v>
      </c>
      <c r="N288" s="18" t="s">
        <v>44</v>
      </c>
      <c r="O288" s="383" t="str">
        <f>IF(LEN(SUBSTITUTE(Table3937[[#This Row],[PRIMARY CONTACT]]," ",""))=10,SUBSTITUTE(Table3937[[#This Row],[PRIMARY CONTACT]]," ","") &amp; " - Proper","- Follow Up")</f>
        <v>9987599943 - Proper</v>
      </c>
      <c r="P288" s="383" t="s">
        <v>3100</v>
      </c>
      <c r="Q288" s="383">
        <v>9987599943</v>
      </c>
      <c r="R288" s="383" t="str">
        <f>SUBSTITUTE(Table3937[[#This Row],[whatsapp_number]]," ","")</f>
        <v>9987599943</v>
      </c>
      <c r="S288" s="383" t="str">
        <f>IF(Table3937[[#This Row],[PRIMARY CONTACT]]=Table3937[[#This Row],[WHATSAPP CONTACT]],"Same Contact","Different Contact")</f>
        <v>Same Contact</v>
      </c>
      <c r="T288" s="383" t="str">
        <f>IF(LEN(SUBSTITUTE(Table3937[[#This Row],[PRIMARY CONTACT]]," ",""))=10,SUBSTITUTE(Table3937[[#This Row],[PRIMARY CONTACT]]," ","") &amp; " - Proper","- Follow Up")</f>
        <v>9987599943 - Proper</v>
      </c>
      <c r="U288" s="383" t="s">
        <v>765</v>
      </c>
      <c r="V288" s="383" t="s">
        <v>71</v>
      </c>
      <c r="W288" s="383" t="s">
        <v>47</v>
      </c>
      <c r="X288" s="18" t="s">
        <v>395</v>
      </c>
      <c r="Y288" s="18" t="s">
        <v>395</v>
      </c>
      <c r="Z288" s="18" t="s">
        <v>395</v>
      </c>
      <c r="AA288" s="18" t="s">
        <v>395</v>
      </c>
      <c r="AB288" s="383"/>
    </row>
    <row r="289" spans="1:28" ht="13.8">
      <c r="A289" s="387">
        <v>288</v>
      </c>
      <c r="B289" s="15" t="s">
        <v>766</v>
      </c>
      <c r="C289" s="383" t="s">
        <v>10709</v>
      </c>
      <c r="D289" s="383" t="s">
        <v>767</v>
      </c>
      <c r="E289" s="383" t="s">
        <v>767</v>
      </c>
      <c r="F289" s="383">
        <v>870</v>
      </c>
      <c r="G289" s="383" t="s">
        <v>779</v>
      </c>
      <c r="H289" s="383" t="s">
        <v>780</v>
      </c>
      <c r="I289" s="383" t="s">
        <v>770</v>
      </c>
      <c r="J289" s="383" t="s">
        <v>771</v>
      </c>
      <c r="K289" s="383" t="s">
        <v>772</v>
      </c>
      <c r="L289" s="383" t="s">
        <v>9670</v>
      </c>
      <c r="M289" s="383" t="s">
        <v>10157</v>
      </c>
      <c r="N289" s="18" t="s">
        <v>44</v>
      </c>
      <c r="O289" s="383" t="str">
        <f>IF(LEN(SUBSTITUTE(Table3937[[#This Row],[PRIMARY CONTACT]]," ",""))=10,SUBSTITUTE(Table3937[[#This Row],[PRIMARY CONTACT]]," ","") &amp; " - Proper","- Follow Up")</f>
        <v>9892841461 - Proper</v>
      </c>
      <c r="P289" s="383" t="s">
        <v>3103</v>
      </c>
      <c r="Q289" s="383">
        <v>9892841461</v>
      </c>
      <c r="R289" s="383" t="str">
        <f>SUBSTITUTE(Table3937[[#This Row],[whatsapp_number]]," ","")</f>
        <v>9892841461</v>
      </c>
      <c r="S289" s="383" t="str">
        <f>IF(Table3937[[#This Row],[PRIMARY CONTACT]]=Table3937[[#This Row],[WHATSAPP CONTACT]],"Same Contact","Different Contact")</f>
        <v>Same Contact</v>
      </c>
      <c r="T289" s="383" t="str">
        <f>IF(LEN(SUBSTITUTE(Table3937[[#This Row],[PRIMARY CONTACT]]," ",""))=10,SUBSTITUTE(Table3937[[#This Row],[PRIMARY CONTACT]]," ","") &amp; " - Proper","- Follow Up")</f>
        <v>9892841461 - Proper</v>
      </c>
      <c r="U289" s="383" t="s">
        <v>3104</v>
      </c>
      <c r="V289" s="393" t="s">
        <v>774</v>
      </c>
      <c r="W289" s="383" t="s">
        <v>47</v>
      </c>
      <c r="X289" s="45" t="s">
        <v>49</v>
      </c>
      <c r="Y289" s="45" t="s">
        <v>776</v>
      </c>
      <c r="Z289" s="45" t="s">
        <v>777</v>
      </c>
      <c r="AA289" s="45" t="s">
        <v>778</v>
      </c>
      <c r="AB289" s="383"/>
    </row>
    <row r="290" spans="1:28" ht="13.8">
      <c r="A290" s="387">
        <v>289</v>
      </c>
      <c r="B290" s="15" t="s">
        <v>781</v>
      </c>
      <c r="C290" s="383" t="s">
        <v>10709</v>
      </c>
      <c r="D290" s="383" t="s">
        <v>782</v>
      </c>
      <c r="E290" s="383" t="s">
        <v>782</v>
      </c>
      <c r="F290" s="383">
        <v>871</v>
      </c>
      <c r="G290" s="383" t="s">
        <v>71</v>
      </c>
      <c r="H290" s="383" t="s">
        <v>71</v>
      </c>
      <c r="I290" s="383" t="s">
        <v>8442</v>
      </c>
      <c r="J290" s="383" t="s">
        <v>786</v>
      </c>
      <c r="K290" s="383" t="s">
        <v>787</v>
      </c>
      <c r="L290" s="383" t="s">
        <v>8341</v>
      </c>
      <c r="M290" s="383" t="s">
        <v>10158</v>
      </c>
      <c r="N290" s="18" t="s">
        <v>44</v>
      </c>
      <c r="O290" s="383" t="str">
        <f>IF(LEN(SUBSTITUTE(Table3937[[#This Row],[PRIMARY CONTACT]]," ",""))=10,SUBSTITUTE(Table3937[[#This Row],[PRIMARY CONTACT]]," ","") &amp; " - Proper","- Follow Up")</f>
        <v>9967535390 - Proper</v>
      </c>
      <c r="P290" s="383" t="s">
        <v>3103</v>
      </c>
      <c r="Q290" s="383">
        <v>9967535390</v>
      </c>
      <c r="R290" s="383" t="str">
        <f>SUBSTITUTE(Table3937[[#This Row],[whatsapp_number]]," ","")</f>
        <v>9967535390</v>
      </c>
      <c r="S290" s="383" t="str">
        <f>IF(Table3937[[#This Row],[PRIMARY CONTACT]]=Table3937[[#This Row],[WHATSAPP CONTACT]],"Same Contact","Different Contact")</f>
        <v>Same Contact</v>
      </c>
      <c r="T290" s="383" t="str">
        <f>IF(LEN(SUBSTITUTE(Table3937[[#This Row],[PRIMARY CONTACT]]," ",""))=10,SUBSTITUTE(Table3937[[#This Row],[PRIMARY CONTACT]]," ","") &amp; " - Proper","- Follow Up")</f>
        <v>9967535390 - Proper</v>
      </c>
      <c r="U290" s="383" t="s">
        <v>3106</v>
      </c>
      <c r="V290" s="393" t="s">
        <v>789</v>
      </c>
      <c r="W290" s="383" t="s">
        <v>47</v>
      </c>
      <c r="X290" s="45" t="s">
        <v>791</v>
      </c>
      <c r="Y290" s="45" t="s">
        <v>792</v>
      </c>
      <c r="Z290" s="45" t="s">
        <v>793</v>
      </c>
      <c r="AA290" s="45" t="s">
        <v>794</v>
      </c>
      <c r="AB290" s="383"/>
    </row>
    <row r="291" spans="1:28" ht="13.8">
      <c r="A291" s="387">
        <v>290</v>
      </c>
      <c r="B291" s="15" t="s">
        <v>795</v>
      </c>
      <c r="C291" s="383" t="s">
        <v>10709</v>
      </c>
      <c r="D291" s="383" t="s">
        <v>796</v>
      </c>
      <c r="E291" s="383" t="s">
        <v>796</v>
      </c>
      <c r="F291" s="383">
        <v>872</v>
      </c>
      <c r="G291" s="383" t="s">
        <v>71</v>
      </c>
      <c r="H291" s="383" t="s">
        <v>71</v>
      </c>
      <c r="I291" s="383" t="s">
        <v>8442</v>
      </c>
      <c r="J291" s="383" t="s">
        <v>799</v>
      </c>
      <c r="K291" s="383" t="s">
        <v>9526</v>
      </c>
      <c r="L291" s="383" t="s">
        <v>9671</v>
      </c>
      <c r="M291" s="383" t="s">
        <v>10159</v>
      </c>
      <c r="N291" s="18" t="s">
        <v>44</v>
      </c>
      <c r="O291" s="383" t="str">
        <f>IF(LEN(SUBSTITUTE(Table3937[[#This Row],[PRIMARY CONTACT]]," ",""))=10,SUBSTITUTE(Table3937[[#This Row],[PRIMARY CONTACT]]," ","") &amp; " - Proper","- Follow Up")</f>
        <v>9967535389 - Proper</v>
      </c>
      <c r="P291" s="383" t="s">
        <v>3103</v>
      </c>
      <c r="Q291" s="383">
        <v>9967535389</v>
      </c>
      <c r="R291" s="383" t="str">
        <f>SUBSTITUTE(Table3937[[#This Row],[whatsapp_number]]," ","")</f>
        <v>9967535389</v>
      </c>
      <c r="S291" s="383" t="str">
        <f>IF(Table3937[[#This Row],[PRIMARY CONTACT]]=Table3937[[#This Row],[WHATSAPP CONTACT]],"Same Contact","Different Contact")</f>
        <v>Same Contact</v>
      </c>
      <c r="T291" s="383" t="str">
        <f>IF(LEN(SUBSTITUTE(Table3937[[#This Row],[PRIMARY CONTACT]]," ",""))=10,SUBSTITUTE(Table3937[[#This Row],[PRIMARY CONTACT]]," ","") &amp; " - Proper","- Follow Up")</f>
        <v>9967535389 - Proper</v>
      </c>
      <c r="U291" s="383" t="s">
        <v>3106</v>
      </c>
      <c r="V291" s="393" t="s">
        <v>789</v>
      </c>
      <c r="W291" s="383" t="s">
        <v>47</v>
      </c>
      <c r="X291" s="45" t="s">
        <v>803</v>
      </c>
      <c r="Y291" s="45" t="s">
        <v>792</v>
      </c>
      <c r="Z291" s="45" t="s">
        <v>793</v>
      </c>
      <c r="AA291" s="45" t="s">
        <v>794</v>
      </c>
      <c r="AB291" s="383"/>
    </row>
    <row r="292" spans="1:28" ht="13.8">
      <c r="A292" s="387">
        <v>291</v>
      </c>
      <c r="B292" s="15" t="s">
        <v>804</v>
      </c>
      <c r="C292" s="383" t="s">
        <v>10709</v>
      </c>
      <c r="D292" s="383" t="s">
        <v>10933</v>
      </c>
      <c r="E292" s="383" t="s">
        <v>805</v>
      </c>
      <c r="F292" s="383">
        <v>873</v>
      </c>
      <c r="G292" s="383" t="s">
        <v>71</v>
      </c>
      <c r="H292" s="383" t="s">
        <v>71</v>
      </c>
      <c r="I292" s="383" t="s">
        <v>8443</v>
      </c>
      <c r="J292" s="383" t="s">
        <v>809</v>
      </c>
      <c r="K292" s="383" t="s">
        <v>9527</v>
      </c>
      <c r="L292" s="383" t="s">
        <v>9672</v>
      </c>
      <c r="M292" s="383" t="s">
        <v>10160</v>
      </c>
      <c r="N292" s="18" t="s">
        <v>44</v>
      </c>
      <c r="O292" s="383" t="str">
        <f>IF(LEN(SUBSTITUTE(Table3937[[#This Row],[PRIMARY CONTACT]]," ",""))=10,SUBSTITUTE(Table3937[[#This Row],[PRIMARY CONTACT]]," ","") &amp; " - Proper","- Follow Up")</f>
        <v>8459952541 - Proper</v>
      </c>
      <c r="P292" s="383" t="s">
        <v>3109</v>
      </c>
      <c r="Q292" s="383">
        <v>8459952541</v>
      </c>
      <c r="R292" s="383" t="str">
        <f>SUBSTITUTE(Table3937[[#This Row],[whatsapp_number]]," ","")</f>
        <v>8459952541</v>
      </c>
      <c r="S292" s="383" t="str">
        <f>IF(Table3937[[#This Row],[PRIMARY CONTACT]]=Table3937[[#This Row],[WHATSAPP CONTACT]],"Same Contact","Different Contact")</f>
        <v>Same Contact</v>
      </c>
      <c r="T292" s="383" t="str">
        <f>IF(LEN(SUBSTITUTE(Table3937[[#This Row],[PRIMARY CONTACT]]," ",""))=10,SUBSTITUTE(Table3937[[#This Row],[PRIMARY CONTACT]]," ","") &amp; " - Proper","- Follow Up")</f>
        <v>8459952541 - Proper</v>
      </c>
      <c r="U292" s="383" t="s">
        <v>3110</v>
      </c>
      <c r="V292" s="383" t="s">
        <v>71</v>
      </c>
      <c r="W292" s="383" t="s">
        <v>47</v>
      </c>
      <c r="X292" s="18" t="s">
        <v>395</v>
      </c>
      <c r="Y292" s="18" t="s">
        <v>395</v>
      </c>
      <c r="Z292" s="18" t="s">
        <v>395</v>
      </c>
      <c r="AA292" s="18" t="s">
        <v>395</v>
      </c>
      <c r="AB292" s="383"/>
    </row>
    <row r="293" spans="1:28" ht="16.2">
      <c r="A293" s="387">
        <v>292</v>
      </c>
      <c r="B293" s="15" t="s">
        <v>813</v>
      </c>
      <c r="C293" s="383" t="s">
        <v>10709</v>
      </c>
      <c r="D293" s="383" t="s">
        <v>10934</v>
      </c>
      <c r="E293" s="383" t="s">
        <v>8865</v>
      </c>
      <c r="F293" s="383">
        <v>875</v>
      </c>
      <c r="G293" s="383" t="s">
        <v>71</v>
      </c>
      <c r="H293" s="383" t="s">
        <v>71</v>
      </c>
      <c r="I293" s="383" t="s">
        <v>8444</v>
      </c>
      <c r="J293" s="383" t="s">
        <v>818</v>
      </c>
      <c r="K293" s="383" t="s">
        <v>819</v>
      </c>
      <c r="L293" s="383" t="s">
        <v>9673</v>
      </c>
      <c r="M293" s="383" t="s">
        <v>10161</v>
      </c>
      <c r="N293" s="61">
        <v>8779500452</v>
      </c>
      <c r="O293" s="383" t="str">
        <f>IF(LEN(SUBSTITUTE(Table3937[[#This Row],[PRIMARY CONTACT]]," ",""))=10,SUBSTITUTE(Table3937[[#This Row],[PRIMARY CONTACT]]," ","") &amp; " - Proper","- Follow Up")</f>
        <v>- Follow Up</v>
      </c>
      <c r="P293" s="383" t="s">
        <v>3112</v>
      </c>
      <c r="Q293" s="409">
        <v>920000000000</v>
      </c>
      <c r="R293" s="383" t="str">
        <f>SUBSTITUTE(Table3937[[#This Row],[whatsapp_number]]," ","")</f>
        <v>920000000000</v>
      </c>
      <c r="S293" s="383" t="str">
        <f>IF(Table3937[[#This Row],[PRIMARY CONTACT]]=Table3937[[#This Row],[WHATSAPP CONTACT]],"Same Contact","Different Contact")</f>
        <v>Same Contact</v>
      </c>
      <c r="T293" s="383" t="str">
        <f>IF(LEN(SUBSTITUTE(Table3937[[#This Row],[PRIMARY CONTACT]]," ",""))=10,SUBSTITUTE(Table3937[[#This Row],[PRIMARY CONTACT]]," ","") &amp; " - Proper","- Follow Up")</f>
        <v>- Follow Up</v>
      </c>
      <c r="U293" s="383" t="s">
        <v>3113</v>
      </c>
      <c r="V293" s="393" t="s">
        <v>821</v>
      </c>
      <c r="W293" s="383" t="s">
        <v>47</v>
      </c>
      <c r="X293" s="45" t="s">
        <v>823</v>
      </c>
      <c r="Y293" s="45" t="s">
        <v>824</v>
      </c>
      <c r="Z293" s="45" t="s">
        <v>825</v>
      </c>
      <c r="AA293" s="45" t="s">
        <v>630</v>
      </c>
      <c r="AB293" s="383"/>
    </row>
    <row r="294" spans="1:28" ht="13.8">
      <c r="A294" s="387">
        <v>293</v>
      </c>
      <c r="B294" s="383" t="s">
        <v>10710</v>
      </c>
      <c r="C294" s="383" t="s">
        <v>10710</v>
      </c>
      <c r="D294" s="383" t="s">
        <v>10710</v>
      </c>
      <c r="E294" s="383" t="s">
        <v>8866</v>
      </c>
      <c r="F294" s="383">
        <v>876</v>
      </c>
      <c r="G294" s="383" t="s">
        <v>71</v>
      </c>
      <c r="H294" s="383" t="s">
        <v>2787</v>
      </c>
      <c r="I294" s="383" t="s">
        <v>2782</v>
      </c>
      <c r="J294" s="383" t="s">
        <v>9412</v>
      </c>
      <c r="K294" s="383" t="s">
        <v>2784</v>
      </c>
      <c r="L294" s="383" t="s">
        <v>9665</v>
      </c>
      <c r="M294" s="383" t="s">
        <v>10162</v>
      </c>
      <c r="N294" s="383" t="s">
        <v>44</v>
      </c>
      <c r="O294" s="383" t="str">
        <f>IF(LEN(SUBSTITUTE(Table3937[[#This Row],[PRIMARY CONTACT]]," ",""))=10,SUBSTITUTE(Table3937[[#This Row],[PRIMARY CONTACT]]," ","") &amp; " - Proper","- Follow Up")</f>
        <v>7400480852 - Proper</v>
      </c>
      <c r="P294" s="383" t="s">
        <v>2780</v>
      </c>
      <c r="Q294" s="383">
        <v>7400480852</v>
      </c>
      <c r="R294" s="383" t="str">
        <f>SUBSTITUTE(Table3937[[#This Row],[whatsapp_number]]," ","")</f>
        <v>7400480852</v>
      </c>
      <c r="S294" s="383" t="str">
        <f>IF(Table3937[[#This Row],[PRIMARY CONTACT]]=Table3937[[#This Row],[WHATSAPP CONTACT]],"Same Contact","Different Contact")</f>
        <v>Same Contact</v>
      </c>
      <c r="T294" s="383" t="str">
        <f>IF(LEN(SUBSTITUTE(Table3937[[#This Row],[PRIMARY CONTACT]]," ",""))=10,SUBSTITUTE(Table3937[[#This Row],[PRIMARY CONTACT]]," ","") &amp; " - Proper","- Follow Up")</f>
        <v>7400480852 - Proper</v>
      </c>
      <c r="U294" s="383" t="s">
        <v>3550</v>
      </c>
      <c r="V294" s="393" t="s">
        <v>2786</v>
      </c>
      <c r="W294" s="383" t="s">
        <v>47</v>
      </c>
      <c r="X294" s="383" t="s">
        <v>44</v>
      </c>
      <c r="Y294" s="383" t="s">
        <v>44</v>
      </c>
      <c r="Z294" s="383" t="s">
        <v>44</v>
      </c>
      <c r="AA294" s="383" t="s">
        <v>44</v>
      </c>
      <c r="AB294" s="383"/>
    </row>
    <row r="295" spans="1:28" ht="16.2">
      <c r="A295" s="387">
        <v>294</v>
      </c>
      <c r="B295" s="26" t="s">
        <v>826</v>
      </c>
      <c r="C295" s="383" t="s">
        <v>10709</v>
      </c>
      <c r="D295" s="383" t="s">
        <v>10935</v>
      </c>
      <c r="E295" s="383" t="s">
        <v>8867</v>
      </c>
      <c r="F295" s="383">
        <v>877</v>
      </c>
      <c r="G295" s="383" t="s">
        <v>71</v>
      </c>
      <c r="H295" s="383" t="s">
        <v>839</v>
      </c>
      <c r="I295" s="383" t="s">
        <v>8445</v>
      </c>
      <c r="J295" s="383" t="s">
        <v>831</v>
      </c>
      <c r="K295" s="383" t="s">
        <v>9528</v>
      </c>
      <c r="L295" s="383" t="s">
        <v>9674</v>
      </c>
      <c r="M295" s="383" t="s">
        <v>10163</v>
      </c>
      <c r="N295" s="54">
        <v>9820058563</v>
      </c>
      <c r="O295" s="383" t="str">
        <f>IF(LEN(SUBSTITUTE(Table3937[[#This Row],[PRIMARY CONTACT]]," ",""))=10,SUBSTITUTE(Table3937[[#This Row],[PRIMARY CONTACT]]," ","") &amp; " - Proper","- Follow Up")</f>
        <v>9820562470 - Proper</v>
      </c>
      <c r="P295" s="383" t="s">
        <v>3115</v>
      </c>
      <c r="Q295" s="383">
        <v>9820562470</v>
      </c>
      <c r="R295" s="383" t="str">
        <f>SUBSTITUTE(Table3937[[#This Row],[whatsapp_number]]," ","")</f>
        <v>9820562470</v>
      </c>
      <c r="S295" s="383" t="str">
        <f>IF(Table3937[[#This Row],[PRIMARY CONTACT]]=Table3937[[#This Row],[WHATSAPP CONTACT]],"Same Contact","Different Contact")</f>
        <v>Same Contact</v>
      </c>
      <c r="T295" s="383" t="str">
        <f>IF(LEN(SUBSTITUTE(Table3937[[#This Row],[PRIMARY CONTACT]]," ",""))=10,SUBSTITUTE(Table3937[[#This Row],[PRIMARY CONTACT]]," ","") &amp; " - Proper","- Follow Up")</f>
        <v>9820562470 - Proper</v>
      </c>
      <c r="U295" s="383" t="s">
        <v>10564</v>
      </c>
      <c r="V295" s="383" t="s">
        <v>71</v>
      </c>
      <c r="W295" s="383" t="s">
        <v>47</v>
      </c>
      <c r="X295" s="51" t="s">
        <v>835</v>
      </c>
      <c r="Y295" s="51" t="s">
        <v>836</v>
      </c>
      <c r="Z295" s="51" t="s">
        <v>837</v>
      </c>
      <c r="AA295" s="51" t="s">
        <v>838</v>
      </c>
      <c r="AB295" s="383"/>
    </row>
    <row r="296" spans="1:28" ht="16.2">
      <c r="A296" s="387">
        <v>295</v>
      </c>
      <c r="B296" s="26" t="s">
        <v>841</v>
      </c>
      <c r="C296" s="383" t="s">
        <v>10709</v>
      </c>
      <c r="D296" s="383" t="s">
        <v>10936</v>
      </c>
      <c r="E296" s="383" t="s">
        <v>8868</v>
      </c>
      <c r="F296" s="383">
        <v>878</v>
      </c>
      <c r="G296" s="383" t="s">
        <v>71</v>
      </c>
      <c r="H296" s="383" t="s">
        <v>853</v>
      </c>
      <c r="I296" s="383" t="s">
        <v>845</v>
      </c>
      <c r="J296" s="383" t="s">
        <v>846</v>
      </c>
      <c r="K296" s="383" t="s">
        <v>534</v>
      </c>
      <c r="L296" s="383" t="s">
        <v>9675</v>
      </c>
      <c r="M296" s="383" t="s">
        <v>10164</v>
      </c>
      <c r="N296" s="54">
        <v>7977280660</v>
      </c>
      <c r="O296" s="383" t="str">
        <f>IF(LEN(SUBSTITUTE(Table3937[[#This Row],[PRIMARY CONTACT]]," ",""))=10,SUBSTITUTE(Table3937[[#This Row],[PRIMARY CONTACT]]," ","") &amp; " - Proper","- Follow Up")</f>
        <v>9821558801 - Proper</v>
      </c>
      <c r="P296" s="383" t="s">
        <v>3118</v>
      </c>
      <c r="Q296" s="383">
        <v>9821558801</v>
      </c>
      <c r="R296" s="383" t="str">
        <f>SUBSTITUTE(Table3937[[#This Row],[whatsapp_number]]," ","")</f>
        <v>9821558801</v>
      </c>
      <c r="S296" s="383" t="str">
        <f>IF(Table3937[[#This Row],[PRIMARY CONTACT]]=Table3937[[#This Row],[WHATSAPP CONTACT]],"Same Contact","Different Contact")</f>
        <v>Same Contact</v>
      </c>
      <c r="T296" s="383" t="str">
        <f>IF(LEN(SUBSTITUTE(Table3937[[#This Row],[PRIMARY CONTACT]]," ",""))=10,SUBSTITUTE(Table3937[[#This Row],[PRIMARY CONTACT]]," ","") &amp; " - Proper","- Follow Up")</f>
        <v>9821558801 - Proper</v>
      </c>
      <c r="U296" s="383" t="s">
        <v>10565</v>
      </c>
      <c r="V296" s="393" t="s">
        <v>848</v>
      </c>
      <c r="W296" s="383" t="s">
        <v>47</v>
      </c>
      <c r="X296" s="51" t="s">
        <v>850</v>
      </c>
      <c r="Y296" s="51" t="s">
        <v>49</v>
      </c>
      <c r="Z296" s="51" t="s">
        <v>851</v>
      </c>
      <c r="AA296" s="51" t="s">
        <v>852</v>
      </c>
      <c r="AB296" s="383"/>
    </row>
    <row r="297" spans="1:28" ht="13.8">
      <c r="A297" s="387">
        <v>296</v>
      </c>
      <c r="B297" s="26" t="s">
        <v>860</v>
      </c>
      <c r="C297" s="383" t="s">
        <v>10709</v>
      </c>
      <c r="D297" s="383" t="s">
        <v>10937</v>
      </c>
      <c r="E297" s="383" t="s">
        <v>8869</v>
      </c>
      <c r="F297" s="383">
        <v>879</v>
      </c>
      <c r="G297" s="383" t="s">
        <v>71</v>
      </c>
      <c r="H297" s="383" t="s">
        <v>873</v>
      </c>
      <c r="I297" s="383" t="s">
        <v>877</v>
      </c>
      <c r="J297" s="383" t="s">
        <v>865</v>
      </c>
      <c r="K297" s="383" t="s">
        <v>9529</v>
      </c>
      <c r="L297" s="383" t="s">
        <v>9676</v>
      </c>
      <c r="M297" s="383" t="s">
        <v>10165</v>
      </c>
      <c r="N297" s="29" t="s">
        <v>44</v>
      </c>
      <c r="O297" s="383" t="str">
        <f>IF(LEN(SUBSTITUTE(Table3937[[#This Row],[PRIMARY CONTACT]]," ",""))=10,SUBSTITUTE(Table3937[[#This Row],[PRIMARY CONTACT]]," ","") &amp; " - Proper","- Follow Up")</f>
        <v>9223319777 - Proper</v>
      </c>
      <c r="P297" s="383" t="s">
        <v>3121</v>
      </c>
      <c r="Q297" s="383">
        <v>9223319777</v>
      </c>
      <c r="R297" s="383" t="str">
        <f>SUBSTITUTE(Table3937[[#This Row],[whatsapp_number]]," ","")</f>
        <v>9223319777</v>
      </c>
      <c r="S297" s="383" t="str">
        <f>IF(Table3937[[#This Row],[PRIMARY CONTACT]]=Table3937[[#This Row],[WHATSAPP CONTACT]],"Same Contact","Different Contact")</f>
        <v>Same Contact</v>
      </c>
      <c r="T297" s="383" t="str">
        <f>IF(LEN(SUBSTITUTE(Table3937[[#This Row],[PRIMARY CONTACT]]," ",""))=10,SUBSTITUTE(Table3937[[#This Row],[PRIMARY CONTACT]]," ","") &amp; " - Proper","- Follow Up")</f>
        <v>9223319777 - Proper</v>
      </c>
      <c r="U297" s="383" t="s">
        <v>881</v>
      </c>
      <c r="V297" s="393" t="s">
        <v>880</v>
      </c>
      <c r="W297" s="383" t="s">
        <v>47</v>
      </c>
      <c r="X297" s="51" t="s">
        <v>869</v>
      </c>
      <c r="Y297" s="51" t="s">
        <v>870</v>
      </c>
      <c r="Z297" s="51" t="s">
        <v>871</v>
      </c>
      <c r="AA297" s="51" t="s">
        <v>872</v>
      </c>
      <c r="AB297" s="383"/>
    </row>
    <row r="298" spans="1:28" ht="16.8">
      <c r="A298" s="387">
        <v>297</v>
      </c>
      <c r="B298" s="418" t="s">
        <v>875</v>
      </c>
      <c r="C298" s="383" t="s">
        <v>10709</v>
      </c>
      <c r="D298" s="383" t="str">
        <f>MID([1]!Table3937[[#This Row],[URL]],FIND("_",[1]!Table3937[[#This Row],[URL]])+1,FIND("/",[1]!Table3937[[#This Row],[URL]],FIND("_",[1]!Table3937[[#This Row],[URL]]))-FIND("_",[1]!Table3937[[#This Row],[URL]])-1)</f>
        <v>DEEPAK-VARIYA</v>
      </c>
      <c r="E298" s="383" t="s">
        <v>10938</v>
      </c>
      <c r="F298" s="383">
        <v>880</v>
      </c>
      <c r="G298" s="28" t="s">
        <v>71</v>
      </c>
      <c r="H298" s="28" t="s">
        <v>71</v>
      </c>
      <c r="I298" s="31" t="s">
        <v>877</v>
      </c>
      <c r="J298" s="31" t="s">
        <v>865</v>
      </c>
      <c r="K298" s="31" t="s">
        <v>878</v>
      </c>
      <c r="L298" s="30" t="s">
        <v>879</v>
      </c>
      <c r="M298" s="30">
        <v>9223319777</v>
      </c>
      <c r="N298" s="54">
        <v>9594319777</v>
      </c>
      <c r="O298" s="383" t="str">
        <f>IF(LEN(SUBSTITUTE(Table3937[[#This Row],[PRIMARY CONTACT]]," ",""))=10,SUBSTITUTE(Table3937[[#This Row],[PRIMARY CONTACT]]," ","") &amp; " - Proper","- Follow Up")</f>
        <v>9223319777 - Proper</v>
      </c>
      <c r="P298" s="29" t="s">
        <v>44</v>
      </c>
      <c r="Q298" s="30">
        <v>9223319777</v>
      </c>
      <c r="R298" s="383" t="str">
        <f>SUBSTITUTE(Table3937[[#This Row],[whatsapp_number]]," ","")</f>
        <v>9223319777</v>
      </c>
      <c r="S298" s="383" t="str">
        <f>IF(Table3937[[#This Row],[PRIMARY CONTACT]]=Table3937[[#This Row],[WHATSAPP CONTACT]],"Same Contact","Different Contact")</f>
        <v>Different Contact</v>
      </c>
      <c r="T298" s="383" t="str">
        <f>IF(LEN(SUBSTITUTE(Table3937[[#This Row],[PRIMARY CONTACT]]," ",""))=10,SUBSTITUTE(Table3937[[#This Row],[PRIMARY CONTACT]]," ","") &amp; " - Proper","- Follow Up")</f>
        <v>9223319777 - Proper</v>
      </c>
      <c r="U298" s="62" t="s">
        <v>881</v>
      </c>
      <c r="V298" s="58" t="s">
        <v>880</v>
      </c>
      <c r="W298" s="25" t="s">
        <v>47</v>
      </c>
      <c r="X298" s="51" t="s">
        <v>170</v>
      </c>
      <c r="Y298" s="51" t="s">
        <v>882</v>
      </c>
      <c r="Z298" s="51" t="s">
        <v>883</v>
      </c>
      <c r="AA298" s="51" t="s">
        <v>48</v>
      </c>
      <c r="AB298" s="383"/>
    </row>
    <row r="299" spans="1:28" ht="13.8">
      <c r="A299" s="387">
        <v>298</v>
      </c>
      <c r="B299" s="58" t="s">
        <v>884</v>
      </c>
      <c r="C299" s="383" t="s">
        <v>10709</v>
      </c>
      <c r="D299" s="383" t="s">
        <v>8870</v>
      </c>
      <c r="E299" s="383" t="s">
        <v>8870</v>
      </c>
      <c r="F299" s="383">
        <v>881</v>
      </c>
      <c r="G299" s="383" t="s">
        <v>71</v>
      </c>
      <c r="H299" s="383" t="s">
        <v>71</v>
      </c>
      <c r="I299" s="383" t="s">
        <v>888</v>
      </c>
      <c r="J299" s="383" t="s">
        <v>889</v>
      </c>
      <c r="K299" s="383" t="s">
        <v>9530</v>
      </c>
      <c r="L299" s="383" t="s">
        <v>9676</v>
      </c>
      <c r="M299" s="383" t="s">
        <v>10166</v>
      </c>
      <c r="N299" s="29" t="s">
        <v>44</v>
      </c>
      <c r="O299" s="383" t="str">
        <f>IF(LEN(SUBSTITUTE(Table3937[[#This Row],[PRIMARY CONTACT]]," ",""))=10,SUBSTITUTE(Table3937[[#This Row],[PRIMARY CONTACT]]," ","") &amp; " - Proper","- Follow Up")</f>
        <v>9920966561 - Proper</v>
      </c>
      <c r="P299" s="383" t="s">
        <v>3123</v>
      </c>
      <c r="Q299" s="383">
        <v>9920966561</v>
      </c>
      <c r="R299" s="383" t="str">
        <f>SUBSTITUTE(Table3937[[#This Row],[whatsapp_number]]," ","")</f>
        <v>9920966561</v>
      </c>
      <c r="S299" s="383" t="str">
        <f>IF(Table3937[[#This Row],[PRIMARY CONTACT]]=Table3937[[#This Row],[WHATSAPP CONTACT]],"Same Contact","Different Contact")</f>
        <v>Same Contact</v>
      </c>
      <c r="T299" s="383" t="str">
        <f>IF(LEN(SUBSTITUTE(Table3937[[#This Row],[PRIMARY CONTACT]]," ",""))=10,SUBSTITUTE(Table3937[[#This Row],[PRIMARY CONTACT]]," ","") &amp; " - Proper","- Follow Up")</f>
        <v>9920966561 - Proper</v>
      </c>
      <c r="U299" s="383" t="s">
        <v>8341</v>
      </c>
      <c r="V299" s="383" t="s">
        <v>71</v>
      </c>
      <c r="W299" s="383" t="s">
        <v>47</v>
      </c>
      <c r="X299" s="51" t="s">
        <v>892</v>
      </c>
      <c r="Y299" s="51" t="s">
        <v>49</v>
      </c>
      <c r="Z299" s="51" t="s">
        <v>197</v>
      </c>
      <c r="AA299" s="51" t="s">
        <v>49</v>
      </c>
      <c r="AB299" s="383"/>
    </row>
    <row r="300" spans="1:28" ht="13.8">
      <c r="A300" s="387">
        <v>299</v>
      </c>
      <c r="B300" s="26" t="s">
        <v>895</v>
      </c>
      <c r="C300" s="383" t="s">
        <v>10709</v>
      </c>
      <c r="D300" s="383" t="s">
        <v>10939</v>
      </c>
      <c r="E300" s="383" t="s">
        <v>8871</v>
      </c>
      <c r="F300" s="383">
        <v>882</v>
      </c>
      <c r="G300" s="383" t="s">
        <v>893</v>
      </c>
      <c r="H300" s="383" t="s">
        <v>894</v>
      </c>
      <c r="I300" s="383" t="s">
        <v>899</v>
      </c>
      <c r="J300" s="383" t="s">
        <v>900</v>
      </c>
      <c r="K300" s="383" t="s">
        <v>345</v>
      </c>
      <c r="L300" s="383" t="s">
        <v>9677</v>
      </c>
      <c r="M300" s="383" t="s">
        <v>10167</v>
      </c>
      <c r="N300" s="29" t="s">
        <v>44</v>
      </c>
      <c r="O300" s="383" t="str">
        <f>IF(LEN(SUBSTITUTE(Table3937[[#This Row],[PRIMARY CONTACT]]," ",""))=10,SUBSTITUTE(Table3937[[#This Row],[PRIMARY CONTACT]]," ","") &amp; " - Proper","- Follow Up")</f>
        <v>9137509343 - Proper</v>
      </c>
      <c r="P300" s="383" t="s">
        <v>3126</v>
      </c>
      <c r="Q300" s="383">
        <v>9137509343</v>
      </c>
      <c r="R300" s="383" t="str">
        <f>SUBSTITUTE(Table3937[[#This Row],[whatsapp_number]]," ","")</f>
        <v>9137509343</v>
      </c>
      <c r="S300" s="383" t="str">
        <f>IF(Table3937[[#This Row],[PRIMARY CONTACT]]=Table3937[[#This Row],[WHATSAPP CONTACT]],"Same Contact","Different Contact")</f>
        <v>Same Contact</v>
      </c>
      <c r="T300" s="383" t="str">
        <f>IF(LEN(SUBSTITUTE(Table3937[[#This Row],[PRIMARY CONTACT]]," ",""))=10,SUBSTITUTE(Table3937[[#This Row],[PRIMARY CONTACT]]," ","") &amp; " - Proper","- Follow Up")</f>
        <v>9137509343 - Proper</v>
      </c>
      <c r="U300" s="383" t="s">
        <v>10566</v>
      </c>
      <c r="V300" s="393" t="s">
        <v>902</v>
      </c>
      <c r="W300" s="383" t="s">
        <v>47</v>
      </c>
      <c r="X300" s="51" t="s">
        <v>904</v>
      </c>
      <c r="Y300" s="51" t="s">
        <v>905</v>
      </c>
      <c r="Z300" s="51" t="s">
        <v>906</v>
      </c>
      <c r="AA300" s="51" t="s">
        <v>907</v>
      </c>
      <c r="AB300" s="383"/>
    </row>
    <row r="301" spans="1:28" ht="13.8">
      <c r="A301" s="387">
        <v>300</v>
      </c>
      <c r="B301" s="26" t="s">
        <v>909</v>
      </c>
      <c r="C301" s="383" t="s">
        <v>10709</v>
      </c>
      <c r="D301" s="383" t="s">
        <v>10721</v>
      </c>
      <c r="E301" s="383" t="s">
        <v>8872</v>
      </c>
      <c r="F301" s="383">
        <v>884</v>
      </c>
      <c r="G301" s="383" t="s">
        <v>908</v>
      </c>
      <c r="H301" s="383" t="s">
        <v>71</v>
      </c>
      <c r="I301" s="383" t="s">
        <v>913</v>
      </c>
      <c r="J301" s="383" t="s">
        <v>3128</v>
      </c>
      <c r="K301" s="383" t="s">
        <v>534</v>
      </c>
      <c r="L301" s="383" t="s">
        <v>9678</v>
      </c>
      <c r="M301" s="383" t="s">
        <v>10168</v>
      </c>
      <c r="N301" s="29" t="s">
        <v>44</v>
      </c>
      <c r="O301" s="383" t="str">
        <f>IF(LEN(SUBSTITUTE(Table3937[[#This Row],[PRIMARY CONTACT]]," ",""))=10,SUBSTITUTE(Table3937[[#This Row],[PRIMARY CONTACT]]," ","") &amp; " - Proper","- Follow Up")</f>
        <v>7276787924 - Proper</v>
      </c>
      <c r="P301" s="383" t="s">
        <v>3129</v>
      </c>
      <c r="Q301" s="383">
        <v>7276787924</v>
      </c>
      <c r="R301" s="383" t="str">
        <f>SUBSTITUTE(Table3937[[#This Row],[whatsapp_number]]," ","")</f>
        <v>7276787924</v>
      </c>
      <c r="S301" s="383" t="str">
        <f>IF(Table3937[[#This Row],[PRIMARY CONTACT]]=Table3937[[#This Row],[WHATSAPP CONTACT]],"Same Contact","Different Contact")</f>
        <v>Same Contact</v>
      </c>
      <c r="T301" s="383" t="str">
        <f>IF(LEN(SUBSTITUTE(Table3937[[#This Row],[PRIMARY CONTACT]]," ",""))=10,SUBSTITUTE(Table3937[[#This Row],[PRIMARY CONTACT]]," ","") &amp; " - Proper","- Follow Up")</f>
        <v>7276787924 - Proper</v>
      </c>
      <c r="U301" s="383" t="s">
        <v>3057</v>
      </c>
      <c r="V301" s="393" t="s">
        <v>917</v>
      </c>
      <c r="W301" s="383" t="s">
        <v>47</v>
      </c>
      <c r="X301" s="51" t="s">
        <v>918</v>
      </c>
      <c r="Y301" s="51" t="s">
        <v>919</v>
      </c>
      <c r="Z301" s="51" t="s">
        <v>920</v>
      </c>
      <c r="AA301" s="51" t="s">
        <v>48</v>
      </c>
      <c r="AB301" s="383"/>
    </row>
    <row r="302" spans="1:28" ht="13.8">
      <c r="A302" s="387">
        <v>301</v>
      </c>
      <c r="B302" s="26" t="s">
        <v>923</v>
      </c>
      <c r="C302" s="383" t="s">
        <v>10709</v>
      </c>
      <c r="D302" s="383" t="s">
        <v>10942</v>
      </c>
      <c r="E302" s="383" t="s">
        <v>8873</v>
      </c>
      <c r="F302" s="383">
        <v>886</v>
      </c>
      <c r="G302" s="383" t="s">
        <v>71</v>
      </c>
      <c r="H302" s="383" t="s">
        <v>921</v>
      </c>
      <c r="I302" s="383" t="s">
        <v>927</v>
      </c>
      <c r="J302" s="383" t="s">
        <v>928</v>
      </c>
      <c r="K302" s="383" t="s">
        <v>9531</v>
      </c>
      <c r="L302" s="383" t="s">
        <v>9676</v>
      </c>
      <c r="M302" s="383" t="s">
        <v>10169</v>
      </c>
      <c r="N302" s="29" t="s">
        <v>44</v>
      </c>
      <c r="O302" s="383" t="str">
        <f>IF(LEN(SUBSTITUTE(Table3937[[#This Row],[PRIMARY CONTACT]]," ",""))=10,SUBSTITUTE(Table3937[[#This Row],[PRIMARY CONTACT]]," ","") &amp; " - Proper","- Follow Up")</f>
        <v>9833267644 - Proper</v>
      </c>
      <c r="P302" s="383" t="s">
        <v>3131</v>
      </c>
      <c r="Q302" s="383">
        <v>9833267644</v>
      </c>
      <c r="R302" s="383" t="str">
        <f>SUBSTITUTE(Table3937[[#This Row],[whatsapp_number]]," ","")</f>
        <v>9833267644</v>
      </c>
      <c r="S302" s="383" t="str">
        <f>IF(Table3937[[#This Row],[PRIMARY CONTACT]]=Table3937[[#This Row],[WHATSAPP CONTACT]],"Same Contact","Different Contact")</f>
        <v>Same Contact</v>
      </c>
      <c r="T302" s="383" t="str">
        <f>IF(LEN(SUBSTITUTE(Table3937[[#This Row],[PRIMARY CONTACT]]," ",""))=10,SUBSTITUTE(Table3937[[#This Row],[PRIMARY CONTACT]]," ","") &amp; " - Proper","- Follow Up")</f>
        <v>9833267644 - Proper</v>
      </c>
      <c r="U302" s="383" t="s">
        <v>3057</v>
      </c>
      <c r="V302" s="383" t="s">
        <v>71</v>
      </c>
      <c r="W302" s="383" t="s">
        <v>47</v>
      </c>
      <c r="X302" s="51" t="s">
        <v>930</v>
      </c>
      <c r="Y302" s="51" t="s">
        <v>931</v>
      </c>
      <c r="Z302" s="51" t="s">
        <v>197</v>
      </c>
      <c r="AA302" s="51" t="s">
        <v>49</v>
      </c>
      <c r="AB302" s="383"/>
    </row>
    <row r="303" spans="1:28" ht="13.8">
      <c r="A303" s="387">
        <v>302</v>
      </c>
      <c r="B303" s="26" t="s">
        <v>933</v>
      </c>
      <c r="C303" s="383" t="s">
        <v>10709</v>
      </c>
      <c r="D303" s="383" t="s">
        <v>10943</v>
      </c>
      <c r="E303" s="383" t="s">
        <v>8874</v>
      </c>
      <c r="F303" s="383">
        <v>887</v>
      </c>
      <c r="G303" s="383" t="s">
        <v>71</v>
      </c>
      <c r="H303" s="383" t="s">
        <v>932</v>
      </c>
      <c r="I303" s="383" t="s">
        <v>927</v>
      </c>
      <c r="J303" s="383" t="s">
        <v>937</v>
      </c>
      <c r="K303" s="383" t="s">
        <v>9531</v>
      </c>
      <c r="L303" s="383" t="s">
        <v>9679</v>
      </c>
      <c r="M303" s="383" t="s">
        <v>10170</v>
      </c>
      <c r="N303" s="29" t="s">
        <v>44</v>
      </c>
      <c r="O303" s="383" t="str">
        <f>IF(LEN(SUBSTITUTE(Table3937[[#This Row],[PRIMARY CONTACT]]," ",""))=10,SUBSTITUTE(Table3937[[#This Row],[PRIMARY CONTACT]]," ","") &amp; " - Proper","- Follow Up")</f>
        <v>9769640262 - Proper</v>
      </c>
      <c r="P303" s="383" t="s">
        <v>3131</v>
      </c>
      <c r="Q303" s="383">
        <v>9769640262</v>
      </c>
      <c r="R303" s="383" t="str">
        <f>SUBSTITUTE(Table3937[[#This Row],[whatsapp_number]]," ","")</f>
        <v>9769640262</v>
      </c>
      <c r="S303" s="383" t="str">
        <f>IF(Table3937[[#This Row],[PRIMARY CONTACT]]=Table3937[[#This Row],[WHATSAPP CONTACT]],"Same Contact","Different Contact")</f>
        <v>Same Contact</v>
      </c>
      <c r="T303" s="383" t="str">
        <f>IF(LEN(SUBSTITUTE(Table3937[[#This Row],[PRIMARY CONTACT]]," ",""))=10,SUBSTITUTE(Table3937[[#This Row],[PRIMARY CONTACT]]," ","") &amp; " - Proper","- Follow Up")</f>
        <v>9769640262 - Proper</v>
      </c>
      <c r="U303" s="383" t="s">
        <v>3057</v>
      </c>
      <c r="V303" s="383" t="s">
        <v>71</v>
      </c>
      <c r="W303" s="383" t="s">
        <v>47</v>
      </c>
      <c r="X303" s="51" t="s">
        <v>938</v>
      </c>
      <c r="Y303" s="51" t="s">
        <v>939</v>
      </c>
      <c r="Z303" s="51" t="s">
        <v>699</v>
      </c>
      <c r="AA303" s="51" t="s">
        <v>301</v>
      </c>
      <c r="AB303" s="383"/>
    </row>
    <row r="304" spans="1:28" ht="15">
      <c r="A304" s="387">
        <v>303</v>
      </c>
      <c r="B304" s="26" t="s">
        <v>943</v>
      </c>
      <c r="C304" s="383" t="s">
        <v>10709</v>
      </c>
      <c r="D304" s="383" t="s">
        <v>8875</v>
      </c>
      <c r="E304" s="383" t="s">
        <v>8875</v>
      </c>
      <c r="F304" s="383">
        <v>889</v>
      </c>
      <c r="G304" s="383" t="s">
        <v>940</v>
      </c>
      <c r="H304" s="383" t="s">
        <v>941</v>
      </c>
      <c r="I304" s="383" t="s">
        <v>8446</v>
      </c>
      <c r="J304" s="383" t="s">
        <v>948</v>
      </c>
      <c r="K304" s="383" t="s">
        <v>207</v>
      </c>
      <c r="L304" s="383" t="s">
        <v>9680</v>
      </c>
      <c r="M304" s="383" t="s">
        <v>10171</v>
      </c>
      <c r="N304" s="89">
        <v>9956282828</v>
      </c>
      <c r="O304" s="383" t="str">
        <f>IF(LEN(SUBSTITUTE(Table3937[[#This Row],[PRIMARY CONTACT]]," ",""))=10,SUBSTITUTE(Table3937[[#This Row],[PRIMARY CONTACT]]," ","") &amp; " - Proper","- Follow Up")</f>
        <v>- Follow Up</v>
      </c>
      <c r="P304" s="383" t="s">
        <v>3135</v>
      </c>
      <c r="Q304" s="383">
        <v>71589616375</v>
      </c>
      <c r="R304" s="383" t="str">
        <f>SUBSTITUTE(Table3937[[#This Row],[whatsapp_number]]," ","")</f>
        <v>71589616375</v>
      </c>
      <c r="S304" s="383" t="str">
        <f>IF(Table3937[[#This Row],[PRIMARY CONTACT]]=Table3937[[#This Row],[WHATSAPP CONTACT]],"Same Contact","Different Contact")</f>
        <v>Same Contact</v>
      </c>
      <c r="T304" s="383" t="str">
        <f>IF(LEN(SUBSTITUTE(Table3937[[#This Row],[PRIMARY CONTACT]]," ",""))=10,SUBSTITUTE(Table3937[[#This Row],[PRIMARY CONTACT]]," ","") &amp; " - Proper","- Follow Up")</f>
        <v>- Follow Up</v>
      </c>
      <c r="U304" s="383" t="s">
        <v>10567</v>
      </c>
      <c r="V304" s="393" t="s">
        <v>3137</v>
      </c>
      <c r="W304" s="383" t="s">
        <v>47</v>
      </c>
      <c r="X304" s="51" t="s">
        <v>170</v>
      </c>
      <c r="Y304" s="51" t="s">
        <v>950</v>
      </c>
      <c r="Z304" s="51" t="s">
        <v>197</v>
      </c>
      <c r="AA304" s="51" t="s">
        <v>49</v>
      </c>
      <c r="AB304" s="383"/>
    </row>
    <row r="305" spans="1:28" ht="16.2">
      <c r="A305" s="387">
        <v>304</v>
      </c>
      <c r="B305" s="26" t="s">
        <v>953</v>
      </c>
      <c r="C305" s="383" t="s">
        <v>10709</v>
      </c>
      <c r="D305" s="383" t="s">
        <v>10944</v>
      </c>
      <c r="E305" s="383" t="s">
        <v>8876</v>
      </c>
      <c r="F305" s="383">
        <v>892</v>
      </c>
      <c r="G305" s="383" t="s">
        <v>951</v>
      </c>
      <c r="H305" s="383" t="s">
        <v>952</v>
      </c>
      <c r="I305" s="383" t="s">
        <v>8447</v>
      </c>
      <c r="J305" s="383" t="s">
        <v>958</v>
      </c>
      <c r="K305" s="383" t="s">
        <v>959</v>
      </c>
      <c r="L305" s="383" t="s">
        <v>9681</v>
      </c>
      <c r="M305" s="383" t="s">
        <v>10172</v>
      </c>
      <c r="N305" s="54">
        <v>9833003609</v>
      </c>
      <c r="O305" s="383" t="str">
        <f>IF(LEN(SUBSTITUTE(Table3937[[#This Row],[PRIMARY CONTACT]]," ",""))=10,SUBSTITUTE(Table3937[[#This Row],[PRIMARY CONTACT]]," ","") &amp; " - Proper","- Follow Up")</f>
        <v>9082114554 - Proper</v>
      </c>
      <c r="P305" s="383" t="s">
        <v>3139</v>
      </c>
      <c r="Q305" s="383">
        <v>9082114554</v>
      </c>
      <c r="R305" s="383" t="str">
        <f>SUBSTITUTE(Table3937[[#This Row],[whatsapp_number]]," ","")</f>
        <v>9082114554</v>
      </c>
      <c r="S305" s="383" t="str">
        <f>IF(Table3937[[#This Row],[PRIMARY CONTACT]]=Table3937[[#This Row],[WHATSAPP CONTACT]],"Same Contact","Different Contact")</f>
        <v>Same Contact</v>
      </c>
      <c r="T305" s="383" t="str">
        <f>IF(LEN(SUBSTITUTE(Table3937[[#This Row],[PRIMARY CONTACT]]," ",""))=10,SUBSTITUTE(Table3937[[#This Row],[PRIMARY CONTACT]]," ","") &amp; " - Proper","- Follow Up")</f>
        <v>9082114554 - Proper</v>
      </c>
      <c r="U305" s="383" t="s">
        <v>3140</v>
      </c>
      <c r="V305" s="383" t="s">
        <v>71</v>
      </c>
      <c r="W305" s="383" t="s">
        <v>47</v>
      </c>
      <c r="X305" s="51" t="s">
        <v>170</v>
      </c>
      <c r="Y305" s="51" t="s">
        <v>49</v>
      </c>
      <c r="Z305" s="51" t="s">
        <v>962</v>
      </c>
      <c r="AA305" s="51" t="s">
        <v>963</v>
      </c>
      <c r="AB305" s="383"/>
    </row>
    <row r="306" spans="1:28" ht="13.8">
      <c r="A306" s="387">
        <v>305</v>
      </c>
      <c r="B306" s="26" t="s">
        <v>965</v>
      </c>
      <c r="C306" s="383" t="s">
        <v>10709</v>
      </c>
      <c r="D306" s="383" t="s">
        <v>8877</v>
      </c>
      <c r="E306" s="383" t="s">
        <v>8877</v>
      </c>
      <c r="F306" s="383">
        <v>893</v>
      </c>
      <c r="G306" s="383" t="s">
        <v>71</v>
      </c>
      <c r="H306" s="383" t="s">
        <v>964</v>
      </c>
      <c r="I306" s="383" t="s">
        <v>968</v>
      </c>
      <c r="J306" s="383" t="s">
        <v>968</v>
      </c>
      <c r="K306" s="383" t="s">
        <v>969</v>
      </c>
      <c r="L306" s="383" t="s">
        <v>9682</v>
      </c>
      <c r="M306" s="383" t="s">
        <v>10173</v>
      </c>
      <c r="N306" s="29" t="s">
        <v>44</v>
      </c>
      <c r="O306" s="383" t="str">
        <f>IF(LEN(SUBSTITUTE(Table3937[[#This Row],[PRIMARY CONTACT]]," ",""))=10,SUBSTITUTE(Table3937[[#This Row],[PRIMARY CONTACT]]," ","") &amp; " - Proper","- Follow Up")</f>
        <v>9619066672 - Proper</v>
      </c>
      <c r="P306" s="383" t="s">
        <v>3143</v>
      </c>
      <c r="Q306" s="383">
        <v>9619066672</v>
      </c>
      <c r="R306" s="383" t="str">
        <f>SUBSTITUTE(Table3937[[#This Row],[whatsapp_number]]," ","")</f>
        <v>9619066672</v>
      </c>
      <c r="S306" s="383" t="str">
        <f>IF(Table3937[[#This Row],[PRIMARY CONTACT]]=Table3937[[#This Row],[WHATSAPP CONTACT]],"Same Contact","Different Contact")</f>
        <v>Same Contact</v>
      </c>
      <c r="T306" s="383" t="str">
        <f>IF(LEN(SUBSTITUTE(Table3937[[#This Row],[PRIMARY CONTACT]]," ",""))=10,SUBSTITUTE(Table3937[[#This Row],[PRIMARY CONTACT]]," ","") &amp; " - Proper","- Follow Up")</f>
        <v>9619066672 - Proper</v>
      </c>
      <c r="U306" s="383" t="s">
        <v>10568</v>
      </c>
      <c r="V306" s="393" t="s">
        <v>971</v>
      </c>
      <c r="W306" s="383" t="s">
        <v>47</v>
      </c>
      <c r="X306" s="51" t="s">
        <v>973</v>
      </c>
      <c r="Y306" s="51" t="s">
        <v>974</v>
      </c>
      <c r="Z306" s="51" t="s">
        <v>975</v>
      </c>
      <c r="AA306" s="51" t="s">
        <v>976</v>
      </c>
      <c r="AB306" s="383"/>
    </row>
    <row r="307" spans="1:28" ht="16.2">
      <c r="A307" s="387">
        <v>306</v>
      </c>
      <c r="B307" s="26" t="s">
        <v>978</v>
      </c>
      <c r="C307" s="383" t="s">
        <v>10709</v>
      </c>
      <c r="D307" s="383" t="s">
        <v>10945</v>
      </c>
      <c r="E307" s="383" t="s">
        <v>8878</v>
      </c>
      <c r="F307" s="383">
        <v>894</v>
      </c>
      <c r="G307" s="383" t="s">
        <v>71</v>
      </c>
      <c r="H307" s="383" t="s">
        <v>977</v>
      </c>
      <c r="I307" s="383" t="s">
        <v>982</v>
      </c>
      <c r="J307" s="383" t="s">
        <v>983</v>
      </c>
      <c r="K307" s="383" t="s">
        <v>9532</v>
      </c>
      <c r="L307" s="383" t="s">
        <v>9683</v>
      </c>
      <c r="M307" s="383" t="s">
        <v>10174</v>
      </c>
      <c r="N307" s="54">
        <v>9820374521</v>
      </c>
      <c r="O307" s="383" t="str">
        <f>IF(LEN(SUBSTITUTE(Table3937[[#This Row],[PRIMARY CONTACT]]," ",""))=10,SUBSTITUTE(Table3937[[#This Row],[PRIMARY CONTACT]]," ","") &amp; " - Proper","- Follow Up")</f>
        <v>9892770777 - Proper</v>
      </c>
      <c r="P307" s="383" t="s">
        <v>3146</v>
      </c>
      <c r="Q307" s="383">
        <v>9892770777</v>
      </c>
      <c r="R307" s="383" t="str">
        <f>SUBSTITUTE(Table3937[[#This Row],[whatsapp_number]]," ","")</f>
        <v>9892770777</v>
      </c>
      <c r="S307" s="383" t="str">
        <f>IF(Table3937[[#This Row],[PRIMARY CONTACT]]=Table3937[[#This Row],[WHATSAPP CONTACT]],"Same Contact","Different Contact")</f>
        <v>Same Contact</v>
      </c>
      <c r="T307" s="383" t="str">
        <f>IF(LEN(SUBSTITUTE(Table3937[[#This Row],[PRIMARY CONTACT]]," ",""))=10,SUBSTITUTE(Table3937[[#This Row],[PRIMARY CONTACT]]," ","") &amp; " - Proper","- Follow Up")</f>
        <v>9892770777 - Proper</v>
      </c>
      <c r="U307" s="383" t="s">
        <v>10569</v>
      </c>
      <c r="V307" s="393" t="s">
        <v>986</v>
      </c>
      <c r="W307" s="383" t="s">
        <v>47</v>
      </c>
      <c r="X307" s="51" t="s">
        <v>988</v>
      </c>
      <c r="Y307" s="51" t="s">
        <v>49</v>
      </c>
      <c r="Z307" s="51" t="s">
        <v>989</v>
      </c>
      <c r="AA307" s="51" t="s">
        <v>990</v>
      </c>
      <c r="AB307" s="383"/>
    </row>
    <row r="308" spans="1:28" ht="16.2">
      <c r="A308" s="387">
        <v>307</v>
      </c>
      <c r="B308" s="26" t="s">
        <v>992</v>
      </c>
      <c r="C308" s="383" t="s">
        <v>10709</v>
      </c>
      <c r="D308" s="383" t="s">
        <v>8879</v>
      </c>
      <c r="E308" s="383" t="s">
        <v>8879</v>
      </c>
      <c r="F308" s="383">
        <v>895</v>
      </c>
      <c r="G308" s="383" t="s">
        <v>71</v>
      </c>
      <c r="H308" s="383" t="s">
        <v>991</v>
      </c>
      <c r="I308" s="383" t="s">
        <v>996</v>
      </c>
      <c r="J308" s="383" t="s">
        <v>997</v>
      </c>
      <c r="K308" s="383" t="s">
        <v>998</v>
      </c>
      <c r="L308" s="383" t="s">
        <v>9684</v>
      </c>
      <c r="M308" s="383" t="s">
        <v>10175</v>
      </c>
      <c r="N308" s="54">
        <v>9820179271</v>
      </c>
      <c r="O308" s="383" t="str">
        <f>IF(LEN(SUBSTITUTE(Table3937[[#This Row],[PRIMARY CONTACT]]," ",""))=10,SUBSTITUTE(Table3937[[#This Row],[PRIMARY CONTACT]]," ","") &amp; " - Proper","- Follow Up")</f>
        <v>- Follow Up</v>
      </c>
      <c r="P308" s="383" t="s">
        <v>3149</v>
      </c>
      <c r="Q308" s="383">
        <v>771804071</v>
      </c>
      <c r="R308" s="383" t="str">
        <f>SUBSTITUTE(Table3937[[#This Row],[whatsapp_number]]," ","")</f>
        <v>771804071</v>
      </c>
      <c r="S308" s="383" t="str">
        <f>IF(Table3937[[#This Row],[PRIMARY CONTACT]]=Table3937[[#This Row],[WHATSAPP CONTACT]],"Same Contact","Different Contact")</f>
        <v>Same Contact</v>
      </c>
      <c r="T308" s="383" t="str">
        <f>IF(LEN(SUBSTITUTE(Table3937[[#This Row],[PRIMARY CONTACT]]," ",""))=10,SUBSTITUTE(Table3937[[#This Row],[PRIMARY CONTACT]]," ","") &amp; " - Proper","- Follow Up")</f>
        <v>- Follow Up</v>
      </c>
      <c r="U308" s="383" t="s">
        <v>2953</v>
      </c>
      <c r="V308" s="383" t="s">
        <v>71</v>
      </c>
      <c r="W308" s="383" t="s">
        <v>47</v>
      </c>
      <c r="X308" s="51" t="s">
        <v>1000</v>
      </c>
      <c r="Y308" s="51" t="s">
        <v>49</v>
      </c>
      <c r="Z308" s="51" t="s">
        <v>671</v>
      </c>
      <c r="AA308" s="51" t="s">
        <v>1001</v>
      </c>
      <c r="AB308" s="383"/>
    </row>
    <row r="309" spans="1:28" ht="16.2">
      <c r="A309" s="387">
        <v>308</v>
      </c>
      <c r="B309" s="26" t="s">
        <v>1003</v>
      </c>
      <c r="C309" s="383" t="s">
        <v>10709</v>
      </c>
      <c r="D309" s="383" t="s">
        <v>10948</v>
      </c>
      <c r="E309" s="383" t="s">
        <v>8880</v>
      </c>
      <c r="F309" s="383">
        <v>898</v>
      </c>
      <c r="G309" s="383" t="s">
        <v>71</v>
      </c>
      <c r="H309" s="383" t="s">
        <v>1002</v>
      </c>
      <c r="I309" s="383" t="s">
        <v>1007</v>
      </c>
      <c r="J309" s="383" t="s">
        <v>1008</v>
      </c>
      <c r="K309" s="383" t="s">
        <v>1009</v>
      </c>
      <c r="L309" s="383" t="s">
        <v>9685</v>
      </c>
      <c r="M309" s="383" t="s">
        <v>10176</v>
      </c>
      <c r="N309" s="54">
        <v>7506608316</v>
      </c>
      <c r="O309" s="383" t="str">
        <f>IF(LEN(SUBSTITUTE(Table3937[[#This Row],[PRIMARY CONTACT]]," ",""))=10,SUBSTITUTE(Table3937[[#This Row],[PRIMARY CONTACT]]," ","") &amp; " - Proper","- Follow Up")</f>
        <v>7506608316 - Proper</v>
      </c>
      <c r="P309" s="383" t="s">
        <v>3151</v>
      </c>
      <c r="Q309" s="383">
        <v>7506608316</v>
      </c>
      <c r="R309" s="383" t="str">
        <f>SUBSTITUTE(Table3937[[#This Row],[whatsapp_number]]," ","")</f>
        <v>7506608316</v>
      </c>
      <c r="S309" s="383" t="str">
        <f>IF(Table3937[[#This Row],[PRIMARY CONTACT]]=Table3937[[#This Row],[WHATSAPP CONTACT]],"Same Contact","Different Contact")</f>
        <v>Same Contact</v>
      </c>
      <c r="T309" s="383" t="str">
        <f>IF(LEN(SUBSTITUTE(Table3937[[#This Row],[PRIMARY CONTACT]]," ",""))=10,SUBSTITUTE(Table3937[[#This Row],[PRIMARY CONTACT]]," ","") &amp; " - Proper","- Follow Up")</f>
        <v>7506608316 - Proper</v>
      </c>
      <c r="U309" s="383" t="s">
        <v>2953</v>
      </c>
      <c r="V309" s="383" t="s">
        <v>71</v>
      </c>
      <c r="W309" s="383" t="s">
        <v>47</v>
      </c>
      <c r="X309" s="51" t="s">
        <v>170</v>
      </c>
      <c r="Y309" s="51" t="s">
        <v>1011</v>
      </c>
      <c r="Z309" s="51" t="s">
        <v>1012</v>
      </c>
      <c r="AA309" s="51" t="s">
        <v>93</v>
      </c>
      <c r="AB309" s="383"/>
    </row>
    <row r="310" spans="1:28" ht="13.8">
      <c r="A310" s="387">
        <v>309</v>
      </c>
      <c r="B310" s="26" t="s">
        <v>1014</v>
      </c>
      <c r="C310" s="383" t="s">
        <v>10709</v>
      </c>
      <c r="D310" s="383" t="s">
        <v>10947</v>
      </c>
      <c r="E310" s="383" t="s">
        <v>8881</v>
      </c>
      <c r="F310" s="383">
        <v>899</v>
      </c>
      <c r="G310" s="383" t="s">
        <v>71</v>
      </c>
      <c r="H310" s="383" t="s">
        <v>1013</v>
      </c>
      <c r="I310" s="383" t="s">
        <v>1018</v>
      </c>
      <c r="J310" s="383" t="s">
        <v>1019</v>
      </c>
      <c r="K310" s="383" t="s">
        <v>1020</v>
      </c>
      <c r="L310" s="383" t="s">
        <v>9686</v>
      </c>
      <c r="M310" s="383" t="s">
        <v>10177</v>
      </c>
      <c r="N310" s="29" t="s">
        <v>44</v>
      </c>
      <c r="O310" s="383" t="str">
        <f>IF(LEN(SUBSTITUTE(Table3937[[#This Row],[PRIMARY CONTACT]]," ",""))=10,SUBSTITUTE(Table3937[[#This Row],[PRIMARY CONTACT]]," ","") &amp; " - Proper","- Follow Up")</f>
        <v>9833664646 - Proper</v>
      </c>
      <c r="P310" s="383" t="s">
        <v>3153</v>
      </c>
      <c r="Q310" s="383">
        <v>9833664646</v>
      </c>
      <c r="R310" s="383" t="str">
        <f>SUBSTITUTE(Table3937[[#This Row],[whatsapp_number]]," ","")</f>
        <v>9833664646</v>
      </c>
      <c r="S310" s="383" t="str">
        <f>IF(Table3937[[#This Row],[PRIMARY CONTACT]]=Table3937[[#This Row],[WHATSAPP CONTACT]],"Same Contact","Different Contact")</f>
        <v>Same Contact</v>
      </c>
      <c r="T310" s="383" t="str">
        <f>IF(LEN(SUBSTITUTE(Table3937[[#This Row],[PRIMARY CONTACT]]," ",""))=10,SUBSTITUTE(Table3937[[#This Row],[PRIMARY CONTACT]]," ","") &amp; " - Proper","- Follow Up")</f>
        <v>9833664646 - Proper</v>
      </c>
      <c r="U310" s="383" t="s">
        <v>10570</v>
      </c>
      <c r="V310" s="393" t="s">
        <v>1022</v>
      </c>
      <c r="W310" s="383" t="s">
        <v>47</v>
      </c>
      <c r="X310" s="51" t="s">
        <v>170</v>
      </c>
      <c r="Y310" s="51" t="s">
        <v>49</v>
      </c>
      <c r="Z310" s="51" t="s">
        <v>1024</v>
      </c>
      <c r="AA310" s="51" t="s">
        <v>869</v>
      </c>
      <c r="AB310" s="383"/>
    </row>
    <row r="311" spans="1:28" ht="16.2">
      <c r="A311" s="387">
        <v>310</v>
      </c>
      <c r="B311" s="26" t="s">
        <v>1027</v>
      </c>
      <c r="C311" s="383" t="s">
        <v>10709</v>
      </c>
      <c r="D311" s="383" t="s">
        <v>10946</v>
      </c>
      <c r="E311" s="383" t="s">
        <v>8882</v>
      </c>
      <c r="F311" s="383">
        <v>900</v>
      </c>
      <c r="G311" s="383" t="s">
        <v>1025</v>
      </c>
      <c r="H311" s="383" t="s">
        <v>1026</v>
      </c>
      <c r="I311" s="383" t="s">
        <v>1031</v>
      </c>
      <c r="J311" s="383" t="s">
        <v>1032</v>
      </c>
      <c r="K311" s="383" t="s">
        <v>534</v>
      </c>
      <c r="L311" s="383" t="s">
        <v>9661</v>
      </c>
      <c r="M311" s="383" t="s">
        <v>10178</v>
      </c>
      <c r="N311" s="54">
        <v>9930120232</v>
      </c>
      <c r="O311" s="383" t="str">
        <f>IF(LEN(SUBSTITUTE(Table3937[[#This Row],[PRIMARY CONTACT]]," ",""))=10,SUBSTITUTE(Table3937[[#This Row],[PRIMARY CONTACT]]," ","") &amp; " - Proper","- Follow Up")</f>
        <v>7021902696 - Proper</v>
      </c>
      <c r="P311" s="383" t="s">
        <v>3156</v>
      </c>
      <c r="Q311" s="383">
        <v>7021902696</v>
      </c>
      <c r="R311" s="383" t="str">
        <f>SUBSTITUTE(Table3937[[#This Row],[whatsapp_number]]," ","")</f>
        <v>7021902696</v>
      </c>
      <c r="S311" s="383" t="str">
        <f>IF(Table3937[[#This Row],[PRIMARY CONTACT]]=Table3937[[#This Row],[WHATSAPP CONTACT]],"Same Contact","Different Contact")</f>
        <v>Same Contact</v>
      </c>
      <c r="T311" s="383" t="str">
        <f>IF(LEN(SUBSTITUTE(Table3937[[#This Row],[PRIMARY CONTACT]]," ",""))=10,SUBSTITUTE(Table3937[[#This Row],[PRIMARY CONTACT]]," ","") &amp; " - Proper","- Follow Up")</f>
        <v>7021902696 - Proper</v>
      </c>
      <c r="U311" s="383" t="s">
        <v>3057</v>
      </c>
      <c r="V311" s="393" t="s">
        <v>1034</v>
      </c>
      <c r="W311" s="383" t="s">
        <v>47</v>
      </c>
      <c r="X311" s="51" t="s">
        <v>170</v>
      </c>
      <c r="Y311" s="51" t="s">
        <v>49</v>
      </c>
      <c r="Z311" s="51" t="s">
        <v>1035</v>
      </c>
      <c r="AA311" s="51" t="s">
        <v>49</v>
      </c>
      <c r="AB311" s="383"/>
    </row>
    <row r="312" spans="1:28" ht="13.8">
      <c r="A312" s="387">
        <v>311</v>
      </c>
      <c r="B312" s="92" t="s">
        <v>1051</v>
      </c>
      <c r="C312" s="383" t="s">
        <v>10709</v>
      </c>
      <c r="D312" s="383" t="s">
        <v>10729</v>
      </c>
      <c r="E312" s="383" t="s">
        <v>8883</v>
      </c>
      <c r="F312" s="383">
        <v>901</v>
      </c>
      <c r="G312" s="383" t="s">
        <v>1060</v>
      </c>
      <c r="H312" s="383" t="s">
        <v>1061</v>
      </c>
      <c r="I312" s="383" t="s">
        <v>1054</v>
      </c>
      <c r="J312" s="383" t="s">
        <v>1055</v>
      </c>
      <c r="K312" s="383" t="s">
        <v>42</v>
      </c>
      <c r="L312" s="383" t="s">
        <v>9687</v>
      </c>
      <c r="M312" s="383" t="s">
        <v>10179</v>
      </c>
      <c r="N312" s="29" t="s">
        <v>44</v>
      </c>
      <c r="O312" s="383" t="str">
        <f>IF(LEN(SUBSTITUTE(Table3937[[#This Row],[PRIMARY CONTACT]]," ",""))=10,SUBSTITUTE(Table3937[[#This Row],[PRIMARY CONTACT]]," ","") &amp; " - Proper","- Follow Up")</f>
        <v>7208353203 - Proper</v>
      </c>
      <c r="P312" s="383" t="s">
        <v>3161</v>
      </c>
      <c r="Q312" s="383">
        <v>7208353203</v>
      </c>
      <c r="R312" s="383" t="str">
        <f>SUBSTITUTE(Table3937[[#This Row],[whatsapp_number]]," ","")</f>
        <v>7208353203</v>
      </c>
      <c r="S312" s="383" t="str">
        <f>IF(Table3937[[#This Row],[PRIMARY CONTACT]]=Table3937[[#This Row],[WHATSAPP CONTACT]],"Same Contact","Different Contact")</f>
        <v>Same Contact</v>
      </c>
      <c r="T312" s="383" t="str">
        <f>IF(LEN(SUBSTITUTE(Table3937[[#This Row],[PRIMARY CONTACT]]," ",""))=10,SUBSTITUTE(Table3937[[#This Row],[PRIMARY CONTACT]]," ","") &amp; " - Proper","- Follow Up")</f>
        <v>7208353203 - Proper</v>
      </c>
      <c r="U312" s="383" t="s">
        <v>3162</v>
      </c>
      <c r="V312" s="393" t="s">
        <v>1057</v>
      </c>
      <c r="W312" s="383" t="s">
        <v>47</v>
      </c>
      <c r="X312" s="51" t="s">
        <v>48</v>
      </c>
      <c r="Y312" s="51" t="s">
        <v>1058</v>
      </c>
      <c r="Z312" s="51" t="s">
        <v>1058</v>
      </c>
      <c r="AA312" s="51" t="s">
        <v>1059</v>
      </c>
      <c r="AB312" s="383"/>
    </row>
    <row r="313" spans="1:28" ht="16.2">
      <c r="A313" s="387">
        <v>312</v>
      </c>
      <c r="B313" s="92" t="s">
        <v>1062</v>
      </c>
      <c r="C313" s="383" t="s">
        <v>10709</v>
      </c>
      <c r="D313" s="383" t="s">
        <v>10940</v>
      </c>
      <c r="E313" s="383" t="s">
        <v>8884</v>
      </c>
      <c r="F313" s="383">
        <v>902</v>
      </c>
      <c r="G313" s="383" t="s">
        <v>71</v>
      </c>
      <c r="H313" s="383" t="s">
        <v>1070</v>
      </c>
      <c r="I313" s="383" t="s">
        <v>1065</v>
      </c>
      <c r="J313" s="383" t="s">
        <v>1066</v>
      </c>
      <c r="K313" s="383" t="s">
        <v>1067</v>
      </c>
      <c r="L313" s="383" t="s">
        <v>8341</v>
      </c>
      <c r="M313" s="383" t="s">
        <v>10180</v>
      </c>
      <c r="N313" s="54">
        <v>8854049767</v>
      </c>
      <c r="O313" s="383" t="str">
        <f>IF(LEN(SUBSTITUTE(Table3937[[#This Row],[PRIMARY CONTACT]]," ",""))=10,SUBSTITUTE(Table3937[[#This Row],[PRIMARY CONTACT]]," ","") &amp; " - Proper","- Follow Up")</f>
        <v>8854049767 - Proper</v>
      </c>
      <c r="P313" s="383" t="s">
        <v>3165</v>
      </c>
      <c r="Q313" s="383">
        <v>8854049767</v>
      </c>
      <c r="R313" s="383" t="str">
        <f>SUBSTITUTE(Table3937[[#This Row],[whatsapp_number]]," ","")</f>
        <v>8854049767</v>
      </c>
      <c r="S313" s="383" t="str">
        <f>IF(Table3937[[#This Row],[PRIMARY CONTACT]]=Table3937[[#This Row],[WHATSAPP CONTACT]],"Same Contact","Different Contact")</f>
        <v>Same Contact</v>
      </c>
      <c r="T313" s="383" t="str">
        <f>IF(LEN(SUBSTITUTE(Table3937[[#This Row],[PRIMARY CONTACT]]," ",""))=10,SUBSTITUTE(Table3937[[#This Row],[PRIMARY CONTACT]]," ","") &amp; " - Proper","- Follow Up")</f>
        <v>8854049767 - Proper</v>
      </c>
      <c r="U313" s="383" t="s">
        <v>2953</v>
      </c>
      <c r="V313" s="383" t="s">
        <v>71</v>
      </c>
      <c r="W313" s="383" t="s">
        <v>47</v>
      </c>
      <c r="X313" s="51" t="s">
        <v>1068</v>
      </c>
      <c r="Y313" s="51" t="s">
        <v>1069</v>
      </c>
      <c r="Z313" s="51" t="s">
        <v>1069</v>
      </c>
      <c r="AA313" s="51" t="s">
        <v>49</v>
      </c>
      <c r="AB313" s="383"/>
    </row>
    <row r="314" spans="1:28" ht="13.8">
      <c r="A314" s="387">
        <v>313</v>
      </c>
      <c r="B314" s="92" t="s">
        <v>1071</v>
      </c>
      <c r="C314" s="383" t="s">
        <v>10709</v>
      </c>
      <c r="D314" s="383" t="s">
        <v>10941</v>
      </c>
      <c r="E314" s="383" t="s">
        <v>8885</v>
      </c>
      <c r="F314" s="383">
        <v>909</v>
      </c>
      <c r="G314" s="383" t="s">
        <v>71</v>
      </c>
      <c r="H314" s="383" t="s">
        <v>71</v>
      </c>
      <c r="I314" s="383" t="s">
        <v>8448</v>
      </c>
      <c r="J314" s="383" t="s">
        <v>1075</v>
      </c>
      <c r="K314" s="383" t="s">
        <v>8341</v>
      </c>
      <c r="L314" s="383" t="s">
        <v>8341</v>
      </c>
      <c r="M314" s="383" t="s">
        <v>10181</v>
      </c>
      <c r="N314" s="383" t="s">
        <v>44</v>
      </c>
      <c r="O314" s="383" t="str">
        <f>IF(LEN(SUBSTITUTE(Table3937[[#This Row],[PRIMARY CONTACT]]," ",""))=10,SUBSTITUTE(Table3937[[#This Row],[PRIMARY CONTACT]]," ","") &amp; " - Proper","- Follow Up")</f>
        <v>8779500452 - Proper</v>
      </c>
      <c r="P314" s="383" t="s">
        <v>3168</v>
      </c>
      <c r="Q314" s="383">
        <v>8779500452</v>
      </c>
      <c r="R314" s="383" t="str">
        <f>SUBSTITUTE(Table3937[[#This Row],[whatsapp_number]]," ","")</f>
        <v>8779500452</v>
      </c>
      <c r="S314" s="383" t="str">
        <f>IF(Table3937[[#This Row],[PRIMARY CONTACT]]=Table3937[[#This Row],[WHATSAPP CONTACT]],"Same Contact","Different Contact")</f>
        <v>Same Contact</v>
      </c>
      <c r="T314" s="383" t="str">
        <f>IF(LEN(SUBSTITUTE(Table3937[[#This Row],[PRIMARY CONTACT]]," ",""))=10,SUBSTITUTE(Table3937[[#This Row],[PRIMARY CONTACT]]," ","") &amp; " - Proper","- Follow Up")</f>
        <v>8779500452 - Proper</v>
      </c>
      <c r="U314" s="383" t="s">
        <v>8341</v>
      </c>
      <c r="V314" s="383" t="s">
        <v>71</v>
      </c>
      <c r="W314" s="383" t="s">
        <v>47</v>
      </c>
      <c r="X314" s="29" t="s">
        <v>395</v>
      </c>
      <c r="Y314" s="29" t="s">
        <v>395</v>
      </c>
      <c r="Z314" s="29" t="s">
        <v>395</v>
      </c>
      <c r="AA314" s="29" t="s">
        <v>395</v>
      </c>
      <c r="AB314" s="383"/>
    </row>
    <row r="315" spans="1:28" ht="13.8">
      <c r="A315" s="387">
        <v>314</v>
      </c>
      <c r="B315" s="383" t="s">
        <v>10710</v>
      </c>
      <c r="C315" s="383" t="s">
        <v>10710</v>
      </c>
      <c r="D315" s="383" t="s">
        <v>10710</v>
      </c>
      <c r="E315" s="383" t="s">
        <v>2690</v>
      </c>
      <c r="F315" s="383">
        <v>911</v>
      </c>
      <c r="G315" s="383" t="s">
        <v>71</v>
      </c>
      <c r="H315" s="383" t="s">
        <v>5902</v>
      </c>
      <c r="I315" s="383" t="s">
        <v>8449</v>
      </c>
      <c r="J315" s="383" t="s">
        <v>5922</v>
      </c>
      <c r="K315" s="383" t="s">
        <v>8341</v>
      </c>
      <c r="L315" s="383" t="s">
        <v>8341</v>
      </c>
      <c r="M315" s="383" t="s">
        <v>10182</v>
      </c>
      <c r="N315" s="383" t="s">
        <v>44</v>
      </c>
      <c r="O315" s="383" t="str">
        <f>IF(LEN(SUBSTITUTE(Table3937[[#This Row],[PRIMARY CONTACT]]," ",""))=10,SUBSTITUTE(Table3937[[#This Row],[PRIMARY CONTACT]]," ","") &amp; " - Proper","- Follow Up")</f>
        <v>9833666133 - Proper</v>
      </c>
      <c r="P315" s="383" t="s">
        <v>5906</v>
      </c>
      <c r="Q315" s="383">
        <v>9833666133</v>
      </c>
      <c r="R315" s="383" t="str">
        <f>SUBSTITUTE(Table3937[[#This Row],[whatsapp_number]]," ","")</f>
        <v>9833666133</v>
      </c>
      <c r="S315" s="383" t="str">
        <f>IF(Table3937[[#This Row],[PRIMARY CONTACT]]=Table3937[[#This Row],[WHATSAPP CONTACT]],"Same Contact","Different Contact")</f>
        <v>Same Contact</v>
      </c>
      <c r="T315" s="383" t="str">
        <f>IF(LEN(SUBSTITUTE(Table3937[[#This Row],[PRIMARY CONTACT]]," ",""))=10,SUBSTITUTE(Table3937[[#This Row],[PRIMARY CONTACT]]," ","") &amp; " - Proper","- Follow Up")</f>
        <v>9833666133 - Proper</v>
      </c>
      <c r="U315" s="383" t="s">
        <v>8341</v>
      </c>
      <c r="V315" s="383" t="s">
        <v>71</v>
      </c>
      <c r="W315" s="383" t="s">
        <v>47</v>
      </c>
      <c r="X315" s="29" t="s">
        <v>395</v>
      </c>
      <c r="Y315" s="29" t="s">
        <v>395</v>
      </c>
      <c r="Z315" s="29" t="s">
        <v>395</v>
      </c>
      <c r="AA315" s="29" t="s">
        <v>395</v>
      </c>
      <c r="AB315" s="383"/>
    </row>
    <row r="316" spans="1:28" ht="13.8">
      <c r="A316" s="387">
        <v>315</v>
      </c>
      <c r="B316" s="383" t="s">
        <v>10710</v>
      </c>
      <c r="C316" s="383" t="s">
        <v>10710</v>
      </c>
      <c r="D316" s="383" t="s">
        <v>10710</v>
      </c>
      <c r="E316" s="383" t="s">
        <v>2689</v>
      </c>
      <c r="F316" s="383">
        <v>912</v>
      </c>
      <c r="G316" s="383" t="s">
        <v>71</v>
      </c>
      <c r="H316" s="383" t="s">
        <v>5902</v>
      </c>
      <c r="I316" s="383" t="s">
        <v>8449</v>
      </c>
      <c r="J316" s="383" t="s">
        <v>5918</v>
      </c>
      <c r="K316" s="383" t="s">
        <v>5919</v>
      </c>
      <c r="L316" s="383" t="s">
        <v>8341</v>
      </c>
      <c r="M316" s="383" t="s">
        <v>10183</v>
      </c>
      <c r="N316" s="383" t="s">
        <v>44</v>
      </c>
      <c r="O316" s="383" t="str">
        <f>IF(LEN(SUBSTITUTE(Table3937[[#This Row],[PRIMARY CONTACT]]," ",""))=10,SUBSTITUTE(Table3937[[#This Row],[PRIMARY CONTACT]]," ","") &amp; " - Proper","- Follow Up")</f>
        <v>9819892630 - Proper</v>
      </c>
      <c r="P316" s="383" t="s">
        <v>5920</v>
      </c>
      <c r="Q316" s="383">
        <v>9819892630</v>
      </c>
      <c r="R316" s="383" t="str">
        <f>SUBSTITUTE(Table3937[[#This Row],[whatsapp_number]]," ","")</f>
        <v>9819892630</v>
      </c>
      <c r="S316" s="383" t="str">
        <f>IF(Table3937[[#This Row],[PRIMARY CONTACT]]=Table3937[[#This Row],[WHATSAPP CONTACT]],"Same Contact","Different Contact")</f>
        <v>Same Contact</v>
      </c>
      <c r="T316" s="383" t="str">
        <f>IF(LEN(SUBSTITUTE(Table3937[[#This Row],[PRIMARY CONTACT]]," ",""))=10,SUBSTITUTE(Table3937[[#This Row],[PRIMARY CONTACT]]," ","") &amp; " - Proper","- Follow Up")</f>
        <v>9819892630 - Proper</v>
      </c>
      <c r="U316" s="383" t="s">
        <v>8341</v>
      </c>
      <c r="V316" s="383" t="s">
        <v>71</v>
      </c>
      <c r="W316" s="383" t="s">
        <v>47</v>
      </c>
      <c r="X316" s="29" t="s">
        <v>395</v>
      </c>
      <c r="Y316" s="29" t="s">
        <v>395</v>
      </c>
      <c r="Z316" s="29" t="s">
        <v>395</v>
      </c>
      <c r="AA316" s="29" t="s">
        <v>395</v>
      </c>
      <c r="AB316" s="383"/>
    </row>
    <row r="317" spans="1:28" ht="13.8">
      <c r="A317" s="387">
        <v>316</v>
      </c>
      <c r="B317" s="383" t="s">
        <v>10710</v>
      </c>
      <c r="C317" s="383" t="s">
        <v>10710</v>
      </c>
      <c r="D317" s="383" t="s">
        <v>10710</v>
      </c>
      <c r="E317" s="383" t="s">
        <v>2688</v>
      </c>
      <c r="F317" s="383">
        <v>914</v>
      </c>
      <c r="G317" s="383" t="s">
        <v>71</v>
      </c>
      <c r="H317" s="383" t="s">
        <v>5902</v>
      </c>
      <c r="I317" s="383" t="s">
        <v>8449</v>
      </c>
      <c r="J317" s="383" t="s">
        <v>9413</v>
      </c>
      <c r="K317" s="383" t="s">
        <v>5905</v>
      </c>
      <c r="L317" s="383" t="s">
        <v>8341</v>
      </c>
      <c r="M317" s="383" t="s">
        <v>10184</v>
      </c>
      <c r="N317" s="383" t="s">
        <v>44</v>
      </c>
      <c r="O317" s="383" t="str">
        <f>IF(LEN(SUBSTITUTE(Table3937[[#This Row],[PRIMARY CONTACT]]," ",""))=10,SUBSTITUTE(Table3937[[#This Row],[PRIMARY CONTACT]]," ","") &amp; " - Proper","- Follow Up")</f>
        <v>8080703001 - Proper</v>
      </c>
      <c r="P317" s="383" t="s">
        <v>5906</v>
      </c>
      <c r="Q317" s="383">
        <v>8080703001</v>
      </c>
      <c r="R317" s="383" t="str">
        <f>SUBSTITUTE(Table3937[[#This Row],[whatsapp_number]]," ","")</f>
        <v>8080703001</v>
      </c>
      <c r="S317" s="383" t="str">
        <f>IF(Table3937[[#This Row],[PRIMARY CONTACT]]=Table3937[[#This Row],[WHATSAPP CONTACT]],"Same Contact","Different Contact")</f>
        <v>Same Contact</v>
      </c>
      <c r="T317" s="383" t="str">
        <f>IF(LEN(SUBSTITUTE(Table3937[[#This Row],[PRIMARY CONTACT]]," ",""))=10,SUBSTITUTE(Table3937[[#This Row],[PRIMARY CONTACT]]," ","") &amp; " - Proper","- Follow Up")</f>
        <v>8080703001 - Proper</v>
      </c>
      <c r="U317" s="383" t="s">
        <v>8341</v>
      </c>
      <c r="V317" s="383" t="s">
        <v>71</v>
      </c>
      <c r="W317" s="383" t="s">
        <v>47</v>
      </c>
      <c r="X317" s="29" t="s">
        <v>395</v>
      </c>
      <c r="Y317" s="29" t="s">
        <v>395</v>
      </c>
      <c r="Z317" s="29" t="s">
        <v>395</v>
      </c>
      <c r="AA317" s="29" t="s">
        <v>395</v>
      </c>
      <c r="AB317" s="383"/>
    </row>
    <row r="318" spans="1:28" ht="13.8">
      <c r="A318" s="387">
        <v>317</v>
      </c>
      <c r="B318" s="383" t="s">
        <v>10710</v>
      </c>
      <c r="C318" s="383" t="s">
        <v>10710</v>
      </c>
      <c r="D318" s="383" t="s">
        <v>10710</v>
      </c>
      <c r="E318" s="383" t="s">
        <v>2688</v>
      </c>
      <c r="F318" s="383">
        <v>915</v>
      </c>
      <c r="G318" s="383" t="s">
        <v>71</v>
      </c>
      <c r="H318" s="383" t="s">
        <v>5902</v>
      </c>
      <c r="I318" s="383" t="s">
        <v>8449</v>
      </c>
      <c r="J318" s="383" t="s">
        <v>9414</v>
      </c>
      <c r="K318" s="383" t="s">
        <v>5905</v>
      </c>
      <c r="L318" s="383" t="s">
        <v>8341</v>
      </c>
      <c r="M318" s="383" t="s">
        <v>10184</v>
      </c>
      <c r="N318" s="383" t="s">
        <v>44</v>
      </c>
      <c r="O318" s="383" t="str">
        <f>IF(LEN(SUBSTITUTE(Table3937[[#This Row],[PRIMARY CONTACT]]," ",""))=10,SUBSTITUTE(Table3937[[#This Row],[PRIMARY CONTACT]]," ","") &amp; " - Proper","- Follow Up")</f>
        <v>8080703001 - Proper</v>
      </c>
      <c r="P318" s="383" t="s">
        <v>5906</v>
      </c>
      <c r="Q318" s="383">
        <v>8080703001</v>
      </c>
      <c r="R318" s="383" t="str">
        <f>SUBSTITUTE(Table3937[[#This Row],[whatsapp_number]]," ","")</f>
        <v>8080703001</v>
      </c>
      <c r="S318" s="383" t="str">
        <f>IF(Table3937[[#This Row],[PRIMARY CONTACT]]=Table3937[[#This Row],[WHATSAPP CONTACT]],"Same Contact","Different Contact")</f>
        <v>Same Contact</v>
      </c>
      <c r="T318" s="383" t="str">
        <f>IF(LEN(SUBSTITUTE(Table3937[[#This Row],[PRIMARY CONTACT]]," ",""))=10,SUBSTITUTE(Table3937[[#This Row],[PRIMARY CONTACT]]," ","") &amp; " - Proper","- Follow Up")</f>
        <v>8080703001 - Proper</v>
      </c>
      <c r="U318" s="383" t="s">
        <v>8341</v>
      </c>
      <c r="V318" s="383" t="s">
        <v>71</v>
      </c>
      <c r="W318" s="383" t="s">
        <v>47</v>
      </c>
      <c r="X318" s="29" t="s">
        <v>395</v>
      </c>
      <c r="Y318" s="29" t="s">
        <v>395</v>
      </c>
      <c r="Z318" s="29" t="s">
        <v>395</v>
      </c>
      <c r="AA318" s="29" t="s">
        <v>395</v>
      </c>
      <c r="AB318" s="383"/>
    </row>
    <row r="319" spans="1:28" ht="13.8">
      <c r="A319" s="387">
        <v>318</v>
      </c>
      <c r="B319" s="383" t="s">
        <v>10710</v>
      </c>
      <c r="C319" s="383" t="s">
        <v>10710</v>
      </c>
      <c r="D319" s="383" t="s">
        <v>10710</v>
      </c>
      <c r="E319" s="383" t="s">
        <v>2688</v>
      </c>
      <c r="F319" s="383">
        <v>916</v>
      </c>
      <c r="G319" s="383" t="s">
        <v>71</v>
      </c>
      <c r="H319" s="383" t="s">
        <v>5902</v>
      </c>
      <c r="I319" s="383" t="s">
        <v>8449</v>
      </c>
      <c r="J319" s="383" t="s">
        <v>9415</v>
      </c>
      <c r="K319" s="383" t="s">
        <v>5905</v>
      </c>
      <c r="L319" s="383" t="s">
        <v>8341</v>
      </c>
      <c r="M319" s="383" t="s">
        <v>10184</v>
      </c>
      <c r="N319" s="383" t="s">
        <v>44</v>
      </c>
      <c r="O319" s="383" t="str">
        <f>IF(LEN(SUBSTITUTE(Table3937[[#This Row],[PRIMARY CONTACT]]," ",""))=10,SUBSTITUTE(Table3937[[#This Row],[PRIMARY CONTACT]]," ","") &amp; " - Proper","- Follow Up")</f>
        <v>8080703001 - Proper</v>
      </c>
      <c r="P319" s="383" t="s">
        <v>5906</v>
      </c>
      <c r="Q319" s="383">
        <v>8080703001</v>
      </c>
      <c r="R319" s="383" t="str">
        <f>SUBSTITUTE(Table3937[[#This Row],[whatsapp_number]]," ","")</f>
        <v>8080703001</v>
      </c>
      <c r="S319" s="383" t="str">
        <f>IF(Table3937[[#This Row],[PRIMARY CONTACT]]=Table3937[[#This Row],[WHATSAPP CONTACT]],"Same Contact","Different Contact")</f>
        <v>Same Contact</v>
      </c>
      <c r="T319" s="383" t="str">
        <f>IF(LEN(SUBSTITUTE(Table3937[[#This Row],[PRIMARY CONTACT]]," ",""))=10,SUBSTITUTE(Table3937[[#This Row],[PRIMARY CONTACT]]," ","") &amp; " - Proper","- Follow Up")</f>
        <v>8080703001 - Proper</v>
      </c>
      <c r="U319" s="383" t="s">
        <v>8341</v>
      </c>
      <c r="V319" s="383" t="s">
        <v>71</v>
      </c>
      <c r="W319" s="383" t="s">
        <v>47</v>
      </c>
      <c r="X319" s="29" t="s">
        <v>395</v>
      </c>
      <c r="Y319" s="29" t="s">
        <v>395</v>
      </c>
      <c r="Z319" s="29" t="s">
        <v>395</v>
      </c>
      <c r="AA319" s="29" t="s">
        <v>395</v>
      </c>
      <c r="AB319" s="383"/>
    </row>
    <row r="320" spans="1:28" ht="13.8">
      <c r="A320" s="387">
        <v>319</v>
      </c>
      <c r="B320" s="383" t="s">
        <v>10710</v>
      </c>
      <c r="C320" s="383" t="s">
        <v>10710</v>
      </c>
      <c r="D320" s="383" t="s">
        <v>10710</v>
      </c>
      <c r="E320" s="383" t="s">
        <v>2688</v>
      </c>
      <c r="F320" s="383">
        <v>917</v>
      </c>
      <c r="G320" s="383" t="s">
        <v>71</v>
      </c>
      <c r="H320" s="383" t="s">
        <v>5902</v>
      </c>
      <c r="I320" s="383" t="s">
        <v>8449</v>
      </c>
      <c r="J320" s="383" t="s">
        <v>9416</v>
      </c>
      <c r="K320" s="383" t="s">
        <v>5905</v>
      </c>
      <c r="L320" s="383" t="s">
        <v>8341</v>
      </c>
      <c r="M320" s="383" t="s">
        <v>10184</v>
      </c>
      <c r="N320" s="383" t="s">
        <v>44</v>
      </c>
      <c r="O320" s="383" t="str">
        <f>IF(LEN(SUBSTITUTE(Table3937[[#This Row],[PRIMARY CONTACT]]," ",""))=10,SUBSTITUTE(Table3937[[#This Row],[PRIMARY CONTACT]]," ","") &amp; " - Proper","- Follow Up")</f>
        <v>8080703001 - Proper</v>
      </c>
      <c r="P320" s="383" t="s">
        <v>5906</v>
      </c>
      <c r="Q320" s="383">
        <v>8080703001</v>
      </c>
      <c r="R320" s="383" t="str">
        <f>SUBSTITUTE(Table3937[[#This Row],[whatsapp_number]]," ","")</f>
        <v>8080703001</v>
      </c>
      <c r="S320" s="383" t="str">
        <f>IF(Table3937[[#This Row],[PRIMARY CONTACT]]=Table3937[[#This Row],[WHATSAPP CONTACT]],"Same Contact","Different Contact")</f>
        <v>Same Contact</v>
      </c>
      <c r="T320" s="383" t="str">
        <f>IF(LEN(SUBSTITUTE(Table3937[[#This Row],[PRIMARY CONTACT]]," ",""))=10,SUBSTITUTE(Table3937[[#This Row],[PRIMARY CONTACT]]," ","") &amp; " - Proper","- Follow Up")</f>
        <v>8080703001 - Proper</v>
      </c>
      <c r="U320" s="383" t="s">
        <v>8341</v>
      </c>
      <c r="V320" s="383" t="s">
        <v>71</v>
      </c>
      <c r="W320" s="383" t="s">
        <v>47</v>
      </c>
      <c r="X320" s="29" t="s">
        <v>395</v>
      </c>
      <c r="Y320" s="29" t="s">
        <v>395</v>
      </c>
      <c r="Z320" s="29" t="s">
        <v>395</v>
      </c>
      <c r="AA320" s="29" t="s">
        <v>395</v>
      </c>
      <c r="AB320" s="383"/>
    </row>
    <row r="321" spans="1:28" ht="13.8">
      <c r="A321" s="387">
        <v>320</v>
      </c>
      <c r="B321" s="383" t="s">
        <v>10710</v>
      </c>
      <c r="C321" s="383" t="s">
        <v>10710</v>
      </c>
      <c r="D321" s="383" t="s">
        <v>10710</v>
      </c>
      <c r="E321" s="383" t="s">
        <v>2688</v>
      </c>
      <c r="F321" s="383">
        <v>918</v>
      </c>
      <c r="G321" s="383" t="s">
        <v>71</v>
      </c>
      <c r="H321" s="383" t="s">
        <v>5902</v>
      </c>
      <c r="I321" s="383" t="s">
        <v>8449</v>
      </c>
      <c r="J321" s="383" t="s">
        <v>9417</v>
      </c>
      <c r="K321" s="383" t="s">
        <v>5905</v>
      </c>
      <c r="L321" s="383" t="s">
        <v>8341</v>
      </c>
      <c r="M321" s="383" t="s">
        <v>10184</v>
      </c>
      <c r="N321" s="383" t="s">
        <v>44</v>
      </c>
      <c r="O321" s="383" t="str">
        <f>IF(LEN(SUBSTITUTE(Table3937[[#This Row],[PRIMARY CONTACT]]," ",""))=10,SUBSTITUTE(Table3937[[#This Row],[PRIMARY CONTACT]]," ","") &amp; " - Proper","- Follow Up")</f>
        <v>8080703001 - Proper</v>
      </c>
      <c r="P321" s="383" t="s">
        <v>5906</v>
      </c>
      <c r="Q321" s="383">
        <v>8080703001</v>
      </c>
      <c r="R321" s="383" t="str">
        <f>SUBSTITUTE(Table3937[[#This Row],[whatsapp_number]]," ","")</f>
        <v>8080703001</v>
      </c>
      <c r="S321" s="383" t="str">
        <f>IF(Table3937[[#This Row],[PRIMARY CONTACT]]=Table3937[[#This Row],[WHATSAPP CONTACT]],"Same Contact","Different Contact")</f>
        <v>Same Contact</v>
      </c>
      <c r="T321" s="383" t="str">
        <f>IF(LEN(SUBSTITUTE(Table3937[[#This Row],[PRIMARY CONTACT]]," ",""))=10,SUBSTITUTE(Table3937[[#This Row],[PRIMARY CONTACT]]," ","") &amp; " - Proper","- Follow Up")</f>
        <v>8080703001 - Proper</v>
      </c>
      <c r="U321" s="383" t="s">
        <v>8341</v>
      </c>
      <c r="V321" s="383" t="s">
        <v>71</v>
      </c>
      <c r="W321" s="383" t="s">
        <v>47</v>
      </c>
      <c r="X321" s="29" t="s">
        <v>395</v>
      </c>
      <c r="Y321" s="29" t="s">
        <v>395</v>
      </c>
      <c r="Z321" s="29" t="s">
        <v>395</v>
      </c>
      <c r="AA321" s="29" t="s">
        <v>395</v>
      </c>
      <c r="AB321" s="383"/>
    </row>
    <row r="322" spans="1:28" ht="13.8">
      <c r="A322" s="387">
        <v>321</v>
      </c>
      <c r="B322" s="383" t="s">
        <v>10710</v>
      </c>
      <c r="C322" s="383" t="s">
        <v>10710</v>
      </c>
      <c r="D322" s="383" t="s">
        <v>10710</v>
      </c>
      <c r="E322" s="383" t="s">
        <v>2688</v>
      </c>
      <c r="F322" s="383">
        <v>919</v>
      </c>
      <c r="G322" s="383" t="s">
        <v>71</v>
      </c>
      <c r="H322" s="383" t="s">
        <v>5902</v>
      </c>
      <c r="I322" s="383" t="s">
        <v>8449</v>
      </c>
      <c r="J322" s="383" t="s">
        <v>9418</v>
      </c>
      <c r="K322" s="383" t="s">
        <v>5905</v>
      </c>
      <c r="L322" s="383" t="s">
        <v>8341</v>
      </c>
      <c r="M322" s="383" t="s">
        <v>10184</v>
      </c>
      <c r="N322" s="383" t="s">
        <v>44</v>
      </c>
      <c r="O322" s="383" t="str">
        <f>IF(LEN(SUBSTITUTE(Table3937[[#This Row],[PRIMARY CONTACT]]," ",""))=10,SUBSTITUTE(Table3937[[#This Row],[PRIMARY CONTACT]]," ","") &amp; " - Proper","- Follow Up")</f>
        <v>8080703001 - Proper</v>
      </c>
      <c r="P322" s="383" t="s">
        <v>5906</v>
      </c>
      <c r="Q322" s="383">
        <v>8080703001</v>
      </c>
      <c r="R322" s="383" t="str">
        <f>SUBSTITUTE(Table3937[[#This Row],[whatsapp_number]]," ","")</f>
        <v>8080703001</v>
      </c>
      <c r="S322" s="383" t="str">
        <f>IF(Table3937[[#This Row],[PRIMARY CONTACT]]=Table3937[[#This Row],[WHATSAPP CONTACT]],"Same Contact","Different Contact")</f>
        <v>Same Contact</v>
      </c>
      <c r="T322" s="383" t="str">
        <f>IF(LEN(SUBSTITUTE(Table3937[[#This Row],[PRIMARY CONTACT]]," ",""))=10,SUBSTITUTE(Table3937[[#This Row],[PRIMARY CONTACT]]," ","") &amp; " - Proper","- Follow Up")</f>
        <v>8080703001 - Proper</v>
      </c>
      <c r="U322" s="383" t="s">
        <v>5907</v>
      </c>
      <c r="V322" s="383" t="s">
        <v>71</v>
      </c>
      <c r="W322" s="383" t="s">
        <v>47</v>
      </c>
      <c r="X322" s="29" t="s">
        <v>395</v>
      </c>
      <c r="Y322" s="29" t="s">
        <v>395</v>
      </c>
      <c r="Z322" s="29" t="s">
        <v>395</v>
      </c>
      <c r="AA322" s="29" t="s">
        <v>395</v>
      </c>
      <c r="AB322" s="383"/>
    </row>
    <row r="323" spans="1:28" ht="13.8">
      <c r="A323" s="387">
        <v>322</v>
      </c>
      <c r="B323" s="58" t="s">
        <v>1076</v>
      </c>
      <c r="C323" s="383" t="s">
        <v>10709</v>
      </c>
      <c r="D323" s="383" t="s">
        <v>3169</v>
      </c>
      <c r="E323" s="383" t="s">
        <v>3169</v>
      </c>
      <c r="F323" s="383">
        <v>921</v>
      </c>
      <c r="G323" s="383" t="s">
        <v>71</v>
      </c>
      <c r="H323" s="383" t="s">
        <v>1085</v>
      </c>
      <c r="I323" s="383" t="s">
        <v>8450</v>
      </c>
      <c r="J323" s="383" t="s">
        <v>1080</v>
      </c>
      <c r="K323" s="383" t="s">
        <v>1081</v>
      </c>
      <c r="L323" s="383" t="s">
        <v>8341</v>
      </c>
      <c r="M323" s="383" t="s">
        <v>10185</v>
      </c>
      <c r="N323" s="29" t="s">
        <v>44</v>
      </c>
      <c r="O323" s="383" t="str">
        <f>IF(LEN(SUBSTITUTE(Table3937[[#This Row],[PRIMARY CONTACT]]," ",""))=10,SUBSTITUTE(Table3937[[#This Row],[PRIMARY CONTACT]]," ","") &amp; " - Proper","- Follow Up")</f>
        <v>9833449855 - Proper</v>
      </c>
      <c r="P323" s="383" t="s">
        <v>3171</v>
      </c>
      <c r="Q323" s="383">
        <v>9833449855</v>
      </c>
      <c r="R323" s="383" t="str">
        <f>SUBSTITUTE(Table3937[[#This Row],[whatsapp_number]]," ","")</f>
        <v>9833449855</v>
      </c>
      <c r="S323" s="383" t="str">
        <f>IF(Table3937[[#This Row],[PRIMARY CONTACT]]=Table3937[[#This Row],[WHATSAPP CONTACT]],"Same Contact","Different Contact")</f>
        <v>Same Contact</v>
      </c>
      <c r="T323" s="383" t="str">
        <f>IF(LEN(SUBSTITUTE(Table3937[[#This Row],[PRIMARY CONTACT]]," ",""))=10,SUBSTITUTE(Table3937[[#This Row],[PRIMARY CONTACT]]," ","") &amp; " - Proper","- Follow Up")</f>
        <v>9833449855 - Proper</v>
      </c>
      <c r="U323" s="383" t="s">
        <v>2953</v>
      </c>
      <c r="V323" s="383" t="s">
        <v>71</v>
      </c>
      <c r="W323" s="383" t="s">
        <v>47</v>
      </c>
      <c r="X323" s="51" t="s">
        <v>1082</v>
      </c>
      <c r="Y323" s="51" t="s">
        <v>1083</v>
      </c>
      <c r="Z323" s="51" t="s">
        <v>1084</v>
      </c>
      <c r="AA323" s="51" t="s">
        <v>49</v>
      </c>
      <c r="AB323" s="383"/>
    </row>
    <row r="324" spans="1:28" ht="13.8">
      <c r="A324" s="387">
        <v>323</v>
      </c>
      <c r="B324" s="58" t="s">
        <v>1086</v>
      </c>
      <c r="C324" s="383" t="s">
        <v>10709</v>
      </c>
      <c r="D324" s="383" t="s">
        <v>8886</v>
      </c>
      <c r="E324" s="383" t="s">
        <v>8886</v>
      </c>
      <c r="F324" s="383">
        <v>923</v>
      </c>
      <c r="G324" s="383" t="s">
        <v>1094</v>
      </c>
      <c r="H324" s="383" t="s">
        <v>1095</v>
      </c>
      <c r="I324" s="383" t="s">
        <v>8451</v>
      </c>
      <c r="J324" s="383" t="s">
        <v>1090</v>
      </c>
      <c r="K324" s="383" t="s">
        <v>3174</v>
      </c>
      <c r="L324" s="383" t="s">
        <v>8341</v>
      </c>
      <c r="M324" s="383" t="s">
        <v>10186</v>
      </c>
      <c r="N324" s="29" t="s">
        <v>44</v>
      </c>
      <c r="O324" s="383" t="str">
        <f>IF(LEN(SUBSTITUTE(Table3937[[#This Row],[PRIMARY CONTACT]]," ",""))=10,SUBSTITUTE(Table3937[[#This Row],[PRIMARY CONTACT]]," ","") &amp; " - Proper","- Follow Up")</f>
        <v>9769108701 - Proper</v>
      </c>
      <c r="P324" s="383" t="s">
        <v>1087</v>
      </c>
      <c r="Q324" s="383">
        <v>9769108701</v>
      </c>
      <c r="R324" s="383" t="str">
        <f>SUBSTITUTE(Table3937[[#This Row],[whatsapp_number]]," ","")</f>
        <v>9769108701</v>
      </c>
      <c r="S324" s="383" t="str">
        <f>IF(Table3937[[#This Row],[PRIMARY CONTACT]]=Table3937[[#This Row],[WHATSAPP CONTACT]],"Same Contact","Different Contact")</f>
        <v>Same Contact</v>
      </c>
      <c r="T324" s="383" t="str">
        <f>IF(LEN(SUBSTITUTE(Table3937[[#This Row],[PRIMARY CONTACT]]," ",""))=10,SUBSTITUTE(Table3937[[#This Row],[PRIMARY CONTACT]]," ","") &amp; " - Proper","- Follow Up")</f>
        <v>9769108701 - Proper</v>
      </c>
      <c r="U324" s="383" t="s">
        <v>2953</v>
      </c>
      <c r="V324" s="383" t="s">
        <v>71</v>
      </c>
      <c r="W324" s="383" t="s">
        <v>47</v>
      </c>
      <c r="X324" s="51" t="s">
        <v>170</v>
      </c>
      <c r="Y324" s="51" t="s">
        <v>49</v>
      </c>
      <c r="Z324" s="51" t="s">
        <v>1092</v>
      </c>
      <c r="AA324" s="51" t="s">
        <v>1093</v>
      </c>
      <c r="AB324" s="383"/>
    </row>
    <row r="325" spans="1:28" ht="13.8">
      <c r="A325" s="387">
        <v>324</v>
      </c>
      <c r="B325" s="58" t="s">
        <v>1096</v>
      </c>
      <c r="C325" s="383" t="s">
        <v>10709</v>
      </c>
      <c r="D325" s="383" t="s">
        <v>8887</v>
      </c>
      <c r="E325" s="383" t="s">
        <v>8887</v>
      </c>
      <c r="F325" s="383">
        <v>924</v>
      </c>
      <c r="G325" s="383" t="s">
        <v>71</v>
      </c>
      <c r="H325" s="383" t="s">
        <v>1105</v>
      </c>
      <c r="I325" s="383" t="s">
        <v>8452</v>
      </c>
      <c r="J325" s="383" t="s">
        <v>9419</v>
      </c>
      <c r="K325" s="383" t="s">
        <v>116</v>
      </c>
      <c r="L325" s="383" t="s">
        <v>8341</v>
      </c>
      <c r="M325" s="383" t="s">
        <v>10187</v>
      </c>
      <c r="N325" s="29" t="s">
        <v>44</v>
      </c>
      <c r="O325" s="383" t="str">
        <f>IF(LEN(SUBSTITUTE(Table3937[[#This Row],[PRIMARY CONTACT]]," ",""))=10,SUBSTITUTE(Table3937[[#This Row],[PRIMARY CONTACT]]," ","") &amp; " - Proper","- Follow Up")</f>
        <v>7977738636 - Proper</v>
      </c>
      <c r="P325" s="383" t="s">
        <v>3177</v>
      </c>
      <c r="Q325" s="383">
        <v>7977738636</v>
      </c>
      <c r="R325" s="383" t="str">
        <f>SUBSTITUTE(Table3937[[#This Row],[whatsapp_number]]," ","")</f>
        <v>7977738636</v>
      </c>
      <c r="S325" s="383" t="str">
        <f>IF(Table3937[[#This Row],[PRIMARY CONTACT]]=Table3937[[#This Row],[WHATSAPP CONTACT]],"Same Contact","Different Contact")</f>
        <v>Same Contact</v>
      </c>
      <c r="T325" s="383" t="str">
        <f>IF(LEN(SUBSTITUTE(Table3937[[#This Row],[PRIMARY CONTACT]]," ",""))=10,SUBSTITUTE(Table3937[[#This Row],[PRIMARY CONTACT]]," ","") &amp; " - Proper","- Follow Up")</f>
        <v>7977738636 - Proper</v>
      </c>
      <c r="U325" s="383" t="s">
        <v>3178</v>
      </c>
      <c r="V325" s="383" t="s">
        <v>71</v>
      </c>
      <c r="W325" s="383" t="s">
        <v>47</v>
      </c>
      <c r="X325" s="51" t="s">
        <v>1103</v>
      </c>
      <c r="Y325" s="51" t="s">
        <v>48</v>
      </c>
      <c r="Z325" s="51" t="s">
        <v>1104</v>
      </c>
      <c r="AA325" s="51" t="s">
        <v>49</v>
      </c>
      <c r="AB325" s="383"/>
    </row>
    <row r="326" spans="1:28" ht="16.2">
      <c r="A326" s="387">
        <v>325</v>
      </c>
      <c r="B326" s="58" t="s">
        <v>1106</v>
      </c>
      <c r="C326" s="383" t="s">
        <v>10709</v>
      </c>
      <c r="D326" s="383" t="s">
        <v>10968</v>
      </c>
      <c r="E326" s="383" t="s">
        <v>8888</v>
      </c>
      <c r="F326" s="383">
        <v>925</v>
      </c>
      <c r="G326" s="383" t="s">
        <v>1112</v>
      </c>
      <c r="H326" s="383" t="s">
        <v>1113</v>
      </c>
      <c r="I326" s="383" t="s">
        <v>8453</v>
      </c>
      <c r="J326" s="383" t="s">
        <v>1110</v>
      </c>
      <c r="K326" s="383" t="s">
        <v>42</v>
      </c>
      <c r="L326" s="383" t="s">
        <v>8341</v>
      </c>
      <c r="M326" s="383" t="s">
        <v>10188</v>
      </c>
      <c r="N326" s="54">
        <v>9821073129</v>
      </c>
      <c r="O326" s="383" t="str">
        <f>IF(LEN(SUBSTITUTE(Table3937[[#This Row],[PRIMARY CONTACT]]," ",""))=10,SUBSTITUTE(Table3937[[#This Row],[PRIMARY CONTACT]]," ","") &amp; " - Proper","- Follow Up")</f>
        <v>9167574302 - Proper</v>
      </c>
      <c r="P326" s="383" t="s">
        <v>3181</v>
      </c>
      <c r="Q326" s="383">
        <v>9167574302</v>
      </c>
      <c r="R326" s="383" t="str">
        <f>SUBSTITUTE(Table3937[[#This Row],[whatsapp_number]]," ","")</f>
        <v>9167574302</v>
      </c>
      <c r="S326" s="383" t="str">
        <f>IF(Table3937[[#This Row],[PRIMARY CONTACT]]=Table3937[[#This Row],[WHATSAPP CONTACT]],"Same Contact","Different Contact")</f>
        <v>Same Contact</v>
      </c>
      <c r="T326" s="383" t="str">
        <f>IF(LEN(SUBSTITUTE(Table3937[[#This Row],[PRIMARY CONTACT]]," ",""))=10,SUBSTITUTE(Table3937[[#This Row],[PRIMARY CONTACT]]," ","") &amp; " - Proper","- Follow Up")</f>
        <v>9167574302 - Proper</v>
      </c>
      <c r="U326" s="383" t="s">
        <v>2953</v>
      </c>
      <c r="V326" s="383" t="s">
        <v>71</v>
      </c>
      <c r="W326" s="383" t="s">
        <v>47</v>
      </c>
      <c r="X326" s="51" t="s">
        <v>170</v>
      </c>
      <c r="Y326" s="51" t="s">
        <v>49</v>
      </c>
      <c r="Z326" s="51" t="s">
        <v>1111</v>
      </c>
      <c r="AA326" s="51" t="s">
        <v>823</v>
      </c>
      <c r="AB326" s="383"/>
    </row>
    <row r="327" spans="1:28" ht="16.2">
      <c r="A327" s="387">
        <v>326</v>
      </c>
      <c r="B327" s="58" t="s">
        <v>1114</v>
      </c>
      <c r="C327" s="383" t="s">
        <v>10709</v>
      </c>
      <c r="D327" s="383" t="s">
        <v>3182</v>
      </c>
      <c r="E327" s="383" t="s">
        <v>3182</v>
      </c>
      <c r="F327" s="383">
        <v>926</v>
      </c>
      <c r="G327" s="383" t="s">
        <v>1121</v>
      </c>
      <c r="H327" s="383" t="s">
        <v>1122</v>
      </c>
      <c r="I327" s="383" t="s">
        <v>1117</v>
      </c>
      <c r="J327" s="383" t="s">
        <v>1118</v>
      </c>
      <c r="K327" s="383" t="s">
        <v>534</v>
      </c>
      <c r="L327" s="383" t="s">
        <v>9688</v>
      </c>
      <c r="M327" s="383" t="s">
        <v>10189</v>
      </c>
      <c r="N327" s="54">
        <v>9594443216</v>
      </c>
      <c r="O327" s="383" t="str">
        <f>IF(LEN(SUBSTITUTE(Table3937[[#This Row],[PRIMARY CONTACT]]," ",""))=10,SUBSTITUTE(Table3937[[#This Row],[PRIMARY CONTACT]]," ","") &amp; " - Proper","- Follow Up")</f>
        <v>9594443216 - Proper</v>
      </c>
      <c r="P327" s="383" t="s">
        <v>3185</v>
      </c>
      <c r="Q327" s="383">
        <v>9594443216</v>
      </c>
      <c r="R327" s="383" t="str">
        <f>SUBSTITUTE(Table3937[[#This Row],[whatsapp_number]]," ","")</f>
        <v>9594443216</v>
      </c>
      <c r="S327" s="383" t="str">
        <f>IF(Table3937[[#This Row],[PRIMARY CONTACT]]=Table3937[[#This Row],[WHATSAPP CONTACT]],"Same Contact","Different Contact")</f>
        <v>Same Contact</v>
      </c>
      <c r="T327" s="383" t="str">
        <f>IF(LEN(SUBSTITUTE(Table3937[[#This Row],[PRIMARY CONTACT]]," ",""))=10,SUBSTITUTE(Table3937[[#This Row],[PRIMARY CONTACT]]," ","") &amp; " - Proper","- Follow Up")</f>
        <v>9594443216 - Proper</v>
      </c>
      <c r="U327" s="383" t="s">
        <v>10571</v>
      </c>
      <c r="V327" s="393" t="s">
        <v>3187</v>
      </c>
      <c r="W327" s="383" t="s">
        <v>47</v>
      </c>
      <c r="X327" s="51" t="s">
        <v>824</v>
      </c>
      <c r="Y327" s="51" t="s">
        <v>1119</v>
      </c>
      <c r="Z327" s="51" t="s">
        <v>1120</v>
      </c>
      <c r="AA327" s="51" t="s">
        <v>49</v>
      </c>
      <c r="AB327" s="383"/>
    </row>
    <row r="328" spans="1:28" ht="16.2">
      <c r="A328" s="387">
        <v>327</v>
      </c>
      <c r="B328" s="58" t="s">
        <v>1123</v>
      </c>
      <c r="C328" s="383" t="s">
        <v>10709</v>
      </c>
      <c r="D328" s="383" t="s">
        <v>10949</v>
      </c>
      <c r="E328" s="383" t="s">
        <v>3188</v>
      </c>
      <c r="F328" s="383">
        <v>929</v>
      </c>
      <c r="G328" s="383" t="s">
        <v>1131</v>
      </c>
      <c r="H328" s="383" t="s">
        <v>1132</v>
      </c>
      <c r="I328" s="383" t="s">
        <v>1126</v>
      </c>
      <c r="J328" s="383" t="s">
        <v>1127</v>
      </c>
      <c r="K328" s="383" t="s">
        <v>1128</v>
      </c>
      <c r="L328" s="383" t="s">
        <v>9651</v>
      </c>
      <c r="M328" s="383" t="s">
        <v>10190</v>
      </c>
      <c r="N328" s="54">
        <v>8104934764</v>
      </c>
      <c r="O328" s="383" t="str">
        <f>IF(LEN(SUBSTITUTE(Table3937[[#This Row],[PRIMARY CONTACT]]," ",""))=10,SUBSTITUTE(Table3937[[#This Row],[PRIMARY CONTACT]]," ","") &amp; " - Proper","- Follow Up")</f>
        <v>8591708395 - Proper</v>
      </c>
      <c r="P328" s="383" t="s">
        <v>3190</v>
      </c>
      <c r="Q328" s="383">
        <v>8591708395</v>
      </c>
      <c r="R328" s="383" t="str">
        <f>SUBSTITUTE(Table3937[[#This Row],[whatsapp_number]]," ","")</f>
        <v>8591708395</v>
      </c>
      <c r="S328" s="383" t="str">
        <f>IF(Table3937[[#This Row],[PRIMARY CONTACT]]=Table3937[[#This Row],[WHATSAPP CONTACT]],"Same Contact","Different Contact")</f>
        <v>Same Contact</v>
      </c>
      <c r="T328" s="383" t="str">
        <f>IF(LEN(SUBSTITUTE(Table3937[[#This Row],[PRIMARY CONTACT]]," ",""))=10,SUBSTITUTE(Table3937[[#This Row],[PRIMARY CONTACT]]," ","") &amp; " - Proper","- Follow Up")</f>
        <v>8591708395 - Proper</v>
      </c>
      <c r="U328" s="383" t="s">
        <v>10572</v>
      </c>
      <c r="V328" s="393" t="s">
        <v>3193</v>
      </c>
      <c r="W328" s="383" t="s">
        <v>47</v>
      </c>
      <c r="X328" s="29" t="s">
        <v>395</v>
      </c>
      <c r="Y328" s="29" t="s">
        <v>395</v>
      </c>
      <c r="Z328" s="29" t="s">
        <v>395</v>
      </c>
      <c r="AA328" s="29" t="s">
        <v>395</v>
      </c>
      <c r="AB328" s="383"/>
    </row>
    <row r="329" spans="1:28" ht="16.2">
      <c r="A329" s="387">
        <v>328</v>
      </c>
      <c r="B329" s="58" t="s">
        <v>1133</v>
      </c>
      <c r="C329" s="383" t="s">
        <v>10709</v>
      </c>
      <c r="D329" s="383" t="s">
        <v>10950</v>
      </c>
      <c r="E329" s="383" t="s">
        <v>3194</v>
      </c>
      <c r="F329" s="383">
        <v>932</v>
      </c>
      <c r="G329" s="383" t="s">
        <v>71</v>
      </c>
      <c r="H329" s="383" t="s">
        <v>1140</v>
      </c>
      <c r="I329" s="383" t="s">
        <v>8454</v>
      </c>
      <c r="J329" s="383" t="s">
        <v>1137</v>
      </c>
      <c r="K329" s="383" t="s">
        <v>534</v>
      </c>
      <c r="L329" s="383" t="s">
        <v>9689</v>
      </c>
      <c r="M329" s="383" t="s">
        <v>10191</v>
      </c>
      <c r="N329" s="54">
        <v>7718886493</v>
      </c>
      <c r="O329" s="383" t="str">
        <f>IF(LEN(SUBSTITUTE(Table3937[[#This Row],[PRIMARY CONTACT]]," ",""))=10,SUBSTITUTE(Table3937[[#This Row],[PRIMARY CONTACT]]," ","") &amp; " - Proper","- Follow Up")</f>
        <v>9619800493 - Proper</v>
      </c>
      <c r="P329" s="383" t="s">
        <v>3197</v>
      </c>
      <c r="Q329" s="383">
        <v>9619800493</v>
      </c>
      <c r="R329" s="383" t="str">
        <f>SUBSTITUTE(Table3937[[#This Row],[whatsapp_number]]," ","")</f>
        <v>9619800493</v>
      </c>
      <c r="S329" s="383" t="str">
        <f>IF(Table3937[[#This Row],[PRIMARY CONTACT]]=Table3937[[#This Row],[WHATSAPP CONTACT]],"Same Contact","Different Contact")</f>
        <v>Same Contact</v>
      </c>
      <c r="T329" s="383" t="str">
        <f>IF(LEN(SUBSTITUTE(Table3937[[#This Row],[PRIMARY CONTACT]]," ",""))=10,SUBSTITUTE(Table3937[[#This Row],[PRIMARY CONTACT]]," ","") &amp; " - Proper","- Follow Up")</f>
        <v>9619800493 - Proper</v>
      </c>
      <c r="U329" s="383" t="s">
        <v>2953</v>
      </c>
      <c r="V329" s="383" t="s">
        <v>71</v>
      </c>
      <c r="W329" s="383" t="s">
        <v>47</v>
      </c>
      <c r="X329" s="51" t="s">
        <v>1138</v>
      </c>
      <c r="Y329" s="51" t="s">
        <v>1139</v>
      </c>
      <c r="Z329" s="51" t="s">
        <v>1139</v>
      </c>
      <c r="AA329" s="51" t="s">
        <v>1138</v>
      </c>
      <c r="AB329" s="383"/>
    </row>
    <row r="330" spans="1:28" ht="16.2">
      <c r="A330" s="387">
        <v>329</v>
      </c>
      <c r="B330" s="94" t="s">
        <v>1153</v>
      </c>
      <c r="C330" s="383" t="s">
        <v>10710</v>
      </c>
      <c r="D330" s="383" t="s">
        <v>10951</v>
      </c>
      <c r="E330" s="383" t="s">
        <v>8889</v>
      </c>
      <c r="F330" s="383">
        <v>933</v>
      </c>
      <c r="G330" s="383" t="s">
        <v>71</v>
      </c>
      <c r="H330" s="383" t="s">
        <v>1163</v>
      </c>
      <c r="I330" s="383" t="s">
        <v>1156</v>
      </c>
      <c r="J330" s="383" t="s">
        <v>1157</v>
      </c>
      <c r="K330" s="383" t="s">
        <v>1158</v>
      </c>
      <c r="L330" s="383" t="s">
        <v>9690</v>
      </c>
      <c r="M330" s="383" t="s">
        <v>10192</v>
      </c>
      <c r="N330" s="97">
        <v>9820045969</v>
      </c>
      <c r="O330" s="383" t="str">
        <f>IF(LEN(SUBSTITUTE(Table3937[[#This Row],[PRIMARY CONTACT]]," ",""))=10,SUBSTITUTE(Table3937[[#This Row],[PRIMARY CONTACT]]," ","") &amp; " - Proper","- Follow Up")</f>
        <v>8879316929 - Proper</v>
      </c>
      <c r="P330" s="383" t="s">
        <v>3201</v>
      </c>
      <c r="Q330" s="383">
        <v>8879316929</v>
      </c>
      <c r="R330" s="383" t="str">
        <f>SUBSTITUTE(Table3937[[#This Row],[whatsapp_number]]," ","")</f>
        <v>8879316929</v>
      </c>
      <c r="S330" s="383" t="str">
        <f>IF(Table3937[[#This Row],[PRIMARY CONTACT]]=Table3937[[#This Row],[WHATSAPP CONTACT]],"Same Contact","Different Contact")</f>
        <v>Same Contact</v>
      </c>
      <c r="T330" s="383" t="str">
        <f>IF(LEN(SUBSTITUTE(Table3937[[#This Row],[PRIMARY CONTACT]]," ",""))=10,SUBSTITUTE(Table3937[[#This Row],[PRIMARY CONTACT]]," ","") &amp; " - Proper","- Follow Up")</f>
        <v>8879316929 - Proper</v>
      </c>
      <c r="U330" s="383" t="s">
        <v>2953</v>
      </c>
      <c r="V330" s="393" t="s">
        <v>1160</v>
      </c>
      <c r="W330" s="383" t="s">
        <v>47</v>
      </c>
      <c r="X330" s="13" t="s">
        <v>170</v>
      </c>
      <c r="Y330" s="13" t="s">
        <v>49</v>
      </c>
      <c r="Z330" s="13" t="s">
        <v>1161</v>
      </c>
      <c r="AA330" s="13" t="s">
        <v>1162</v>
      </c>
      <c r="AB330" s="383"/>
    </row>
    <row r="331" spans="1:28" ht="16.2">
      <c r="A331" s="387">
        <v>330</v>
      </c>
      <c r="B331" s="58" t="s">
        <v>1141</v>
      </c>
      <c r="C331" s="383" t="s">
        <v>10709</v>
      </c>
      <c r="D331" s="383" t="s">
        <v>8890</v>
      </c>
      <c r="E331" s="383" t="s">
        <v>8890</v>
      </c>
      <c r="F331" s="383">
        <v>934</v>
      </c>
      <c r="G331" s="383" t="s">
        <v>71</v>
      </c>
      <c r="H331" s="383" t="s">
        <v>1152</v>
      </c>
      <c r="I331" s="383" t="s">
        <v>8455</v>
      </c>
      <c r="J331" s="383" t="s">
        <v>1145</v>
      </c>
      <c r="K331" s="383" t="s">
        <v>507</v>
      </c>
      <c r="L331" s="383" t="s">
        <v>9691</v>
      </c>
      <c r="M331" s="383" t="s">
        <v>10193</v>
      </c>
      <c r="N331" s="54">
        <v>9004985092</v>
      </c>
      <c r="O331" s="383" t="str">
        <f>IF(LEN(SUBSTITUTE(Table3937[[#This Row],[PRIMARY CONTACT]]," ",""))=10,SUBSTITUTE(Table3937[[#This Row],[PRIMARY CONTACT]]," ","") &amp; " - Proper","- Follow Up")</f>
        <v>9820325251 - Proper</v>
      </c>
      <c r="P331" s="383" t="s">
        <v>3205</v>
      </c>
      <c r="Q331" s="383">
        <v>9820325251</v>
      </c>
      <c r="R331" s="383" t="str">
        <f>SUBSTITUTE(Table3937[[#This Row],[whatsapp_number]]," ","")</f>
        <v>9820325251</v>
      </c>
      <c r="S331" s="383" t="str">
        <f>IF(Table3937[[#This Row],[PRIMARY CONTACT]]=Table3937[[#This Row],[WHATSAPP CONTACT]],"Same Contact","Different Contact")</f>
        <v>Same Contact</v>
      </c>
      <c r="T331" s="383" t="str">
        <f>IF(LEN(SUBSTITUTE(Table3937[[#This Row],[PRIMARY CONTACT]]," ",""))=10,SUBSTITUTE(Table3937[[#This Row],[PRIMARY CONTACT]]," ","") &amp; " - Proper","- Follow Up")</f>
        <v>9820325251 - Proper</v>
      </c>
      <c r="U331" s="383" t="s">
        <v>10573</v>
      </c>
      <c r="V331" s="393" t="s">
        <v>1147</v>
      </c>
      <c r="W331" s="383" t="s">
        <v>47</v>
      </c>
      <c r="X331" s="32" t="s">
        <v>1148</v>
      </c>
      <c r="Y331" s="32" t="s">
        <v>1149</v>
      </c>
      <c r="Z331" s="32" t="s">
        <v>1150</v>
      </c>
      <c r="AA331" s="32" t="s">
        <v>1151</v>
      </c>
      <c r="AB331" s="383"/>
    </row>
    <row r="332" spans="1:28" ht="13.8">
      <c r="A332" s="387">
        <v>331</v>
      </c>
      <c r="B332" s="99" t="s">
        <v>1174</v>
      </c>
      <c r="C332" s="383" t="s">
        <v>10710</v>
      </c>
      <c r="D332" s="383" t="s">
        <v>10952</v>
      </c>
      <c r="E332" s="383" t="s">
        <v>3210</v>
      </c>
      <c r="F332" s="383">
        <v>935</v>
      </c>
      <c r="G332" s="383" t="s">
        <v>71</v>
      </c>
      <c r="H332" s="383" t="s">
        <v>1163</v>
      </c>
      <c r="I332" s="383" t="s">
        <v>1156</v>
      </c>
      <c r="J332" s="383" t="s">
        <v>1177</v>
      </c>
      <c r="K332" s="383" t="s">
        <v>1178</v>
      </c>
      <c r="L332" s="383" t="s">
        <v>9690</v>
      </c>
      <c r="M332" s="383" t="s">
        <v>10194</v>
      </c>
      <c r="N332" s="383" t="s">
        <v>44</v>
      </c>
      <c r="O332" s="383" t="str">
        <f>IF(LEN(SUBSTITUTE(Table3937[[#This Row],[PRIMARY CONTACT]]," ",""))=10,SUBSTITUTE(Table3937[[#This Row],[PRIMARY CONTACT]]," ","") &amp; " - Proper","- Follow Up")</f>
        <v>9833629934 - Proper</v>
      </c>
      <c r="P332" s="383" t="s">
        <v>3201</v>
      </c>
      <c r="Q332" s="383">
        <v>9833629934</v>
      </c>
      <c r="R332" s="383" t="str">
        <f>SUBSTITUTE(Table3937[[#This Row],[whatsapp_number]]," ","")</f>
        <v>9833629934</v>
      </c>
      <c r="S332" s="383" t="str">
        <f>IF(Table3937[[#This Row],[PRIMARY CONTACT]]=Table3937[[#This Row],[WHATSAPP CONTACT]],"Same Contact","Different Contact")</f>
        <v>Same Contact</v>
      </c>
      <c r="T332" s="383" t="str">
        <f>IF(LEN(SUBSTITUTE(Table3937[[#This Row],[PRIMARY CONTACT]]," ",""))=10,SUBSTITUTE(Table3937[[#This Row],[PRIMARY CONTACT]]," ","") &amp; " - Proper","- Follow Up")</f>
        <v>9833629934 - Proper</v>
      </c>
      <c r="U332" s="383" t="s">
        <v>3057</v>
      </c>
      <c r="V332" s="393" t="s">
        <v>1160</v>
      </c>
      <c r="W332" s="383" t="s">
        <v>47</v>
      </c>
      <c r="X332" s="101" t="s">
        <v>300</v>
      </c>
      <c r="Y332" s="101" t="s">
        <v>301</v>
      </c>
      <c r="Z332" s="101" t="s">
        <v>1179</v>
      </c>
      <c r="AA332" s="101" t="s">
        <v>1162</v>
      </c>
      <c r="AB332" s="383"/>
    </row>
    <row r="333" spans="1:28" ht="13.8">
      <c r="A333" s="387">
        <v>332</v>
      </c>
      <c r="B333" s="99" t="s">
        <v>1169</v>
      </c>
      <c r="C333" s="383" t="s">
        <v>10710</v>
      </c>
      <c r="D333" s="383" t="s">
        <v>10953</v>
      </c>
      <c r="E333" s="383" t="s">
        <v>3207</v>
      </c>
      <c r="F333" s="383">
        <v>936</v>
      </c>
      <c r="G333" s="383" t="s">
        <v>71</v>
      </c>
      <c r="H333" s="383" t="s">
        <v>1163</v>
      </c>
      <c r="I333" s="383" t="s">
        <v>1156</v>
      </c>
      <c r="J333" s="383" t="s">
        <v>1172</v>
      </c>
      <c r="K333" s="383" t="s">
        <v>1173</v>
      </c>
      <c r="L333" s="383" t="s">
        <v>9692</v>
      </c>
      <c r="M333" s="383" t="s">
        <v>10195</v>
      </c>
      <c r="N333" s="383" t="s">
        <v>44</v>
      </c>
      <c r="O333" s="383" t="str">
        <f>IF(LEN(SUBSTITUTE(Table3937[[#This Row],[PRIMARY CONTACT]]," ",""))=10,SUBSTITUTE(Table3937[[#This Row],[PRIMARY CONTACT]]," ","") &amp; " - Proper","- Follow Up")</f>
        <v>8369075554 - Proper</v>
      </c>
      <c r="P333" s="383" t="s">
        <v>3201</v>
      </c>
      <c r="Q333" s="383">
        <v>8369075554</v>
      </c>
      <c r="R333" s="383" t="str">
        <f>SUBSTITUTE(Table3937[[#This Row],[whatsapp_number]]," ","")</f>
        <v>8369075554</v>
      </c>
      <c r="S333" s="383" t="str">
        <f>IF(Table3937[[#This Row],[PRIMARY CONTACT]]=Table3937[[#This Row],[WHATSAPP CONTACT]],"Same Contact","Different Contact")</f>
        <v>Same Contact</v>
      </c>
      <c r="T333" s="383" t="str">
        <f>IF(LEN(SUBSTITUTE(Table3937[[#This Row],[PRIMARY CONTACT]]," ",""))=10,SUBSTITUTE(Table3937[[#This Row],[PRIMARY CONTACT]]," ","") &amp; " - Proper","- Follow Up")</f>
        <v>8369075554 - Proper</v>
      </c>
      <c r="U333" s="383" t="s">
        <v>2953</v>
      </c>
      <c r="V333" s="393" t="s">
        <v>1160</v>
      </c>
      <c r="W333" s="383" t="s">
        <v>47</v>
      </c>
      <c r="X333" s="101" t="s">
        <v>170</v>
      </c>
      <c r="Y333" s="101" t="s">
        <v>49</v>
      </c>
      <c r="Z333" s="101" t="s">
        <v>1161</v>
      </c>
      <c r="AA333" s="101" t="s">
        <v>1162</v>
      </c>
      <c r="AB333" s="383"/>
    </row>
    <row r="334" spans="1:28" ht="13.8">
      <c r="A334" s="387">
        <v>333</v>
      </c>
      <c r="B334" s="99" t="s">
        <v>1180</v>
      </c>
      <c r="C334" s="383" t="s">
        <v>10710</v>
      </c>
      <c r="D334" s="383" t="s">
        <v>10954</v>
      </c>
      <c r="E334" s="383" t="s">
        <v>3212</v>
      </c>
      <c r="F334" s="383">
        <v>938</v>
      </c>
      <c r="G334" s="383" t="s">
        <v>71</v>
      </c>
      <c r="H334" s="383" t="s">
        <v>1163</v>
      </c>
      <c r="I334" s="383" t="s">
        <v>1156</v>
      </c>
      <c r="J334" s="383" t="s">
        <v>1183</v>
      </c>
      <c r="K334" s="383" t="s">
        <v>1184</v>
      </c>
      <c r="L334" s="383" t="s">
        <v>9693</v>
      </c>
      <c r="M334" s="383" t="s">
        <v>10196</v>
      </c>
      <c r="N334" s="383" t="s">
        <v>44</v>
      </c>
      <c r="O334" s="383" t="str">
        <f>IF(LEN(SUBSTITUTE(Table3937[[#This Row],[PRIMARY CONTACT]]," ",""))=10,SUBSTITUTE(Table3937[[#This Row],[PRIMARY CONTACT]]," ","") &amp; " - Proper","- Follow Up")</f>
        <v>8104672056 - Proper</v>
      </c>
      <c r="P334" s="383" t="s">
        <v>3201</v>
      </c>
      <c r="Q334" s="383">
        <v>8104672056</v>
      </c>
      <c r="R334" s="383" t="str">
        <f>SUBSTITUTE(Table3937[[#This Row],[whatsapp_number]]," ","")</f>
        <v>8104672056</v>
      </c>
      <c r="S334" s="383" t="str">
        <f>IF(Table3937[[#This Row],[PRIMARY CONTACT]]=Table3937[[#This Row],[WHATSAPP CONTACT]],"Same Contact","Different Contact")</f>
        <v>Same Contact</v>
      </c>
      <c r="T334" s="383" t="str">
        <f>IF(LEN(SUBSTITUTE(Table3937[[#This Row],[PRIMARY CONTACT]]," ",""))=10,SUBSTITUTE(Table3937[[#This Row],[PRIMARY CONTACT]]," ","") &amp; " - Proper","- Follow Up")</f>
        <v>8104672056 - Proper</v>
      </c>
      <c r="U334" s="383" t="s">
        <v>2953</v>
      </c>
      <c r="V334" s="393" t="s">
        <v>1160</v>
      </c>
      <c r="W334" s="383" t="s">
        <v>47</v>
      </c>
      <c r="X334" s="101" t="s">
        <v>311</v>
      </c>
      <c r="Y334" s="101" t="s">
        <v>312</v>
      </c>
      <c r="Z334" s="101" t="s">
        <v>1185</v>
      </c>
      <c r="AA334" s="101" t="s">
        <v>1162</v>
      </c>
      <c r="AB334" s="383"/>
    </row>
    <row r="335" spans="1:28" ht="13.8">
      <c r="A335" s="387">
        <v>334</v>
      </c>
      <c r="B335" s="44" t="s">
        <v>1186</v>
      </c>
      <c r="C335" s="383" t="s">
        <v>10709</v>
      </c>
      <c r="D335" s="383" t="s">
        <v>10955</v>
      </c>
      <c r="E335" s="383" t="s">
        <v>3215</v>
      </c>
      <c r="F335" s="383">
        <v>939</v>
      </c>
      <c r="G335" s="383" t="s">
        <v>1193</v>
      </c>
      <c r="H335" s="383" t="s">
        <v>1194</v>
      </c>
      <c r="I335" s="383" t="s">
        <v>1189</v>
      </c>
      <c r="J335" s="383" t="s">
        <v>1190</v>
      </c>
      <c r="K335" s="383" t="s">
        <v>9533</v>
      </c>
      <c r="L335" s="383" t="s">
        <v>9694</v>
      </c>
      <c r="M335" s="383" t="s">
        <v>10197</v>
      </c>
      <c r="N335" s="9" t="s">
        <v>44</v>
      </c>
      <c r="O335" s="383" t="str">
        <f>IF(LEN(SUBSTITUTE(Table3937[[#This Row],[PRIMARY CONTACT]]," ",""))=10,SUBSTITUTE(Table3937[[#This Row],[PRIMARY CONTACT]]," ","") &amp; " - Proper","- Follow Up")</f>
        <v>7044213777 - Proper</v>
      </c>
      <c r="P335" s="383" t="s">
        <v>3218</v>
      </c>
      <c r="Q335" s="383">
        <v>7044213777</v>
      </c>
      <c r="R335" s="383" t="str">
        <f>SUBSTITUTE(Table3937[[#This Row],[whatsapp_number]]," ","")</f>
        <v>7044213777</v>
      </c>
      <c r="S335" s="383" t="str">
        <f>IF(Table3937[[#This Row],[PRIMARY CONTACT]]=Table3937[[#This Row],[WHATSAPP CONTACT]],"Same Contact","Different Contact")</f>
        <v>Same Contact</v>
      </c>
      <c r="T335" s="383" t="str">
        <f>IF(LEN(SUBSTITUTE(Table3937[[#This Row],[PRIMARY CONTACT]]," ",""))=10,SUBSTITUTE(Table3937[[#This Row],[PRIMARY CONTACT]]," ","") &amp; " - Proper","- Follow Up")</f>
        <v>7044213777 - Proper</v>
      </c>
      <c r="U335" s="383" t="s">
        <v>8341</v>
      </c>
      <c r="V335" s="393" t="s">
        <v>1192</v>
      </c>
      <c r="W335" s="383" t="s">
        <v>47</v>
      </c>
      <c r="X335" s="18" t="s">
        <v>395</v>
      </c>
      <c r="Y335" s="18" t="s">
        <v>395</v>
      </c>
      <c r="Z335" s="18" t="s">
        <v>395</v>
      </c>
      <c r="AA335" s="18" t="s">
        <v>395</v>
      </c>
      <c r="AB335" s="383"/>
    </row>
    <row r="336" spans="1:28" ht="13.8">
      <c r="A336" s="387">
        <v>335</v>
      </c>
      <c r="B336" s="58" t="s">
        <v>1195</v>
      </c>
      <c r="C336" s="383" t="s">
        <v>10709</v>
      </c>
      <c r="D336" s="383" t="s">
        <v>10956</v>
      </c>
      <c r="E336" s="383" t="s">
        <v>3219</v>
      </c>
      <c r="F336" s="383">
        <v>946</v>
      </c>
      <c r="G336" s="383" t="s">
        <v>1206</v>
      </c>
      <c r="H336" s="383" t="s">
        <v>1207</v>
      </c>
      <c r="I336" s="383" t="s">
        <v>1198</v>
      </c>
      <c r="J336" s="383" t="s">
        <v>1199</v>
      </c>
      <c r="K336" s="383" t="s">
        <v>116</v>
      </c>
      <c r="L336" s="383" t="s">
        <v>9695</v>
      </c>
      <c r="M336" s="383" t="s">
        <v>10198</v>
      </c>
      <c r="N336" s="18" t="s">
        <v>44</v>
      </c>
      <c r="O336" s="383" t="str">
        <f>IF(LEN(SUBSTITUTE(Table3937[[#This Row],[PRIMARY CONTACT]]," ",""))=10,SUBSTITUTE(Table3937[[#This Row],[PRIMARY CONTACT]]," ","") &amp; " - Proper","- Follow Up")</f>
        <v>8850070778 - Proper</v>
      </c>
      <c r="P336" s="383" t="s">
        <v>3221</v>
      </c>
      <c r="Q336" s="383">
        <v>8850070778</v>
      </c>
      <c r="R336" s="383" t="str">
        <f>SUBSTITUTE(Table3937[[#This Row],[whatsapp_number]]," ","")</f>
        <v>8850070778</v>
      </c>
      <c r="S336" s="383" t="str">
        <f>IF(Table3937[[#This Row],[PRIMARY CONTACT]]=Table3937[[#This Row],[WHATSAPP CONTACT]],"Same Contact","Different Contact")</f>
        <v>Same Contact</v>
      </c>
      <c r="T336" s="383" t="str">
        <f>IF(LEN(SUBSTITUTE(Table3937[[#This Row],[PRIMARY CONTACT]]," ",""))=10,SUBSTITUTE(Table3937[[#This Row],[PRIMARY CONTACT]]," ","") &amp; " - Proper","- Follow Up")</f>
        <v>8850070778 - Proper</v>
      </c>
      <c r="U336" s="383" t="s">
        <v>3057</v>
      </c>
      <c r="V336" s="393" t="s">
        <v>1201</v>
      </c>
      <c r="W336" s="383" t="s">
        <v>47</v>
      </c>
      <c r="X336" s="51" t="s">
        <v>1202</v>
      </c>
      <c r="Y336" s="51" t="s">
        <v>1203</v>
      </c>
      <c r="Z336" s="51" t="s">
        <v>1204</v>
      </c>
      <c r="AA336" s="51" t="s">
        <v>1205</v>
      </c>
      <c r="AB336" s="383"/>
    </row>
    <row r="337" spans="1:28" ht="13.8">
      <c r="A337" s="387">
        <v>336</v>
      </c>
      <c r="B337" s="58" t="s">
        <v>1214</v>
      </c>
      <c r="C337" s="383" t="s">
        <v>10709</v>
      </c>
      <c r="D337" s="383" t="s">
        <v>10956</v>
      </c>
      <c r="E337" s="383" t="s">
        <v>3222</v>
      </c>
      <c r="F337" s="383">
        <v>947</v>
      </c>
      <c r="G337" s="383" t="s">
        <v>1223</v>
      </c>
      <c r="H337" s="383" t="s">
        <v>1224</v>
      </c>
      <c r="I337" s="383" t="s">
        <v>8456</v>
      </c>
      <c r="J337" s="383" t="s">
        <v>1199</v>
      </c>
      <c r="K337" s="383" t="s">
        <v>1218</v>
      </c>
      <c r="L337" s="383" t="s">
        <v>9696</v>
      </c>
      <c r="M337" s="383" t="s">
        <v>10198</v>
      </c>
      <c r="N337" s="29" t="s">
        <v>44</v>
      </c>
      <c r="O337" s="383" t="str">
        <f>IF(LEN(SUBSTITUTE(Table3937[[#This Row],[PRIMARY CONTACT]]," ",""))=10,SUBSTITUTE(Table3937[[#This Row],[PRIMARY CONTACT]]," ","") &amp; " - Proper","- Follow Up")</f>
        <v>8850070778 - Proper</v>
      </c>
      <c r="P337" s="383" t="s">
        <v>3221</v>
      </c>
      <c r="Q337" s="383">
        <v>8850070778</v>
      </c>
      <c r="R337" s="383" t="str">
        <f>SUBSTITUTE(Table3937[[#This Row],[whatsapp_number]]," ","")</f>
        <v>8850070778</v>
      </c>
      <c r="S337" s="383" t="str">
        <f>IF(Table3937[[#This Row],[PRIMARY CONTACT]]=Table3937[[#This Row],[WHATSAPP CONTACT]],"Same Contact","Different Contact")</f>
        <v>Same Contact</v>
      </c>
      <c r="T337" s="383" t="str">
        <f>IF(LEN(SUBSTITUTE(Table3937[[#This Row],[PRIMARY CONTACT]]," ",""))=10,SUBSTITUTE(Table3937[[#This Row],[PRIMARY CONTACT]]," ","") &amp; " - Proper","- Follow Up")</f>
        <v>8850070778 - Proper</v>
      </c>
      <c r="U337" s="383" t="s">
        <v>8341</v>
      </c>
      <c r="V337" s="393" t="s">
        <v>1219</v>
      </c>
      <c r="W337" s="383" t="s">
        <v>47</v>
      </c>
      <c r="X337" s="51" t="s">
        <v>1220</v>
      </c>
      <c r="Y337" s="51" t="s">
        <v>49</v>
      </c>
      <c r="Z337" s="51" t="s">
        <v>1221</v>
      </c>
      <c r="AA337" s="51" t="s">
        <v>1222</v>
      </c>
      <c r="AB337" s="383"/>
    </row>
    <row r="338" spans="1:28" ht="13.8">
      <c r="A338" s="387">
        <v>337</v>
      </c>
      <c r="B338" s="58" t="s">
        <v>1239</v>
      </c>
      <c r="C338" s="383" t="s">
        <v>10709</v>
      </c>
      <c r="D338" s="383" t="s">
        <v>10957</v>
      </c>
      <c r="E338" s="383" t="s">
        <v>3225</v>
      </c>
      <c r="F338" s="383">
        <v>948</v>
      </c>
      <c r="G338" s="383" t="s">
        <v>1249</v>
      </c>
      <c r="H338" s="383" t="s">
        <v>1250</v>
      </c>
      <c r="I338" s="383" t="s">
        <v>8457</v>
      </c>
      <c r="J338" s="383" t="s">
        <v>1243</v>
      </c>
      <c r="K338" s="383" t="s">
        <v>534</v>
      </c>
      <c r="L338" s="383" t="s">
        <v>9697</v>
      </c>
      <c r="M338" s="383" t="s">
        <v>10199</v>
      </c>
      <c r="N338" s="29" t="s">
        <v>44</v>
      </c>
      <c r="O338" s="383" t="str">
        <f>IF(LEN(SUBSTITUTE(Table3937[[#This Row],[PRIMARY CONTACT]]," ",""))=10,SUBSTITUTE(Table3937[[#This Row],[PRIMARY CONTACT]]," ","") &amp; " - Proper","- Follow Up")</f>
        <v>9820768266 - Proper</v>
      </c>
      <c r="P338" s="383" t="s">
        <v>3228</v>
      </c>
      <c r="Q338" s="383">
        <v>9820768266</v>
      </c>
      <c r="R338" s="383" t="str">
        <f>SUBSTITUTE(Table3937[[#This Row],[whatsapp_number]]," ","")</f>
        <v>9820768266</v>
      </c>
      <c r="S338" s="383" t="str">
        <f>IF(Table3937[[#This Row],[PRIMARY CONTACT]]=Table3937[[#This Row],[WHATSAPP CONTACT]],"Same Contact","Different Contact")</f>
        <v>Same Contact</v>
      </c>
      <c r="T338" s="383" t="str">
        <f>IF(LEN(SUBSTITUTE(Table3937[[#This Row],[PRIMARY CONTACT]]," ",""))=10,SUBSTITUTE(Table3937[[#This Row],[PRIMARY CONTACT]]," ","") &amp; " - Proper","- Follow Up")</f>
        <v>9820768266 - Proper</v>
      </c>
      <c r="U338" s="383" t="s">
        <v>10574</v>
      </c>
      <c r="V338" s="393" t="s">
        <v>1245</v>
      </c>
      <c r="W338" s="383" t="s">
        <v>47</v>
      </c>
      <c r="X338" s="51" t="s">
        <v>1246</v>
      </c>
      <c r="Y338" s="51" t="s">
        <v>49</v>
      </c>
      <c r="Z338" s="51" t="s">
        <v>1247</v>
      </c>
      <c r="AA338" s="51" t="s">
        <v>1248</v>
      </c>
      <c r="AB338" s="383"/>
    </row>
    <row r="339" spans="1:28" ht="13.8">
      <c r="A339" s="387">
        <v>338</v>
      </c>
      <c r="B339" s="92" t="s">
        <v>1251</v>
      </c>
      <c r="C339" s="383" t="s">
        <v>10709</v>
      </c>
      <c r="D339" s="383" t="s">
        <v>10722</v>
      </c>
      <c r="E339" s="383" t="s">
        <v>8891</v>
      </c>
      <c r="F339" s="383">
        <v>951</v>
      </c>
      <c r="G339" s="383" t="s">
        <v>71</v>
      </c>
      <c r="H339" s="383" t="s">
        <v>1260</v>
      </c>
      <c r="I339" s="383" t="s">
        <v>8458</v>
      </c>
      <c r="J339" s="383" t="s">
        <v>1255</v>
      </c>
      <c r="K339" s="383" t="s">
        <v>1256</v>
      </c>
      <c r="L339" s="383" t="s">
        <v>9672</v>
      </c>
      <c r="M339" s="383" t="s">
        <v>10200</v>
      </c>
      <c r="N339" s="29" t="s">
        <v>44</v>
      </c>
      <c r="O339" s="383" t="str">
        <f>IF(LEN(SUBSTITUTE(Table3937[[#This Row],[PRIMARY CONTACT]]," ",""))=10,SUBSTITUTE(Table3937[[#This Row],[PRIMARY CONTACT]]," ","") &amp; " - Proper","- Follow Up")</f>
        <v>9820735575 - Proper</v>
      </c>
      <c r="P339" s="383" t="s">
        <v>3232</v>
      </c>
      <c r="Q339" s="383">
        <v>9820735575</v>
      </c>
      <c r="R339" s="383" t="str">
        <f>SUBSTITUTE(Table3937[[#This Row],[whatsapp_number]]," ","")</f>
        <v>9820735575</v>
      </c>
      <c r="S339" s="383" t="str">
        <f>IF(Table3937[[#This Row],[PRIMARY CONTACT]]=Table3937[[#This Row],[WHATSAPP CONTACT]],"Same Contact","Different Contact")</f>
        <v>Same Contact</v>
      </c>
      <c r="T339" s="383" t="str">
        <f>IF(LEN(SUBSTITUTE(Table3937[[#This Row],[PRIMARY CONTACT]]," ",""))=10,SUBSTITUTE(Table3937[[#This Row],[PRIMARY CONTACT]]," ","") &amp; " - Proper","- Follow Up")</f>
        <v>9820735575 - Proper</v>
      </c>
      <c r="U339" s="383" t="s">
        <v>2953</v>
      </c>
      <c r="V339" s="383" t="s">
        <v>71</v>
      </c>
      <c r="W339" s="383" t="s">
        <v>47</v>
      </c>
      <c r="X339" s="51" t="s">
        <v>1258</v>
      </c>
      <c r="Y339" s="51" t="s">
        <v>1259</v>
      </c>
      <c r="Z339" s="51" t="s">
        <v>1259</v>
      </c>
      <c r="AA339" s="51" t="s">
        <v>1258</v>
      </c>
      <c r="AB339" s="383"/>
    </row>
    <row r="340" spans="1:28" ht="13.8">
      <c r="A340" s="387">
        <v>339</v>
      </c>
      <c r="B340" s="92" t="s">
        <v>1271</v>
      </c>
      <c r="C340" s="383" t="s">
        <v>10709</v>
      </c>
      <c r="D340" s="383" t="s">
        <v>10958</v>
      </c>
      <c r="E340" s="383" t="s">
        <v>3233</v>
      </c>
      <c r="F340" s="383">
        <v>952</v>
      </c>
      <c r="G340" s="383" t="s">
        <v>71</v>
      </c>
      <c r="H340" s="383" t="s">
        <v>1281</v>
      </c>
      <c r="I340" s="383" t="s">
        <v>1274</v>
      </c>
      <c r="J340" s="383" t="s">
        <v>1275</v>
      </c>
      <c r="K340" s="383" t="s">
        <v>534</v>
      </c>
      <c r="L340" s="383" t="s">
        <v>9673</v>
      </c>
      <c r="M340" s="383" t="s">
        <v>10201</v>
      </c>
      <c r="N340" s="29" t="s">
        <v>44</v>
      </c>
      <c r="O340" s="383" t="str">
        <f>IF(LEN(SUBSTITUTE(Table3937[[#This Row],[PRIMARY CONTACT]]," ",""))=10,SUBSTITUTE(Table3937[[#This Row],[PRIMARY CONTACT]]," ","") &amp; " - Proper","- Follow Up")</f>
        <v>9323195233 - Proper</v>
      </c>
      <c r="P340" s="383" t="s">
        <v>3235</v>
      </c>
      <c r="Q340" s="383">
        <v>9323195233</v>
      </c>
      <c r="R340" s="383" t="str">
        <f>SUBSTITUTE(Table3937[[#This Row],[whatsapp_number]]," ","")</f>
        <v>9323195233</v>
      </c>
      <c r="S340" s="383" t="str">
        <f>IF(Table3937[[#This Row],[PRIMARY CONTACT]]=Table3937[[#This Row],[WHATSAPP CONTACT]],"Same Contact","Different Contact")</f>
        <v>Same Contact</v>
      </c>
      <c r="T340" s="383" t="str">
        <f>IF(LEN(SUBSTITUTE(Table3937[[#This Row],[PRIMARY CONTACT]]," ",""))=10,SUBSTITUTE(Table3937[[#This Row],[PRIMARY CONTACT]]," ","") &amp; " - Proper","- Follow Up")</f>
        <v>9323195233 - Proper</v>
      </c>
      <c r="U340" s="383" t="s">
        <v>8341</v>
      </c>
      <c r="V340" s="383" t="s">
        <v>71</v>
      </c>
      <c r="W340" s="383" t="s">
        <v>47</v>
      </c>
      <c r="X340" s="51" t="s">
        <v>1277</v>
      </c>
      <c r="Y340" s="51" t="s">
        <v>1278</v>
      </c>
      <c r="Z340" s="51" t="s">
        <v>1279</v>
      </c>
      <c r="AA340" s="51" t="s">
        <v>1280</v>
      </c>
      <c r="AB340" s="383"/>
    </row>
    <row r="341" spans="1:28" ht="13.8">
      <c r="A341" s="387">
        <v>340</v>
      </c>
      <c r="B341" s="99" t="s">
        <v>1282</v>
      </c>
      <c r="C341" s="383" t="s">
        <v>10709</v>
      </c>
      <c r="D341" s="383" t="s">
        <v>10959</v>
      </c>
      <c r="E341" s="383" t="s">
        <v>8892</v>
      </c>
      <c r="F341" s="383">
        <v>953</v>
      </c>
      <c r="G341" s="383" t="s">
        <v>71</v>
      </c>
      <c r="H341" s="383" t="s">
        <v>1292</v>
      </c>
      <c r="I341" s="383" t="s">
        <v>8459</v>
      </c>
      <c r="J341" s="383" t="s">
        <v>1286</v>
      </c>
      <c r="K341" s="383" t="s">
        <v>1287</v>
      </c>
      <c r="L341" s="383" t="s">
        <v>9698</v>
      </c>
      <c r="M341" s="383" t="s">
        <v>10202</v>
      </c>
      <c r="N341" s="29" t="s">
        <v>44</v>
      </c>
      <c r="O341" s="383" t="str">
        <f>IF(LEN(SUBSTITUTE(Table3937[[#This Row],[PRIMARY CONTACT]]," ",""))=10,SUBSTITUTE(Table3937[[#This Row],[PRIMARY CONTACT]]," ","") &amp; " - Proper","- Follow Up")</f>
        <v>9004477002 - Proper</v>
      </c>
      <c r="P341" s="383" t="s">
        <v>3238</v>
      </c>
      <c r="Q341" s="383">
        <v>9004477002</v>
      </c>
      <c r="R341" s="383" t="str">
        <f>SUBSTITUTE(Table3937[[#This Row],[whatsapp_number]]," ","")</f>
        <v>9004477002</v>
      </c>
      <c r="S341" s="383" t="str">
        <f>IF(Table3937[[#This Row],[PRIMARY CONTACT]]=Table3937[[#This Row],[WHATSAPP CONTACT]],"Same Contact","Different Contact")</f>
        <v>Same Contact</v>
      </c>
      <c r="T341" s="383" t="str">
        <f>IF(LEN(SUBSTITUTE(Table3937[[#This Row],[PRIMARY CONTACT]]," ",""))=10,SUBSTITUTE(Table3937[[#This Row],[PRIMARY CONTACT]]," ","") &amp; " - Proper","- Follow Up")</f>
        <v>9004477002 - Proper</v>
      </c>
      <c r="U341" s="383" t="s">
        <v>2953</v>
      </c>
      <c r="V341" s="393" t="s">
        <v>1289</v>
      </c>
      <c r="W341" s="383" t="s">
        <v>47</v>
      </c>
      <c r="X341" s="105" t="s">
        <v>170</v>
      </c>
      <c r="Y341" s="105" t="s">
        <v>49</v>
      </c>
      <c r="Z341" s="105" t="s">
        <v>1290</v>
      </c>
      <c r="AA341" s="105" t="s">
        <v>1291</v>
      </c>
      <c r="AB341" s="383"/>
    </row>
    <row r="342" spans="1:28" ht="13.8">
      <c r="A342" s="387">
        <v>341</v>
      </c>
      <c r="B342" s="44" t="s">
        <v>1299</v>
      </c>
      <c r="C342" s="383" t="s">
        <v>10709</v>
      </c>
      <c r="D342" s="383" t="s">
        <v>10960</v>
      </c>
      <c r="E342" s="383" t="s">
        <v>3239</v>
      </c>
      <c r="F342" s="383">
        <v>954</v>
      </c>
      <c r="G342" s="383" t="s">
        <v>71</v>
      </c>
      <c r="H342" s="383" t="s">
        <v>1310</v>
      </c>
      <c r="I342" s="383" t="s">
        <v>1302</v>
      </c>
      <c r="J342" s="383" t="s">
        <v>1303</v>
      </c>
      <c r="K342" s="383" t="s">
        <v>191</v>
      </c>
      <c r="L342" s="383" t="s">
        <v>9676</v>
      </c>
      <c r="M342" s="383" t="s">
        <v>10203</v>
      </c>
      <c r="N342" s="9" t="s">
        <v>44</v>
      </c>
      <c r="O342" s="383" t="str">
        <f>IF(LEN(SUBSTITUTE(Table3937[[#This Row],[PRIMARY CONTACT]]," ",""))=10,SUBSTITUTE(Table3937[[#This Row],[PRIMARY CONTACT]]," ","") &amp; " - Proper","- Follow Up")</f>
        <v>9820941012 - Proper</v>
      </c>
      <c r="P342" s="383" t="s">
        <v>3241</v>
      </c>
      <c r="Q342" s="383">
        <v>9820941012</v>
      </c>
      <c r="R342" s="383" t="str">
        <f>SUBSTITUTE(Table3937[[#This Row],[whatsapp_number]]," ","")</f>
        <v>9820941012</v>
      </c>
      <c r="S342" s="383" t="str">
        <f>IF(Table3937[[#This Row],[PRIMARY CONTACT]]=Table3937[[#This Row],[WHATSAPP CONTACT]],"Same Contact","Different Contact")</f>
        <v>Same Contact</v>
      </c>
      <c r="T342" s="383" t="str">
        <f>IF(LEN(SUBSTITUTE(Table3937[[#This Row],[PRIMARY CONTACT]]," ",""))=10,SUBSTITUTE(Table3937[[#This Row],[PRIMARY CONTACT]]," ","") &amp; " - Proper","- Follow Up")</f>
        <v>9820941012 - Proper</v>
      </c>
      <c r="U342" s="383" t="s">
        <v>3057</v>
      </c>
      <c r="V342" s="393" t="s">
        <v>1305</v>
      </c>
      <c r="W342" s="383" t="s">
        <v>47</v>
      </c>
      <c r="X342" s="24" t="s">
        <v>1306</v>
      </c>
      <c r="Y342" s="24" t="s">
        <v>1307</v>
      </c>
      <c r="Z342" s="24" t="s">
        <v>1308</v>
      </c>
      <c r="AA342" s="24" t="s">
        <v>1309</v>
      </c>
      <c r="AB342" s="383"/>
    </row>
    <row r="343" spans="1:28" ht="13.8">
      <c r="A343" s="387">
        <v>342</v>
      </c>
      <c r="B343" s="44" t="s">
        <v>1311</v>
      </c>
      <c r="C343" s="383" t="s">
        <v>10709</v>
      </c>
      <c r="D343" s="383" t="s">
        <v>10961</v>
      </c>
      <c r="E343" s="383" t="s">
        <v>3242</v>
      </c>
      <c r="F343" s="383">
        <v>955</v>
      </c>
      <c r="G343" s="383" t="s">
        <v>71</v>
      </c>
      <c r="H343" s="383" t="s">
        <v>1318</v>
      </c>
      <c r="I343" s="383" t="s">
        <v>1302</v>
      </c>
      <c r="J343" s="383" t="s">
        <v>1314</v>
      </c>
      <c r="K343" s="383" t="s">
        <v>1315</v>
      </c>
      <c r="L343" s="383" t="s">
        <v>9676</v>
      </c>
      <c r="M343" s="383" t="s">
        <v>10204</v>
      </c>
      <c r="N343" s="18" t="s">
        <v>44</v>
      </c>
      <c r="O343" s="383" t="str">
        <f>IF(LEN(SUBSTITUTE(Table3937[[#This Row],[PRIMARY CONTACT]]," ",""))=10,SUBSTITUTE(Table3937[[#This Row],[PRIMARY CONTACT]]," ","") &amp; " - Proper","- Follow Up")</f>
        <v>8149634693 - Proper</v>
      </c>
      <c r="P343" s="383" t="s">
        <v>3241</v>
      </c>
      <c r="Q343" s="383">
        <v>8149634693</v>
      </c>
      <c r="R343" s="383" t="str">
        <f>SUBSTITUTE(Table3937[[#This Row],[whatsapp_number]]," ","")</f>
        <v>8149634693</v>
      </c>
      <c r="S343" s="383" t="str">
        <f>IF(Table3937[[#This Row],[PRIMARY CONTACT]]=Table3937[[#This Row],[WHATSAPP CONTACT]],"Same Contact","Different Contact")</f>
        <v>Same Contact</v>
      </c>
      <c r="T343" s="383" t="str">
        <f>IF(LEN(SUBSTITUTE(Table3937[[#This Row],[PRIMARY CONTACT]]," ",""))=10,SUBSTITUTE(Table3937[[#This Row],[PRIMARY CONTACT]]," ","") &amp; " - Proper","- Follow Up")</f>
        <v>8149634693 - Proper</v>
      </c>
      <c r="U343" s="383" t="s">
        <v>2953</v>
      </c>
      <c r="V343" s="393" t="s">
        <v>1305</v>
      </c>
      <c r="W343" s="383" t="s">
        <v>47</v>
      </c>
      <c r="X343" s="24" t="s">
        <v>1316</v>
      </c>
      <c r="Y343" s="24" t="s">
        <v>1317</v>
      </c>
      <c r="Z343" s="24" t="s">
        <v>1308</v>
      </c>
      <c r="AA343" s="24" t="s">
        <v>1309</v>
      </c>
      <c r="AB343" s="383"/>
    </row>
    <row r="344" spans="1:28" ht="13.8">
      <c r="A344" s="387">
        <v>343</v>
      </c>
      <c r="B344" s="44" t="s">
        <v>1319</v>
      </c>
      <c r="C344" s="383" t="s">
        <v>10709</v>
      </c>
      <c r="D344" s="383" t="s">
        <v>10962</v>
      </c>
      <c r="E344" s="383" t="s">
        <v>3244</v>
      </c>
      <c r="F344" s="383">
        <v>956</v>
      </c>
      <c r="G344" s="383" t="s">
        <v>71</v>
      </c>
      <c r="H344" s="383" t="s">
        <v>1326</v>
      </c>
      <c r="I344" s="383" t="s">
        <v>1302</v>
      </c>
      <c r="J344" s="383" t="s">
        <v>1322</v>
      </c>
      <c r="K344" s="383" t="s">
        <v>1323</v>
      </c>
      <c r="L344" s="383" t="s">
        <v>9676</v>
      </c>
      <c r="M344" s="383" t="s">
        <v>10205</v>
      </c>
      <c r="N344" s="18" t="s">
        <v>44</v>
      </c>
      <c r="O344" s="383" t="str">
        <f>IF(LEN(SUBSTITUTE(Table3937[[#This Row],[PRIMARY CONTACT]]," ",""))=10,SUBSTITUTE(Table3937[[#This Row],[PRIMARY CONTACT]]," ","") &amp; " - Proper","- Follow Up")</f>
        <v>9867267202 - Proper</v>
      </c>
      <c r="P344" s="383" t="s">
        <v>3241</v>
      </c>
      <c r="Q344" s="383">
        <v>9867267202</v>
      </c>
      <c r="R344" s="383" t="str">
        <f>SUBSTITUTE(Table3937[[#This Row],[whatsapp_number]]," ","")</f>
        <v>9867267202</v>
      </c>
      <c r="S344" s="383" t="str">
        <f>IF(Table3937[[#This Row],[PRIMARY CONTACT]]=Table3937[[#This Row],[WHATSAPP CONTACT]],"Same Contact","Different Contact")</f>
        <v>Same Contact</v>
      </c>
      <c r="T344" s="383" t="str">
        <f>IF(LEN(SUBSTITUTE(Table3937[[#This Row],[PRIMARY CONTACT]]," ",""))=10,SUBSTITUTE(Table3937[[#This Row],[PRIMARY CONTACT]]," ","") &amp; " - Proper","- Follow Up")</f>
        <v>9867267202 - Proper</v>
      </c>
      <c r="U344" s="383" t="s">
        <v>2953</v>
      </c>
      <c r="V344" s="393" t="s">
        <v>1305</v>
      </c>
      <c r="W344" s="383" t="s">
        <v>47</v>
      </c>
      <c r="X344" s="24" t="s">
        <v>1324</v>
      </c>
      <c r="Y344" s="24" t="s">
        <v>1325</v>
      </c>
      <c r="Z344" s="24" t="s">
        <v>1308</v>
      </c>
      <c r="AA344" s="24" t="s">
        <v>1309</v>
      </c>
      <c r="AB344" s="383"/>
    </row>
    <row r="345" spans="1:28" ht="13.8">
      <c r="A345" s="387">
        <v>344</v>
      </c>
      <c r="B345" s="44" t="s">
        <v>1327</v>
      </c>
      <c r="C345" s="383" t="s">
        <v>10709</v>
      </c>
      <c r="D345" s="383" t="s">
        <v>10963</v>
      </c>
      <c r="E345" s="383" t="s">
        <v>3246</v>
      </c>
      <c r="F345" s="383">
        <v>958</v>
      </c>
      <c r="G345" s="383" t="s">
        <v>71</v>
      </c>
      <c r="H345" s="383" t="s">
        <v>1333</v>
      </c>
      <c r="I345" s="383" t="s">
        <v>1302</v>
      </c>
      <c r="J345" s="383" t="s">
        <v>1329</v>
      </c>
      <c r="K345" s="383" t="s">
        <v>1330</v>
      </c>
      <c r="L345" s="383" t="s">
        <v>9676</v>
      </c>
      <c r="M345" s="383" t="s">
        <v>10206</v>
      </c>
      <c r="N345" s="18" t="s">
        <v>44</v>
      </c>
      <c r="O345" s="383" t="str">
        <f>IF(LEN(SUBSTITUTE(Table3937[[#This Row],[PRIMARY CONTACT]]," ",""))=10,SUBSTITUTE(Table3937[[#This Row],[PRIMARY CONTACT]]," ","") &amp; " - Proper","- Follow Up")</f>
        <v>9833775438 - Proper</v>
      </c>
      <c r="P345" s="383" t="s">
        <v>3241</v>
      </c>
      <c r="Q345" s="383">
        <v>9833775438</v>
      </c>
      <c r="R345" s="383" t="str">
        <f>SUBSTITUTE(Table3937[[#This Row],[whatsapp_number]]," ","")</f>
        <v>9833775438</v>
      </c>
      <c r="S345" s="383" t="str">
        <f>IF(Table3937[[#This Row],[PRIMARY CONTACT]]=Table3937[[#This Row],[WHATSAPP CONTACT]],"Same Contact","Different Contact")</f>
        <v>Same Contact</v>
      </c>
      <c r="T345" s="383" t="str">
        <f>IF(LEN(SUBSTITUTE(Table3937[[#This Row],[PRIMARY CONTACT]]," ",""))=10,SUBSTITUTE(Table3937[[#This Row],[PRIMARY CONTACT]]," ","") &amp; " - Proper","- Follow Up")</f>
        <v>9833775438 - Proper</v>
      </c>
      <c r="U345" s="383" t="s">
        <v>2953</v>
      </c>
      <c r="V345" s="393" t="s">
        <v>1305</v>
      </c>
      <c r="W345" s="383" t="s">
        <v>47</v>
      </c>
      <c r="X345" s="24" t="s">
        <v>1331</v>
      </c>
      <c r="Y345" s="24" t="s">
        <v>1332</v>
      </c>
      <c r="Z345" s="24" t="s">
        <v>1308</v>
      </c>
      <c r="AA345" s="24" t="s">
        <v>1309</v>
      </c>
      <c r="AB345" s="383"/>
    </row>
    <row r="346" spans="1:28" ht="13.8">
      <c r="A346" s="387">
        <v>345</v>
      </c>
      <c r="B346" s="44" t="s">
        <v>1334</v>
      </c>
      <c r="C346" s="383" t="s">
        <v>10709</v>
      </c>
      <c r="D346" s="383" t="s">
        <v>10964</v>
      </c>
      <c r="E346" s="383" t="s">
        <v>3248</v>
      </c>
      <c r="F346" s="383">
        <v>959</v>
      </c>
      <c r="G346" s="383" t="s">
        <v>71</v>
      </c>
      <c r="H346" s="383" t="s">
        <v>1340</v>
      </c>
      <c r="I346" s="383" t="s">
        <v>1302</v>
      </c>
      <c r="J346" s="383" t="s">
        <v>1336</v>
      </c>
      <c r="K346" s="383" t="s">
        <v>1337</v>
      </c>
      <c r="L346" s="383" t="s">
        <v>9676</v>
      </c>
      <c r="M346" s="383" t="s">
        <v>10207</v>
      </c>
      <c r="N346" s="18" t="s">
        <v>44</v>
      </c>
      <c r="O346" s="383" t="str">
        <f>IF(LEN(SUBSTITUTE(Table3937[[#This Row],[PRIMARY CONTACT]]," ",""))=10,SUBSTITUTE(Table3937[[#This Row],[PRIMARY CONTACT]]," ","") &amp; " - Proper","- Follow Up")</f>
        <v>9930065435 - Proper</v>
      </c>
      <c r="P346" s="383" t="s">
        <v>3241</v>
      </c>
      <c r="Q346" s="383">
        <v>9930065435</v>
      </c>
      <c r="R346" s="383" t="str">
        <f>SUBSTITUTE(Table3937[[#This Row],[whatsapp_number]]," ","")</f>
        <v>9930065435</v>
      </c>
      <c r="S346" s="383" t="str">
        <f>IF(Table3937[[#This Row],[PRIMARY CONTACT]]=Table3937[[#This Row],[WHATSAPP CONTACT]],"Same Contact","Different Contact")</f>
        <v>Same Contact</v>
      </c>
      <c r="T346" s="383" t="str">
        <f>IF(LEN(SUBSTITUTE(Table3937[[#This Row],[PRIMARY CONTACT]]," ",""))=10,SUBSTITUTE(Table3937[[#This Row],[PRIMARY CONTACT]]," ","") &amp; " - Proper","- Follow Up")</f>
        <v>9930065435 - Proper</v>
      </c>
      <c r="U346" s="383" t="s">
        <v>2953</v>
      </c>
      <c r="V346" s="393" t="s">
        <v>1305</v>
      </c>
      <c r="W346" s="383" t="s">
        <v>47</v>
      </c>
      <c r="X346" s="24" t="s">
        <v>1338</v>
      </c>
      <c r="Y346" s="24" t="s">
        <v>1339</v>
      </c>
      <c r="Z346" s="24" t="s">
        <v>1308</v>
      </c>
      <c r="AA346" s="24" t="s">
        <v>1309</v>
      </c>
      <c r="AB346" s="383"/>
    </row>
    <row r="347" spans="1:28" ht="13.8">
      <c r="A347" s="387">
        <v>346</v>
      </c>
      <c r="B347" s="44" t="s">
        <v>1341</v>
      </c>
      <c r="C347" s="383" t="s">
        <v>10709</v>
      </c>
      <c r="D347" s="383" t="s">
        <v>10965</v>
      </c>
      <c r="E347" s="383" t="s">
        <v>3250</v>
      </c>
      <c r="F347" s="383">
        <v>960</v>
      </c>
      <c r="G347" s="383" t="s">
        <v>71</v>
      </c>
      <c r="H347" s="383" t="s">
        <v>1347</v>
      </c>
      <c r="I347" s="383" t="s">
        <v>1302</v>
      </c>
      <c r="J347" s="383" t="s">
        <v>1343</v>
      </c>
      <c r="K347" s="383" t="s">
        <v>1344</v>
      </c>
      <c r="L347" s="383" t="s">
        <v>9676</v>
      </c>
      <c r="M347" s="383" t="s">
        <v>10208</v>
      </c>
      <c r="N347" s="18" t="s">
        <v>44</v>
      </c>
      <c r="O347" s="383" t="str">
        <f>IF(LEN(SUBSTITUTE(Table3937[[#This Row],[PRIMARY CONTACT]]," ",""))=10,SUBSTITUTE(Table3937[[#This Row],[PRIMARY CONTACT]]," ","") &amp; " - Proper","- Follow Up")</f>
        <v>7506022996 - Proper</v>
      </c>
      <c r="P347" s="383" t="s">
        <v>3241</v>
      </c>
      <c r="Q347" s="383">
        <v>7506022996</v>
      </c>
      <c r="R347" s="383" t="str">
        <f>SUBSTITUTE(Table3937[[#This Row],[whatsapp_number]]," ","")</f>
        <v>7506022996</v>
      </c>
      <c r="S347" s="383" t="str">
        <f>IF(Table3937[[#This Row],[PRIMARY CONTACT]]=Table3937[[#This Row],[WHATSAPP CONTACT]],"Same Contact","Different Contact")</f>
        <v>Same Contact</v>
      </c>
      <c r="T347" s="383" t="str">
        <f>IF(LEN(SUBSTITUTE(Table3937[[#This Row],[PRIMARY CONTACT]]," ",""))=10,SUBSTITUTE(Table3937[[#This Row],[PRIMARY CONTACT]]," ","") &amp; " - Proper","- Follow Up")</f>
        <v>7506022996 - Proper</v>
      </c>
      <c r="U347" s="383" t="s">
        <v>2953</v>
      </c>
      <c r="V347" s="393" t="s">
        <v>1305</v>
      </c>
      <c r="W347" s="383" t="s">
        <v>47</v>
      </c>
      <c r="X347" s="24" t="s">
        <v>1345</v>
      </c>
      <c r="Y347" s="24" t="s">
        <v>1346</v>
      </c>
      <c r="Z347" s="24" t="s">
        <v>1308</v>
      </c>
      <c r="AA347" s="24" t="s">
        <v>1309</v>
      </c>
      <c r="AB347" s="383"/>
    </row>
    <row r="348" spans="1:28" ht="13.8">
      <c r="A348" s="387">
        <v>347</v>
      </c>
      <c r="B348" s="44" t="s">
        <v>1348</v>
      </c>
      <c r="C348" s="383" t="s">
        <v>10709</v>
      </c>
      <c r="D348" s="383" t="s">
        <v>10966</v>
      </c>
      <c r="E348" s="383" t="s">
        <v>3252</v>
      </c>
      <c r="F348" s="383">
        <v>961</v>
      </c>
      <c r="G348" s="383" t="s">
        <v>71</v>
      </c>
      <c r="H348" s="383" t="s">
        <v>1353</v>
      </c>
      <c r="I348" s="383" t="s">
        <v>1302</v>
      </c>
      <c r="J348" s="383" t="s">
        <v>1350</v>
      </c>
      <c r="K348" s="383" t="s">
        <v>191</v>
      </c>
      <c r="L348" s="383" t="s">
        <v>9676</v>
      </c>
      <c r="M348" s="383" t="s">
        <v>10209</v>
      </c>
      <c r="N348" s="18" t="s">
        <v>44</v>
      </c>
      <c r="O348" s="383" t="str">
        <f>IF(LEN(SUBSTITUTE(Table3937[[#This Row],[PRIMARY CONTACT]]," ",""))=10,SUBSTITUTE(Table3937[[#This Row],[PRIMARY CONTACT]]," ","") &amp; " - Proper","- Follow Up")</f>
        <v>9664237770 - Proper</v>
      </c>
      <c r="P348" s="383" t="s">
        <v>3241</v>
      </c>
      <c r="Q348" s="383">
        <v>9664237770</v>
      </c>
      <c r="R348" s="383" t="str">
        <f>SUBSTITUTE(Table3937[[#This Row],[whatsapp_number]]," ","")</f>
        <v>9664237770</v>
      </c>
      <c r="S348" s="383" t="str">
        <f>IF(Table3937[[#This Row],[PRIMARY CONTACT]]=Table3937[[#This Row],[WHATSAPP CONTACT]],"Same Contact","Different Contact")</f>
        <v>Same Contact</v>
      </c>
      <c r="T348" s="383" t="str">
        <f>IF(LEN(SUBSTITUTE(Table3937[[#This Row],[PRIMARY CONTACT]]," ",""))=10,SUBSTITUTE(Table3937[[#This Row],[PRIMARY CONTACT]]," ","") &amp; " - Proper","- Follow Up")</f>
        <v>9664237770 - Proper</v>
      </c>
      <c r="U348" s="383" t="s">
        <v>2953</v>
      </c>
      <c r="V348" s="393" t="s">
        <v>1305</v>
      </c>
      <c r="W348" s="383" t="s">
        <v>47</v>
      </c>
      <c r="X348" s="24" t="s">
        <v>1351</v>
      </c>
      <c r="Y348" s="24" t="s">
        <v>1352</v>
      </c>
      <c r="Z348" s="24" t="s">
        <v>1308</v>
      </c>
      <c r="AA348" s="24" t="s">
        <v>1309</v>
      </c>
      <c r="AB348" s="383"/>
    </row>
    <row r="349" spans="1:28" ht="13.8">
      <c r="A349" s="387">
        <v>348</v>
      </c>
      <c r="B349" s="106" t="s">
        <v>1354</v>
      </c>
      <c r="C349" s="383" t="s">
        <v>10709</v>
      </c>
      <c r="D349" s="383" t="s">
        <v>10967</v>
      </c>
      <c r="E349" s="383" t="s">
        <v>3254</v>
      </c>
      <c r="F349" s="383">
        <v>962</v>
      </c>
      <c r="G349" s="383" t="s">
        <v>71</v>
      </c>
      <c r="H349" s="383" t="s">
        <v>1362</v>
      </c>
      <c r="I349" s="383" t="s">
        <v>1357</v>
      </c>
      <c r="J349" s="383" t="s">
        <v>1358</v>
      </c>
      <c r="K349" s="383" t="s">
        <v>9534</v>
      </c>
      <c r="L349" s="383" t="s">
        <v>9699</v>
      </c>
      <c r="M349" s="383" t="s">
        <v>10210</v>
      </c>
      <c r="N349" s="18" t="s">
        <v>44</v>
      </c>
      <c r="O349" s="383" t="str">
        <f>IF(LEN(SUBSTITUTE(Table3937[[#This Row],[PRIMARY CONTACT]]," ",""))=10,SUBSTITUTE(Table3937[[#This Row],[PRIMARY CONTACT]]," ","") &amp; " - Proper","- Follow Up")</f>
        <v>9833920865 - Proper</v>
      </c>
      <c r="P349" s="383" t="s">
        <v>3256</v>
      </c>
      <c r="Q349" s="383">
        <v>9833920865</v>
      </c>
      <c r="R349" s="383" t="str">
        <f>SUBSTITUTE(Table3937[[#This Row],[whatsapp_number]]," ","")</f>
        <v>9833920865</v>
      </c>
      <c r="S349" s="383" t="str">
        <f>IF(Table3937[[#This Row],[PRIMARY CONTACT]]=Table3937[[#This Row],[WHATSAPP CONTACT]],"Same Contact","Different Contact")</f>
        <v>Same Contact</v>
      </c>
      <c r="T349" s="383" t="str">
        <f>IF(LEN(SUBSTITUTE(Table3937[[#This Row],[PRIMARY CONTACT]]," ",""))=10,SUBSTITUTE(Table3937[[#This Row],[PRIMARY CONTACT]]," ","") &amp; " - Proper","- Follow Up")</f>
        <v>9833920865 - Proper</v>
      </c>
      <c r="U349" s="383" t="s">
        <v>2953</v>
      </c>
      <c r="V349" s="393" t="s">
        <v>1361</v>
      </c>
      <c r="W349" s="383" t="s">
        <v>47</v>
      </c>
      <c r="X349" s="18" t="s">
        <v>395</v>
      </c>
      <c r="Y349" s="18" t="s">
        <v>395</v>
      </c>
      <c r="Z349" s="18" t="s">
        <v>395</v>
      </c>
      <c r="AA349" s="18" t="s">
        <v>395</v>
      </c>
      <c r="AB349" s="383"/>
    </row>
    <row r="350" spans="1:28" ht="14.4">
      <c r="A350" s="387">
        <v>349</v>
      </c>
      <c r="B350" s="294" t="s">
        <v>3681</v>
      </c>
      <c r="C350" s="383" t="s">
        <v>10709</v>
      </c>
      <c r="D350" s="383" t="s">
        <v>10884</v>
      </c>
      <c r="E350" s="383" t="s">
        <v>3681</v>
      </c>
      <c r="F350" s="383">
        <v>969</v>
      </c>
      <c r="G350" s="383" t="s">
        <v>71</v>
      </c>
      <c r="H350" s="383" t="s">
        <v>3547</v>
      </c>
      <c r="I350" s="383" t="s">
        <v>8460</v>
      </c>
      <c r="J350" s="383" t="s">
        <v>3684</v>
      </c>
      <c r="K350" s="383" t="s">
        <v>78</v>
      </c>
      <c r="L350" s="383" t="s">
        <v>8341</v>
      </c>
      <c r="M350" s="383" t="s">
        <v>10211</v>
      </c>
      <c r="N350" s="18" t="s">
        <v>44</v>
      </c>
      <c r="O350" s="383" t="str">
        <f>IF(LEN(SUBSTITUTE(Table3937[[#This Row],[PRIMARY CONTACT]]," ",""))=10,SUBSTITUTE(Table3937[[#This Row],[PRIMARY CONTACT]]," ","") &amp; " - Proper","- Follow Up")</f>
        <v>9289900999 - Proper</v>
      </c>
      <c r="P350" s="383" t="s">
        <v>2780</v>
      </c>
      <c r="Q350" s="383">
        <v>9289900999</v>
      </c>
      <c r="R350" s="383" t="str">
        <f>SUBSTITUTE(Table3937[[#This Row],[whatsapp_number]]," ","")</f>
        <v>9289900999</v>
      </c>
      <c r="S350" s="383" t="str">
        <f>IF(Table3937[[#This Row],[PRIMARY CONTACT]]=Table3937[[#This Row],[WHATSAPP CONTACT]],"Same Contact","Different Contact")</f>
        <v>Same Contact</v>
      </c>
      <c r="T350" s="383" t="str">
        <f>IF(LEN(SUBSTITUTE(Table3937[[#This Row],[PRIMARY CONTACT]]," ",""))=10,SUBSTITUTE(Table3937[[#This Row],[PRIMARY CONTACT]]," ","") &amp; " - Proper","- Follow Up")</f>
        <v>9289900999 - Proper</v>
      </c>
      <c r="U350" s="383" t="s">
        <v>10575</v>
      </c>
      <c r="V350" s="393" t="s">
        <v>2786</v>
      </c>
      <c r="W350" s="383" t="s">
        <v>47</v>
      </c>
      <c r="X350" s="101" t="s">
        <v>49</v>
      </c>
      <c r="Y350" s="5" t="s">
        <v>2164</v>
      </c>
      <c r="Z350" s="5" t="s">
        <v>7773</v>
      </c>
      <c r="AA350" s="101" t="s">
        <v>7774</v>
      </c>
      <c r="AB350" s="383"/>
    </row>
    <row r="351" spans="1:28" ht="14.4">
      <c r="A351" s="387">
        <v>350</v>
      </c>
      <c r="B351" s="294" t="s">
        <v>3624</v>
      </c>
      <c r="C351" s="383" t="s">
        <v>10709</v>
      </c>
      <c r="D351" s="383" t="s">
        <v>10710</v>
      </c>
      <c r="E351" s="383" t="s">
        <v>8893</v>
      </c>
      <c r="F351" s="383">
        <v>973</v>
      </c>
      <c r="G351" s="383" t="s">
        <v>71</v>
      </c>
      <c r="H351" s="383" t="s">
        <v>3547</v>
      </c>
      <c r="I351" s="383" t="s">
        <v>8461</v>
      </c>
      <c r="J351" s="383" t="s">
        <v>9420</v>
      </c>
      <c r="K351" s="383" t="s">
        <v>9535</v>
      </c>
      <c r="L351" s="383" t="s">
        <v>9700</v>
      </c>
      <c r="M351" s="383" t="s">
        <v>8341</v>
      </c>
      <c r="N351" s="9" t="s">
        <v>44</v>
      </c>
      <c r="O351" s="383" t="str">
        <f>IF(LEN(SUBSTITUTE(Table3937[[#This Row],[PRIMARY CONTACT]]," ",""))=10,SUBSTITUTE(Table3937[[#This Row],[PRIMARY CONTACT]]," ","") &amp; " - Proper","- Follow Up")</f>
        <v>- Follow Up</v>
      </c>
      <c r="P351" s="383" t="s">
        <v>2780</v>
      </c>
      <c r="Q351" s="383" t="s">
        <v>71</v>
      </c>
      <c r="R351" s="383" t="str">
        <f>SUBSTITUTE(Table3937[[#This Row],[whatsapp_number]]," ","")</f>
        <v>UNDEFINED</v>
      </c>
      <c r="S351" s="383" t="str">
        <f>IF(Table3937[[#This Row],[PRIMARY CONTACT]]=Table3937[[#This Row],[WHATSAPP CONTACT]],"Same Contact","Different Contact")</f>
        <v>Same Contact</v>
      </c>
      <c r="T351" s="383" t="str">
        <f>IF(LEN(SUBSTITUTE(Table3937[[#This Row],[PRIMARY CONTACT]]," ",""))=10,SUBSTITUTE(Table3937[[#This Row],[PRIMARY CONTACT]]," ","") &amp; " - Proper","- Follow Up")</f>
        <v>- Follow Up</v>
      </c>
      <c r="U351" s="383" t="s">
        <v>3301</v>
      </c>
      <c r="V351" s="393" t="s">
        <v>2786</v>
      </c>
      <c r="W351" s="383" t="s">
        <v>47</v>
      </c>
      <c r="X351" s="101" t="s">
        <v>49</v>
      </c>
      <c r="Y351" s="5" t="s">
        <v>2164</v>
      </c>
      <c r="Z351" s="5" t="s">
        <v>7773</v>
      </c>
      <c r="AA351" s="101" t="s">
        <v>7774</v>
      </c>
      <c r="AB351" s="383"/>
    </row>
    <row r="352" spans="1:28" ht="14.4">
      <c r="A352" s="387">
        <v>351</v>
      </c>
      <c r="B352" s="294" t="s">
        <v>3630</v>
      </c>
      <c r="C352" s="383" t="s">
        <v>10709</v>
      </c>
      <c r="D352" s="383" t="str">
        <f>TRIM(RIGHT(SUBSTITUTE([1]!Table3937[[#This Row],[URL NAME]],"_",REPT(" ",100)),100))</f>
        <v>Vishan-Shah</v>
      </c>
      <c r="E352" s="383" t="s">
        <v>8894</v>
      </c>
      <c r="F352" s="383">
        <v>974</v>
      </c>
      <c r="G352" s="383" t="s">
        <v>71</v>
      </c>
      <c r="H352" s="383" t="s">
        <v>3547</v>
      </c>
      <c r="I352" s="383" t="s">
        <v>8461</v>
      </c>
      <c r="J352" s="383" t="s">
        <v>3632</v>
      </c>
      <c r="K352" s="383" t="s">
        <v>9535</v>
      </c>
      <c r="L352" s="383" t="s">
        <v>8341</v>
      </c>
      <c r="M352" s="383" t="s">
        <v>10162</v>
      </c>
      <c r="N352" s="9" t="s">
        <v>44</v>
      </c>
      <c r="O352" s="383" t="str">
        <f>IF(LEN(SUBSTITUTE(Table3937[[#This Row],[PRIMARY CONTACT]]," ",""))=10,SUBSTITUTE(Table3937[[#This Row],[PRIMARY CONTACT]]," ","") &amp; " - Proper","- Follow Up")</f>
        <v>7400480852 - Proper</v>
      </c>
      <c r="P352" s="383" t="s">
        <v>2780</v>
      </c>
      <c r="Q352" s="383">
        <v>7400480852</v>
      </c>
      <c r="R352" s="383" t="str">
        <f>SUBSTITUTE(Table3937[[#This Row],[whatsapp_number]]," ","")</f>
        <v>7400480852</v>
      </c>
      <c r="S352" s="383" t="str">
        <f>IF(Table3937[[#This Row],[PRIMARY CONTACT]]=Table3937[[#This Row],[WHATSAPP CONTACT]],"Same Contact","Different Contact")</f>
        <v>Same Contact</v>
      </c>
      <c r="T352" s="383" t="str">
        <f>IF(LEN(SUBSTITUTE(Table3937[[#This Row],[PRIMARY CONTACT]]," ",""))=10,SUBSTITUTE(Table3937[[#This Row],[PRIMARY CONTACT]]," ","") &amp; " - Proper","- Follow Up")</f>
        <v>7400480852 - Proper</v>
      </c>
      <c r="U352" s="383" t="s">
        <v>3301</v>
      </c>
      <c r="V352" s="393" t="s">
        <v>2786</v>
      </c>
      <c r="W352" s="383" t="s">
        <v>47</v>
      </c>
      <c r="X352" s="101" t="s">
        <v>49</v>
      </c>
      <c r="Y352" s="5" t="s">
        <v>2164</v>
      </c>
      <c r="Z352" s="5" t="s">
        <v>7773</v>
      </c>
      <c r="AA352" s="101" t="s">
        <v>7774</v>
      </c>
      <c r="AB352" s="383"/>
    </row>
    <row r="353" spans="1:28" ht="14.4">
      <c r="A353" s="387">
        <v>352</v>
      </c>
      <c r="B353" s="294" t="s">
        <v>3633</v>
      </c>
      <c r="C353" s="383" t="s">
        <v>10709</v>
      </c>
      <c r="D353" s="383" t="str">
        <f>TRIM(RIGHT(SUBSTITUTE([1]!Table3937[[#This Row],[URL NAME]],"_",REPT(" ",100)),100))</f>
        <v>Sandeep-Gandhi</v>
      </c>
      <c r="E353" s="383" t="s">
        <v>8895</v>
      </c>
      <c r="F353" s="383">
        <v>975</v>
      </c>
      <c r="G353" s="383" t="s">
        <v>71</v>
      </c>
      <c r="H353" s="383" t="s">
        <v>3547</v>
      </c>
      <c r="I353" s="383" t="s">
        <v>8461</v>
      </c>
      <c r="J353" s="383" t="s">
        <v>3635</v>
      </c>
      <c r="K353" s="383" t="s">
        <v>9536</v>
      </c>
      <c r="L353" s="383" t="s">
        <v>8341</v>
      </c>
      <c r="M353" s="383" t="s">
        <v>10162</v>
      </c>
      <c r="N353" s="9" t="s">
        <v>44</v>
      </c>
      <c r="O353" s="383" t="str">
        <f>IF(LEN(SUBSTITUTE(Table3937[[#This Row],[PRIMARY CONTACT]]," ",""))=10,SUBSTITUTE(Table3937[[#This Row],[PRIMARY CONTACT]]," ","") &amp; " - Proper","- Follow Up")</f>
        <v>7400480852 - Proper</v>
      </c>
      <c r="P353" s="383" t="s">
        <v>2780</v>
      </c>
      <c r="Q353" s="383">
        <v>7400480852</v>
      </c>
      <c r="R353" s="383" t="str">
        <f>SUBSTITUTE(Table3937[[#This Row],[whatsapp_number]]," ","")</f>
        <v>7400480852</v>
      </c>
      <c r="S353" s="383" t="str">
        <f>IF(Table3937[[#This Row],[PRIMARY CONTACT]]=Table3937[[#This Row],[WHATSAPP CONTACT]],"Same Contact","Different Contact")</f>
        <v>Same Contact</v>
      </c>
      <c r="T353" s="383" t="str">
        <f>IF(LEN(SUBSTITUTE(Table3937[[#This Row],[PRIMARY CONTACT]]," ",""))=10,SUBSTITUTE(Table3937[[#This Row],[PRIMARY CONTACT]]," ","") &amp; " - Proper","- Follow Up")</f>
        <v>7400480852 - Proper</v>
      </c>
      <c r="U353" s="383" t="s">
        <v>3301</v>
      </c>
      <c r="V353" s="393" t="s">
        <v>2786</v>
      </c>
      <c r="W353" s="383" t="s">
        <v>47</v>
      </c>
      <c r="X353" s="101" t="s">
        <v>49</v>
      </c>
      <c r="Y353" s="5" t="s">
        <v>2164</v>
      </c>
      <c r="Z353" s="5" t="s">
        <v>7773</v>
      </c>
      <c r="AA353" s="101" t="s">
        <v>7774</v>
      </c>
      <c r="AB353" s="383"/>
    </row>
    <row r="354" spans="1:28" ht="14.4">
      <c r="A354" s="387">
        <v>353</v>
      </c>
      <c r="B354" s="294" t="s">
        <v>3637</v>
      </c>
      <c r="C354" s="383" t="s">
        <v>10709</v>
      </c>
      <c r="D354" s="383" t="str">
        <f>TRIM(RIGHT(SUBSTITUTE([1]!Table3937[[#This Row],[URL NAME]],"_",REPT(" ",100)),100))</f>
        <v>Mohit-Chuganee</v>
      </c>
      <c r="E354" s="383" t="s">
        <v>8896</v>
      </c>
      <c r="F354" s="383">
        <v>976</v>
      </c>
      <c r="G354" s="383" t="s">
        <v>71</v>
      </c>
      <c r="H354" s="383" t="s">
        <v>3547</v>
      </c>
      <c r="I354" s="383" t="s">
        <v>8461</v>
      </c>
      <c r="J354" s="383" t="s">
        <v>3639</v>
      </c>
      <c r="K354" s="383" t="s">
        <v>9537</v>
      </c>
      <c r="L354" s="383" t="s">
        <v>8341</v>
      </c>
      <c r="M354" s="383" t="s">
        <v>10162</v>
      </c>
      <c r="N354" s="9" t="s">
        <v>44</v>
      </c>
      <c r="O354" s="383" t="str">
        <f>IF(LEN(SUBSTITUTE(Table3937[[#This Row],[PRIMARY CONTACT]]," ",""))=10,SUBSTITUTE(Table3937[[#This Row],[PRIMARY CONTACT]]," ","") &amp; " - Proper","- Follow Up")</f>
        <v>7400480852 - Proper</v>
      </c>
      <c r="P354" s="383" t="s">
        <v>2780</v>
      </c>
      <c r="Q354" s="383">
        <v>7400480852</v>
      </c>
      <c r="R354" s="383" t="str">
        <f>SUBSTITUTE(Table3937[[#This Row],[whatsapp_number]]," ","")</f>
        <v>7400480852</v>
      </c>
      <c r="S354" s="383" t="str">
        <f>IF(Table3937[[#This Row],[PRIMARY CONTACT]]=Table3937[[#This Row],[WHATSAPP CONTACT]],"Same Contact","Different Contact")</f>
        <v>Same Contact</v>
      </c>
      <c r="T354" s="383" t="str">
        <f>IF(LEN(SUBSTITUTE(Table3937[[#This Row],[PRIMARY CONTACT]]," ",""))=10,SUBSTITUTE(Table3937[[#This Row],[PRIMARY CONTACT]]," ","") &amp; " - Proper","- Follow Up")</f>
        <v>7400480852 - Proper</v>
      </c>
      <c r="U354" s="383" t="s">
        <v>3301</v>
      </c>
      <c r="V354" s="393" t="s">
        <v>2786</v>
      </c>
      <c r="W354" s="383" t="s">
        <v>47</v>
      </c>
      <c r="X354" s="101" t="s">
        <v>49</v>
      </c>
      <c r="Y354" s="5" t="s">
        <v>2164</v>
      </c>
      <c r="Z354" s="5" t="s">
        <v>7773</v>
      </c>
      <c r="AA354" s="101" t="s">
        <v>7774</v>
      </c>
      <c r="AB354" s="383"/>
    </row>
    <row r="355" spans="1:28" ht="14.4">
      <c r="A355" s="387">
        <v>354</v>
      </c>
      <c r="B355" s="294" t="s">
        <v>3641</v>
      </c>
      <c r="C355" s="383" t="s">
        <v>10709</v>
      </c>
      <c r="D355" s="383" t="str">
        <f>TRIM(RIGHT(SUBSTITUTE([1]!Table3937[[#This Row],[URL NAME]],"_",REPT(" ",100)),100))</f>
        <v>Bharat-Shomi</v>
      </c>
      <c r="E355" s="383" t="s">
        <v>8897</v>
      </c>
      <c r="F355" s="383">
        <v>977</v>
      </c>
      <c r="G355" s="383" t="s">
        <v>71</v>
      </c>
      <c r="H355" s="383" t="s">
        <v>3547</v>
      </c>
      <c r="I355" s="383" t="s">
        <v>8461</v>
      </c>
      <c r="J355" s="383" t="s">
        <v>3643</v>
      </c>
      <c r="K355" s="383" t="s">
        <v>9538</v>
      </c>
      <c r="L355" s="383" t="s">
        <v>8341</v>
      </c>
      <c r="M355" s="383" t="s">
        <v>10162</v>
      </c>
      <c r="N355" s="9" t="s">
        <v>44</v>
      </c>
      <c r="O355" s="383" t="str">
        <f>IF(LEN(SUBSTITUTE(Table3937[[#This Row],[PRIMARY CONTACT]]," ",""))=10,SUBSTITUTE(Table3937[[#This Row],[PRIMARY CONTACT]]," ","") &amp; " - Proper","- Follow Up")</f>
        <v>7400480852 - Proper</v>
      </c>
      <c r="P355" s="383" t="s">
        <v>2780</v>
      </c>
      <c r="Q355" s="383">
        <v>7400480852</v>
      </c>
      <c r="R355" s="383" t="str">
        <f>SUBSTITUTE(Table3937[[#This Row],[whatsapp_number]]," ","")</f>
        <v>7400480852</v>
      </c>
      <c r="S355" s="383" t="str">
        <f>IF(Table3937[[#This Row],[PRIMARY CONTACT]]=Table3937[[#This Row],[WHATSAPP CONTACT]],"Same Contact","Different Contact")</f>
        <v>Same Contact</v>
      </c>
      <c r="T355" s="383" t="str">
        <f>IF(LEN(SUBSTITUTE(Table3937[[#This Row],[PRIMARY CONTACT]]," ",""))=10,SUBSTITUTE(Table3937[[#This Row],[PRIMARY CONTACT]]," ","") &amp; " - Proper","- Follow Up")</f>
        <v>7400480852 - Proper</v>
      </c>
      <c r="U355" s="383" t="s">
        <v>3301</v>
      </c>
      <c r="V355" s="393" t="s">
        <v>2786</v>
      </c>
      <c r="W355" s="383" t="s">
        <v>47</v>
      </c>
      <c r="X355" s="101" t="s">
        <v>49</v>
      </c>
      <c r="Y355" s="5" t="s">
        <v>2164</v>
      </c>
      <c r="Z355" s="5" t="s">
        <v>7773</v>
      </c>
      <c r="AA355" s="101" t="s">
        <v>7774</v>
      </c>
      <c r="AB355" s="383"/>
    </row>
    <row r="356" spans="1:28" ht="14.4">
      <c r="A356" s="387">
        <v>355</v>
      </c>
      <c r="B356" s="294" t="s">
        <v>3645</v>
      </c>
      <c r="C356" s="383" t="s">
        <v>10709</v>
      </c>
      <c r="D356" s="383" t="str">
        <f>TRIM(RIGHT(SUBSTITUTE([1]!Table3937[[#This Row],[URL NAME]],"_",REPT(" ",100)),100))</f>
        <v>Abhishek-Agarwal</v>
      </c>
      <c r="E356" s="383" t="s">
        <v>8898</v>
      </c>
      <c r="F356" s="383">
        <v>978</v>
      </c>
      <c r="G356" s="383" t="s">
        <v>71</v>
      </c>
      <c r="H356" s="383" t="s">
        <v>3547</v>
      </c>
      <c r="I356" s="383" t="s">
        <v>8461</v>
      </c>
      <c r="J356" s="383" t="s">
        <v>2381</v>
      </c>
      <c r="K356" s="383" t="s">
        <v>9539</v>
      </c>
      <c r="L356" s="383" t="s">
        <v>8341</v>
      </c>
      <c r="M356" s="383" t="s">
        <v>10162</v>
      </c>
      <c r="N356" s="9" t="s">
        <v>44</v>
      </c>
      <c r="O356" s="383" t="str">
        <f>IF(LEN(SUBSTITUTE(Table3937[[#This Row],[PRIMARY CONTACT]]," ",""))=10,SUBSTITUTE(Table3937[[#This Row],[PRIMARY CONTACT]]," ","") &amp; " - Proper","- Follow Up")</f>
        <v>7400480852 - Proper</v>
      </c>
      <c r="P356" s="383" t="s">
        <v>2780</v>
      </c>
      <c r="Q356" s="383">
        <v>7400480852</v>
      </c>
      <c r="R356" s="383" t="str">
        <f>SUBSTITUTE(Table3937[[#This Row],[whatsapp_number]]," ","")</f>
        <v>7400480852</v>
      </c>
      <c r="S356" s="383" t="str">
        <f>IF(Table3937[[#This Row],[PRIMARY CONTACT]]=Table3937[[#This Row],[WHATSAPP CONTACT]],"Same Contact","Different Contact")</f>
        <v>Same Contact</v>
      </c>
      <c r="T356" s="383" t="str">
        <f>IF(LEN(SUBSTITUTE(Table3937[[#This Row],[PRIMARY CONTACT]]," ",""))=10,SUBSTITUTE(Table3937[[#This Row],[PRIMARY CONTACT]]," ","") &amp; " - Proper","- Follow Up")</f>
        <v>7400480852 - Proper</v>
      </c>
      <c r="U356" s="383" t="s">
        <v>3301</v>
      </c>
      <c r="V356" s="393" t="s">
        <v>2786</v>
      </c>
      <c r="W356" s="383" t="s">
        <v>47</v>
      </c>
      <c r="X356" s="101" t="s">
        <v>49</v>
      </c>
      <c r="Y356" s="5" t="s">
        <v>2164</v>
      </c>
      <c r="Z356" s="5" t="s">
        <v>7773</v>
      </c>
      <c r="AA356" s="101" t="s">
        <v>7774</v>
      </c>
      <c r="AB356" s="383"/>
    </row>
    <row r="357" spans="1:28" ht="14.4">
      <c r="A357" s="387">
        <v>356</v>
      </c>
      <c r="B357" s="294" t="s">
        <v>3648</v>
      </c>
      <c r="C357" s="383" t="s">
        <v>10709</v>
      </c>
      <c r="D357" s="383" t="str">
        <f>TRIM(RIGHT(SUBSTITUTE([1]!Table3937[[#This Row],[URL NAME]],"_",REPT(" ",100)),100))</f>
        <v>Vikas-Anand</v>
      </c>
      <c r="E357" s="383" t="s">
        <v>8899</v>
      </c>
      <c r="F357" s="383">
        <v>979</v>
      </c>
      <c r="G357" s="383" t="s">
        <v>71</v>
      </c>
      <c r="H357" s="383" t="s">
        <v>3547</v>
      </c>
      <c r="I357" s="383" t="s">
        <v>8461</v>
      </c>
      <c r="J357" s="383" t="s">
        <v>3650</v>
      </c>
      <c r="K357" s="383" t="s">
        <v>9540</v>
      </c>
      <c r="L357" s="383" t="s">
        <v>8341</v>
      </c>
      <c r="M357" s="383" t="s">
        <v>10162</v>
      </c>
      <c r="N357" s="9" t="s">
        <v>44</v>
      </c>
      <c r="O357" s="383" t="str">
        <f>IF(LEN(SUBSTITUTE(Table3937[[#This Row],[PRIMARY CONTACT]]," ",""))=10,SUBSTITUTE(Table3937[[#This Row],[PRIMARY CONTACT]]," ","") &amp; " - Proper","- Follow Up")</f>
        <v>7400480852 - Proper</v>
      </c>
      <c r="P357" s="383" t="s">
        <v>2780</v>
      </c>
      <c r="Q357" s="383">
        <v>7400480852</v>
      </c>
      <c r="R357" s="383" t="str">
        <f>SUBSTITUTE(Table3937[[#This Row],[whatsapp_number]]," ","")</f>
        <v>7400480852</v>
      </c>
      <c r="S357" s="383" t="str">
        <f>IF(Table3937[[#This Row],[PRIMARY CONTACT]]=Table3937[[#This Row],[WHATSAPP CONTACT]],"Same Contact","Different Contact")</f>
        <v>Same Contact</v>
      </c>
      <c r="T357" s="383" t="str">
        <f>IF(LEN(SUBSTITUTE(Table3937[[#This Row],[PRIMARY CONTACT]]," ",""))=10,SUBSTITUTE(Table3937[[#This Row],[PRIMARY CONTACT]]," ","") &amp; " - Proper","- Follow Up")</f>
        <v>7400480852 - Proper</v>
      </c>
      <c r="U357" s="383" t="s">
        <v>3301</v>
      </c>
      <c r="V357" s="393" t="s">
        <v>2786</v>
      </c>
      <c r="W357" s="383" t="s">
        <v>47</v>
      </c>
      <c r="X357" s="101" t="s">
        <v>49</v>
      </c>
      <c r="Y357" s="5" t="s">
        <v>2164</v>
      </c>
      <c r="Z357" s="5" t="s">
        <v>7773</v>
      </c>
      <c r="AA357" s="101" t="s">
        <v>7774</v>
      </c>
      <c r="AB357" s="383"/>
    </row>
    <row r="358" spans="1:28" ht="14.4">
      <c r="A358" s="387">
        <v>357</v>
      </c>
      <c r="B358" s="294" t="s">
        <v>3652</v>
      </c>
      <c r="C358" s="383" t="s">
        <v>10709</v>
      </c>
      <c r="D358" s="383" t="str">
        <f>TRIM(RIGHT(SUBSTITUTE([1]!Table3937[[#This Row],[URL NAME]],"_",REPT(" ",100)),100))</f>
        <v>Rahul-Yadav</v>
      </c>
      <c r="E358" s="383" t="s">
        <v>8900</v>
      </c>
      <c r="F358" s="383">
        <v>980</v>
      </c>
      <c r="G358" s="383" t="s">
        <v>71</v>
      </c>
      <c r="H358" s="383" t="s">
        <v>3547</v>
      </c>
      <c r="I358" s="383" t="s">
        <v>8461</v>
      </c>
      <c r="J358" s="383" t="s">
        <v>3654</v>
      </c>
      <c r="K358" s="383" t="s">
        <v>9541</v>
      </c>
      <c r="L358" s="383" t="s">
        <v>8341</v>
      </c>
      <c r="M358" s="383" t="s">
        <v>10162</v>
      </c>
      <c r="N358" s="9" t="s">
        <v>44</v>
      </c>
      <c r="O358" s="383" t="str">
        <f>IF(LEN(SUBSTITUTE(Table3937[[#This Row],[PRIMARY CONTACT]]," ",""))=10,SUBSTITUTE(Table3937[[#This Row],[PRIMARY CONTACT]]," ","") &amp; " - Proper","- Follow Up")</f>
        <v>7400480852 - Proper</v>
      </c>
      <c r="P358" s="383" t="s">
        <v>2780</v>
      </c>
      <c r="Q358" s="383">
        <v>7400480852</v>
      </c>
      <c r="R358" s="383" t="str">
        <f>SUBSTITUTE(Table3937[[#This Row],[whatsapp_number]]," ","")</f>
        <v>7400480852</v>
      </c>
      <c r="S358" s="383" t="str">
        <f>IF(Table3937[[#This Row],[PRIMARY CONTACT]]=Table3937[[#This Row],[WHATSAPP CONTACT]],"Same Contact","Different Contact")</f>
        <v>Same Contact</v>
      </c>
      <c r="T358" s="383" t="str">
        <f>IF(LEN(SUBSTITUTE(Table3937[[#This Row],[PRIMARY CONTACT]]," ",""))=10,SUBSTITUTE(Table3937[[#This Row],[PRIMARY CONTACT]]," ","") &amp; " - Proper","- Follow Up")</f>
        <v>7400480852 - Proper</v>
      </c>
      <c r="U358" s="383" t="s">
        <v>3301</v>
      </c>
      <c r="V358" s="393" t="s">
        <v>2786</v>
      </c>
      <c r="W358" s="383" t="s">
        <v>47</v>
      </c>
      <c r="X358" s="101" t="s">
        <v>49</v>
      </c>
      <c r="Y358" s="5" t="s">
        <v>2164</v>
      </c>
      <c r="Z358" s="5" t="s">
        <v>7773</v>
      </c>
      <c r="AA358" s="101" t="s">
        <v>7774</v>
      </c>
      <c r="AB358" s="383"/>
    </row>
    <row r="359" spans="1:28" ht="14.4">
      <c r="A359" s="387">
        <v>358</v>
      </c>
      <c r="B359" s="294" t="s">
        <v>3656</v>
      </c>
      <c r="C359" s="383" t="s">
        <v>10709</v>
      </c>
      <c r="D359" s="383" t="str">
        <f>TRIM(RIGHT(SUBSTITUTE([1]!Table3937[[#This Row],[URL NAME]],"_",REPT(" ",100)),100))</f>
        <v>Samsher-Singh</v>
      </c>
      <c r="E359" s="383" t="s">
        <v>8901</v>
      </c>
      <c r="F359" s="383">
        <v>981</v>
      </c>
      <c r="G359" s="383" t="s">
        <v>71</v>
      </c>
      <c r="H359" s="383" t="s">
        <v>3547</v>
      </c>
      <c r="I359" s="383" t="s">
        <v>8461</v>
      </c>
      <c r="J359" s="383" t="s">
        <v>3658</v>
      </c>
      <c r="K359" s="383" t="s">
        <v>9542</v>
      </c>
      <c r="L359" s="383" t="s">
        <v>8341</v>
      </c>
      <c r="M359" s="383" t="s">
        <v>10162</v>
      </c>
      <c r="N359" s="9" t="s">
        <v>44</v>
      </c>
      <c r="O359" s="383" t="str">
        <f>IF(LEN(SUBSTITUTE(Table3937[[#This Row],[PRIMARY CONTACT]]," ",""))=10,SUBSTITUTE(Table3937[[#This Row],[PRIMARY CONTACT]]," ","") &amp; " - Proper","- Follow Up")</f>
        <v>7400480852 - Proper</v>
      </c>
      <c r="P359" s="383" t="s">
        <v>2780</v>
      </c>
      <c r="Q359" s="383">
        <v>7400480852</v>
      </c>
      <c r="R359" s="383" t="str">
        <f>SUBSTITUTE(Table3937[[#This Row],[whatsapp_number]]," ","")</f>
        <v>7400480852</v>
      </c>
      <c r="S359" s="383" t="str">
        <f>IF(Table3937[[#This Row],[PRIMARY CONTACT]]=Table3937[[#This Row],[WHATSAPP CONTACT]],"Same Contact","Different Contact")</f>
        <v>Same Contact</v>
      </c>
      <c r="T359" s="383" t="str">
        <f>IF(LEN(SUBSTITUTE(Table3937[[#This Row],[PRIMARY CONTACT]]," ",""))=10,SUBSTITUTE(Table3937[[#This Row],[PRIMARY CONTACT]]," ","") &amp; " - Proper","- Follow Up")</f>
        <v>7400480852 - Proper</v>
      </c>
      <c r="U359" s="383" t="s">
        <v>3301</v>
      </c>
      <c r="V359" s="393" t="s">
        <v>2786</v>
      </c>
      <c r="W359" s="383" t="s">
        <v>47</v>
      </c>
      <c r="X359" s="101" t="s">
        <v>49</v>
      </c>
      <c r="Y359" s="5" t="s">
        <v>2164</v>
      </c>
      <c r="Z359" s="5" t="s">
        <v>7773</v>
      </c>
      <c r="AA359" s="101" t="s">
        <v>7774</v>
      </c>
      <c r="AB359" s="383"/>
    </row>
    <row r="360" spans="1:28" ht="14.4">
      <c r="A360" s="387">
        <v>359</v>
      </c>
      <c r="B360" s="294" t="s">
        <v>3660</v>
      </c>
      <c r="C360" s="383" t="s">
        <v>10709</v>
      </c>
      <c r="D360" s="383" t="s">
        <v>10885</v>
      </c>
      <c r="E360" s="383" t="s">
        <v>8902</v>
      </c>
      <c r="F360" s="383">
        <v>982</v>
      </c>
      <c r="G360" s="383" t="s">
        <v>71</v>
      </c>
      <c r="H360" s="383" t="s">
        <v>3547</v>
      </c>
      <c r="I360" s="383" t="s">
        <v>8461</v>
      </c>
      <c r="J360" s="383" t="s">
        <v>3662</v>
      </c>
      <c r="K360" s="383" t="s">
        <v>9543</v>
      </c>
      <c r="L360" s="383" t="s">
        <v>8341</v>
      </c>
      <c r="M360" s="383" t="s">
        <v>10162</v>
      </c>
      <c r="N360" s="9" t="s">
        <v>44</v>
      </c>
      <c r="O360" s="383" t="str">
        <f>IF(LEN(SUBSTITUTE(Table3937[[#This Row],[PRIMARY CONTACT]]," ",""))=10,SUBSTITUTE(Table3937[[#This Row],[PRIMARY CONTACT]]," ","") &amp; " - Proper","- Follow Up")</f>
        <v>7400480852 - Proper</v>
      </c>
      <c r="P360" s="383" t="s">
        <v>2780</v>
      </c>
      <c r="Q360" s="383">
        <v>7400480852</v>
      </c>
      <c r="R360" s="383" t="str">
        <f>SUBSTITUTE(Table3937[[#This Row],[whatsapp_number]]," ","")</f>
        <v>7400480852</v>
      </c>
      <c r="S360" s="383" t="str">
        <f>IF(Table3937[[#This Row],[PRIMARY CONTACT]]=Table3937[[#This Row],[WHATSAPP CONTACT]],"Same Contact","Different Contact")</f>
        <v>Same Contact</v>
      </c>
      <c r="T360" s="383" t="str">
        <f>IF(LEN(SUBSTITUTE(Table3937[[#This Row],[PRIMARY CONTACT]]," ",""))=10,SUBSTITUTE(Table3937[[#This Row],[PRIMARY CONTACT]]," ","") &amp; " - Proper","- Follow Up")</f>
        <v>7400480852 - Proper</v>
      </c>
      <c r="U360" s="383" t="s">
        <v>3301</v>
      </c>
      <c r="V360" s="393" t="s">
        <v>2786</v>
      </c>
      <c r="W360" s="383" t="s">
        <v>47</v>
      </c>
      <c r="X360" s="101" t="s">
        <v>49</v>
      </c>
      <c r="Y360" s="5" t="s">
        <v>2164</v>
      </c>
      <c r="Z360" s="5" t="s">
        <v>7773</v>
      </c>
      <c r="AA360" s="101" t="s">
        <v>7774</v>
      </c>
      <c r="AB360" s="383"/>
    </row>
    <row r="361" spans="1:28" ht="14.4">
      <c r="A361" s="387">
        <v>360</v>
      </c>
      <c r="B361" s="294" t="s">
        <v>3664</v>
      </c>
      <c r="C361" s="383" t="s">
        <v>10709</v>
      </c>
      <c r="D361" s="383" t="str">
        <f>TRIM(RIGHT(SUBSTITUTE([1]!Table3937[[#This Row],[URL NAME]],"_",REPT(" ",100)),100))</f>
        <v>Faiz-Rezwan</v>
      </c>
      <c r="E361" s="383" t="s">
        <v>8903</v>
      </c>
      <c r="F361" s="383">
        <v>983</v>
      </c>
      <c r="G361" s="383" t="s">
        <v>71</v>
      </c>
      <c r="H361" s="383" t="s">
        <v>3547</v>
      </c>
      <c r="I361" s="383" t="s">
        <v>8461</v>
      </c>
      <c r="J361" s="383" t="s">
        <v>3666</v>
      </c>
      <c r="K361" s="383" t="s">
        <v>9544</v>
      </c>
      <c r="L361" s="383" t="s">
        <v>8341</v>
      </c>
      <c r="M361" s="383" t="s">
        <v>10162</v>
      </c>
      <c r="N361" s="9" t="s">
        <v>44</v>
      </c>
      <c r="O361" s="383" t="str">
        <f>IF(LEN(SUBSTITUTE(Table3937[[#This Row],[PRIMARY CONTACT]]," ",""))=10,SUBSTITUTE(Table3937[[#This Row],[PRIMARY CONTACT]]," ","") &amp; " - Proper","- Follow Up")</f>
        <v>7400480852 - Proper</v>
      </c>
      <c r="P361" s="383" t="s">
        <v>2780</v>
      </c>
      <c r="Q361" s="383">
        <v>7400480852</v>
      </c>
      <c r="R361" s="383" t="str">
        <f>SUBSTITUTE(Table3937[[#This Row],[whatsapp_number]]," ","")</f>
        <v>7400480852</v>
      </c>
      <c r="S361" s="383" t="str">
        <f>IF(Table3937[[#This Row],[PRIMARY CONTACT]]=Table3937[[#This Row],[WHATSAPP CONTACT]],"Same Contact","Different Contact")</f>
        <v>Same Contact</v>
      </c>
      <c r="T361" s="383" t="str">
        <f>IF(LEN(SUBSTITUTE(Table3937[[#This Row],[PRIMARY CONTACT]]," ",""))=10,SUBSTITUTE(Table3937[[#This Row],[PRIMARY CONTACT]]," ","") &amp; " - Proper","- Follow Up")</f>
        <v>7400480852 - Proper</v>
      </c>
      <c r="U361" s="383" t="s">
        <v>3301</v>
      </c>
      <c r="V361" s="393" t="s">
        <v>2786</v>
      </c>
      <c r="W361" s="383" t="s">
        <v>47</v>
      </c>
      <c r="X361" s="101" t="s">
        <v>49</v>
      </c>
      <c r="Y361" s="5" t="s">
        <v>2164</v>
      </c>
      <c r="Z361" s="5" t="s">
        <v>7773</v>
      </c>
      <c r="AA361" s="101" t="s">
        <v>7774</v>
      </c>
      <c r="AB361" s="383"/>
    </row>
    <row r="362" spans="1:28" ht="14.4">
      <c r="A362" s="387">
        <v>361</v>
      </c>
      <c r="B362" s="294" t="s">
        <v>3668</v>
      </c>
      <c r="C362" s="383" t="s">
        <v>10709</v>
      </c>
      <c r="D362" s="383" t="str">
        <f>TRIM(RIGHT(SUBSTITUTE([1]!Table3937[[#This Row],[URL NAME]],"_",REPT(" ",100)),100))</f>
        <v>Bharat-Reddy</v>
      </c>
      <c r="E362" s="383" t="s">
        <v>8904</v>
      </c>
      <c r="F362" s="383">
        <v>984</v>
      </c>
      <c r="G362" s="383" t="s">
        <v>71</v>
      </c>
      <c r="H362" s="383" t="s">
        <v>3547</v>
      </c>
      <c r="I362" s="383" t="s">
        <v>8461</v>
      </c>
      <c r="J362" s="383" t="s">
        <v>3670</v>
      </c>
      <c r="K362" s="383" t="s">
        <v>9545</v>
      </c>
      <c r="L362" s="383" t="s">
        <v>8341</v>
      </c>
      <c r="M362" s="383" t="s">
        <v>10162</v>
      </c>
      <c r="N362" s="9" t="s">
        <v>44</v>
      </c>
      <c r="O362" s="383" t="str">
        <f>IF(LEN(SUBSTITUTE(Table3937[[#This Row],[PRIMARY CONTACT]]," ",""))=10,SUBSTITUTE(Table3937[[#This Row],[PRIMARY CONTACT]]," ","") &amp; " - Proper","- Follow Up")</f>
        <v>7400480852 - Proper</v>
      </c>
      <c r="P362" s="383" t="s">
        <v>2780</v>
      </c>
      <c r="Q362" s="383">
        <v>7400480852</v>
      </c>
      <c r="R362" s="383" t="str">
        <f>SUBSTITUTE(Table3937[[#This Row],[whatsapp_number]]," ","")</f>
        <v>7400480852</v>
      </c>
      <c r="S362" s="383" t="str">
        <f>IF(Table3937[[#This Row],[PRIMARY CONTACT]]=Table3937[[#This Row],[WHATSAPP CONTACT]],"Same Contact","Different Contact")</f>
        <v>Same Contact</v>
      </c>
      <c r="T362" s="383" t="str">
        <f>IF(LEN(SUBSTITUTE(Table3937[[#This Row],[PRIMARY CONTACT]]," ",""))=10,SUBSTITUTE(Table3937[[#This Row],[PRIMARY CONTACT]]," ","") &amp; " - Proper","- Follow Up")</f>
        <v>7400480852 - Proper</v>
      </c>
      <c r="U362" s="383" t="s">
        <v>3301</v>
      </c>
      <c r="V362" s="393" t="s">
        <v>2786</v>
      </c>
      <c r="W362" s="383" t="s">
        <v>47</v>
      </c>
      <c r="X362" s="101" t="s">
        <v>49</v>
      </c>
      <c r="Y362" s="5" t="s">
        <v>2164</v>
      </c>
      <c r="Z362" s="5" t="s">
        <v>7773</v>
      </c>
      <c r="AA362" s="101" t="s">
        <v>7774</v>
      </c>
      <c r="AB362" s="383"/>
    </row>
    <row r="363" spans="1:28" ht="14.4">
      <c r="A363" s="387">
        <v>362</v>
      </c>
      <c r="B363" s="294" t="s">
        <v>3672</v>
      </c>
      <c r="C363" s="383" t="s">
        <v>10709</v>
      </c>
      <c r="D363" s="383" t="s">
        <v>10886</v>
      </c>
      <c r="E363" s="383" t="s">
        <v>8905</v>
      </c>
      <c r="F363" s="383">
        <v>985</v>
      </c>
      <c r="G363" s="383" t="s">
        <v>71</v>
      </c>
      <c r="H363" s="383" t="s">
        <v>3547</v>
      </c>
      <c r="I363" s="383" t="s">
        <v>8461</v>
      </c>
      <c r="J363" s="383" t="s">
        <v>3674</v>
      </c>
      <c r="K363" s="383" t="s">
        <v>9546</v>
      </c>
      <c r="L363" s="383" t="s">
        <v>8341</v>
      </c>
      <c r="M363" s="383" t="s">
        <v>10162</v>
      </c>
      <c r="N363" s="9" t="s">
        <v>44</v>
      </c>
      <c r="O363" s="383" t="str">
        <f>IF(LEN(SUBSTITUTE(Table3937[[#This Row],[PRIMARY CONTACT]]," ",""))=10,SUBSTITUTE(Table3937[[#This Row],[PRIMARY CONTACT]]," ","") &amp; " - Proper","- Follow Up")</f>
        <v>7400480852 - Proper</v>
      </c>
      <c r="P363" s="383" t="s">
        <v>2780</v>
      </c>
      <c r="Q363" s="383">
        <v>7400480852</v>
      </c>
      <c r="R363" s="383" t="str">
        <f>SUBSTITUTE(Table3937[[#This Row],[whatsapp_number]]," ","")</f>
        <v>7400480852</v>
      </c>
      <c r="S363" s="383" t="str">
        <f>IF(Table3937[[#This Row],[PRIMARY CONTACT]]=Table3937[[#This Row],[WHATSAPP CONTACT]],"Same Contact","Different Contact")</f>
        <v>Same Contact</v>
      </c>
      <c r="T363" s="383" t="str">
        <f>IF(LEN(SUBSTITUTE(Table3937[[#This Row],[PRIMARY CONTACT]]," ",""))=10,SUBSTITUTE(Table3937[[#This Row],[PRIMARY CONTACT]]," ","") &amp; " - Proper","- Follow Up")</f>
        <v>7400480852 - Proper</v>
      </c>
      <c r="U363" s="383" t="s">
        <v>8341</v>
      </c>
      <c r="V363" s="393" t="s">
        <v>2786</v>
      </c>
      <c r="W363" s="383" t="s">
        <v>47</v>
      </c>
      <c r="X363" s="101" t="s">
        <v>49</v>
      </c>
      <c r="Y363" s="5" t="s">
        <v>2164</v>
      </c>
      <c r="Z363" s="5" t="s">
        <v>7773</v>
      </c>
      <c r="AA363" s="101" t="s">
        <v>7774</v>
      </c>
      <c r="AB363" s="383"/>
    </row>
    <row r="364" spans="1:28" ht="13.8">
      <c r="A364" s="387">
        <v>363</v>
      </c>
      <c r="B364" s="383" t="s">
        <v>10710</v>
      </c>
      <c r="C364" s="383" t="s">
        <v>10710</v>
      </c>
      <c r="D364" s="383" t="s">
        <v>10710</v>
      </c>
      <c r="E364" s="383" t="s">
        <v>8906</v>
      </c>
      <c r="F364" s="383">
        <v>986</v>
      </c>
      <c r="G364" s="383" t="s">
        <v>71</v>
      </c>
      <c r="H364" s="383" t="s">
        <v>71</v>
      </c>
      <c r="I364" s="383" t="s">
        <v>8341</v>
      </c>
      <c r="J364" s="383" t="s">
        <v>1380</v>
      </c>
      <c r="K364" s="383" t="s">
        <v>1381</v>
      </c>
      <c r="L364" s="383" t="s">
        <v>9701</v>
      </c>
      <c r="M364" s="383" t="s">
        <v>10212</v>
      </c>
      <c r="N364" s="9" t="s">
        <v>44</v>
      </c>
      <c r="O364" s="383" t="str">
        <f>IF(LEN(SUBSTITUTE(Table3937[[#This Row],[PRIMARY CONTACT]]," ",""))=10,SUBSTITUTE(Table3937[[#This Row],[PRIMARY CONTACT]]," ","") &amp; " - Proper","- Follow Up")</f>
        <v>7021091539 - Proper</v>
      </c>
      <c r="P364" s="383" t="s">
        <v>3258</v>
      </c>
      <c r="Q364" s="383">
        <v>7021091539</v>
      </c>
      <c r="R364" s="383" t="str">
        <f>SUBSTITUTE(Table3937[[#This Row],[whatsapp_number]]," ","")</f>
        <v>7021091539</v>
      </c>
      <c r="S364" s="383" t="str">
        <f>IF(Table3937[[#This Row],[PRIMARY CONTACT]]=Table3937[[#This Row],[WHATSAPP CONTACT]],"Same Contact","Different Contact")</f>
        <v>Same Contact</v>
      </c>
      <c r="T364" s="383" t="str">
        <f>IF(LEN(SUBSTITUTE(Table3937[[#This Row],[PRIMARY CONTACT]]," ",""))=10,SUBSTITUTE(Table3937[[#This Row],[PRIMARY CONTACT]]," ","") &amp; " - Proper","- Follow Up")</f>
        <v>7021091539 - Proper</v>
      </c>
      <c r="U364" s="383" t="s">
        <v>8341</v>
      </c>
      <c r="V364" s="383" t="s">
        <v>71</v>
      </c>
      <c r="W364" s="383" t="s">
        <v>47</v>
      </c>
      <c r="X364" s="383" t="s">
        <v>44</v>
      </c>
      <c r="Y364" s="383" t="s">
        <v>44</v>
      </c>
      <c r="Z364" s="383" t="s">
        <v>44</v>
      </c>
      <c r="AA364" s="383" t="s">
        <v>44</v>
      </c>
      <c r="AB364" s="383"/>
    </row>
    <row r="365" spans="1:28" ht="13.8">
      <c r="A365" s="387">
        <v>364</v>
      </c>
      <c r="B365" s="383" t="s">
        <v>10710</v>
      </c>
      <c r="C365" s="383" t="s">
        <v>10710</v>
      </c>
      <c r="D365" s="383" t="s">
        <v>10710</v>
      </c>
      <c r="E365" s="383" t="s">
        <v>8907</v>
      </c>
      <c r="F365" s="383">
        <v>987</v>
      </c>
      <c r="G365" s="383" t="s">
        <v>71</v>
      </c>
      <c r="H365" s="383" t="s">
        <v>71</v>
      </c>
      <c r="I365" s="383" t="s">
        <v>8341</v>
      </c>
      <c r="J365" s="383" t="s">
        <v>1386</v>
      </c>
      <c r="K365" s="383" t="s">
        <v>1387</v>
      </c>
      <c r="L365" s="383" t="s">
        <v>9681</v>
      </c>
      <c r="M365" s="383" t="s">
        <v>10213</v>
      </c>
      <c r="N365" s="9" t="s">
        <v>44</v>
      </c>
      <c r="O365" s="383" t="str">
        <f>IF(LEN(SUBSTITUTE(Table3937[[#This Row],[PRIMARY CONTACT]]," ",""))=10,SUBSTITUTE(Table3937[[#This Row],[PRIMARY CONTACT]]," ","") &amp; " - Proper","- Follow Up")</f>
        <v>9967768202 - Proper</v>
      </c>
      <c r="P365" s="383" t="s">
        <v>3261</v>
      </c>
      <c r="Q365" s="383">
        <v>9967768202</v>
      </c>
      <c r="R365" s="383" t="str">
        <f>SUBSTITUTE(Table3937[[#This Row],[whatsapp_number]]," ","")</f>
        <v>9967768202</v>
      </c>
      <c r="S365" s="383" t="str">
        <f>IF(Table3937[[#This Row],[PRIMARY CONTACT]]=Table3937[[#This Row],[WHATSAPP CONTACT]],"Same Contact","Different Contact")</f>
        <v>Same Contact</v>
      </c>
      <c r="T365" s="383" t="str">
        <f>IF(LEN(SUBSTITUTE(Table3937[[#This Row],[PRIMARY CONTACT]]," ",""))=10,SUBSTITUTE(Table3937[[#This Row],[PRIMARY CONTACT]]," ","") &amp; " - Proper","- Follow Up")</f>
        <v>9967768202 - Proper</v>
      </c>
      <c r="U365" s="383" t="s">
        <v>2953</v>
      </c>
      <c r="V365" s="383" t="s">
        <v>71</v>
      </c>
      <c r="W365" s="383" t="s">
        <v>47</v>
      </c>
      <c r="X365" s="383" t="s">
        <v>44</v>
      </c>
      <c r="Y365" s="383" t="s">
        <v>44</v>
      </c>
      <c r="Z365" s="383" t="s">
        <v>44</v>
      </c>
      <c r="AA365" s="383" t="s">
        <v>44</v>
      </c>
      <c r="AB365" s="383"/>
    </row>
    <row r="366" spans="1:28" ht="14.4">
      <c r="A366" s="387">
        <v>365</v>
      </c>
      <c r="B366" s="294" t="s">
        <v>3676</v>
      </c>
      <c r="C366" s="383" t="s">
        <v>10709</v>
      </c>
      <c r="D366" s="383" t="s">
        <v>10887</v>
      </c>
      <c r="E366" s="383" t="s">
        <v>8908</v>
      </c>
      <c r="F366" s="383">
        <v>988</v>
      </c>
      <c r="G366" s="383" t="s">
        <v>71</v>
      </c>
      <c r="H366" s="383" t="s">
        <v>3547</v>
      </c>
      <c r="I366" s="383" t="s">
        <v>3803</v>
      </c>
      <c r="J366" s="383" t="s">
        <v>3679</v>
      </c>
      <c r="K366" s="383" t="s">
        <v>78</v>
      </c>
      <c r="L366" s="383" t="s">
        <v>8341</v>
      </c>
      <c r="M366" s="383" t="s">
        <v>10214</v>
      </c>
      <c r="N366" s="296">
        <v>9354910501</v>
      </c>
      <c r="O366" s="383" t="str">
        <f>IF(LEN(SUBSTITUTE(Table3937[[#This Row],[PRIMARY CONTACT]]," ",""))=10,SUBSTITUTE(Table3937[[#This Row],[PRIMARY CONTACT]]," ","") &amp; " - Proper","- Follow Up")</f>
        <v>9999666099 - Proper</v>
      </c>
      <c r="P366" s="383" t="s">
        <v>2780</v>
      </c>
      <c r="Q366" s="383">
        <v>9999666099</v>
      </c>
      <c r="R366" s="383" t="str">
        <f>SUBSTITUTE(Table3937[[#This Row],[whatsapp_number]]," ","")</f>
        <v>9999666099</v>
      </c>
      <c r="S366" s="383" t="str">
        <f>IF(Table3937[[#This Row],[PRIMARY CONTACT]]=Table3937[[#This Row],[WHATSAPP CONTACT]],"Same Contact","Different Contact")</f>
        <v>Same Contact</v>
      </c>
      <c r="T366" s="383" t="str">
        <f>IF(LEN(SUBSTITUTE(Table3937[[#This Row],[PRIMARY CONTACT]]," ",""))=10,SUBSTITUTE(Table3937[[#This Row],[PRIMARY CONTACT]]," ","") &amp; " - Proper","- Follow Up")</f>
        <v>9999666099 - Proper</v>
      </c>
      <c r="U366" s="383" t="s">
        <v>3680</v>
      </c>
      <c r="V366" s="393" t="s">
        <v>2786</v>
      </c>
      <c r="W366" s="383" t="s">
        <v>47</v>
      </c>
      <c r="X366" s="101" t="s">
        <v>49</v>
      </c>
      <c r="Y366" s="5" t="s">
        <v>2164</v>
      </c>
      <c r="Z366" s="5" t="s">
        <v>7773</v>
      </c>
      <c r="AA366" s="101" t="s">
        <v>7774</v>
      </c>
      <c r="AB366" s="383"/>
    </row>
    <row r="367" spans="1:28" ht="14.4">
      <c r="A367" s="387">
        <v>366</v>
      </c>
      <c r="B367" s="294" t="s">
        <v>3686</v>
      </c>
      <c r="C367" s="383" t="s">
        <v>10709</v>
      </c>
      <c r="D367" s="383" t="s">
        <v>10888</v>
      </c>
      <c r="E367" s="383" t="s">
        <v>8909</v>
      </c>
      <c r="F367" s="383">
        <v>990</v>
      </c>
      <c r="G367" s="383" t="s">
        <v>71</v>
      </c>
      <c r="H367" s="383" t="s">
        <v>3547</v>
      </c>
      <c r="I367" s="383" t="s">
        <v>8462</v>
      </c>
      <c r="J367" s="383" t="s">
        <v>3689</v>
      </c>
      <c r="K367" s="383" t="s">
        <v>78</v>
      </c>
      <c r="L367" s="383" t="s">
        <v>8341</v>
      </c>
      <c r="M367" s="383" t="s">
        <v>3690</v>
      </c>
      <c r="N367" s="9" t="s">
        <v>44</v>
      </c>
      <c r="O367" s="383" t="str">
        <f>IF(LEN(SUBSTITUTE(Table3937[[#This Row],[PRIMARY CONTACT]]," ",""))=10,SUBSTITUTE(Table3937[[#This Row],[PRIMARY CONTACT]]," ","") &amp; " - Proper","- Follow Up")</f>
        <v>9999415021 - Proper</v>
      </c>
      <c r="P367" s="383" t="s">
        <v>2780</v>
      </c>
      <c r="Q367" s="383" t="s">
        <v>3690</v>
      </c>
      <c r="R367" s="383" t="str">
        <f>SUBSTITUTE(Table3937[[#This Row],[whatsapp_number]]," ","")</f>
        <v>9999415021</v>
      </c>
      <c r="S367" s="383" t="str">
        <f>IF(Table3937[[#This Row],[PRIMARY CONTACT]]=Table3937[[#This Row],[WHATSAPP CONTACT]],"Same Contact","Different Contact")</f>
        <v>Different Contact</v>
      </c>
      <c r="T367" s="383" t="str">
        <f>IF(LEN(SUBSTITUTE(Table3937[[#This Row],[PRIMARY CONTACT]]," ",""))=10,SUBSTITUTE(Table3937[[#This Row],[PRIMARY CONTACT]]," ","") &amp; " - Proper","- Follow Up")</f>
        <v>9999415021 - Proper</v>
      </c>
      <c r="U367" s="383" t="s">
        <v>3691</v>
      </c>
      <c r="V367" s="393" t="s">
        <v>2786</v>
      </c>
      <c r="W367" s="383" t="s">
        <v>47</v>
      </c>
      <c r="X367" s="101" t="s">
        <v>49</v>
      </c>
      <c r="Y367" s="5" t="s">
        <v>2164</v>
      </c>
      <c r="Z367" s="5" t="s">
        <v>7773</v>
      </c>
      <c r="AA367" s="101" t="s">
        <v>7774</v>
      </c>
      <c r="AB367" s="383"/>
    </row>
    <row r="368" spans="1:28" ht="14.4">
      <c r="A368" s="387">
        <v>367</v>
      </c>
      <c r="B368" s="294" t="s">
        <v>3692</v>
      </c>
      <c r="C368" s="383" t="s">
        <v>10709</v>
      </c>
      <c r="D368" s="383" t="s">
        <v>10889</v>
      </c>
      <c r="E368" s="383" t="s">
        <v>8910</v>
      </c>
      <c r="F368" s="383">
        <v>991</v>
      </c>
      <c r="G368" s="383" t="s">
        <v>71</v>
      </c>
      <c r="H368" s="383" t="s">
        <v>3547</v>
      </c>
      <c r="I368" s="383" t="s">
        <v>3807</v>
      </c>
      <c r="J368" s="383" t="s">
        <v>3695</v>
      </c>
      <c r="K368" s="383" t="s">
        <v>78</v>
      </c>
      <c r="L368" s="383" t="s">
        <v>8341</v>
      </c>
      <c r="M368" s="383" t="s">
        <v>3696</v>
      </c>
      <c r="N368" s="296" t="s">
        <v>7809</v>
      </c>
      <c r="O368" s="383" t="str">
        <f>IF(LEN(SUBSTITUTE(Table3937[[#This Row],[PRIMARY CONTACT]]," ",""))=10,SUBSTITUTE(Table3937[[#This Row],[PRIMARY CONTACT]]," ","") &amp; " - Proper","- Follow Up")</f>
        <v>9811054686 - Proper</v>
      </c>
      <c r="P368" s="383" t="s">
        <v>2780</v>
      </c>
      <c r="Q368" s="383" t="s">
        <v>3696</v>
      </c>
      <c r="R368" s="383" t="str">
        <f>SUBSTITUTE(Table3937[[#This Row],[whatsapp_number]]," ","")</f>
        <v>9811054686</v>
      </c>
      <c r="S368" s="383" t="str">
        <f>IF(Table3937[[#This Row],[PRIMARY CONTACT]]=Table3937[[#This Row],[WHATSAPP CONTACT]],"Same Contact","Different Contact")</f>
        <v>Different Contact</v>
      </c>
      <c r="T368" s="383" t="str">
        <f>IF(LEN(SUBSTITUTE(Table3937[[#This Row],[PRIMARY CONTACT]]," ",""))=10,SUBSTITUTE(Table3937[[#This Row],[PRIMARY CONTACT]]," ","") &amp; " - Proper","- Follow Up")</f>
        <v>9811054686 - Proper</v>
      </c>
      <c r="U368" s="383" t="s">
        <v>10576</v>
      </c>
      <c r="V368" s="393" t="s">
        <v>2786</v>
      </c>
      <c r="W368" s="383" t="s">
        <v>47</v>
      </c>
      <c r="X368" s="101" t="s">
        <v>49</v>
      </c>
      <c r="Y368" s="5" t="s">
        <v>2164</v>
      </c>
      <c r="Z368" s="5" t="s">
        <v>7773</v>
      </c>
      <c r="AA368" s="101" t="s">
        <v>7774</v>
      </c>
      <c r="AB368" s="383"/>
    </row>
    <row r="369" spans="1:28" ht="14.4">
      <c r="A369" s="387">
        <v>368</v>
      </c>
      <c r="B369" t="s">
        <v>10710</v>
      </c>
      <c r="C369" s="383" t="s">
        <v>10710</v>
      </c>
      <c r="D369" s="383" t="s">
        <v>10710</v>
      </c>
      <c r="E369" s="383" t="s">
        <v>8911</v>
      </c>
      <c r="F369" s="383">
        <v>992</v>
      </c>
      <c r="G369" s="383" t="s">
        <v>71</v>
      </c>
      <c r="H369" s="383" t="s">
        <v>1647</v>
      </c>
      <c r="I369" s="383" t="s">
        <v>1644</v>
      </c>
      <c r="J369" s="383" t="s">
        <v>1645</v>
      </c>
      <c r="K369" s="383" t="s">
        <v>191</v>
      </c>
      <c r="L369" s="383" t="s">
        <v>9702</v>
      </c>
      <c r="M369" s="383" t="s">
        <v>10215</v>
      </c>
      <c r="N369" s="296">
        <v>9161111152</v>
      </c>
      <c r="O369" s="383" t="str">
        <f>IF(LEN(SUBSTITUTE(Table3937[[#This Row],[PRIMARY CONTACT]]," ",""))=10,SUBSTITUTE(Table3937[[#This Row],[PRIMARY CONTACT]]," ","") &amp; " - Proper","- Follow Up")</f>
        <v>9830006429 - Proper</v>
      </c>
      <c r="P369" s="383" t="s">
        <v>3320</v>
      </c>
      <c r="Q369" s="383">
        <v>9830006429</v>
      </c>
      <c r="R369" s="383" t="str">
        <f>SUBSTITUTE(Table3937[[#This Row],[whatsapp_number]]," ","")</f>
        <v>9830006429</v>
      </c>
      <c r="S369" s="383" t="str">
        <f>IF(Table3937[[#This Row],[PRIMARY CONTACT]]=Table3937[[#This Row],[WHATSAPP CONTACT]],"Same Contact","Different Contact")</f>
        <v>Same Contact</v>
      </c>
      <c r="T369" s="383" t="str">
        <f>IF(LEN(SUBSTITUTE(Table3937[[#This Row],[PRIMARY CONTACT]]," ",""))=10,SUBSTITUTE(Table3937[[#This Row],[PRIMARY CONTACT]]," ","") &amp; " - Proper","- Follow Up")</f>
        <v>9830006429 - Proper</v>
      </c>
      <c r="U369" s="383" t="s">
        <v>2953</v>
      </c>
      <c r="V369" s="383" t="s">
        <v>71</v>
      </c>
      <c r="W369" s="383" t="s">
        <v>47</v>
      </c>
      <c r="X369" s="101" t="s">
        <v>49</v>
      </c>
      <c r="Y369" s="5" t="s">
        <v>2164</v>
      </c>
      <c r="Z369" s="5" t="s">
        <v>7773</v>
      </c>
      <c r="AA369" s="101" t="s">
        <v>7774</v>
      </c>
      <c r="AB369" s="383"/>
    </row>
    <row r="370" spans="1:28" ht="14.4">
      <c r="A370" s="387">
        <v>369</v>
      </c>
      <c r="B370" s="383" t="s">
        <v>3698</v>
      </c>
      <c r="C370" s="383" t="s">
        <v>10709</v>
      </c>
      <c r="D370" s="383" t="s">
        <v>10890</v>
      </c>
      <c r="E370" s="383" t="s">
        <v>8912</v>
      </c>
      <c r="F370" s="383">
        <v>992</v>
      </c>
      <c r="G370" s="383" t="s">
        <v>71</v>
      </c>
      <c r="H370" s="383" t="s">
        <v>3547</v>
      </c>
      <c r="I370" s="383" t="s">
        <v>8463</v>
      </c>
      <c r="J370" s="383" t="s">
        <v>3701</v>
      </c>
      <c r="K370" s="383" t="s">
        <v>78</v>
      </c>
      <c r="L370" s="383" t="s">
        <v>8341</v>
      </c>
      <c r="M370" s="383" t="s">
        <v>3702</v>
      </c>
      <c r="N370" s="296">
        <v>9161111152</v>
      </c>
      <c r="O370" s="383" t="str">
        <f>IF(LEN(SUBSTITUTE(Table3937[[#This Row],[PRIMARY CONTACT]]," ",""))=10,SUBSTITUTE(Table3937[[#This Row],[PRIMARY CONTACT]]," ","") &amp; " - Proper","- Follow Up")</f>
        <v>9838098389 - Proper</v>
      </c>
      <c r="P370" s="383" t="s">
        <v>2780</v>
      </c>
      <c r="Q370" s="383" t="s">
        <v>3702</v>
      </c>
      <c r="R370" s="383" t="str">
        <f>SUBSTITUTE(Table3937[[#This Row],[whatsapp_number]]," ","")</f>
        <v>9838098389</v>
      </c>
      <c r="S370" s="383" t="str">
        <f>IF(Table3937[[#This Row],[PRIMARY CONTACT]]=Table3937[[#This Row],[WHATSAPP CONTACT]],"Same Contact","Different Contact")</f>
        <v>Different Contact</v>
      </c>
      <c r="T370" s="383" t="str">
        <f>IF(LEN(SUBSTITUTE(Table3937[[#This Row],[PRIMARY CONTACT]]," ",""))=10,SUBSTITUTE(Table3937[[#This Row],[PRIMARY CONTACT]]," ","") &amp; " - Proper","- Follow Up")</f>
        <v>9838098389 - Proper</v>
      </c>
      <c r="U370" s="383" t="s">
        <v>3703</v>
      </c>
      <c r="V370" s="393" t="s">
        <v>2786</v>
      </c>
      <c r="W370" s="383" t="s">
        <v>47</v>
      </c>
      <c r="X370" s="101" t="s">
        <v>49</v>
      </c>
      <c r="Y370" s="5" t="s">
        <v>2164</v>
      </c>
      <c r="Z370" s="5" t="s">
        <v>7773</v>
      </c>
      <c r="AA370" s="101" t="s">
        <v>7774</v>
      </c>
      <c r="AB370" s="383"/>
    </row>
    <row r="371" spans="1:28" ht="13.8">
      <c r="A371" s="387">
        <v>370</v>
      </c>
      <c r="B371" s="383" t="s">
        <v>3704</v>
      </c>
      <c r="C371" s="383" t="s">
        <v>10709</v>
      </c>
      <c r="D371" s="383" t="s">
        <v>10891</v>
      </c>
      <c r="E371" s="383" t="s">
        <v>8913</v>
      </c>
      <c r="F371" s="383">
        <v>993</v>
      </c>
      <c r="G371" s="383" t="s">
        <v>71</v>
      </c>
      <c r="H371" s="383" t="s">
        <v>3547</v>
      </c>
      <c r="I371" s="383" t="s">
        <v>8464</v>
      </c>
      <c r="J371" s="383" t="s">
        <v>3707</v>
      </c>
      <c r="K371" s="383" t="s">
        <v>78</v>
      </c>
      <c r="L371" s="383" t="s">
        <v>8341</v>
      </c>
      <c r="M371" s="383" t="s">
        <v>3708</v>
      </c>
      <c r="N371" s="9" t="s">
        <v>44</v>
      </c>
      <c r="O371" s="383" t="str">
        <f>IF(LEN(SUBSTITUTE(Table3937[[#This Row],[PRIMARY CONTACT]]," ",""))=10,SUBSTITUTE(Table3937[[#This Row],[PRIMARY CONTACT]]," ","") &amp; " - Proper","- Follow Up")</f>
        <v>9929188222 - Proper</v>
      </c>
      <c r="P371" s="383" t="s">
        <v>2780</v>
      </c>
      <c r="Q371" s="383" t="s">
        <v>3708</v>
      </c>
      <c r="R371" s="383" t="str">
        <f>SUBSTITUTE(Table3937[[#This Row],[whatsapp_number]]," ","")</f>
        <v>9929188222</v>
      </c>
      <c r="S371" s="383" t="str">
        <f>IF(Table3937[[#This Row],[PRIMARY CONTACT]]=Table3937[[#This Row],[WHATSAPP CONTACT]],"Same Contact","Different Contact")</f>
        <v>Different Contact</v>
      </c>
      <c r="T371" s="383" t="str">
        <f>IF(LEN(SUBSTITUTE(Table3937[[#This Row],[PRIMARY CONTACT]]," ",""))=10,SUBSTITUTE(Table3937[[#This Row],[PRIMARY CONTACT]]," ","") &amp; " - Proper","- Follow Up")</f>
        <v>9929188222 - Proper</v>
      </c>
      <c r="U371" s="383" t="s">
        <v>3709</v>
      </c>
      <c r="V371" s="393" t="s">
        <v>2786</v>
      </c>
      <c r="W371" s="383" t="s">
        <v>47</v>
      </c>
      <c r="X371" s="101" t="s">
        <v>49</v>
      </c>
      <c r="Y371" s="5" t="s">
        <v>2164</v>
      </c>
      <c r="Z371" s="5" t="s">
        <v>7773</v>
      </c>
      <c r="AA371" s="101" t="s">
        <v>7774</v>
      </c>
      <c r="AB371" s="383"/>
    </row>
    <row r="372" spans="1:28" ht="14.4">
      <c r="A372" s="387">
        <v>371</v>
      </c>
      <c r="B372" s="383" t="s">
        <v>3710</v>
      </c>
      <c r="C372" s="383" t="s">
        <v>10709</v>
      </c>
      <c r="D372" s="383" t="s">
        <v>10892</v>
      </c>
      <c r="E372" s="383" t="s">
        <v>8914</v>
      </c>
      <c r="F372" s="383">
        <v>994</v>
      </c>
      <c r="G372" s="383" t="s">
        <v>71</v>
      </c>
      <c r="H372" s="383" t="s">
        <v>3547</v>
      </c>
      <c r="I372" s="383" t="s">
        <v>8465</v>
      </c>
      <c r="J372" s="383" t="s">
        <v>3713</v>
      </c>
      <c r="K372" s="383" t="s">
        <v>78</v>
      </c>
      <c r="L372" s="383" t="s">
        <v>8341</v>
      </c>
      <c r="M372" s="383" t="s">
        <v>3714</v>
      </c>
      <c r="N372" s="296">
        <v>9781312244</v>
      </c>
      <c r="O372" s="383" t="str">
        <f>IF(LEN(SUBSTITUTE(Table3937[[#This Row],[PRIMARY CONTACT]]," ",""))=10,SUBSTITUTE(Table3937[[#This Row],[PRIMARY CONTACT]]," ","") &amp; " - Proper","- Follow Up")</f>
        <v>9780447244 - Proper</v>
      </c>
      <c r="P372" s="383" t="s">
        <v>2780</v>
      </c>
      <c r="Q372" s="383" t="s">
        <v>3714</v>
      </c>
      <c r="R372" s="383" t="str">
        <f>SUBSTITUTE(Table3937[[#This Row],[whatsapp_number]]," ","")</f>
        <v>9780447244</v>
      </c>
      <c r="S372" s="383" t="str">
        <f>IF(Table3937[[#This Row],[PRIMARY CONTACT]]=Table3937[[#This Row],[WHATSAPP CONTACT]],"Same Contact","Different Contact")</f>
        <v>Different Contact</v>
      </c>
      <c r="T372" s="383" t="str">
        <f>IF(LEN(SUBSTITUTE(Table3937[[#This Row],[PRIMARY CONTACT]]," ",""))=10,SUBSTITUTE(Table3937[[#This Row],[PRIMARY CONTACT]]," ","") &amp; " - Proper","- Follow Up")</f>
        <v>9780447244 - Proper</v>
      </c>
      <c r="U372" s="383" t="s">
        <v>10577</v>
      </c>
      <c r="V372" s="393" t="s">
        <v>2786</v>
      </c>
      <c r="W372" s="383" t="s">
        <v>47</v>
      </c>
      <c r="X372" s="101" t="s">
        <v>49</v>
      </c>
      <c r="Y372" s="5" t="s">
        <v>2164</v>
      </c>
      <c r="Z372" s="5" t="s">
        <v>7773</v>
      </c>
      <c r="AA372" s="101" t="s">
        <v>7774</v>
      </c>
      <c r="AB372" s="383"/>
    </row>
    <row r="373" spans="1:28" ht="13.8">
      <c r="A373" s="387">
        <v>372</v>
      </c>
      <c r="B373" s="383" t="s">
        <v>3716</v>
      </c>
      <c r="C373" s="383" t="s">
        <v>10709</v>
      </c>
      <c r="D373" s="383" t="s">
        <v>10893</v>
      </c>
      <c r="E373" s="383" t="s">
        <v>8915</v>
      </c>
      <c r="F373" s="383">
        <v>995</v>
      </c>
      <c r="G373" s="383" t="s">
        <v>71</v>
      </c>
      <c r="H373" s="383" t="s">
        <v>3547</v>
      </c>
      <c r="I373" s="383" t="s">
        <v>8466</v>
      </c>
      <c r="J373" s="383" t="s">
        <v>3719</v>
      </c>
      <c r="K373" s="383" t="s">
        <v>78</v>
      </c>
      <c r="L373" s="383" t="s">
        <v>8341</v>
      </c>
      <c r="M373" s="383" t="s">
        <v>3720</v>
      </c>
      <c r="N373" s="9" t="s">
        <v>44</v>
      </c>
      <c r="O373" s="383" t="str">
        <f>IF(LEN(SUBSTITUTE(Table3937[[#This Row],[PRIMARY CONTACT]]," ",""))=10,SUBSTITUTE(Table3937[[#This Row],[PRIMARY CONTACT]]," ","") &amp; " - Proper","- Follow Up")</f>
        <v>9618590444 - Proper</v>
      </c>
      <c r="P373" s="383" t="s">
        <v>2780</v>
      </c>
      <c r="Q373" s="383" t="s">
        <v>3720</v>
      </c>
      <c r="R373" s="383" t="str">
        <f>SUBSTITUTE(Table3937[[#This Row],[whatsapp_number]]," ","")</f>
        <v>9618590444</v>
      </c>
      <c r="S373" s="383" t="str">
        <f>IF(Table3937[[#This Row],[PRIMARY CONTACT]]=Table3937[[#This Row],[WHATSAPP CONTACT]],"Same Contact","Different Contact")</f>
        <v>Different Contact</v>
      </c>
      <c r="T373" s="383" t="str">
        <f>IF(LEN(SUBSTITUTE(Table3937[[#This Row],[PRIMARY CONTACT]]," ",""))=10,SUBSTITUTE(Table3937[[#This Row],[PRIMARY CONTACT]]," ","") &amp; " - Proper","- Follow Up")</f>
        <v>9618590444 - Proper</v>
      </c>
      <c r="U373" s="383" t="s">
        <v>3721</v>
      </c>
      <c r="V373" s="393" t="s">
        <v>2786</v>
      </c>
      <c r="W373" s="383" t="s">
        <v>47</v>
      </c>
      <c r="X373" s="101" t="s">
        <v>49</v>
      </c>
      <c r="Y373" s="5" t="s">
        <v>2164</v>
      </c>
      <c r="Z373" s="5" t="s">
        <v>7773</v>
      </c>
      <c r="AA373" s="101" t="s">
        <v>7774</v>
      </c>
      <c r="AB373" s="383"/>
    </row>
    <row r="374" spans="1:28" ht="13.8">
      <c r="A374" s="387">
        <v>373</v>
      </c>
      <c r="B374" s="383" t="s">
        <v>3722</v>
      </c>
      <c r="C374" s="383" t="s">
        <v>10709</v>
      </c>
      <c r="D374" s="383" t="s">
        <v>10894</v>
      </c>
      <c r="E374" s="383" t="s">
        <v>8916</v>
      </c>
      <c r="F374" s="383">
        <v>996</v>
      </c>
      <c r="G374" s="383" t="s">
        <v>71</v>
      </c>
      <c r="H374" s="383" t="s">
        <v>3547</v>
      </c>
      <c r="I374" s="383" t="s">
        <v>8467</v>
      </c>
      <c r="J374" s="383" t="s">
        <v>3725</v>
      </c>
      <c r="K374" s="383" t="s">
        <v>78</v>
      </c>
      <c r="L374" s="383" t="s">
        <v>8341</v>
      </c>
      <c r="M374" s="383" t="s">
        <v>3726</v>
      </c>
      <c r="N374" s="9" t="s">
        <v>44</v>
      </c>
      <c r="O374" s="383" t="str">
        <f>IF(LEN(SUBSTITUTE(Table3937[[#This Row],[PRIMARY CONTACT]]," ",""))=10,SUBSTITUTE(Table3937[[#This Row],[PRIMARY CONTACT]]," ","") &amp; " - Proper","- Follow Up")</f>
        <v>9052961144 - Proper</v>
      </c>
      <c r="P374" s="383" t="s">
        <v>2780</v>
      </c>
      <c r="Q374" s="383" t="s">
        <v>3726</v>
      </c>
      <c r="R374" s="383" t="str">
        <f>SUBSTITUTE(Table3937[[#This Row],[whatsapp_number]]," ","")</f>
        <v>9052961144</v>
      </c>
      <c r="S374" s="383" t="str">
        <f>IF(Table3937[[#This Row],[PRIMARY CONTACT]]=Table3937[[#This Row],[WHATSAPP CONTACT]],"Same Contact","Different Contact")</f>
        <v>Different Contact</v>
      </c>
      <c r="T374" s="383" t="str">
        <f>IF(LEN(SUBSTITUTE(Table3937[[#This Row],[PRIMARY CONTACT]]," ",""))=10,SUBSTITUTE(Table3937[[#This Row],[PRIMARY CONTACT]]," ","") &amp; " - Proper","- Follow Up")</f>
        <v>9052961144 - Proper</v>
      </c>
      <c r="U374" s="383" t="s">
        <v>10578</v>
      </c>
      <c r="V374" s="393" t="s">
        <v>2786</v>
      </c>
      <c r="W374" s="383" t="s">
        <v>47</v>
      </c>
      <c r="X374" s="101" t="s">
        <v>49</v>
      </c>
      <c r="Y374" s="5" t="s">
        <v>2164</v>
      </c>
      <c r="Z374" s="5" t="s">
        <v>7773</v>
      </c>
      <c r="AA374" s="101" t="s">
        <v>7774</v>
      </c>
      <c r="AB374" s="383"/>
    </row>
    <row r="375" spans="1:28" ht="13.8">
      <c r="A375" s="387">
        <v>374</v>
      </c>
      <c r="B375" s="383" t="s">
        <v>3728</v>
      </c>
      <c r="C375" s="383" t="s">
        <v>10709</v>
      </c>
      <c r="D375" s="383" t="s">
        <v>10895</v>
      </c>
      <c r="E375" s="383" t="s">
        <v>8917</v>
      </c>
      <c r="F375" s="383">
        <v>997</v>
      </c>
      <c r="G375" s="383" t="s">
        <v>71</v>
      </c>
      <c r="H375" s="383" t="s">
        <v>3547</v>
      </c>
      <c r="I375" s="383" t="s">
        <v>8468</v>
      </c>
      <c r="J375" s="383" t="s">
        <v>3731</v>
      </c>
      <c r="K375" s="383" t="s">
        <v>78</v>
      </c>
      <c r="L375" s="383" t="s">
        <v>8341</v>
      </c>
      <c r="M375" s="383" t="s">
        <v>3732</v>
      </c>
      <c r="N375" s="9" t="s">
        <v>44</v>
      </c>
      <c r="O375" s="383" t="str">
        <f>IF(LEN(SUBSTITUTE(Table3937[[#This Row],[PRIMARY CONTACT]]," ",""))=10,SUBSTITUTE(Table3937[[#This Row],[PRIMARY CONTACT]]," ","") &amp; " - Proper","- Follow Up")</f>
        <v>9943044485 - Proper</v>
      </c>
      <c r="P375" s="383" t="s">
        <v>2780</v>
      </c>
      <c r="Q375" s="383" t="s">
        <v>3732</v>
      </c>
      <c r="R375" s="383" t="str">
        <f>SUBSTITUTE(Table3937[[#This Row],[whatsapp_number]]," ","")</f>
        <v>9943044485</v>
      </c>
      <c r="S375" s="383" t="str">
        <f>IF(Table3937[[#This Row],[PRIMARY CONTACT]]=Table3937[[#This Row],[WHATSAPP CONTACT]],"Same Contact","Different Contact")</f>
        <v>Different Contact</v>
      </c>
      <c r="T375" s="383" t="str">
        <f>IF(LEN(SUBSTITUTE(Table3937[[#This Row],[PRIMARY CONTACT]]," ",""))=10,SUBSTITUTE(Table3937[[#This Row],[PRIMARY CONTACT]]," ","") &amp; " - Proper","- Follow Up")</f>
        <v>9943044485 - Proper</v>
      </c>
      <c r="U375" s="383" t="s">
        <v>3733</v>
      </c>
      <c r="V375" s="393" t="s">
        <v>2786</v>
      </c>
      <c r="W375" s="383" t="s">
        <v>47</v>
      </c>
      <c r="X375" s="101" t="s">
        <v>49</v>
      </c>
      <c r="Y375" s="5" t="s">
        <v>2164</v>
      </c>
      <c r="Z375" s="5" t="s">
        <v>7773</v>
      </c>
      <c r="AA375" s="101" t="s">
        <v>7774</v>
      </c>
      <c r="AB375" s="383"/>
    </row>
    <row r="376" spans="1:28" ht="13.8">
      <c r="A376" s="387">
        <v>375</v>
      </c>
      <c r="B376" s="383" t="s">
        <v>3734</v>
      </c>
      <c r="C376" s="383" t="s">
        <v>10709</v>
      </c>
      <c r="D376" s="383" t="s">
        <v>3737</v>
      </c>
      <c r="E376" s="383" t="s">
        <v>8918</v>
      </c>
      <c r="F376" s="383">
        <v>998</v>
      </c>
      <c r="G376" s="383" t="s">
        <v>71</v>
      </c>
      <c r="H376" s="383" t="s">
        <v>3547</v>
      </c>
      <c r="I376" s="383" t="s">
        <v>8469</v>
      </c>
      <c r="J376" s="383" t="s">
        <v>3737</v>
      </c>
      <c r="K376" s="383" t="s">
        <v>78</v>
      </c>
      <c r="L376" s="383" t="s">
        <v>8341</v>
      </c>
      <c r="M376" s="383" t="s">
        <v>3738</v>
      </c>
      <c r="N376" s="9" t="s">
        <v>44</v>
      </c>
      <c r="O376" s="383" t="str">
        <f>IF(LEN(SUBSTITUTE(Table3937[[#This Row],[PRIMARY CONTACT]]," ",""))=10,SUBSTITUTE(Table3937[[#This Row],[PRIMARY CONTACT]]," ","") &amp; " - Proper","- Follow Up")</f>
        <v>9884109855 - Proper</v>
      </c>
      <c r="P376" s="383" t="s">
        <v>2780</v>
      </c>
      <c r="Q376" s="383" t="s">
        <v>3738</v>
      </c>
      <c r="R376" s="383" t="str">
        <f>SUBSTITUTE(Table3937[[#This Row],[whatsapp_number]]," ","")</f>
        <v>9884109855</v>
      </c>
      <c r="S376" s="383" t="str">
        <f>IF(Table3937[[#This Row],[PRIMARY CONTACT]]=Table3937[[#This Row],[WHATSAPP CONTACT]],"Same Contact","Different Contact")</f>
        <v>Different Contact</v>
      </c>
      <c r="T376" s="383" t="str">
        <f>IF(LEN(SUBSTITUTE(Table3937[[#This Row],[PRIMARY CONTACT]]," ",""))=10,SUBSTITUTE(Table3937[[#This Row],[PRIMARY CONTACT]]," ","") &amp; " - Proper","- Follow Up")</f>
        <v>9884109855 - Proper</v>
      </c>
      <c r="U376" s="383" t="s">
        <v>3739</v>
      </c>
      <c r="V376" s="393" t="s">
        <v>2786</v>
      </c>
      <c r="W376" s="383" t="s">
        <v>47</v>
      </c>
      <c r="X376" s="101" t="s">
        <v>49</v>
      </c>
      <c r="Y376" s="5" t="s">
        <v>2164</v>
      </c>
      <c r="Z376" s="5" t="s">
        <v>7773</v>
      </c>
      <c r="AA376" s="101" t="s">
        <v>7774</v>
      </c>
      <c r="AB376" s="383"/>
    </row>
    <row r="377" spans="1:28" ht="13.8">
      <c r="A377" s="387">
        <v>376</v>
      </c>
      <c r="B377" s="383" t="s">
        <v>3740</v>
      </c>
      <c r="C377" s="383" t="s">
        <v>10709</v>
      </c>
      <c r="D377" s="383" t="s">
        <v>10896</v>
      </c>
      <c r="E377" s="383" t="s">
        <v>8919</v>
      </c>
      <c r="F377" s="383">
        <v>999</v>
      </c>
      <c r="G377" s="383" t="s">
        <v>71</v>
      </c>
      <c r="H377" s="383" t="s">
        <v>3547</v>
      </c>
      <c r="I377" s="383" t="s">
        <v>8470</v>
      </c>
      <c r="J377" s="383" t="s">
        <v>3743</v>
      </c>
      <c r="K377" s="383" t="s">
        <v>78</v>
      </c>
      <c r="L377" s="383" t="s">
        <v>8341</v>
      </c>
      <c r="M377" s="383" t="s">
        <v>3744</v>
      </c>
      <c r="N377" s="9" t="s">
        <v>44</v>
      </c>
      <c r="O377" s="383" t="str">
        <f>IF(LEN(SUBSTITUTE(Table3937[[#This Row],[PRIMARY CONTACT]]," ",""))=10,SUBSTITUTE(Table3937[[#This Row],[PRIMARY CONTACT]]," ","") &amp; " - Proper","- Follow Up")</f>
        <v>9769480999 - Proper</v>
      </c>
      <c r="P377" s="383" t="s">
        <v>2780</v>
      </c>
      <c r="Q377" s="383" t="s">
        <v>3744</v>
      </c>
      <c r="R377" s="383" t="str">
        <f>SUBSTITUTE(Table3937[[#This Row],[whatsapp_number]]," ","")</f>
        <v>9769480999</v>
      </c>
      <c r="S377" s="383" t="str">
        <f>IF(Table3937[[#This Row],[PRIMARY CONTACT]]=Table3937[[#This Row],[WHATSAPP CONTACT]],"Same Contact","Different Contact")</f>
        <v>Different Contact</v>
      </c>
      <c r="T377" s="383" t="str">
        <f>IF(LEN(SUBSTITUTE(Table3937[[#This Row],[PRIMARY CONTACT]]," ",""))=10,SUBSTITUTE(Table3937[[#This Row],[PRIMARY CONTACT]]," ","") &amp; " - Proper","- Follow Up")</f>
        <v>9769480999 - Proper</v>
      </c>
      <c r="U377" s="383" t="s">
        <v>10579</v>
      </c>
      <c r="V377" s="393" t="s">
        <v>2786</v>
      </c>
      <c r="W377" s="383" t="s">
        <v>47</v>
      </c>
      <c r="X377" s="101" t="s">
        <v>49</v>
      </c>
      <c r="Y377" s="5" t="s">
        <v>2164</v>
      </c>
      <c r="Z377" s="5" t="s">
        <v>7773</v>
      </c>
      <c r="AA377" s="101" t="s">
        <v>7774</v>
      </c>
      <c r="AB377" s="383"/>
    </row>
    <row r="378" spans="1:28" ht="14.4">
      <c r="A378" s="387">
        <v>377</v>
      </c>
      <c r="B378" s="294" t="s">
        <v>3746</v>
      </c>
      <c r="C378" s="383" t="s">
        <v>10709</v>
      </c>
      <c r="D378" s="383" t="s">
        <v>10897</v>
      </c>
      <c r="E378" s="383" t="s">
        <v>8920</v>
      </c>
      <c r="F378" s="383">
        <v>1000</v>
      </c>
      <c r="G378" s="383" t="s">
        <v>71</v>
      </c>
      <c r="H378" s="383" t="s">
        <v>3547</v>
      </c>
      <c r="I378" s="383" t="s">
        <v>8471</v>
      </c>
      <c r="J378" s="383" t="s">
        <v>3749</v>
      </c>
      <c r="K378" s="383" t="s">
        <v>42</v>
      </c>
      <c r="L378" s="383" t="s">
        <v>8341</v>
      </c>
      <c r="M378" s="383" t="s">
        <v>3750</v>
      </c>
      <c r="N378" s="296" t="s">
        <v>7818</v>
      </c>
      <c r="O378" s="383" t="str">
        <f>IF(LEN(SUBSTITUTE(Table3937[[#This Row],[PRIMARY CONTACT]]," ",""))=10,SUBSTITUTE(Table3937[[#This Row],[PRIMARY CONTACT]]," ","") &amp; " - Proper","- Follow Up")</f>
        <v>9225515522 - Proper</v>
      </c>
      <c r="P378" s="383" t="s">
        <v>2780</v>
      </c>
      <c r="Q378" s="383" t="s">
        <v>3750</v>
      </c>
      <c r="R378" s="383" t="str">
        <f>SUBSTITUTE(Table3937[[#This Row],[whatsapp_number]]," ","")</f>
        <v>9225515522</v>
      </c>
      <c r="S378" s="383" t="str">
        <f>IF(Table3937[[#This Row],[PRIMARY CONTACT]]=Table3937[[#This Row],[WHATSAPP CONTACT]],"Same Contact","Different Contact")</f>
        <v>Different Contact</v>
      </c>
      <c r="T378" s="383" t="str">
        <f>IF(LEN(SUBSTITUTE(Table3937[[#This Row],[PRIMARY CONTACT]]," ",""))=10,SUBSTITUTE(Table3937[[#This Row],[PRIMARY CONTACT]]," ","") &amp; " - Proper","- Follow Up")</f>
        <v>9225515522 - Proper</v>
      </c>
      <c r="U378" s="383" t="s">
        <v>10580</v>
      </c>
      <c r="V378" s="393" t="s">
        <v>2786</v>
      </c>
      <c r="W378" s="383" t="s">
        <v>47</v>
      </c>
      <c r="X378" s="101" t="s">
        <v>49</v>
      </c>
      <c r="Y378" s="5" t="s">
        <v>2164</v>
      </c>
      <c r="Z378" s="5" t="s">
        <v>7773</v>
      </c>
      <c r="AA378" s="101" t="s">
        <v>7774</v>
      </c>
      <c r="AB378" s="383"/>
    </row>
    <row r="379" spans="1:28" ht="14.4">
      <c r="A379" s="387">
        <v>378</v>
      </c>
      <c r="B379" s="294" t="s">
        <v>3752</v>
      </c>
      <c r="C379" s="383" t="s">
        <v>10709</v>
      </c>
      <c r="D379" s="383" t="s">
        <v>10898</v>
      </c>
      <c r="E379" s="383" t="s">
        <v>8921</v>
      </c>
      <c r="F379" s="383">
        <v>1001</v>
      </c>
      <c r="G379" s="383" t="s">
        <v>71</v>
      </c>
      <c r="H379" s="383" t="s">
        <v>3547</v>
      </c>
      <c r="I379" s="383" t="s">
        <v>3795</v>
      </c>
      <c r="J379" s="383" t="s">
        <v>3755</v>
      </c>
      <c r="K379" s="383" t="s">
        <v>42</v>
      </c>
      <c r="L379" s="383" t="s">
        <v>8341</v>
      </c>
      <c r="M379" s="383" t="s">
        <v>3756</v>
      </c>
      <c r="N379" s="296" t="s">
        <v>7819</v>
      </c>
      <c r="O379" s="383" t="str">
        <f>IF(LEN(SUBSTITUTE(Table3937[[#This Row],[PRIMARY CONTACT]]," ",""))=10,SUBSTITUTE(Table3937[[#This Row],[PRIMARY CONTACT]]," ","") &amp; " - Proper","- Follow Up")</f>
        <v>9975598174 - Proper</v>
      </c>
      <c r="P379" s="383" t="s">
        <v>2780</v>
      </c>
      <c r="Q379" s="383" t="s">
        <v>3756</v>
      </c>
      <c r="R379" s="383" t="str">
        <f>SUBSTITUTE(Table3937[[#This Row],[whatsapp_number]]," ","")</f>
        <v>9975598174</v>
      </c>
      <c r="S379" s="383" t="str">
        <f>IF(Table3937[[#This Row],[PRIMARY CONTACT]]=Table3937[[#This Row],[WHATSAPP CONTACT]],"Same Contact","Different Contact")</f>
        <v>Different Contact</v>
      </c>
      <c r="T379" s="383" t="str">
        <f>IF(LEN(SUBSTITUTE(Table3937[[#This Row],[PRIMARY CONTACT]]," ",""))=10,SUBSTITUTE(Table3937[[#This Row],[PRIMARY CONTACT]]," ","") &amp; " - Proper","- Follow Up")</f>
        <v>9975598174 - Proper</v>
      </c>
      <c r="U379" s="383" t="s">
        <v>10581</v>
      </c>
      <c r="V379" s="393" t="s">
        <v>2786</v>
      </c>
      <c r="W379" s="383" t="s">
        <v>47</v>
      </c>
      <c r="X379" s="101" t="s">
        <v>49</v>
      </c>
      <c r="Y379" s="5" t="s">
        <v>2164</v>
      </c>
      <c r="Z379" s="5" t="s">
        <v>7773</v>
      </c>
      <c r="AA379" s="101" t="s">
        <v>7774</v>
      </c>
      <c r="AB379" s="383"/>
    </row>
    <row r="380" spans="1:28" ht="14.4">
      <c r="A380" s="387">
        <v>379</v>
      </c>
      <c r="B380" s="294" t="s">
        <v>3758</v>
      </c>
      <c r="C380" s="383" t="s">
        <v>10709</v>
      </c>
      <c r="D380" s="383" t="s">
        <v>3761</v>
      </c>
      <c r="E380" s="383" t="s">
        <v>8922</v>
      </c>
      <c r="F380" s="383">
        <v>1002</v>
      </c>
      <c r="G380" s="383" t="s">
        <v>71</v>
      </c>
      <c r="H380" s="383" t="s">
        <v>3547</v>
      </c>
      <c r="I380" s="383" t="s">
        <v>8472</v>
      </c>
      <c r="J380" s="383" t="s">
        <v>3761</v>
      </c>
      <c r="K380" s="383" t="s">
        <v>507</v>
      </c>
      <c r="L380" s="383" t="s">
        <v>8341</v>
      </c>
      <c r="M380" s="383" t="s">
        <v>3762</v>
      </c>
      <c r="N380" s="9" t="s">
        <v>44</v>
      </c>
      <c r="O380" s="383" t="str">
        <f>IF(LEN(SUBSTITUTE(Table3937[[#This Row],[PRIMARY CONTACT]]," ",""))=10,SUBSTITUTE(Table3937[[#This Row],[PRIMARY CONTACT]]," ","") &amp; " - Proper","- Follow Up")</f>
        <v>9370017994 - Proper</v>
      </c>
      <c r="P380" s="383" t="s">
        <v>2780</v>
      </c>
      <c r="Q380" s="383" t="s">
        <v>3762</v>
      </c>
      <c r="R380" s="383" t="str">
        <f>SUBSTITUTE(Table3937[[#This Row],[whatsapp_number]]," ","")</f>
        <v>9370017994</v>
      </c>
      <c r="S380" s="383" t="str">
        <f>IF(Table3937[[#This Row],[PRIMARY CONTACT]]=Table3937[[#This Row],[WHATSAPP CONTACT]],"Same Contact","Different Contact")</f>
        <v>Different Contact</v>
      </c>
      <c r="T380" s="383" t="str">
        <f>IF(LEN(SUBSTITUTE(Table3937[[#This Row],[PRIMARY CONTACT]]," ",""))=10,SUBSTITUTE(Table3937[[#This Row],[PRIMARY CONTACT]]," ","") &amp; " - Proper","- Follow Up")</f>
        <v>9370017994 - Proper</v>
      </c>
      <c r="U380" s="383" t="s">
        <v>10582</v>
      </c>
      <c r="V380" s="393" t="s">
        <v>2786</v>
      </c>
      <c r="W380" s="383" t="s">
        <v>47</v>
      </c>
      <c r="X380" s="101" t="s">
        <v>49</v>
      </c>
      <c r="Y380" s="5" t="s">
        <v>2164</v>
      </c>
      <c r="Z380" s="5" t="s">
        <v>7773</v>
      </c>
      <c r="AA380" s="101" t="s">
        <v>7774</v>
      </c>
      <c r="AB380" s="383"/>
    </row>
    <row r="381" spans="1:28" ht="14.4">
      <c r="A381" s="387">
        <v>380</v>
      </c>
      <c r="B381" s="294" t="s">
        <v>3764</v>
      </c>
      <c r="C381" s="383" t="s">
        <v>10709</v>
      </c>
      <c r="D381" s="383" t="s">
        <v>10899</v>
      </c>
      <c r="E381" s="383" t="s">
        <v>8923</v>
      </c>
      <c r="F381" s="383">
        <v>1003</v>
      </c>
      <c r="G381" s="383" t="s">
        <v>71</v>
      </c>
      <c r="H381" s="383" t="s">
        <v>3547</v>
      </c>
      <c r="I381" s="383" t="s">
        <v>8473</v>
      </c>
      <c r="J381" s="383" t="s">
        <v>3767</v>
      </c>
      <c r="K381" s="383" t="s">
        <v>507</v>
      </c>
      <c r="L381" s="383" t="s">
        <v>8341</v>
      </c>
      <c r="M381" s="383" t="s">
        <v>3768</v>
      </c>
      <c r="N381" s="9" t="s">
        <v>44</v>
      </c>
      <c r="O381" s="383" t="str">
        <f>IF(LEN(SUBSTITUTE(Table3937[[#This Row],[PRIMARY CONTACT]]," ",""))=10,SUBSTITUTE(Table3937[[#This Row],[PRIMARY CONTACT]]," ","") &amp; " - Proper","- Follow Up")</f>
        <v>7507711776 - Proper</v>
      </c>
      <c r="P381" s="383" t="s">
        <v>2780</v>
      </c>
      <c r="Q381" s="383" t="s">
        <v>3768</v>
      </c>
      <c r="R381" s="383" t="str">
        <f>SUBSTITUTE(Table3937[[#This Row],[whatsapp_number]]," ","")</f>
        <v>7507711776</v>
      </c>
      <c r="S381" s="383" t="str">
        <f>IF(Table3937[[#This Row],[PRIMARY CONTACT]]=Table3937[[#This Row],[WHATSAPP CONTACT]],"Same Contact","Different Contact")</f>
        <v>Different Contact</v>
      </c>
      <c r="T381" s="383" t="str">
        <f>IF(LEN(SUBSTITUTE(Table3937[[#This Row],[PRIMARY CONTACT]]," ",""))=10,SUBSTITUTE(Table3937[[#This Row],[PRIMARY CONTACT]]," ","") &amp; " - Proper","- Follow Up")</f>
        <v>7507711776 - Proper</v>
      </c>
      <c r="U381" s="383" t="s">
        <v>10583</v>
      </c>
      <c r="V381" s="393" t="s">
        <v>2786</v>
      </c>
      <c r="W381" s="383" t="s">
        <v>47</v>
      </c>
      <c r="X381" s="101" t="s">
        <v>49</v>
      </c>
      <c r="Y381" s="5" t="s">
        <v>2164</v>
      </c>
      <c r="Z381" s="5" t="s">
        <v>7773</v>
      </c>
      <c r="AA381" s="101" t="s">
        <v>7774</v>
      </c>
      <c r="AB381" s="383"/>
    </row>
    <row r="382" spans="1:28" ht="14.4">
      <c r="A382" s="387">
        <v>381</v>
      </c>
      <c r="B382" s="294" t="s">
        <v>3770</v>
      </c>
      <c r="C382" s="383" t="s">
        <v>10709</v>
      </c>
      <c r="D382" s="383" t="s">
        <v>10900</v>
      </c>
      <c r="E382" s="383" t="s">
        <v>8924</v>
      </c>
      <c r="F382" s="383">
        <v>1004</v>
      </c>
      <c r="G382" s="383" t="s">
        <v>71</v>
      </c>
      <c r="H382" s="383" t="s">
        <v>3547</v>
      </c>
      <c r="I382" s="383" t="s">
        <v>8474</v>
      </c>
      <c r="J382" s="383" t="s">
        <v>3773</v>
      </c>
      <c r="K382" s="383" t="s">
        <v>507</v>
      </c>
      <c r="L382" s="383" t="s">
        <v>8341</v>
      </c>
      <c r="M382" s="383" t="s">
        <v>3774</v>
      </c>
      <c r="N382" s="9" t="s">
        <v>44</v>
      </c>
      <c r="O382" s="383" t="str">
        <f>IF(LEN(SUBSTITUTE(Table3937[[#This Row],[PRIMARY CONTACT]]," ",""))=10,SUBSTITUTE(Table3937[[#This Row],[PRIMARY CONTACT]]," ","") &amp; " - Proper","- Follow Up")</f>
        <v>9586461141 - Proper</v>
      </c>
      <c r="P382" s="383" t="s">
        <v>2780</v>
      </c>
      <c r="Q382" s="383" t="s">
        <v>3774</v>
      </c>
      <c r="R382" s="383" t="str">
        <f>SUBSTITUTE(Table3937[[#This Row],[whatsapp_number]]," ","")</f>
        <v>9586461141</v>
      </c>
      <c r="S382" s="383" t="str">
        <f>IF(Table3937[[#This Row],[PRIMARY CONTACT]]=Table3937[[#This Row],[WHATSAPP CONTACT]],"Same Contact","Different Contact")</f>
        <v>Different Contact</v>
      </c>
      <c r="T382" s="383" t="str">
        <f>IF(LEN(SUBSTITUTE(Table3937[[#This Row],[PRIMARY CONTACT]]," ",""))=10,SUBSTITUTE(Table3937[[#This Row],[PRIMARY CONTACT]]," ","") &amp; " - Proper","- Follow Up")</f>
        <v>9586461141 - Proper</v>
      </c>
      <c r="U382" s="383" t="s">
        <v>3775</v>
      </c>
      <c r="V382" s="393" t="s">
        <v>2786</v>
      </c>
      <c r="W382" s="383" t="s">
        <v>47</v>
      </c>
      <c r="X382" s="101" t="s">
        <v>49</v>
      </c>
      <c r="Y382" s="5" t="s">
        <v>2164</v>
      </c>
      <c r="Z382" s="5" t="s">
        <v>7773</v>
      </c>
      <c r="AA382" s="101" t="s">
        <v>7774</v>
      </c>
      <c r="AB382" s="383"/>
    </row>
    <row r="383" spans="1:28" ht="14.4">
      <c r="A383" s="387">
        <v>382</v>
      </c>
      <c r="B383" s="294" t="s">
        <v>3781</v>
      </c>
      <c r="C383" s="383" t="s">
        <v>10709</v>
      </c>
      <c r="D383" s="383" t="s">
        <v>10901</v>
      </c>
      <c r="E383" s="383" t="s">
        <v>8925</v>
      </c>
      <c r="F383" s="383">
        <v>1005</v>
      </c>
      <c r="G383" s="383" t="s">
        <v>71</v>
      </c>
      <c r="H383" s="383" t="s">
        <v>3547</v>
      </c>
      <c r="I383" s="383" t="s">
        <v>8475</v>
      </c>
      <c r="J383" s="383" t="s">
        <v>3784</v>
      </c>
      <c r="K383" s="383" t="s">
        <v>507</v>
      </c>
      <c r="L383" s="383" t="s">
        <v>8341</v>
      </c>
      <c r="M383" s="383" t="s">
        <v>3785</v>
      </c>
      <c r="N383" s="9" t="s">
        <v>44</v>
      </c>
      <c r="O383" s="383" t="str">
        <f>IF(LEN(SUBSTITUTE(Table3937[[#This Row],[PRIMARY CONTACT]]," ",""))=10,SUBSTITUTE(Table3937[[#This Row],[PRIMARY CONTACT]]," ","") &amp; " - Proper","- Follow Up")</f>
        <v>9875338477 - Proper</v>
      </c>
      <c r="P383" s="383" t="s">
        <v>2780</v>
      </c>
      <c r="Q383" s="383" t="s">
        <v>3785</v>
      </c>
      <c r="R383" s="383" t="str">
        <f>SUBSTITUTE(Table3937[[#This Row],[whatsapp_number]]," ","")</f>
        <v>9875338477</v>
      </c>
      <c r="S383" s="383" t="str">
        <f>IF(Table3937[[#This Row],[PRIMARY CONTACT]]=Table3937[[#This Row],[WHATSAPP CONTACT]],"Same Contact","Different Contact")</f>
        <v>Different Contact</v>
      </c>
      <c r="T383" s="383" t="str">
        <f>IF(LEN(SUBSTITUTE(Table3937[[#This Row],[PRIMARY CONTACT]]," ",""))=10,SUBSTITUTE(Table3937[[#This Row],[PRIMARY CONTACT]]," ","") &amp; " - Proper","- Follow Up")</f>
        <v>9875338477 - Proper</v>
      </c>
      <c r="U383" s="383" t="s">
        <v>10584</v>
      </c>
      <c r="V383" s="393" t="s">
        <v>2786</v>
      </c>
      <c r="W383" s="383" t="s">
        <v>47</v>
      </c>
      <c r="X383" s="101" t="s">
        <v>49</v>
      </c>
      <c r="Y383" s="5" t="s">
        <v>2164</v>
      </c>
      <c r="Z383" s="5" t="s">
        <v>7773</v>
      </c>
      <c r="AA383" s="101" t="s">
        <v>7774</v>
      </c>
      <c r="AB383" s="383"/>
    </row>
    <row r="384" spans="1:28" ht="14.4">
      <c r="A384" s="387">
        <v>383</v>
      </c>
      <c r="B384" s="294" t="s">
        <v>3787</v>
      </c>
      <c r="C384" s="383" t="s">
        <v>10709</v>
      </c>
      <c r="D384" s="383" t="s">
        <v>10902</v>
      </c>
      <c r="E384" s="383" t="s">
        <v>8926</v>
      </c>
      <c r="F384" s="383">
        <v>1006</v>
      </c>
      <c r="G384" s="383" t="s">
        <v>71</v>
      </c>
      <c r="H384" s="383" t="s">
        <v>3547</v>
      </c>
      <c r="I384" s="383" t="s">
        <v>3827</v>
      </c>
      <c r="J384" s="383" t="s">
        <v>9421</v>
      </c>
      <c r="K384" s="383" t="s">
        <v>191</v>
      </c>
      <c r="L384" s="383" t="s">
        <v>8341</v>
      </c>
      <c r="M384" s="383" t="s">
        <v>3791</v>
      </c>
      <c r="N384" s="296">
        <v>9370313451</v>
      </c>
      <c r="O384" s="383" t="str">
        <f>IF(LEN(SUBSTITUTE(Table3937[[#This Row],[PRIMARY CONTACT]]," ",""))=10,SUBSTITUTE(Table3937[[#This Row],[PRIMARY CONTACT]]," ","") &amp; " - Proper","- Follow Up")</f>
        <v>9371467878 - Proper</v>
      </c>
      <c r="P384" s="383" t="s">
        <v>2780</v>
      </c>
      <c r="Q384" s="383" t="s">
        <v>3791</v>
      </c>
      <c r="R384" s="383" t="str">
        <f>SUBSTITUTE(Table3937[[#This Row],[whatsapp_number]]," ","")</f>
        <v>9371467878</v>
      </c>
      <c r="S384" s="383" t="str">
        <f>IF(Table3937[[#This Row],[PRIMARY CONTACT]]=Table3937[[#This Row],[WHATSAPP CONTACT]],"Same Contact","Different Contact")</f>
        <v>Different Contact</v>
      </c>
      <c r="T384" s="383" t="str">
        <f>IF(LEN(SUBSTITUTE(Table3937[[#This Row],[PRIMARY CONTACT]]," ",""))=10,SUBSTITUTE(Table3937[[#This Row],[PRIMARY CONTACT]]," ","") &amp; " - Proper","- Follow Up")</f>
        <v>9371467878 - Proper</v>
      </c>
      <c r="U384" s="383" t="s">
        <v>10585</v>
      </c>
      <c r="V384" s="393" t="s">
        <v>2786</v>
      </c>
      <c r="W384" s="383" t="s">
        <v>47</v>
      </c>
      <c r="X384" s="101" t="s">
        <v>49</v>
      </c>
      <c r="Y384" s="5" t="s">
        <v>2164</v>
      </c>
      <c r="Z384" s="5" t="s">
        <v>7773</v>
      </c>
      <c r="AA384" s="101" t="s">
        <v>7774</v>
      </c>
      <c r="AB384" s="383"/>
    </row>
    <row r="385" spans="1:28" ht="14.4">
      <c r="A385" s="387">
        <v>384</v>
      </c>
      <c r="B385" s="294" t="s">
        <v>3776</v>
      </c>
      <c r="C385" s="383" t="s">
        <v>10709</v>
      </c>
      <c r="D385" s="383" t="s">
        <v>10903</v>
      </c>
      <c r="E385" s="383" t="s">
        <v>8927</v>
      </c>
      <c r="F385" s="383">
        <v>1008</v>
      </c>
      <c r="G385" s="383" t="s">
        <v>71</v>
      </c>
      <c r="H385" s="383" t="s">
        <v>3547</v>
      </c>
      <c r="I385" s="383" t="s">
        <v>8476</v>
      </c>
      <c r="J385" s="383" t="s">
        <v>3779</v>
      </c>
      <c r="K385" s="383" t="s">
        <v>507</v>
      </c>
      <c r="L385" s="383" t="s">
        <v>8341</v>
      </c>
      <c r="M385" s="383" t="s">
        <v>3780</v>
      </c>
      <c r="N385" s="9" t="s">
        <v>44</v>
      </c>
      <c r="O385" s="383" t="str">
        <f>IF(LEN(SUBSTITUTE(Table3937[[#This Row],[PRIMARY CONTACT]]," ",""))=10,SUBSTITUTE(Table3937[[#This Row],[PRIMARY CONTACT]]," ","") &amp; " - Proper","- Follow Up")</f>
        <v>9583777567 - Proper</v>
      </c>
      <c r="P385" s="383" t="s">
        <v>2780</v>
      </c>
      <c r="Q385" s="383" t="s">
        <v>3780</v>
      </c>
      <c r="R385" s="383" t="str">
        <f>SUBSTITUTE(Table3937[[#This Row],[whatsapp_number]]," ","")</f>
        <v>9583777567</v>
      </c>
      <c r="S385" s="383" t="str">
        <f>IF(Table3937[[#This Row],[PRIMARY CONTACT]]=Table3937[[#This Row],[WHATSAPP CONTACT]],"Same Contact","Different Contact")</f>
        <v>Different Contact</v>
      </c>
      <c r="T385" s="383" t="str">
        <f>IF(LEN(SUBSTITUTE(Table3937[[#This Row],[PRIMARY CONTACT]]," ",""))=10,SUBSTITUTE(Table3937[[#This Row],[PRIMARY CONTACT]]," ","") &amp; " - Proper","- Follow Up")</f>
        <v>9583777567 - Proper</v>
      </c>
      <c r="U385" s="383" t="s">
        <v>3301</v>
      </c>
      <c r="V385" s="393" t="s">
        <v>2786</v>
      </c>
      <c r="W385" s="383" t="s">
        <v>47</v>
      </c>
      <c r="X385" s="101" t="s">
        <v>49</v>
      </c>
      <c r="Y385" s="5" t="s">
        <v>2164</v>
      </c>
      <c r="Z385" s="5" t="s">
        <v>7773</v>
      </c>
      <c r="AA385" s="101" t="s">
        <v>7774</v>
      </c>
      <c r="AB385" s="383"/>
    </row>
    <row r="386" spans="1:28" ht="13.8">
      <c r="A386" s="387">
        <v>385</v>
      </c>
      <c r="B386" s="383" t="s">
        <v>10710</v>
      </c>
      <c r="C386" s="383" t="s">
        <v>10710</v>
      </c>
      <c r="D386" s="383" t="s">
        <v>10710</v>
      </c>
      <c r="E386" s="383" t="s">
        <v>8928</v>
      </c>
      <c r="F386" s="383">
        <v>1009</v>
      </c>
      <c r="G386" s="383" t="s">
        <v>71</v>
      </c>
      <c r="H386" s="383" t="s">
        <v>5923</v>
      </c>
      <c r="I386" s="383" t="s">
        <v>5924</v>
      </c>
      <c r="J386" s="383" t="s">
        <v>5925</v>
      </c>
      <c r="K386" s="383" t="s">
        <v>5926</v>
      </c>
      <c r="L386" s="383" t="s">
        <v>8341</v>
      </c>
      <c r="M386" s="383" t="s">
        <v>10216</v>
      </c>
      <c r="N386" s="383" t="s">
        <v>44</v>
      </c>
      <c r="O386" s="383" t="str">
        <f>IF(LEN(SUBSTITUTE(Table3937[[#This Row],[PRIMARY CONTACT]]," ",""))=10,SUBSTITUTE(Table3937[[#This Row],[PRIMARY CONTACT]]," ","") &amp; " - Proper","- Follow Up")</f>
        <v>9969983000 - Proper</v>
      </c>
      <c r="P386" s="383" t="s">
        <v>5927</v>
      </c>
      <c r="Q386" s="383">
        <v>9969983000</v>
      </c>
      <c r="R386" s="383" t="str">
        <f>SUBSTITUTE(Table3937[[#This Row],[whatsapp_number]]," ","")</f>
        <v>9969983000</v>
      </c>
      <c r="S386" s="383" t="str">
        <f>IF(Table3937[[#This Row],[PRIMARY CONTACT]]=Table3937[[#This Row],[WHATSAPP CONTACT]],"Same Contact","Different Contact")</f>
        <v>Same Contact</v>
      </c>
      <c r="T386" s="383" t="str">
        <f>IF(LEN(SUBSTITUTE(Table3937[[#This Row],[PRIMARY CONTACT]]," ",""))=10,SUBSTITUTE(Table3937[[#This Row],[PRIMARY CONTACT]]," ","") &amp; " - Proper","- Follow Up")</f>
        <v>9969983000 - Proper</v>
      </c>
      <c r="U386" s="383" t="s">
        <v>8341</v>
      </c>
      <c r="V386" s="383" t="s">
        <v>71</v>
      </c>
      <c r="W386" s="383" t="s">
        <v>47</v>
      </c>
      <c r="X386" s="383" t="s">
        <v>44</v>
      </c>
      <c r="Y386" s="383" t="s">
        <v>44</v>
      </c>
      <c r="Z386" s="383" t="s">
        <v>44</v>
      </c>
      <c r="AA386" s="383" t="s">
        <v>44</v>
      </c>
      <c r="AB386" s="383"/>
    </row>
    <row r="387" spans="1:28" ht="13.8">
      <c r="A387" s="387">
        <v>386</v>
      </c>
      <c r="B387" s="348" t="s">
        <v>1389</v>
      </c>
      <c r="C387" s="383" t="s">
        <v>10709</v>
      </c>
      <c r="D387" s="383" t="s">
        <v>10970</v>
      </c>
      <c r="E387" s="383" t="s">
        <v>8929</v>
      </c>
      <c r="F387" s="383">
        <v>1010</v>
      </c>
      <c r="G387" s="383" t="s">
        <v>71</v>
      </c>
      <c r="H387" s="383" t="s">
        <v>71</v>
      </c>
      <c r="I387" s="383" t="s">
        <v>1392</v>
      </c>
      <c r="J387" s="383" t="s">
        <v>1393</v>
      </c>
      <c r="K387" s="383" t="s">
        <v>191</v>
      </c>
      <c r="L387" s="383" t="s">
        <v>9703</v>
      </c>
      <c r="M387" s="383" t="s">
        <v>10217</v>
      </c>
      <c r="N387" s="383" t="s">
        <v>44</v>
      </c>
      <c r="O387" s="383" t="str">
        <f>IF(LEN(SUBSTITUTE(Table3937[[#This Row],[PRIMARY CONTACT]]," ",""))=10,SUBSTITUTE(Table3937[[#This Row],[PRIMARY CONTACT]]," ","") &amp; " - Proper","- Follow Up")</f>
        <v>8562066666 - Proper</v>
      </c>
      <c r="P387" s="383" t="s">
        <v>3264</v>
      </c>
      <c r="Q387" s="383">
        <v>8562066666</v>
      </c>
      <c r="R387" s="383" t="str">
        <f>SUBSTITUTE(Table3937[[#This Row],[whatsapp_number]]," ","")</f>
        <v>8562066666</v>
      </c>
      <c r="S387" s="383" t="str">
        <f>IF(Table3937[[#This Row],[PRIMARY CONTACT]]=Table3937[[#This Row],[WHATSAPP CONTACT]],"Same Contact","Different Contact")</f>
        <v>Same Contact</v>
      </c>
      <c r="T387" s="383" t="str">
        <f>IF(LEN(SUBSTITUTE(Table3937[[#This Row],[PRIMARY CONTACT]]," ",""))=10,SUBSTITUTE(Table3937[[#This Row],[PRIMARY CONTACT]]," ","") &amp; " - Proper","- Follow Up")</f>
        <v>8562066666 - Proper</v>
      </c>
      <c r="U387" s="383" t="s">
        <v>3265</v>
      </c>
      <c r="V387" s="393" t="s">
        <v>1395</v>
      </c>
      <c r="W387" s="383" t="s">
        <v>47</v>
      </c>
      <c r="X387" s="105" t="s">
        <v>1396</v>
      </c>
      <c r="Y387" s="105" t="s">
        <v>49</v>
      </c>
      <c r="Z387" s="105" t="s">
        <v>1397</v>
      </c>
      <c r="AA387" s="105" t="s">
        <v>49</v>
      </c>
      <c r="AB387" s="383"/>
    </row>
    <row r="388" spans="1:28" ht="13.8">
      <c r="A388" s="387">
        <v>387</v>
      </c>
      <c r="B388" s="196" t="s">
        <v>1555</v>
      </c>
      <c r="C388" s="383" t="s">
        <v>10709</v>
      </c>
      <c r="D388" s="383" t="s">
        <v>10983</v>
      </c>
      <c r="E388" s="383" t="s">
        <v>3299</v>
      </c>
      <c r="F388" s="383">
        <v>1013</v>
      </c>
      <c r="G388" s="383" t="s">
        <v>71</v>
      </c>
      <c r="H388" s="383" t="s">
        <v>1564</v>
      </c>
      <c r="I388" s="383" t="s">
        <v>1558</v>
      </c>
      <c r="J388" s="383" t="s">
        <v>1559</v>
      </c>
      <c r="K388" s="383" t="s">
        <v>1560</v>
      </c>
      <c r="L388" s="383" t="s">
        <v>9704</v>
      </c>
      <c r="M388" s="383" t="s">
        <v>10218</v>
      </c>
      <c r="N388" s="383" t="s">
        <v>44</v>
      </c>
      <c r="O388" s="383" t="str">
        <f>IF(LEN(SUBSTITUTE(Table3937[[#This Row],[PRIMARY CONTACT]]," ",""))=10,SUBSTITUTE(Table3937[[#This Row],[PRIMARY CONTACT]]," ","") &amp; " - Proper","- Follow Up")</f>
        <v>7021031804 - Proper</v>
      </c>
      <c r="P388" s="383" t="s">
        <v>1608</v>
      </c>
      <c r="Q388" s="383">
        <v>7021031804</v>
      </c>
      <c r="R388" s="383" t="str">
        <f>SUBSTITUTE(Table3937[[#This Row],[whatsapp_number]]," ","")</f>
        <v>7021031804</v>
      </c>
      <c r="S388" s="383" t="str">
        <f>IF(Table3937[[#This Row],[PRIMARY CONTACT]]=Table3937[[#This Row],[WHATSAPP CONTACT]],"Same Contact","Different Contact")</f>
        <v>Same Contact</v>
      </c>
      <c r="T388" s="383" t="str">
        <f>IF(LEN(SUBSTITUTE(Table3937[[#This Row],[PRIMARY CONTACT]]," ",""))=10,SUBSTITUTE(Table3937[[#This Row],[PRIMARY CONTACT]]," ","") &amp; " - Proper","- Follow Up")</f>
        <v>7021031804 - Proper</v>
      </c>
      <c r="U388" s="383" t="s">
        <v>3301</v>
      </c>
      <c r="V388" s="393" t="s">
        <v>1562</v>
      </c>
      <c r="W388" s="383" t="s">
        <v>47</v>
      </c>
      <c r="X388" s="198" t="s">
        <v>48</v>
      </c>
      <c r="Y388" s="198" t="s">
        <v>49</v>
      </c>
      <c r="Z388" s="198" t="s">
        <v>1563</v>
      </c>
      <c r="AA388" s="198" t="s">
        <v>49</v>
      </c>
      <c r="AB388" s="383"/>
    </row>
    <row r="389" spans="1:28" ht="13.8">
      <c r="A389" s="387">
        <v>388</v>
      </c>
      <c r="B389" s="196" t="s">
        <v>1575</v>
      </c>
      <c r="C389" s="383" t="s">
        <v>10709</v>
      </c>
      <c r="D389" s="383" t="s">
        <v>10984</v>
      </c>
      <c r="E389" s="383" t="s">
        <v>3302</v>
      </c>
      <c r="F389" s="383">
        <v>1014</v>
      </c>
      <c r="G389" s="383" t="s">
        <v>71</v>
      </c>
      <c r="H389" s="383" t="s">
        <v>1584</v>
      </c>
      <c r="I389" s="383" t="s">
        <v>1578</v>
      </c>
      <c r="J389" s="383" t="s">
        <v>1579</v>
      </c>
      <c r="K389" s="383" t="s">
        <v>78</v>
      </c>
      <c r="L389" s="383" t="s">
        <v>9705</v>
      </c>
      <c r="M389" s="383" t="s">
        <v>10219</v>
      </c>
      <c r="N389" s="383" t="s">
        <v>44</v>
      </c>
      <c r="O389" s="383" t="str">
        <f>IF(LEN(SUBSTITUTE(Table3937[[#This Row],[PRIMARY CONTACT]]," ",""))=10,SUBSTITUTE(Table3937[[#This Row],[PRIMARY CONTACT]]," ","") &amp; " - Proper","- Follow Up")</f>
        <v>- Follow Up</v>
      </c>
      <c r="P389" s="383" t="s">
        <v>1608</v>
      </c>
      <c r="Q389" s="383">
        <v>61430442201</v>
      </c>
      <c r="R389" s="383" t="str">
        <f>SUBSTITUTE(Table3937[[#This Row],[whatsapp_number]]," ","")</f>
        <v>61430442201</v>
      </c>
      <c r="S389" s="383" t="str">
        <f>IF(Table3937[[#This Row],[PRIMARY CONTACT]]=Table3937[[#This Row],[WHATSAPP CONTACT]],"Same Contact","Different Contact")</f>
        <v>Same Contact</v>
      </c>
      <c r="T389" s="383" t="str">
        <f>IF(LEN(SUBSTITUTE(Table3937[[#This Row],[PRIMARY CONTACT]]," ",""))=10,SUBSTITUTE(Table3937[[#This Row],[PRIMARY CONTACT]]," ","") &amp; " - Proper","- Follow Up")</f>
        <v>- Follow Up</v>
      </c>
      <c r="U389" s="383" t="s">
        <v>3304</v>
      </c>
      <c r="V389" s="393" t="s">
        <v>1581</v>
      </c>
      <c r="W389" s="383" t="s">
        <v>47</v>
      </c>
      <c r="X389" s="198" t="s">
        <v>48</v>
      </c>
      <c r="Y389" s="198" t="s">
        <v>1582</v>
      </c>
      <c r="Z389" s="198" t="s">
        <v>1583</v>
      </c>
      <c r="AA389" s="198" t="s">
        <v>1583</v>
      </c>
      <c r="AB389" s="383"/>
    </row>
    <row r="390" spans="1:28" ht="13.8">
      <c r="A390" s="387">
        <v>389</v>
      </c>
      <c r="B390" s="196" t="s">
        <v>1593</v>
      </c>
      <c r="C390" s="383" t="s">
        <v>10709</v>
      </c>
      <c r="D390" s="383" t="s">
        <v>10985</v>
      </c>
      <c r="E390" s="383" t="s">
        <v>3305</v>
      </c>
      <c r="F390" s="383">
        <v>1016</v>
      </c>
      <c r="G390" s="383" t="s">
        <v>71</v>
      </c>
      <c r="H390" s="383" t="s">
        <v>1584</v>
      </c>
      <c r="I390" s="383" t="s">
        <v>8477</v>
      </c>
      <c r="J390" s="383" t="s">
        <v>1597</v>
      </c>
      <c r="K390" s="383" t="s">
        <v>1598</v>
      </c>
      <c r="L390" s="383" t="s">
        <v>9705</v>
      </c>
      <c r="M390" s="383" t="s">
        <v>10220</v>
      </c>
      <c r="N390" s="383" t="s">
        <v>44</v>
      </c>
      <c r="O390" s="383" t="str">
        <f>IF(LEN(SUBSTITUTE(Table3937[[#This Row],[PRIMARY CONTACT]]," ",""))=10,SUBSTITUTE(Table3937[[#This Row],[PRIMARY CONTACT]]," ","") &amp; " - Proper","- Follow Up")</f>
        <v>8070905905 - Proper</v>
      </c>
      <c r="P390" s="383" t="s">
        <v>1608</v>
      </c>
      <c r="Q390" s="383">
        <v>8070905905</v>
      </c>
      <c r="R390" s="383" t="str">
        <f>SUBSTITUTE(Table3937[[#This Row],[whatsapp_number]]," ","")</f>
        <v>8070905905</v>
      </c>
      <c r="S390" s="383" t="str">
        <f>IF(Table3937[[#This Row],[PRIMARY CONTACT]]=Table3937[[#This Row],[WHATSAPP CONTACT]],"Same Contact","Different Contact")</f>
        <v>Same Contact</v>
      </c>
      <c r="T390" s="383" t="str">
        <f>IF(LEN(SUBSTITUTE(Table3937[[#This Row],[PRIMARY CONTACT]]," ",""))=10,SUBSTITUTE(Table3937[[#This Row],[PRIMARY CONTACT]]," ","") &amp; " - Proper","- Follow Up")</f>
        <v>8070905905 - Proper</v>
      </c>
      <c r="U390" s="383" t="s">
        <v>10586</v>
      </c>
      <c r="V390" s="393" t="s">
        <v>1599</v>
      </c>
      <c r="W390" s="383" t="s">
        <v>47</v>
      </c>
      <c r="X390" s="198" t="s">
        <v>48</v>
      </c>
      <c r="Y390" s="198" t="s">
        <v>1582</v>
      </c>
      <c r="Z390" s="198" t="s">
        <v>1583</v>
      </c>
      <c r="AA390" s="198" t="s">
        <v>1601</v>
      </c>
      <c r="AB390" s="383"/>
    </row>
    <row r="391" spans="1:28" ht="13.8">
      <c r="A391" s="387">
        <v>390</v>
      </c>
      <c r="B391" s="196" t="s">
        <v>1602</v>
      </c>
      <c r="C391" s="383" t="s">
        <v>10709</v>
      </c>
      <c r="D391" s="383" t="s">
        <v>8930</v>
      </c>
      <c r="E391" s="383" t="s">
        <v>8930</v>
      </c>
      <c r="F391" s="383">
        <v>1017</v>
      </c>
      <c r="G391" s="383" t="s">
        <v>71</v>
      </c>
      <c r="H391" s="383" t="s">
        <v>1584</v>
      </c>
      <c r="I391" s="383" t="s">
        <v>1578</v>
      </c>
      <c r="J391" s="383" t="s">
        <v>9422</v>
      </c>
      <c r="K391" s="383" t="s">
        <v>1606</v>
      </c>
      <c r="L391" s="383" t="s">
        <v>9705</v>
      </c>
      <c r="M391" s="383" t="s">
        <v>10221</v>
      </c>
      <c r="N391" s="383" t="s">
        <v>44</v>
      </c>
      <c r="O391" s="383" t="str">
        <f>IF(LEN(SUBSTITUTE(Table3937[[#This Row],[PRIMARY CONTACT]]," ",""))=10,SUBSTITUTE(Table3937[[#This Row],[PRIMARY CONTACT]]," ","") &amp; " - Proper","- Follow Up")</f>
        <v>8062260000 - Proper</v>
      </c>
      <c r="P391" s="383" t="s">
        <v>1608</v>
      </c>
      <c r="Q391" s="383">
        <v>8062260000</v>
      </c>
      <c r="R391" s="383" t="str">
        <f>SUBSTITUTE(Table3937[[#This Row],[whatsapp_number]]," ","")</f>
        <v>8062260000</v>
      </c>
      <c r="S391" s="383" t="str">
        <f>IF(Table3937[[#This Row],[PRIMARY CONTACT]]=Table3937[[#This Row],[WHATSAPP CONTACT]],"Same Contact","Different Contact")</f>
        <v>Same Contact</v>
      </c>
      <c r="T391" s="383" t="str">
        <f>IF(LEN(SUBSTITUTE(Table3937[[#This Row],[PRIMARY CONTACT]]," ",""))=10,SUBSTITUTE(Table3937[[#This Row],[PRIMARY CONTACT]]," ","") &amp; " - Proper","- Follow Up")</f>
        <v>8062260000 - Proper</v>
      </c>
      <c r="U391" s="383" t="s">
        <v>2953</v>
      </c>
      <c r="V391" s="393" t="s">
        <v>1599</v>
      </c>
      <c r="W391" s="383" t="s">
        <v>47</v>
      </c>
      <c r="X391" s="198" t="s">
        <v>48</v>
      </c>
      <c r="Y391" s="198" t="s">
        <v>1582</v>
      </c>
      <c r="Z391" s="198" t="s">
        <v>1583</v>
      </c>
      <c r="AA391" s="198" t="s">
        <v>1601</v>
      </c>
      <c r="AB391" s="383"/>
    </row>
    <row r="392" spans="1:28" ht="13.8">
      <c r="A392" s="387">
        <v>391</v>
      </c>
      <c r="B392" s="196" t="s">
        <v>1607</v>
      </c>
      <c r="C392" s="383" t="s">
        <v>10709</v>
      </c>
      <c r="D392" s="383" t="s">
        <v>10983</v>
      </c>
      <c r="E392" s="383" t="s">
        <v>3310</v>
      </c>
      <c r="F392" s="383">
        <v>1018</v>
      </c>
      <c r="G392" s="383" t="s">
        <v>71</v>
      </c>
      <c r="H392" s="383" t="s">
        <v>1584</v>
      </c>
      <c r="I392" s="383" t="s">
        <v>1578</v>
      </c>
      <c r="J392" s="383" t="s">
        <v>1559</v>
      </c>
      <c r="K392" s="383" t="s">
        <v>1610</v>
      </c>
      <c r="L392" s="383" t="s">
        <v>9705</v>
      </c>
      <c r="M392" s="383" t="s">
        <v>10218</v>
      </c>
      <c r="N392" s="383" t="s">
        <v>44</v>
      </c>
      <c r="O392" s="383" t="str">
        <f>IF(LEN(SUBSTITUTE(Table3937[[#This Row],[PRIMARY CONTACT]]," ",""))=10,SUBSTITUTE(Table3937[[#This Row],[PRIMARY CONTACT]]," ","") &amp; " - Proper","- Follow Up")</f>
        <v>7021031804 - Proper</v>
      </c>
      <c r="P392" s="383" t="s">
        <v>1608</v>
      </c>
      <c r="Q392" s="383">
        <v>7021031804</v>
      </c>
      <c r="R392" s="383" t="str">
        <f>SUBSTITUTE(Table3937[[#This Row],[whatsapp_number]]," ","")</f>
        <v>7021031804</v>
      </c>
      <c r="S392" s="383" t="str">
        <f>IF(Table3937[[#This Row],[PRIMARY CONTACT]]=Table3937[[#This Row],[WHATSAPP CONTACT]],"Same Contact","Different Contact")</f>
        <v>Same Contact</v>
      </c>
      <c r="T392" s="383" t="str">
        <f>IF(LEN(SUBSTITUTE(Table3937[[#This Row],[PRIMARY CONTACT]]," ",""))=10,SUBSTITUTE(Table3937[[#This Row],[PRIMARY CONTACT]]," ","") &amp; " - Proper","- Follow Up")</f>
        <v>7021031804 - Proper</v>
      </c>
      <c r="U392" s="383" t="s">
        <v>2953</v>
      </c>
      <c r="V392" s="393" t="s">
        <v>1599</v>
      </c>
      <c r="W392" s="383" t="s">
        <v>47</v>
      </c>
      <c r="X392" s="198" t="s">
        <v>48</v>
      </c>
      <c r="Y392" s="198" t="s">
        <v>1582</v>
      </c>
      <c r="Z392" s="198" t="s">
        <v>1583</v>
      </c>
      <c r="AA392" s="198" t="s">
        <v>1601</v>
      </c>
      <c r="AB392" s="383"/>
    </row>
    <row r="393" spans="1:28" ht="13.8">
      <c r="A393" s="387">
        <v>392</v>
      </c>
      <c r="B393" s="383" t="s">
        <v>10710</v>
      </c>
      <c r="C393" s="383" t="s">
        <v>10710</v>
      </c>
      <c r="D393" s="383" t="s">
        <v>10710</v>
      </c>
      <c r="E393" s="383" t="s">
        <v>8931</v>
      </c>
      <c r="F393" s="383">
        <v>1019</v>
      </c>
      <c r="G393" s="383" t="s">
        <v>71</v>
      </c>
      <c r="H393" s="383" t="s">
        <v>71</v>
      </c>
      <c r="I393" s="383" t="s">
        <v>8478</v>
      </c>
      <c r="J393" s="383" t="s">
        <v>1615</v>
      </c>
      <c r="K393" s="383" t="s">
        <v>507</v>
      </c>
      <c r="L393" s="383" t="s">
        <v>8341</v>
      </c>
      <c r="M393" s="383" t="s">
        <v>10222</v>
      </c>
      <c r="N393" s="383" t="s">
        <v>44</v>
      </c>
      <c r="O393" s="383" t="str">
        <f>IF(LEN(SUBSTITUTE(Table3937[[#This Row],[PRIMARY CONTACT]]," ",""))=10,SUBSTITUTE(Table3937[[#This Row],[PRIMARY CONTACT]]," ","") &amp; " - Proper","- Follow Up")</f>
        <v>9819946897 - Proper</v>
      </c>
      <c r="P393" s="383" t="s">
        <v>3313</v>
      </c>
      <c r="Q393" s="383">
        <v>9819946897</v>
      </c>
      <c r="R393" s="383" t="str">
        <f>SUBSTITUTE(Table3937[[#This Row],[whatsapp_number]]," ","")</f>
        <v>9819946897</v>
      </c>
      <c r="S393" s="383" t="str">
        <f>IF(Table3937[[#This Row],[PRIMARY CONTACT]]=Table3937[[#This Row],[WHATSAPP CONTACT]],"Same Contact","Different Contact")</f>
        <v>Same Contact</v>
      </c>
      <c r="T393" s="383" t="str">
        <f>IF(LEN(SUBSTITUTE(Table3937[[#This Row],[PRIMARY CONTACT]]," ",""))=10,SUBSTITUTE(Table3937[[#This Row],[PRIMARY CONTACT]]," ","") &amp; " - Proper","- Follow Up")</f>
        <v>9819946897 - Proper</v>
      </c>
      <c r="U393" s="383" t="s">
        <v>3314</v>
      </c>
      <c r="V393" s="383" t="s">
        <v>71</v>
      </c>
      <c r="W393" s="383" t="s">
        <v>47</v>
      </c>
      <c r="X393" s="383" t="s">
        <v>44</v>
      </c>
      <c r="Y393" s="383" t="s">
        <v>44</v>
      </c>
      <c r="Z393" s="383" t="s">
        <v>44</v>
      </c>
      <c r="AA393" s="383" t="s">
        <v>44</v>
      </c>
      <c r="AB393" s="383"/>
    </row>
    <row r="394" spans="1:28" ht="13.8">
      <c r="A394" s="387">
        <v>393</v>
      </c>
      <c r="B394" s="383" t="s">
        <v>10710</v>
      </c>
      <c r="C394" s="383" t="s">
        <v>10710</v>
      </c>
      <c r="D394" s="383" t="s">
        <v>10710</v>
      </c>
      <c r="E394" s="383" t="s">
        <v>8932</v>
      </c>
      <c r="F394" s="383">
        <v>1022</v>
      </c>
      <c r="G394" s="383" t="s">
        <v>1409</v>
      </c>
      <c r="H394" s="383" t="s">
        <v>1410</v>
      </c>
      <c r="I394" s="383" t="s">
        <v>1401</v>
      </c>
      <c r="J394" s="383" t="s">
        <v>1413</v>
      </c>
      <c r="K394" s="383" t="s">
        <v>1414</v>
      </c>
      <c r="L394" s="383" t="s">
        <v>9706</v>
      </c>
      <c r="M394" s="383" t="s">
        <v>10223</v>
      </c>
      <c r="N394" s="383" t="s">
        <v>44</v>
      </c>
      <c r="O394" s="383" t="str">
        <f>IF(LEN(SUBSTITUTE(Table3937[[#This Row],[PRIMARY CONTACT]]," ",""))=10,SUBSTITUTE(Table3937[[#This Row],[PRIMARY CONTACT]]," ","") &amp; " - Proper","- Follow Up")</f>
        <v>7045358783 - Proper</v>
      </c>
      <c r="P394" s="383" t="s">
        <v>3268</v>
      </c>
      <c r="Q394" s="383">
        <v>7045358783</v>
      </c>
      <c r="R394" s="383" t="str">
        <f>SUBSTITUTE(Table3937[[#This Row],[whatsapp_number]]," ","")</f>
        <v>7045358783</v>
      </c>
      <c r="S394" s="383" t="str">
        <f>IF(Table3937[[#This Row],[PRIMARY CONTACT]]=Table3937[[#This Row],[WHATSAPP CONTACT]],"Same Contact","Different Contact")</f>
        <v>Same Contact</v>
      </c>
      <c r="T394" s="383" t="str">
        <f>IF(LEN(SUBSTITUTE(Table3937[[#This Row],[PRIMARY CONTACT]]," ",""))=10,SUBSTITUTE(Table3937[[#This Row],[PRIMARY CONTACT]]," ","") &amp; " - Proper","- Follow Up")</f>
        <v>7045358783 - Proper</v>
      </c>
      <c r="U394" s="383" t="s">
        <v>2953</v>
      </c>
      <c r="V394" s="393" t="s">
        <v>1405</v>
      </c>
      <c r="W394" s="383" t="s">
        <v>47</v>
      </c>
      <c r="X394" s="383" t="s">
        <v>44</v>
      </c>
      <c r="Y394" s="383" t="s">
        <v>44</v>
      </c>
      <c r="Z394" s="383" t="s">
        <v>44</v>
      </c>
      <c r="AA394" s="383" t="s">
        <v>44</v>
      </c>
      <c r="AB394" s="383"/>
    </row>
    <row r="395" spans="1:28" ht="13.8">
      <c r="A395" s="387">
        <v>394</v>
      </c>
      <c r="B395" s="44" t="s">
        <v>1418</v>
      </c>
      <c r="C395" s="383" t="s">
        <v>10710</v>
      </c>
      <c r="D395" s="383" t="s">
        <v>10971</v>
      </c>
      <c r="E395" s="383" t="s">
        <v>8933</v>
      </c>
      <c r="F395" s="383">
        <v>1023</v>
      </c>
      <c r="G395" s="383" t="s">
        <v>71</v>
      </c>
      <c r="H395" s="383" t="s">
        <v>1410</v>
      </c>
      <c r="I395" s="383" t="s">
        <v>1401</v>
      </c>
      <c r="J395" s="383" t="s">
        <v>1420</v>
      </c>
      <c r="K395" s="383" t="s">
        <v>1421</v>
      </c>
      <c r="L395" s="383" t="s">
        <v>9706</v>
      </c>
      <c r="M395" s="383" t="s">
        <v>10224</v>
      </c>
      <c r="N395" s="383" t="s">
        <v>44</v>
      </c>
      <c r="O395" s="383" t="str">
        <f>IF(LEN(SUBSTITUTE(Table3937[[#This Row],[PRIMARY CONTACT]]," ",""))=10,SUBSTITUTE(Table3937[[#This Row],[PRIMARY CONTACT]]," ","") &amp; " - Proper","- Follow Up")</f>
        <v>7506407720 - Proper</v>
      </c>
      <c r="P395" s="383" t="s">
        <v>3268</v>
      </c>
      <c r="Q395" s="383">
        <v>7506407720</v>
      </c>
      <c r="R395" s="383" t="str">
        <f>SUBSTITUTE(Table3937[[#This Row],[whatsapp_number]]," ","")</f>
        <v>7506407720</v>
      </c>
      <c r="S395" s="383" t="str">
        <f>IF(Table3937[[#This Row],[PRIMARY CONTACT]]=Table3937[[#This Row],[WHATSAPP CONTACT]],"Same Contact","Different Contact")</f>
        <v>Same Contact</v>
      </c>
      <c r="T395" s="383" t="str">
        <f>IF(LEN(SUBSTITUTE(Table3937[[#This Row],[PRIMARY CONTACT]]," ",""))=10,SUBSTITUTE(Table3937[[#This Row],[PRIMARY CONTACT]]," ","") &amp; " - Proper","- Follow Up")</f>
        <v>7506407720 - Proper</v>
      </c>
      <c r="U395" s="383" t="s">
        <v>2953</v>
      </c>
      <c r="V395" s="393" t="s">
        <v>1405</v>
      </c>
      <c r="W395" s="383" t="s">
        <v>47</v>
      </c>
      <c r="X395" s="18" t="s">
        <v>1422</v>
      </c>
      <c r="Y395" s="24" t="s">
        <v>312</v>
      </c>
      <c r="Z395" s="24" t="s">
        <v>1423</v>
      </c>
      <c r="AA395" s="24" t="s">
        <v>1424</v>
      </c>
      <c r="AB395" s="383"/>
    </row>
    <row r="396" spans="1:28" ht="13.8">
      <c r="A396" s="387">
        <v>395</v>
      </c>
      <c r="B396" s="44" t="s">
        <v>1425</v>
      </c>
      <c r="C396" s="383" t="s">
        <v>10709</v>
      </c>
      <c r="D396" s="383" t="s">
        <v>10972</v>
      </c>
      <c r="E396" s="383" t="s">
        <v>8934</v>
      </c>
      <c r="F396" s="383">
        <v>1024</v>
      </c>
      <c r="G396" s="383" t="s">
        <v>71</v>
      </c>
      <c r="H396" s="383" t="s">
        <v>1410</v>
      </c>
      <c r="I396" s="383" t="s">
        <v>1401</v>
      </c>
      <c r="J396" s="383" t="s">
        <v>1427</v>
      </c>
      <c r="K396" s="383" t="s">
        <v>1428</v>
      </c>
      <c r="L396" s="383" t="s">
        <v>9706</v>
      </c>
      <c r="M396" s="383" t="s">
        <v>10225</v>
      </c>
      <c r="N396" s="383" t="s">
        <v>44</v>
      </c>
      <c r="O396" s="383" t="str">
        <f>IF(LEN(SUBSTITUTE(Table3937[[#This Row],[PRIMARY CONTACT]]," ",""))=10,SUBSTITUTE(Table3937[[#This Row],[PRIMARY CONTACT]]," ","") &amp; " - Proper","- Follow Up")</f>
        <v>7506965545 - Proper</v>
      </c>
      <c r="P396" s="383" t="s">
        <v>3268</v>
      </c>
      <c r="Q396" s="383">
        <v>7506965545</v>
      </c>
      <c r="R396" s="383" t="str">
        <f>SUBSTITUTE(Table3937[[#This Row],[whatsapp_number]]," ","")</f>
        <v>7506965545</v>
      </c>
      <c r="S396" s="383" t="str">
        <f>IF(Table3937[[#This Row],[PRIMARY CONTACT]]=Table3937[[#This Row],[WHATSAPP CONTACT]],"Same Contact","Different Contact")</f>
        <v>Same Contact</v>
      </c>
      <c r="T396" s="383" t="str">
        <f>IF(LEN(SUBSTITUTE(Table3937[[#This Row],[PRIMARY CONTACT]]," ",""))=10,SUBSTITUTE(Table3937[[#This Row],[PRIMARY CONTACT]]," ","") &amp; " - Proper","- Follow Up")</f>
        <v>7506965545 - Proper</v>
      </c>
      <c r="U396" s="383" t="s">
        <v>2953</v>
      </c>
      <c r="V396" s="393" t="s">
        <v>1405</v>
      </c>
      <c r="W396" s="383" t="s">
        <v>47</v>
      </c>
      <c r="X396" s="18" t="s">
        <v>1429</v>
      </c>
      <c r="Y396" s="24" t="s">
        <v>322</v>
      </c>
      <c r="Z396" s="24" t="s">
        <v>1430</v>
      </c>
      <c r="AA396" s="24" t="s">
        <v>1431</v>
      </c>
      <c r="AB396" s="383"/>
    </row>
    <row r="397" spans="1:28" ht="13.8">
      <c r="A397" s="387">
        <v>396</v>
      </c>
      <c r="B397" s="44" t="s">
        <v>1432</v>
      </c>
      <c r="C397" s="383" t="s">
        <v>10709</v>
      </c>
      <c r="D397" s="383" t="s">
        <v>10973</v>
      </c>
      <c r="E397" s="383" t="s">
        <v>8935</v>
      </c>
      <c r="F397" s="383">
        <v>1025</v>
      </c>
      <c r="G397" s="383" t="s">
        <v>71</v>
      </c>
      <c r="H397" s="383" t="s">
        <v>1410</v>
      </c>
      <c r="I397" s="383" t="s">
        <v>1401</v>
      </c>
      <c r="J397" s="383" t="s">
        <v>1434</v>
      </c>
      <c r="K397" s="383" t="s">
        <v>1435</v>
      </c>
      <c r="L397" s="383" t="s">
        <v>9707</v>
      </c>
      <c r="M397" s="383" t="s">
        <v>10226</v>
      </c>
      <c r="N397" s="383" t="s">
        <v>44</v>
      </c>
      <c r="O397" s="383" t="str">
        <f>IF(LEN(SUBSTITUTE(Table3937[[#This Row],[PRIMARY CONTACT]]," ",""))=10,SUBSTITUTE(Table3937[[#This Row],[PRIMARY CONTACT]]," ","") &amp; " - Proper","- Follow Up")</f>
        <v>8657968797 - Proper</v>
      </c>
      <c r="P397" s="383" t="s">
        <v>3268</v>
      </c>
      <c r="Q397" s="383">
        <v>8657968797</v>
      </c>
      <c r="R397" s="383" t="str">
        <f>SUBSTITUTE(Table3937[[#This Row],[whatsapp_number]]," ","")</f>
        <v>8657968797</v>
      </c>
      <c r="S397" s="383" t="str">
        <f>IF(Table3937[[#This Row],[PRIMARY CONTACT]]=Table3937[[#This Row],[WHATSAPP CONTACT]],"Same Contact","Different Contact")</f>
        <v>Same Contact</v>
      </c>
      <c r="T397" s="383" t="str">
        <f>IF(LEN(SUBSTITUTE(Table3937[[#This Row],[PRIMARY CONTACT]]," ",""))=10,SUBSTITUTE(Table3937[[#This Row],[PRIMARY CONTACT]]," ","") &amp; " - Proper","- Follow Up")</f>
        <v>8657968797 - Proper</v>
      </c>
      <c r="U397" s="383" t="s">
        <v>8341</v>
      </c>
      <c r="V397" s="393" t="s">
        <v>1405</v>
      </c>
      <c r="W397" s="383" t="s">
        <v>47</v>
      </c>
      <c r="X397" s="18" t="s">
        <v>1436</v>
      </c>
      <c r="Y397" s="24" t="s">
        <v>1437</v>
      </c>
      <c r="Z397" s="24" t="s">
        <v>1438</v>
      </c>
      <c r="AA397" s="24" t="s">
        <v>1439</v>
      </c>
      <c r="AB397" s="383"/>
    </row>
    <row r="398" spans="1:28" ht="13.8">
      <c r="A398" s="387">
        <v>397</v>
      </c>
      <c r="B398" s="94" t="s">
        <v>1441</v>
      </c>
      <c r="C398" s="383" t="s">
        <v>10709</v>
      </c>
      <c r="D398" s="383" t="s">
        <v>10974</v>
      </c>
      <c r="E398" s="383" t="s">
        <v>8936</v>
      </c>
      <c r="F398" s="383">
        <v>1026</v>
      </c>
      <c r="G398" s="383" t="s">
        <v>1440</v>
      </c>
      <c r="H398" s="383" t="s">
        <v>1410</v>
      </c>
      <c r="I398" s="383" t="s">
        <v>1401</v>
      </c>
      <c r="J398" s="383" t="s">
        <v>1443</v>
      </c>
      <c r="K398" s="383" t="s">
        <v>1435</v>
      </c>
      <c r="L398" s="383" t="s">
        <v>8341</v>
      </c>
      <c r="M398" s="383" t="s">
        <v>10227</v>
      </c>
      <c r="N398" s="383" t="s">
        <v>44</v>
      </c>
      <c r="O398" s="383" t="str">
        <f>IF(LEN(SUBSTITUTE(Table3937[[#This Row],[PRIMARY CONTACT]]," ",""))=10,SUBSTITUTE(Table3937[[#This Row],[PRIMARY CONTACT]]," ","") &amp; " - Proper","- Follow Up")</f>
        <v>8657968796 - Proper</v>
      </c>
      <c r="P398" s="383" t="s">
        <v>3268</v>
      </c>
      <c r="Q398" s="383">
        <v>8657968796</v>
      </c>
      <c r="R398" s="383" t="str">
        <f>SUBSTITUTE(Table3937[[#This Row],[whatsapp_number]]," ","")</f>
        <v>8657968796</v>
      </c>
      <c r="S398" s="383" t="str">
        <f>IF(Table3937[[#This Row],[PRIMARY CONTACT]]=Table3937[[#This Row],[WHATSAPP CONTACT]],"Same Contact","Different Contact")</f>
        <v>Same Contact</v>
      </c>
      <c r="T398" s="383" t="str">
        <f>IF(LEN(SUBSTITUTE(Table3937[[#This Row],[PRIMARY CONTACT]]," ",""))=10,SUBSTITUTE(Table3937[[#This Row],[PRIMARY CONTACT]]," ","") &amp; " - Proper","- Follow Up")</f>
        <v>8657968796 - Proper</v>
      </c>
      <c r="U398" s="383" t="s">
        <v>8341</v>
      </c>
      <c r="V398" s="393" t="s">
        <v>1405</v>
      </c>
      <c r="W398" s="383" t="s">
        <v>47</v>
      </c>
      <c r="X398" s="5" t="s">
        <v>1444</v>
      </c>
      <c r="Y398" s="101" t="s">
        <v>1445</v>
      </c>
      <c r="Z398" s="101" t="s">
        <v>1446</v>
      </c>
      <c r="AA398" s="101" t="s">
        <v>1447</v>
      </c>
      <c r="AB398" s="383"/>
    </row>
    <row r="399" spans="1:28" ht="13.8">
      <c r="A399" s="387">
        <v>398</v>
      </c>
      <c r="B399" s="44" t="s">
        <v>1448</v>
      </c>
      <c r="C399" s="383" t="s">
        <v>10709</v>
      </c>
      <c r="D399" s="383" t="s">
        <v>10975</v>
      </c>
      <c r="E399" s="383" t="s">
        <v>8937</v>
      </c>
      <c r="F399" s="383">
        <v>1028</v>
      </c>
      <c r="G399" s="383" t="s">
        <v>71</v>
      </c>
      <c r="H399" s="383" t="s">
        <v>1410</v>
      </c>
      <c r="I399" s="383" t="s">
        <v>1401</v>
      </c>
      <c r="J399" s="383" t="s">
        <v>1450</v>
      </c>
      <c r="K399" s="383" t="s">
        <v>9547</v>
      </c>
      <c r="L399" s="383" t="s">
        <v>8341</v>
      </c>
      <c r="M399" s="383" t="s">
        <v>10228</v>
      </c>
      <c r="N399" s="383" t="s">
        <v>44</v>
      </c>
      <c r="O399" s="383" t="str">
        <f>IF(LEN(SUBSTITUTE(Table3937[[#This Row],[PRIMARY CONTACT]]," ",""))=10,SUBSTITUTE(Table3937[[#This Row],[PRIMARY CONTACT]]," ","") &amp; " - Proper","- Follow Up")</f>
        <v>8657601586 - Proper</v>
      </c>
      <c r="P399" s="383" t="s">
        <v>3268</v>
      </c>
      <c r="Q399" s="383">
        <v>8657601586</v>
      </c>
      <c r="R399" s="383" t="str">
        <f>SUBSTITUTE(Table3937[[#This Row],[whatsapp_number]]," ","")</f>
        <v>8657601586</v>
      </c>
      <c r="S399" s="383" t="str">
        <f>IF(Table3937[[#This Row],[PRIMARY CONTACT]]=Table3937[[#This Row],[WHATSAPP CONTACT]],"Same Contact","Different Contact")</f>
        <v>Same Contact</v>
      </c>
      <c r="T399" s="383" t="str">
        <f>IF(LEN(SUBSTITUTE(Table3937[[#This Row],[PRIMARY CONTACT]]," ",""))=10,SUBSTITUTE(Table3937[[#This Row],[PRIMARY CONTACT]]," ","") &amp; " - Proper","- Follow Up")</f>
        <v>8657601586 - Proper</v>
      </c>
      <c r="U399" s="383" t="s">
        <v>8341</v>
      </c>
      <c r="V399" s="393" t="s">
        <v>1405</v>
      </c>
      <c r="W399" s="383" t="s">
        <v>47</v>
      </c>
      <c r="X399" s="18" t="s">
        <v>1452</v>
      </c>
      <c r="Y399" s="24" t="s">
        <v>1453</v>
      </c>
      <c r="Z399" s="24" t="s">
        <v>1454</v>
      </c>
      <c r="AA399" s="24" t="s">
        <v>1455</v>
      </c>
      <c r="AB399" s="383"/>
    </row>
    <row r="400" spans="1:28" ht="13.8">
      <c r="A400" s="387">
        <v>399</v>
      </c>
      <c r="B400" s="106" t="s">
        <v>1398</v>
      </c>
      <c r="C400" s="383" t="s">
        <v>10709</v>
      </c>
      <c r="D400" s="383" t="s">
        <v>10981</v>
      </c>
      <c r="E400" s="383" t="s">
        <v>8938</v>
      </c>
      <c r="F400" s="383">
        <v>1029</v>
      </c>
      <c r="G400" s="383" t="s">
        <v>1410</v>
      </c>
      <c r="H400" s="383" t="s">
        <v>1410</v>
      </c>
      <c r="I400" s="383" t="s">
        <v>1401</v>
      </c>
      <c r="J400" s="383" t="s">
        <v>1402</v>
      </c>
      <c r="K400" s="383" t="s">
        <v>1403</v>
      </c>
      <c r="L400" s="383" t="s">
        <v>8341</v>
      </c>
      <c r="M400" s="383" t="s">
        <v>10229</v>
      </c>
      <c r="N400" s="383" t="s">
        <v>44</v>
      </c>
      <c r="O400" s="383" t="str">
        <f>IF(LEN(SUBSTITUTE(Table3937[[#This Row],[PRIMARY CONTACT]]," ",""))=10,SUBSTITUTE(Table3937[[#This Row],[PRIMARY CONTACT]]," ","") &amp; " - Proper","- Follow Up")</f>
        <v>8657006837 - Proper</v>
      </c>
      <c r="P400" s="383" t="s">
        <v>3268</v>
      </c>
      <c r="Q400" s="383">
        <v>8657006837</v>
      </c>
      <c r="R400" s="383" t="str">
        <f>SUBSTITUTE(Table3937[[#This Row],[whatsapp_number]]," ","")</f>
        <v>8657006837</v>
      </c>
      <c r="S400" s="383" t="str">
        <f>IF(Table3937[[#This Row],[PRIMARY CONTACT]]=Table3937[[#This Row],[WHATSAPP CONTACT]],"Same Contact","Different Contact")</f>
        <v>Same Contact</v>
      </c>
      <c r="T400" s="383" t="str">
        <f>IF(LEN(SUBSTITUTE(Table3937[[#This Row],[PRIMARY CONTACT]]," ",""))=10,SUBSTITUTE(Table3937[[#This Row],[PRIMARY CONTACT]]," ","") &amp; " - Proper","- Follow Up")</f>
        <v>8657006837 - Proper</v>
      </c>
      <c r="U400" s="383" t="s">
        <v>8341</v>
      </c>
      <c r="V400" s="393" t="s">
        <v>1405</v>
      </c>
      <c r="W400" s="383" t="s">
        <v>47</v>
      </c>
      <c r="X400" s="18" t="s">
        <v>1457</v>
      </c>
      <c r="Y400" s="24" t="s">
        <v>1458</v>
      </c>
      <c r="Z400" s="24" t="s">
        <v>1459</v>
      </c>
      <c r="AA400" s="24" t="s">
        <v>1460</v>
      </c>
      <c r="AB400" s="383"/>
    </row>
    <row r="401" spans="1:28" ht="13.8">
      <c r="A401" s="387">
        <v>400</v>
      </c>
      <c r="B401" s="44" t="s">
        <v>1469</v>
      </c>
      <c r="C401" s="383" t="s">
        <v>10709</v>
      </c>
      <c r="D401" s="383" t="s">
        <v>10976</v>
      </c>
      <c r="E401" s="383" t="s">
        <v>8939</v>
      </c>
      <c r="F401" s="383">
        <v>1031</v>
      </c>
      <c r="G401" s="383" t="s">
        <v>71</v>
      </c>
      <c r="H401" s="383" t="s">
        <v>1410</v>
      </c>
      <c r="I401" s="383" t="s">
        <v>1401</v>
      </c>
      <c r="J401" s="383" t="s">
        <v>1471</v>
      </c>
      <c r="K401" s="383" t="s">
        <v>1472</v>
      </c>
      <c r="L401" s="383" t="s">
        <v>8341</v>
      </c>
      <c r="M401" s="383" t="s">
        <v>10230</v>
      </c>
      <c r="N401" s="383" t="s">
        <v>44</v>
      </c>
      <c r="O401" s="383" t="str">
        <f>IF(LEN(SUBSTITUTE(Table3937[[#This Row],[PRIMARY CONTACT]]," ",""))=10,SUBSTITUTE(Table3937[[#This Row],[PRIMARY CONTACT]]," ","") &amp; " - Proper","- Follow Up")</f>
        <v>8657052649 - Proper</v>
      </c>
      <c r="P401" s="383" t="s">
        <v>3268</v>
      </c>
      <c r="Q401" s="383">
        <v>8657052649</v>
      </c>
      <c r="R401" s="383" t="str">
        <f>SUBSTITUTE(Table3937[[#This Row],[whatsapp_number]]," ","")</f>
        <v>8657052649</v>
      </c>
      <c r="S401" s="383" t="str">
        <f>IF(Table3937[[#This Row],[PRIMARY CONTACT]]=Table3937[[#This Row],[WHATSAPP CONTACT]],"Same Contact","Different Contact")</f>
        <v>Same Contact</v>
      </c>
      <c r="T401" s="383" t="str">
        <f>IF(LEN(SUBSTITUTE(Table3937[[#This Row],[PRIMARY CONTACT]]," ",""))=10,SUBSTITUTE(Table3937[[#This Row],[PRIMARY CONTACT]]," ","") &amp; " - Proper","- Follow Up")</f>
        <v>8657052649 - Proper</v>
      </c>
      <c r="U401" s="383" t="s">
        <v>8341</v>
      </c>
      <c r="V401" s="393" t="s">
        <v>1405</v>
      </c>
      <c r="W401" s="383" t="s">
        <v>47</v>
      </c>
      <c r="X401" s="18" t="s">
        <v>1473</v>
      </c>
      <c r="Y401" s="24" t="s">
        <v>1474</v>
      </c>
      <c r="Z401" s="24" t="s">
        <v>1475</v>
      </c>
      <c r="AA401" s="24" t="s">
        <v>1476</v>
      </c>
      <c r="AB401" s="383"/>
    </row>
    <row r="402" spans="1:28" ht="13.8">
      <c r="A402" s="387">
        <v>401</v>
      </c>
      <c r="B402" s="44" t="s">
        <v>1478</v>
      </c>
      <c r="C402" s="383" t="s">
        <v>10710</v>
      </c>
      <c r="D402" s="383" t="s">
        <v>10982</v>
      </c>
      <c r="E402" s="383" t="s">
        <v>8940</v>
      </c>
      <c r="F402" s="383">
        <v>1032</v>
      </c>
      <c r="G402" s="383" t="s">
        <v>1477</v>
      </c>
      <c r="H402" s="383" t="s">
        <v>1410</v>
      </c>
      <c r="I402" s="383" t="s">
        <v>1401</v>
      </c>
      <c r="J402" s="383" t="s">
        <v>1480</v>
      </c>
      <c r="K402" s="383" t="s">
        <v>1481</v>
      </c>
      <c r="L402" s="383" t="s">
        <v>9708</v>
      </c>
      <c r="M402" s="383" t="s">
        <v>10231</v>
      </c>
      <c r="N402" s="383" t="s">
        <v>44</v>
      </c>
      <c r="O402" s="383" t="str">
        <f>IF(LEN(SUBSTITUTE(Table3937[[#This Row],[PRIMARY CONTACT]]," ",""))=10,SUBSTITUTE(Table3937[[#This Row],[PRIMARY CONTACT]]," ","") &amp; " - Proper","- Follow Up")</f>
        <v>8657962271 - Proper</v>
      </c>
      <c r="P402" s="383" t="s">
        <v>3268</v>
      </c>
      <c r="Q402" s="383">
        <v>8657962271</v>
      </c>
      <c r="R402" s="383" t="str">
        <f>SUBSTITUTE(Table3937[[#This Row],[whatsapp_number]]," ","")</f>
        <v>8657962271</v>
      </c>
      <c r="S402" s="383" t="str">
        <f>IF(Table3937[[#This Row],[PRIMARY CONTACT]]=Table3937[[#This Row],[WHATSAPP CONTACT]],"Same Contact","Different Contact")</f>
        <v>Same Contact</v>
      </c>
      <c r="T402" s="383" t="str">
        <f>IF(LEN(SUBSTITUTE(Table3937[[#This Row],[PRIMARY CONTACT]]," ",""))=10,SUBSTITUTE(Table3937[[#This Row],[PRIMARY CONTACT]]," ","") &amp; " - Proper","- Follow Up")</f>
        <v>8657962271 - Proper</v>
      </c>
      <c r="U402" s="383" t="s">
        <v>8341</v>
      </c>
      <c r="V402" s="393" t="s">
        <v>1405</v>
      </c>
      <c r="W402" s="383" t="s">
        <v>47</v>
      </c>
      <c r="X402" s="18" t="s">
        <v>1482</v>
      </c>
      <c r="Y402" s="24" t="s">
        <v>1483</v>
      </c>
      <c r="Z402" s="24" t="s">
        <v>1484</v>
      </c>
      <c r="AA402" s="24" t="s">
        <v>1485</v>
      </c>
      <c r="AB402" s="383"/>
    </row>
    <row r="403" spans="1:28" ht="13.8">
      <c r="A403" s="387">
        <v>402</v>
      </c>
      <c r="B403" s="44" t="s">
        <v>1486</v>
      </c>
      <c r="C403" s="383" t="s">
        <v>10709</v>
      </c>
      <c r="D403" s="383" t="s">
        <v>10977</v>
      </c>
      <c r="E403" s="383" t="s">
        <v>8941</v>
      </c>
      <c r="F403" s="383">
        <v>1033</v>
      </c>
      <c r="G403" s="383" t="s">
        <v>71</v>
      </c>
      <c r="H403" s="383" t="s">
        <v>1410</v>
      </c>
      <c r="I403" s="383" t="s">
        <v>1401</v>
      </c>
      <c r="J403" s="383" t="s">
        <v>1488</v>
      </c>
      <c r="K403" s="383" t="s">
        <v>78</v>
      </c>
      <c r="L403" s="383" t="s">
        <v>9709</v>
      </c>
      <c r="M403" s="383" t="s">
        <v>10232</v>
      </c>
      <c r="N403" s="383" t="s">
        <v>44</v>
      </c>
      <c r="O403" s="383" t="str">
        <f>IF(LEN(SUBSTITUTE(Table3937[[#This Row],[PRIMARY CONTACT]]," ",""))=10,SUBSTITUTE(Table3937[[#This Row],[PRIMARY CONTACT]]," ","") &amp; " - Proper","- Follow Up")</f>
        <v>9820989960 - Proper</v>
      </c>
      <c r="P403" s="383" t="s">
        <v>3268</v>
      </c>
      <c r="Q403" s="383">
        <v>9820989960</v>
      </c>
      <c r="R403" s="383" t="str">
        <f>SUBSTITUTE(Table3937[[#This Row],[whatsapp_number]]," ","")</f>
        <v>9820989960</v>
      </c>
      <c r="S403" s="383" t="str">
        <f>IF(Table3937[[#This Row],[PRIMARY CONTACT]]=Table3937[[#This Row],[WHATSAPP CONTACT]],"Same Contact","Different Contact")</f>
        <v>Same Contact</v>
      </c>
      <c r="T403" s="383" t="str">
        <f>IF(LEN(SUBSTITUTE(Table3937[[#This Row],[PRIMARY CONTACT]]," ",""))=10,SUBSTITUTE(Table3937[[#This Row],[PRIMARY CONTACT]]," ","") &amp; " - Proper","- Follow Up")</f>
        <v>9820989960 - Proper</v>
      </c>
      <c r="U403" s="383" t="s">
        <v>8341</v>
      </c>
      <c r="V403" s="393" t="s">
        <v>1405</v>
      </c>
      <c r="W403" s="383" t="s">
        <v>47</v>
      </c>
      <c r="X403" s="18" t="s">
        <v>1489</v>
      </c>
      <c r="Y403" s="24" t="s">
        <v>1490</v>
      </c>
      <c r="Z403" s="24" t="s">
        <v>1491</v>
      </c>
      <c r="AA403" s="24" t="s">
        <v>1492</v>
      </c>
      <c r="AB403" s="383"/>
    </row>
    <row r="404" spans="1:28" ht="13.8">
      <c r="A404" s="387">
        <v>403</v>
      </c>
      <c r="B404" s="44" t="s">
        <v>1493</v>
      </c>
      <c r="C404" s="383" t="s">
        <v>10709</v>
      </c>
      <c r="D404" s="383" t="s">
        <v>10978</v>
      </c>
      <c r="E404" s="383" t="s">
        <v>8942</v>
      </c>
      <c r="F404" s="383">
        <v>1034</v>
      </c>
      <c r="G404" s="383" t="s">
        <v>71</v>
      </c>
      <c r="H404" s="383" t="s">
        <v>1410</v>
      </c>
      <c r="I404" s="383" t="s">
        <v>1401</v>
      </c>
      <c r="J404" s="383" t="s">
        <v>1495</v>
      </c>
      <c r="K404" s="383" t="s">
        <v>1496</v>
      </c>
      <c r="L404" s="383" t="s">
        <v>8341</v>
      </c>
      <c r="M404" s="383" t="s">
        <v>10233</v>
      </c>
      <c r="N404" s="383" t="s">
        <v>44</v>
      </c>
      <c r="O404" s="383" t="str">
        <f>IF(LEN(SUBSTITUTE(Table3937[[#This Row],[PRIMARY CONTACT]]," ",""))=10,SUBSTITUTE(Table3937[[#This Row],[PRIMARY CONTACT]]," ","") &amp; " - Proper","- Follow Up")</f>
        <v>8657031693 - Proper</v>
      </c>
      <c r="P404" s="383" t="s">
        <v>3268</v>
      </c>
      <c r="Q404" s="383">
        <v>8657031693</v>
      </c>
      <c r="R404" s="383" t="str">
        <f>SUBSTITUTE(Table3937[[#This Row],[whatsapp_number]]," ","")</f>
        <v>8657031693</v>
      </c>
      <c r="S404" s="383" t="str">
        <f>IF(Table3937[[#This Row],[PRIMARY CONTACT]]=Table3937[[#This Row],[WHATSAPP CONTACT]],"Same Contact","Different Contact")</f>
        <v>Same Contact</v>
      </c>
      <c r="T404" s="383" t="str">
        <f>IF(LEN(SUBSTITUTE(Table3937[[#This Row],[PRIMARY CONTACT]]," ",""))=10,SUBSTITUTE(Table3937[[#This Row],[PRIMARY CONTACT]]," ","") &amp; " - Proper","- Follow Up")</f>
        <v>8657031693 - Proper</v>
      </c>
      <c r="U404" s="383" t="s">
        <v>8341</v>
      </c>
      <c r="V404" s="393" t="s">
        <v>1405</v>
      </c>
      <c r="W404" s="383" t="s">
        <v>47</v>
      </c>
      <c r="X404" s="18" t="s">
        <v>1497</v>
      </c>
      <c r="Y404" s="24" t="s">
        <v>1498</v>
      </c>
      <c r="Z404" s="24" t="s">
        <v>1499</v>
      </c>
      <c r="AA404" s="24" t="s">
        <v>1500</v>
      </c>
      <c r="AB404" s="383"/>
    </row>
    <row r="405" spans="1:28" ht="13.8">
      <c r="A405" s="387">
        <v>404</v>
      </c>
      <c r="B405" s="44" t="s">
        <v>1502</v>
      </c>
      <c r="C405" s="383" t="s">
        <v>10709</v>
      </c>
      <c r="D405" s="383" t="s">
        <v>10979</v>
      </c>
      <c r="E405" s="383" t="s">
        <v>8943</v>
      </c>
      <c r="F405" s="383">
        <v>1035</v>
      </c>
      <c r="G405" s="383" t="s">
        <v>1501</v>
      </c>
      <c r="H405" s="383" t="s">
        <v>1410</v>
      </c>
      <c r="I405" s="383" t="s">
        <v>1401</v>
      </c>
      <c r="J405" s="383" t="s">
        <v>1504</v>
      </c>
      <c r="K405" s="383" t="s">
        <v>1505</v>
      </c>
      <c r="L405" s="383" t="s">
        <v>9710</v>
      </c>
      <c r="M405" s="383" t="s">
        <v>10234</v>
      </c>
      <c r="N405" s="383" t="s">
        <v>44</v>
      </c>
      <c r="O405" s="383" t="str">
        <f>IF(LEN(SUBSTITUTE(Table3937[[#This Row],[PRIMARY CONTACT]]," ",""))=10,SUBSTITUTE(Table3937[[#This Row],[PRIMARY CONTACT]]," ","") &amp; " - Proper","- Follow Up")</f>
        <v>8657713033 - Proper</v>
      </c>
      <c r="P405" s="383" t="s">
        <v>3268</v>
      </c>
      <c r="Q405" s="383">
        <v>8657713033</v>
      </c>
      <c r="R405" s="383" t="str">
        <f>SUBSTITUTE(Table3937[[#This Row],[whatsapp_number]]," ","")</f>
        <v>8657713033</v>
      </c>
      <c r="S405" s="383" t="str">
        <f>IF(Table3937[[#This Row],[PRIMARY CONTACT]]=Table3937[[#This Row],[WHATSAPP CONTACT]],"Same Contact","Different Contact")</f>
        <v>Same Contact</v>
      </c>
      <c r="T405" s="383" t="str">
        <f>IF(LEN(SUBSTITUTE(Table3937[[#This Row],[PRIMARY CONTACT]]," ",""))=10,SUBSTITUTE(Table3937[[#This Row],[PRIMARY CONTACT]]," ","") &amp; " - Proper","- Follow Up")</f>
        <v>8657713033 - Proper</v>
      </c>
      <c r="U405" s="383" t="s">
        <v>8341</v>
      </c>
      <c r="V405" s="393" t="s">
        <v>1405</v>
      </c>
      <c r="W405" s="383" t="s">
        <v>47</v>
      </c>
      <c r="X405" s="18" t="s">
        <v>1506</v>
      </c>
      <c r="Y405" s="24" t="s">
        <v>1507</v>
      </c>
      <c r="Z405" s="24" t="s">
        <v>1508</v>
      </c>
      <c r="AA405" s="24" t="s">
        <v>1509</v>
      </c>
      <c r="AB405" s="383"/>
    </row>
    <row r="406" spans="1:28" ht="13.8">
      <c r="A406" s="387">
        <v>405</v>
      </c>
      <c r="B406" s="44" t="s">
        <v>1510</v>
      </c>
      <c r="C406" s="383" t="s">
        <v>10709</v>
      </c>
      <c r="D406" s="383" t="s">
        <v>10980</v>
      </c>
      <c r="E406" s="383" t="s">
        <v>8944</v>
      </c>
      <c r="F406" s="383">
        <v>1038</v>
      </c>
      <c r="G406" s="383" t="s">
        <v>71</v>
      </c>
      <c r="H406" s="383" t="s">
        <v>1410</v>
      </c>
      <c r="I406" s="383" t="s">
        <v>1401</v>
      </c>
      <c r="J406" s="383" t="s">
        <v>1512</v>
      </c>
      <c r="K406" s="383" t="s">
        <v>1513</v>
      </c>
      <c r="L406" s="383" t="s">
        <v>8341</v>
      </c>
      <c r="M406" s="383" t="s">
        <v>10235</v>
      </c>
      <c r="N406" s="383" t="s">
        <v>44</v>
      </c>
      <c r="O406" s="383" t="str">
        <f>IF(LEN(SUBSTITUTE(Table3937[[#This Row],[PRIMARY CONTACT]]," ",""))=10,SUBSTITUTE(Table3937[[#This Row],[PRIMARY CONTACT]]," ","") &amp; " - Proper","- Follow Up")</f>
        <v>9819516937 - Proper</v>
      </c>
      <c r="P406" s="383" t="s">
        <v>3268</v>
      </c>
      <c r="Q406" s="383">
        <v>9819516937</v>
      </c>
      <c r="R406" s="383" t="str">
        <f>SUBSTITUTE(Table3937[[#This Row],[whatsapp_number]]," ","")</f>
        <v>9819516937</v>
      </c>
      <c r="S406" s="383" t="str">
        <f>IF(Table3937[[#This Row],[PRIMARY CONTACT]]=Table3937[[#This Row],[WHATSAPP CONTACT]],"Same Contact","Different Contact")</f>
        <v>Same Contact</v>
      </c>
      <c r="T406" s="383" t="str">
        <f>IF(LEN(SUBSTITUTE(Table3937[[#This Row],[PRIMARY CONTACT]]," ",""))=10,SUBSTITUTE(Table3937[[#This Row],[PRIMARY CONTACT]]," ","") &amp; " - Proper","- Follow Up")</f>
        <v>9819516937 - Proper</v>
      </c>
      <c r="U406" s="383" t="s">
        <v>8341</v>
      </c>
      <c r="V406" s="393" t="s">
        <v>1405</v>
      </c>
      <c r="W406" s="383" t="s">
        <v>47</v>
      </c>
      <c r="X406" s="18" t="s">
        <v>1514</v>
      </c>
      <c r="Y406" s="24" t="s">
        <v>1515</v>
      </c>
      <c r="Z406" s="24" t="s">
        <v>1516</v>
      </c>
      <c r="AA406" s="24" t="s">
        <v>1517</v>
      </c>
      <c r="AB406" s="383"/>
    </row>
    <row r="407" spans="1:28" ht="13.8">
      <c r="A407" s="387">
        <v>406</v>
      </c>
      <c r="B407" s="383" t="s">
        <v>10710</v>
      </c>
      <c r="C407" s="383" t="s">
        <v>10710</v>
      </c>
      <c r="D407" s="383" t="s">
        <v>10710</v>
      </c>
      <c r="E407" s="383" t="s">
        <v>1548</v>
      </c>
      <c r="F407" s="383">
        <v>1041</v>
      </c>
      <c r="G407" s="383" t="s">
        <v>71</v>
      </c>
      <c r="H407" s="383" t="s">
        <v>1554</v>
      </c>
      <c r="I407" s="383" t="s">
        <v>1551</v>
      </c>
      <c r="J407" s="383" t="s">
        <v>1552</v>
      </c>
      <c r="K407" s="383" t="s">
        <v>1553</v>
      </c>
      <c r="L407" s="383" t="s">
        <v>9698</v>
      </c>
      <c r="M407" s="383" t="s">
        <v>10236</v>
      </c>
      <c r="N407" s="383" t="s">
        <v>44</v>
      </c>
      <c r="O407" s="383" t="str">
        <f>IF(LEN(SUBSTITUTE(Table3937[[#This Row],[PRIMARY CONTACT]]," ",""))=10,SUBSTITUTE(Table3937[[#This Row],[PRIMARY CONTACT]]," ","") &amp; " - Proper","- Follow Up")</f>
        <v>9920484605 - Proper</v>
      </c>
      <c r="P407" s="383" t="s">
        <v>3298</v>
      </c>
      <c r="Q407" s="383">
        <v>9920484605</v>
      </c>
      <c r="R407" s="383" t="str">
        <f>SUBSTITUTE(Table3937[[#This Row],[whatsapp_number]]," ","")</f>
        <v>9920484605</v>
      </c>
      <c r="S407" s="383" t="str">
        <f>IF(Table3937[[#This Row],[PRIMARY CONTACT]]=Table3937[[#This Row],[WHATSAPP CONTACT]],"Same Contact","Different Contact")</f>
        <v>Same Contact</v>
      </c>
      <c r="T407" s="383" t="str">
        <f>IF(LEN(SUBSTITUTE(Table3937[[#This Row],[PRIMARY CONTACT]]," ",""))=10,SUBSTITUTE(Table3937[[#This Row],[PRIMARY CONTACT]]," ","") &amp; " - Proper","- Follow Up")</f>
        <v>9920484605 - Proper</v>
      </c>
      <c r="U407" s="383" t="s">
        <v>3057</v>
      </c>
      <c r="V407" s="393" t="s">
        <v>1289</v>
      </c>
      <c r="W407" s="383" t="s">
        <v>47</v>
      </c>
      <c r="X407" s="383" t="s">
        <v>44</v>
      </c>
      <c r="Y407" s="383" t="s">
        <v>44</v>
      </c>
      <c r="Z407" s="383" t="s">
        <v>44</v>
      </c>
      <c r="AA407" s="383" t="s">
        <v>44</v>
      </c>
      <c r="AB407" s="383"/>
    </row>
    <row r="408" spans="1:28" ht="14.4">
      <c r="A408" s="387">
        <v>407</v>
      </c>
      <c r="B408" s="294" t="s">
        <v>3793</v>
      </c>
      <c r="C408" s="383" t="s">
        <v>10709</v>
      </c>
      <c r="D408" s="383" t="s">
        <v>10904</v>
      </c>
      <c r="E408" s="383" t="s">
        <v>8945</v>
      </c>
      <c r="F408" s="383">
        <v>1042</v>
      </c>
      <c r="G408" s="383" t="s">
        <v>71</v>
      </c>
      <c r="H408" s="383" t="s">
        <v>3547</v>
      </c>
      <c r="I408" s="383" t="s">
        <v>3795</v>
      </c>
      <c r="J408" s="383" t="s">
        <v>3796</v>
      </c>
      <c r="K408" s="383" t="s">
        <v>42</v>
      </c>
      <c r="L408" s="383" t="s">
        <v>8341</v>
      </c>
      <c r="M408" s="383" t="s">
        <v>10237</v>
      </c>
      <c r="N408" s="9" t="s">
        <v>44</v>
      </c>
      <c r="O408" s="383" t="str">
        <f>IF(LEN(SUBSTITUTE(Table3937[[#This Row],[PRIMARY CONTACT]]," ",""))=10,SUBSTITUTE(Table3937[[#This Row],[PRIMARY CONTACT]]," ","") &amp; " - Proper","- Follow Up")</f>
        <v>- Follow Up</v>
      </c>
      <c r="P408" s="383" t="s">
        <v>2780</v>
      </c>
      <c r="Q408" s="383">
        <v>860332787</v>
      </c>
      <c r="R408" s="383" t="str">
        <f>SUBSTITUTE(Table3937[[#This Row],[whatsapp_number]]," ","")</f>
        <v>860332787</v>
      </c>
      <c r="S408" s="383" t="str">
        <f>IF(Table3937[[#This Row],[PRIMARY CONTACT]]=Table3937[[#This Row],[WHATSAPP CONTACT]],"Same Contact","Different Contact")</f>
        <v>Same Contact</v>
      </c>
      <c r="T408" s="383" t="str">
        <f>IF(LEN(SUBSTITUTE(Table3937[[#This Row],[PRIMARY CONTACT]]," ",""))=10,SUBSTITUTE(Table3937[[#This Row],[PRIMARY CONTACT]]," ","") &amp; " - Proper","- Follow Up")</f>
        <v>- Follow Up</v>
      </c>
      <c r="U408" s="383" t="s">
        <v>8341</v>
      </c>
      <c r="V408" s="393" t="s">
        <v>2786</v>
      </c>
      <c r="W408" s="383" t="s">
        <v>47</v>
      </c>
      <c r="X408" s="101" t="s">
        <v>49</v>
      </c>
      <c r="Y408" s="5" t="s">
        <v>2164</v>
      </c>
      <c r="Z408" s="5" t="s">
        <v>7773</v>
      </c>
      <c r="AA408" s="101" t="s">
        <v>7774</v>
      </c>
      <c r="AB408" s="383"/>
    </row>
    <row r="409" spans="1:28" ht="13.8">
      <c r="A409" s="387">
        <v>408</v>
      </c>
      <c r="B409" s="417" t="s">
        <v>3797</v>
      </c>
      <c r="C409" s="383" t="s">
        <v>10709</v>
      </c>
      <c r="D409" s="383" t="s">
        <v>10905</v>
      </c>
      <c r="E409" s="383" t="s">
        <v>8946</v>
      </c>
      <c r="F409" s="383">
        <v>1043</v>
      </c>
      <c r="G409" s="383" t="s">
        <v>71</v>
      </c>
      <c r="H409" s="383" t="s">
        <v>3547</v>
      </c>
      <c r="I409" s="383" t="s">
        <v>3799</v>
      </c>
      <c r="J409" s="383" t="s">
        <v>3800</v>
      </c>
      <c r="K409" s="383" t="s">
        <v>42</v>
      </c>
      <c r="L409" s="383" t="s">
        <v>8341</v>
      </c>
      <c r="M409" s="383" t="s">
        <v>10238</v>
      </c>
      <c r="N409" s="9" t="s">
        <v>44</v>
      </c>
      <c r="O409" s="383" t="str">
        <f>IF(LEN(SUBSTITUTE(Table3937[[#This Row],[PRIMARY CONTACT]]," ",""))=10,SUBSTITUTE(Table3937[[#This Row],[PRIMARY CONTACT]]," ","") &amp; " - Proper","- Follow Up")</f>
        <v>9918686269 - Proper</v>
      </c>
      <c r="P409" s="383" t="s">
        <v>2780</v>
      </c>
      <c r="Q409" s="383">
        <v>9918686269</v>
      </c>
      <c r="R409" s="383" t="str">
        <f>SUBSTITUTE(Table3937[[#This Row],[whatsapp_number]]," ","")</f>
        <v>9918686269</v>
      </c>
      <c r="S409" s="383" t="str">
        <f>IF(Table3937[[#This Row],[PRIMARY CONTACT]]=Table3937[[#This Row],[WHATSAPP CONTACT]],"Same Contact","Different Contact")</f>
        <v>Same Contact</v>
      </c>
      <c r="T409" s="383" t="str">
        <f>IF(LEN(SUBSTITUTE(Table3937[[#This Row],[PRIMARY CONTACT]]," ",""))=10,SUBSTITUTE(Table3937[[#This Row],[PRIMARY CONTACT]]," ","") &amp; " - Proper","- Follow Up")</f>
        <v>9918686269 - Proper</v>
      </c>
      <c r="U409" s="383" t="s">
        <v>3301</v>
      </c>
      <c r="V409" s="393" t="s">
        <v>2786</v>
      </c>
      <c r="W409" s="383" t="s">
        <v>47</v>
      </c>
      <c r="X409" s="101" t="s">
        <v>49</v>
      </c>
      <c r="Y409" s="5" t="s">
        <v>2164</v>
      </c>
      <c r="Z409" s="5" t="s">
        <v>7773</v>
      </c>
      <c r="AA409" s="101" t="s">
        <v>7774</v>
      </c>
      <c r="AB409" s="383"/>
    </row>
    <row r="410" spans="1:28" ht="13.8">
      <c r="A410" s="387">
        <v>409</v>
      </c>
      <c r="B410" s="417" t="s">
        <v>3801</v>
      </c>
      <c r="C410" s="383" t="s">
        <v>10709</v>
      </c>
      <c r="D410" s="383" t="s">
        <v>10906</v>
      </c>
      <c r="E410" s="383" t="s">
        <v>8947</v>
      </c>
      <c r="F410" s="383">
        <v>1044</v>
      </c>
      <c r="G410" s="383" t="s">
        <v>71</v>
      </c>
      <c r="H410" s="383" t="s">
        <v>3547</v>
      </c>
      <c r="I410" s="383" t="s">
        <v>3803</v>
      </c>
      <c r="J410" s="383" t="s">
        <v>3804</v>
      </c>
      <c r="K410" s="383" t="s">
        <v>706</v>
      </c>
      <c r="L410" s="383" t="s">
        <v>8341</v>
      </c>
      <c r="M410" s="383" t="s">
        <v>10239</v>
      </c>
      <c r="N410" s="9" t="s">
        <v>44</v>
      </c>
      <c r="O410" s="383" t="str">
        <f>IF(LEN(SUBSTITUTE(Table3937[[#This Row],[PRIMARY CONTACT]]," ",""))=10,SUBSTITUTE(Table3937[[#This Row],[PRIMARY CONTACT]]," ","") &amp; " - Proper","- Follow Up")</f>
        <v>9354910500 - Proper</v>
      </c>
      <c r="P410" s="383" t="s">
        <v>2780</v>
      </c>
      <c r="Q410" s="383">
        <v>9354910500</v>
      </c>
      <c r="R410" s="383" t="str">
        <f>SUBSTITUTE(Table3937[[#This Row],[whatsapp_number]]," ","")</f>
        <v>9354910500</v>
      </c>
      <c r="S410" s="383" t="str">
        <f>IF(Table3937[[#This Row],[PRIMARY CONTACT]]=Table3937[[#This Row],[WHATSAPP CONTACT]],"Same Contact","Different Contact")</f>
        <v>Same Contact</v>
      </c>
      <c r="T410" s="383" t="str">
        <f>IF(LEN(SUBSTITUTE(Table3937[[#This Row],[PRIMARY CONTACT]]," ",""))=10,SUBSTITUTE(Table3937[[#This Row],[PRIMARY CONTACT]]," ","") &amp; " - Proper","- Follow Up")</f>
        <v>9354910500 - Proper</v>
      </c>
      <c r="U410" s="383" t="s">
        <v>3301</v>
      </c>
      <c r="V410" s="393" t="s">
        <v>2786</v>
      </c>
      <c r="W410" s="383" t="s">
        <v>47</v>
      </c>
      <c r="X410" s="101" t="s">
        <v>49</v>
      </c>
      <c r="Y410" s="5" t="s">
        <v>2164</v>
      </c>
      <c r="Z410" s="5" t="s">
        <v>7773</v>
      </c>
      <c r="AA410" s="101" t="s">
        <v>7774</v>
      </c>
      <c r="AB410" s="383"/>
    </row>
    <row r="411" spans="1:28" ht="13.8">
      <c r="A411" s="387">
        <v>410</v>
      </c>
      <c r="B411" s="417" t="s">
        <v>3805</v>
      </c>
      <c r="C411" s="383" t="s">
        <v>10709</v>
      </c>
      <c r="D411" s="383" t="s">
        <v>10907</v>
      </c>
      <c r="E411" s="383" t="s">
        <v>8948</v>
      </c>
      <c r="F411" s="383">
        <v>1045</v>
      </c>
      <c r="G411" s="383" t="s">
        <v>71</v>
      </c>
      <c r="H411" s="383" t="s">
        <v>3547</v>
      </c>
      <c r="I411" s="383" t="s">
        <v>3807</v>
      </c>
      <c r="J411" s="383" t="s">
        <v>3808</v>
      </c>
      <c r="K411" s="383" t="s">
        <v>706</v>
      </c>
      <c r="L411" s="383" t="s">
        <v>8341</v>
      </c>
      <c r="M411" s="383" t="s">
        <v>10240</v>
      </c>
      <c r="N411" s="9" t="s">
        <v>44</v>
      </c>
      <c r="O411" s="383" t="str">
        <f>IF(LEN(SUBSTITUTE(Table3937[[#This Row],[PRIMARY CONTACT]]," ",""))=10,SUBSTITUTE(Table3937[[#This Row],[PRIMARY CONTACT]]," ","") &amp; " - Proper","- Follow Up")</f>
        <v>9760137397 - Proper</v>
      </c>
      <c r="P411" s="383" t="s">
        <v>2780</v>
      </c>
      <c r="Q411" s="383">
        <v>9760137397</v>
      </c>
      <c r="R411" s="383" t="str">
        <f>SUBSTITUTE(Table3937[[#This Row],[whatsapp_number]]," ","")</f>
        <v>9760137397</v>
      </c>
      <c r="S411" s="383" t="str">
        <f>IF(Table3937[[#This Row],[PRIMARY CONTACT]]=Table3937[[#This Row],[WHATSAPP CONTACT]],"Same Contact","Different Contact")</f>
        <v>Same Contact</v>
      </c>
      <c r="T411" s="383" t="str">
        <f>IF(LEN(SUBSTITUTE(Table3937[[#This Row],[PRIMARY CONTACT]]," ",""))=10,SUBSTITUTE(Table3937[[#This Row],[PRIMARY CONTACT]]," ","") &amp; " - Proper","- Follow Up")</f>
        <v>9760137397 - Proper</v>
      </c>
      <c r="U411" s="383" t="s">
        <v>3301</v>
      </c>
      <c r="V411" s="393" t="s">
        <v>2786</v>
      </c>
      <c r="W411" s="383" t="s">
        <v>47</v>
      </c>
      <c r="X411" s="101" t="s">
        <v>49</v>
      </c>
      <c r="Y411" s="5" t="s">
        <v>2164</v>
      </c>
      <c r="Z411" s="5" t="s">
        <v>7773</v>
      </c>
      <c r="AA411" s="101" t="s">
        <v>7774</v>
      </c>
      <c r="AB411" s="383"/>
    </row>
    <row r="412" spans="1:28" ht="13.8">
      <c r="A412" s="387">
        <v>411</v>
      </c>
      <c r="B412" s="417" t="s">
        <v>3809</v>
      </c>
      <c r="C412" s="383" t="s">
        <v>10709</v>
      </c>
      <c r="D412" s="383" t="s">
        <v>10908</v>
      </c>
      <c r="E412" s="383" t="s">
        <v>8949</v>
      </c>
      <c r="F412" s="383">
        <v>1046</v>
      </c>
      <c r="G412" s="383" t="s">
        <v>71</v>
      </c>
      <c r="H412" s="383" t="s">
        <v>3547</v>
      </c>
      <c r="I412" s="383" t="s">
        <v>3811</v>
      </c>
      <c r="J412" s="383" t="s">
        <v>3812</v>
      </c>
      <c r="K412" s="383" t="s">
        <v>507</v>
      </c>
      <c r="L412" s="383" t="s">
        <v>8341</v>
      </c>
      <c r="M412" s="383" t="s">
        <v>10241</v>
      </c>
      <c r="N412" s="9" t="s">
        <v>44</v>
      </c>
      <c r="O412" s="383" t="str">
        <f>IF(LEN(SUBSTITUTE(Table3937[[#This Row],[PRIMARY CONTACT]]," ",""))=10,SUBSTITUTE(Table3937[[#This Row],[PRIMARY CONTACT]]," ","") &amp; " - Proper","- Follow Up")</f>
        <v>9560003770 - Proper</v>
      </c>
      <c r="P412" s="383" t="s">
        <v>2780</v>
      </c>
      <c r="Q412" s="383">
        <v>9560003770</v>
      </c>
      <c r="R412" s="383" t="str">
        <f>SUBSTITUTE(Table3937[[#This Row],[whatsapp_number]]," ","")</f>
        <v>9560003770</v>
      </c>
      <c r="S412" s="383" t="str">
        <f>IF(Table3937[[#This Row],[PRIMARY CONTACT]]=Table3937[[#This Row],[WHATSAPP CONTACT]],"Same Contact","Different Contact")</f>
        <v>Same Contact</v>
      </c>
      <c r="T412" s="383" t="str">
        <f>IF(LEN(SUBSTITUTE(Table3937[[#This Row],[PRIMARY CONTACT]]," ",""))=10,SUBSTITUTE(Table3937[[#This Row],[PRIMARY CONTACT]]," ","") &amp; " - Proper","- Follow Up")</f>
        <v>9560003770 - Proper</v>
      </c>
      <c r="U412" s="383" t="s">
        <v>3301</v>
      </c>
      <c r="V412" s="393" t="s">
        <v>2786</v>
      </c>
      <c r="W412" s="383" t="s">
        <v>47</v>
      </c>
      <c r="X412" s="101" t="s">
        <v>49</v>
      </c>
      <c r="Y412" s="5" t="s">
        <v>2164</v>
      </c>
      <c r="Z412" s="5" t="s">
        <v>7773</v>
      </c>
      <c r="AA412" s="101" t="s">
        <v>7774</v>
      </c>
      <c r="AB412" s="383"/>
    </row>
    <row r="413" spans="1:28" ht="13.8">
      <c r="A413" s="387">
        <v>412</v>
      </c>
      <c r="B413" s="417" t="s">
        <v>3813</v>
      </c>
      <c r="C413" s="383" t="s">
        <v>10709</v>
      </c>
      <c r="D413" s="383" t="s">
        <v>10909</v>
      </c>
      <c r="E413" s="383" t="s">
        <v>8950</v>
      </c>
      <c r="F413" s="383">
        <v>1047</v>
      </c>
      <c r="G413" s="383" t="s">
        <v>71</v>
      </c>
      <c r="H413" s="383" t="s">
        <v>3547</v>
      </c>
      <c r="I413" s="383" t="s">
        <v>3815</v>
      </c>
      <c r="J413" s="383" t="s">
        <v>3816</v>
      </c>
      <c r="K413" s="383" t="s">
        <v>706</v>
      </c>
      <c r="L413" s="383" t="s">
        <v>8341</v>
      </c>
      <c r="M413" s="383" t="s">
        <v>10242</v>
      </c>
      <c r="N413" s="9" t="s">
        <v>44</v>
      </c>
      <c r="O413" s="383" t="str">
        <f>IF(LEN(SUBSTITUTE(Table3937[[#This Row],[PRIMARY CONTACT]]," ",""))=10,SUBSTITUTE(Table3937[[#This Row],[PRIMARY CONTACT]]," ","") &amp; " - Proper","- Follow Up")</f>
        <v>9999415021 - Proper</v>
      </c>
      <c r="P413" s="383" t="s">
        <v>2780</v>
      </c>
      <c r="Q413" s="383">
        <v>9999415021</v>
      </c>
      <c r="R413" s="383" t="str">
        <f>SUBSTITUTE(Table3937[[#This Row],[whatsapp_number]]," ","")</f>
        <v>9999415021</v>
      </c>
      <c r="S413" s="383" t="str">
        <f>IF(Table3937[[#This Row],[PRIMARY CONTACT]]=Table3937[[#This Row],[WHATSAPP CONTACT]],"Same Contact","Different Contact")</f>
        <v>Same Contact</v>
      </c>
      <c r="T413" s="383" t="str">
        <f>IF(LEN(SUBSTITUTE(Table3937[[#This Row],[PRIMARY CONTACT]]," ",""))=10,SUBSTITUTE(Table3937[[#This Row],[PRIMARY CONTACT]]," ","") &amp; " - Proper","- Follow Up")</f>
        <v>9999415021 - Proper</v>
      </c>
      <c r="U413" s="383" t="s">
        <v>3301</v>
      </c>
      <c r="V413" s="393" t="s">
        <v>2786</v>
      </c>
      <c r="W413" s="383" t="s">
        <v>47</v>
      </c>
      <c r="X413" s="101" t="s">
        <v>49</v>
      </c>
      <c r="Y413" s="5" t="s">
        <v>2164</v>
      </c>
      <c r="Z413" s="5" t="s">
        <v>7773</v>
      </c>
      <c r="AA413" s="101" t="s">
        <v>7774</v>
      </c>
      <c r="AB413" s="383"/>
    </row>
    <row r="414" spans="1:28" ht="13.8">
      <c r="A414" s="387">
        <v>413</v>
      </c>
      <c r="B414" s="417" t="s">
        <v>3817</v>
      </c>
      <c r="C414" s="383" t="s">
        <v>10709</v>
      </c>
      <c r="D414" s="383" t="s">
        <v>10910</v>
      </c>
      <c r="E414" s="383" t="s">
        <v>8951</v>
      </c>
      <c r="F414" s="383">
        <v>1048</v>
      </c>
      <c r="G414" s="383" t="s">
        <v>71</v>
      </c>
      <c r="H414" s="383" t="s">
        <v>3547</v>
      </c>
      <c r="I414" s="383" t="s">
        <v>3819</v>
      </c>
      <c r="J414" s="383" t="s">
        <v>3820</v>
      </c>
      <c r="K414" s="383" t="s">
        <v>42</v>
      </c>
      <c r="L414" s="383" t="s">
        <v>8341</v>
      </c>
      <c r="M414" s="383" t="s">
        <v>10243</v>
      </c>
      <c r="N414" s="9" t="s">
        <v>44</v>
      </c>
      <c r="O414" s="383" t="str">
        <f>IF(LEN(SUBSTITUTE(Table3937[[#This Row],[PRIMARY CONTACT]]," ",""))=10,SUBSTITUTE(Table3937[[#This Row],[PRIMARY CONTACT]]," ","") &amp; " - Proper","- Follow Up")</f>
        <v>9586461141 - Proper</v>
      </c>
      <c r="P414" s="383" t="s">
        <v>2780</v>
      </c>
      <c r="Q414" s="383">
        <v>9586461141</v>
      </c>
      <c r="R414" s="383" t="str">
        <f>SUBSTITUTE(Table3937[[#This Row],[whatsapp_number]]," ","")</f>
        <v>9586461141</v>
      </c>
      <c r="S414" s="383" t="str">
        <f>IF(Table3937[[#This Row],[PRIMARY CONTACT]]=Table3937[[#This Row],[WHATSAPP CONTACT]],"Same Contact","Different Contact")</f>
        <v>Same Contact</v>
      </c>
      <c r="T414" s="383" t="str">
        <f>IF(LEN(SUBSTITUTE(Table3937[[#This Row],[PRIMARY CONTACT]]," ",""))=10,SUBSTITUTE(Table3937[[#This Row],[PRIMARY CONTACT]]," ","") &amp; " - Proper","- Follow Up")</f>
        <v>9586461141 - Proper</v>
      </c>
      <c r="U414" s="383" t="s">
        <v>3301</v>
      </c>
      <c r="V414" s="393" t="s">
        <v>2786</v>
      </c>
      <c r="W414" s="383" t="s">
        <v>47</v>
      </c>
      <c r="X414" s="101" t="s">
        <v>49</v>
      </c>
      <c r="Y414" s="5" t="s">
        <v>2164</v>
      </c>
      <c r="Z414" s="5" t="s">
        <v>7773</v>
      </c>
      <c r="AA414" s="101" t="s">
        <v>7774</v>
      </c>
      <c r="AB414" s="383"/>
    </row>
    <row r="415" spans="1:28" ht="13.8">
      <c r="A415" s="387">
        <v>414</v>
      </c>
      <c r="B415" s="417" t="s">
        <v>3821</v>
      </c>
      <c r="C415" s="383" t="s">
        <v>10709</v>
      </c>
      <c r="D415" s="383" t="s">
        <v>10911</v>
      </c>
      <c r="E415" s="383" t="s">
        <v>8952</v>
      </c>
      <c r="F415" s="383">
        <v>1049</v>
      </c>
      <c r="G415" s="383" t="s">
        <v>71</v>
      </c>
      <c r="H415" s="383" t="s">
        <v>3547</v>
      </c>
      <c r="I415" s="383" t="s">
        <v>3823</v>
      </c>
      <c r="J415" s="383" t="s">
        <v>3824</v>
      </c>
      <c r="K415" s="383" t="s">
        <v>42</v>
      </c>
      <c r="L415" s="383" t="s">
        <v>8341</v>
      </c>
      <c r="M415" s="383" t="s">
        <v>10244</v>
      </c>
      <c r="N415" s="9" t="s">
        <v>44</v>
      </c>
      <c r="O415" s="383" t="str">
        <f>IF(LEN(SUBSTITUTE(Table3937[[#This Row],[PRIMARY CONTACT]]," ",""))=10,SUBSTITUTE(Table3937[[#This Row],[PRIMARY CONTACT]]," ","") &amp; " - Proper","- Follow Up")</f>
        <v>8605001401 - Proper</v>
      </c>
      <c r="P415" s="383" t="s">
        <v>2780</v>
      </c>
      <c r="Q415" s="383">
        <v>8605001401</v>
      </c>
      <c r="R415" s="383" t="str">
        <f>SUBSTITUTE(Table3937[[#This Row],[whatsapp_number]]," ","")</f>
        <v>8605001401</v>
      </c>
      <c r="S415" s="383" t="str">
        <f>IF(Table3937[[#This Row],[PRIMARY CONTACT]]=Table3937[[#This Row],[WHATSAPP CONTACT]],"Same Contact","Different Contact")</f>
        <v>Same Contact</v>
      </c>
      <c r="T415" s="383" t="str">
        <f>IF(LEN(SUBSTITUTE(Table3937[[#This Row],[PRIMARY CONTACT]]," ",""))=10,SUBSTITUTE(Table3937[[#This Row],[PRIMARY CONTACT]]," ","") &amp; " - Proper","- Follow Up")</f>
        <v>8605001401 - Proper</v>
      </c>
      <c r="U415" s="383" t="s">
        <v>3301</v>
      </c>
      <c r="V415" s="393" t="s">
        <v>2786</v>
      </c>
      <c r="W415" s="383" t="s">
        <v>47</v>
      </c>
      <c r="X415" s="101" t="s">
        <v>49</v>
      </c>
      <c r="Y415" s="5" t="s">
        <v>2164</v>
      </c>
      <c r="Z415" s="5" t="s">
        <v>7773</v>
      </c>
      <c r="AA415" s="101" t="s">
        <v>7774</v>
      </c>
      <c r="AB415" s="383"/>
    </row>
    <row r="416" spans="1:28" ht="13.8">
      <c r="A416" s="387">
        <v>415</v>
      </c>
      <c r="B416" s="417" t="s">
        <v>3825</v>
      </c>
      <c r="C416" s="383" t="s">
        <v>10709</v>
      </c>
      <c r="D416" s="383" t="s">
        <v>10912</v>
      </c>
      <c r="E416" s="383" t="s">
        <v>8953</v>
      </c>
      <c r="F416" s="383">
        <v>1056</v>
      </c>
      <c r="G416" s="383" t="s">
        <v>71</v>
      </c>
      <c r="H416" s="383" t="s">
        <v>3547</v>
      </c>
      <c r="I416" s="383" t="s">
        <v>3827</v>
      </c>
      <c r="J416" s="383" t="s">
        <v>3828</v>
      </c>
      <c r="K416" s="383" t="s">
        <v>42</v>
      </c>
      <c r="L416" s="383" t="s">
        <v>8341</v>
      </c>
      <c r="M416" s="383" t="s">
        <v>10245</v>
      </c>
      <c r="N416" s="9" t="s">
        <v>44</v>
      </c>
      <c r="O416" s="383" t="str">
        <f>IF(LEN(SUBSTITUTE(Table3937[[#This Row],[PRIMARY CONTACT]]," ",""))=10,SUBSTITUTE(Table3937[[#This Row],[PRIMARY CONTACT]]," ","") &amp; " - Proper","- Follow Up")</f>
        <v>9370313451 - Proper</v>
      </c>
      <c r="P416" s="383" t="s">
        <v>2780</v>
      </c>
      <c r="Q416" s="383">
        <v>9370313451</v>
      </c>
      <c r="R416" s="383" t="str">
        <f>SUBSTITUTE(Table3937[[#This Row],[whatsapp_number]]," ","")</f>
        <v>9370313451</v>
      </c>
      <c r="S416" s="383" t="str">
        <f>IF(Table3937[[#This Row],[PRIMARY CONTACT]]=Table3937[[#This Row],[WHATSAPP CONTACT]],"Same Contact","Different Contact")</f>
        <v>Same Contact</v>
      </c>
      <c r="T416" s="383" t="str">
        <f>IF(LEN(SUBSTITUTE(Table3937[[#This Row],[PRIMARY CONTACT]]," ",""))=10,SUBSTITUTE(Table3937[[#This Row],[PRIMARY CONTACT]]," ","") &amp; " - Proper","- Follow Up")</f>
        <v>9370313451 - Proper</v>
      </c>
      <c r="U416" s="383" t="s">
        <v>3301</v>
      </c>
      <c r="V416" s="393" t="s">
        <v>2786</v>
      </c>
      <c r="W416" s="383" t="s">
        <v>47</v>
      </c>
      <c r="X416" s="101" t="s">
        <v>49</v>
      </c>
      <c r="Y416" s="5" t="s">
        <v>2164</v>
      </c>
      <c r="Z416" s="5" t="s">
        <v>7773</v>
      </c>
      <c r="AA416" s="101" t="s">
        <v>7774</v>
      </c>
      <c r="AB416" s="383"/>
    </row>
    <row r="417" spans="1:28" ht="13.8">
      <c r="A417" s="387">
        <v>416</v>
      </c>
      <c r="B417" s="417" t="s">
        <v>3830</v>
      </c>
      <c r="C417" s="383" t="s">
        <v>10709</v>
      </c>
      <c r="D417" s="383" t="s">
        <v>10913</v>
      </c>
      <c r="E417" s="383" t="s">
        <v>3830</v>
      </c>
      <c r="F417" s="383">
        <v>1057</v>
      </c>
      <c r="G417" s="383" t="s">
        <v>71</v>
      </c>
      <c r="H417" s="383" t="s">
        <v>3547</v>
      </c>
      <c r="I417" s="383" t="s">
        <v>3832</v>
      </c>
      <c r="J417" s="383" t="s">
        <v>3833</v>
      </c>
      <c r="K417" s="383" t="s">
        <v>507</v>
      </c>
      <c r="L417" s="383" t="s">
        <v>8341</v>
      </c>
      <c r="M417" s="383" t="s">
        <v>10246</v>
      </c>
      <c r="N417" s="9" t="s">
        <v>44</v>
      </c>
      <c r="O417" s="383" t="str">
        <f>IF(LEN(SUBSTITUTE(Table3937[[#This Row],[PRIMARY CONTACT]]," ",""))=10,SUBSTITUTE(Table3937[[#This Row],[PRIMARY CONTACT]]," ","") &amp; " - Proper","- Follow Up")</f>
        <v>7828947823 - Proper</v>
      </c>
      <c r="P417" s="383" t="s">
        <v>2780</v>
      </c>
      <c r="Q417" s="383">
        <v>7828947823</v>
      </c>
      <c r="R417" s="383" t="str">
        <f>SUBSTITUTE(Table3937[[#This Row],[whatsapp_number]]," ","")</f>
        <v>7828947823</v>
      </c>
      <c r="S417" s="383" t="str">
        <f>IF(Table3937[[#This Row],[PRIMARY CONTACT]]=Table3937[[#This Row],[WHATSAPP CONTACT]],"Same Contact","Different Contact")</f>
        <v>Same Contact</v>
      </c>
      <c r="T417" s="383" t="str">
        <f>IF(LEN(SUBSTITUTE(Table3937[[#This Row],[PRIMARY CONTACT]]," ",""))=10,SUBSTITUTE(Table3937[[#This Row],[PRIMARY CONTACT]]," ","") &amp; " - Proper","- Follow Up")</f>
        <v>7828947823 - Proper</v>
      </c>
      <c r="U417" s="383" t="s">
        <v>3301</v>
      </c>
      <c r="V417" s="393" t="s">
        <v>2786</v>
      </c>
      <c r="W417" s="383" t="s">
        <v>47</v>
      </c>
      <c r="X417" s="101" t="s">
        <v>49</v>
      </c>
      <c r="Y417" s="5" t="s">
        <v>2164</v>
      </c>
      <c r="Z417" s="5" t="s">
        <v>7773</v>
      </c>
      <c r="AA417" s="101" t="s">
        <v>7774</v>
      </c>
      <c r="AB417" s="383"/>
    </row>
    <row r="418" spans="1:28" ht="13.8">
      <c r="A418" s="387">
        <v>417</v>
      </c>
      <c r="B418" s="383" t="s">
        <v>10710</v>
      </c>
      <c r="C418" s="383" t="s">
        <v>10710</v>
      </c>
      <c r="D418" s="383" t="s">
        <v>10710</v>
      </c>
      <c r="E418" s="383" t="s">
        <v>1620</v>
      </c>
      <c r="F418" s="383">
        <v>1059</v>
      </c>
      <c r="G418" s="383" t="s">
        <v>71</v>
      </c>
      <c r="H418" s="383" t="s">
        <v>1630</v>
      </c>
      <c r="I418" s="383" t="s">
        <v>8479</v>
      </c>
      <c r="J418" s="383" t="s">
        <v>1624</v>
      </c>
      <c r="K418" s="383" t="s">
        <v>9548</v>
      </c>
      <c r="L418" s="383" t="s">
        <v>9711</v>
      </c>
      <c r="M418" s="383" t="s">
        <v>10247</v>
      </c>
      <c r="N418" s="9" t="s">
        <v>44</v>
      </c>
      <c r="O418" s="383" t="str">
        <f>IF(LEN(SUBSTITUTE(Table3937[[#This Row],[PRIMARY CONTACT]]," ",""))=10,SUBSTITUTE(Table3937[[#This Row],[PRIMARY CONTACT]]," ","") &amp; " - Proper","- Follow Up")</f>
        <v>9819860110 - Proper</v>
      </c>
      <c r="P418" s="383" t="s">
        <v>3316</v>
      </c>
      <c r="Q418" s="383">
        <v>9819860110</v>
      </c>
      <c r="R418" s="383" t="str">
        <f>SUBSTITUTE(Table3937[[#This Row],[whatsapp_number]]," ","")</f>
        <v>9819860110</v>
      </c>
      <c r="S418" s="383" t="str">
        <f>IF(Table3937[[#This Row],[PRIMARY CONTACT]]=Table3937[[#This Row],[WHATSAPP CONTACT]],"Same Contact","Different Contact")</f>
        <v>Same Contact</v>
      </c>
      <c r="T418" s="383" t="str">
        <f>IF(LEN(SUBSTITUTE(Table3937[[#This Row],[PRIMARY CONTACT]]," ",""))=10,SUBSTITUTE(Table3937[[#This Row],[PRIMARY CONTACT]]," ","") &amp; " - Proper","- Follow Up")</f>
        <v>9819860110 - Proper</v>
      </c>
      <c r="U418" s="383" t="s">
        <v>2953</v>
      </c>
      <c r="V418" s="393" t="s">
        <v>1627</v>
      </c>
      <c r="W418" s="383" t="s">
        <v>47</v>
      </c>
      <c r="X418" s="383" t="s">
        <v>44</v>
      </c>
      <c r="Y418" s="383" t="s">
        <v>44</v>
      </c>
      <c r="Z418" s="383" t="s">
        <v>44</v>
      </c>
      <c r="AA418" s="383" t="s">
        <v>44</v>
      </c>
      <c r="AB418" s="383"/>
    </row>
    <row r="419" spans="1:28" ht="13.8">
      <c r="A419" s="387">
        <v>418</v>
      </c>
      <c r="B419" s="383" t="s">
        <v>10710</v>
      </c>
      <c r="C419" s="383" t="s">
        <v>10710</v>
      </c>
      <c r="D419" s="383" t="s">
        <v>10710</v>
      </c>
      <c r="E419" s="383" t="s">
        <v>1631</v>
      </c>
      <c r="F419" s="383">
        <v>1060</v>
      </c>
      <c r="G419" s="383" t="s">
        <v>71</v>
      </c>
      <c r="H419" s="383" t="s">
        <v>1640</v>
      </c>
      <c r="I419" s="383" t="s">
        <v>1634</v>
      </c>
      <c r="J419" s="383" t="s">
        <v>1635</v>
      </c>
      <c r="K419" s="383" t="s">
        <v>9549</v>
      </c>
      <c r="L419" s="383" t="s">
        <v>9712</v>
      </c>
      <c r="M419" s="383" t="s">
        <v>10248</v>
      </c>
      <c r="N419" s="9" t="s">
        <v>44</v>
      </c>
      <c r="O419" s="383" t="str">
        <f>IF(LEN(SUBSTITUTE(Table3937[[#This Row],[PRIMARY CONTACT]]," ",""))=10,SUBSTITUTE(Table3937[[#This Row],[PRIMARY CONTACT]]," ","") &amp; " - Proper","- Follow Up")</f>
        <v>9987779979 - Proper</v>
      </c>
      <c r="P419" s="383" t="s">
        <v>1632</v>
      </c>
      <c r="Q419" s="383">
        <v>9987779979</v>
      </c>
      <c r="R419" s="383" t="str">
        <f>SUBSTITUTE(Table3937[[#This Row],[whatsapp_number]]," ","")</f>
        <v>9987779979</v>
      </c>
      <c r="S419" s="383" t="str">
        <f>IF(Table3937[[#This Row],[PRIMARY CONTACT]]=Table3937[[#This Row],[WHATSAPP CONTACT]],"Same Contact","Different Contact")</f>
        <v>Same Contact</v>
      </c>
      <c r="T419" s="383" t="str">
        <f>IF(LEN(SUBSTITUTE(Table3937[[#This Row],[PRIMARY CONTACT]]," ",""))=10,SUBSTITUTE(Table3937[[#This Row],[PRIMARY CONTACT]]," ","") &amp; " - Proper","- Follow Up")</f>
        <v>9987779979 - Proper</v>
      </c>
      <c r="U419" s="383" t="s">
        <v>2953</v>
      </c>
      <c r="V419" s="393" t="s">
        <v>1638</v>
      </c>
      <c r="W419" s="383" t="s">
        <v>47</v>
      </c>
      <c r="X419" s="383" t="s">
        <v>44</v>
      </c>
      <c r="Y419" s="383" t="s">
        <v>44</v>
      </c>
      <c r="Z419" s="383" t="s">
        <v>44</v>
      </c>
      <c r="AA419" s="383" t="s">
        <v>44</v>
      </c>
      <c r="AB419" s="383"/>
    </row>
    <row r="420" spans="1:28" ht="13.8">
      <c r="A420" s="387">
        <v>419</v>
      </c>
      <c r="B420" s="383" t="s">
        <v>10710</v>
      </c>
      <c r="C420" s="383" t="s">
        <v>10710</v>
      </c>
      <c r="D420" s="383" t="s">
        <v>10710</v>
      </c>
      <c r="E420" s="383" t="s">
        <v>2692</v>
      </c>
      <c r="F420" s="383">
        <v>1063</v>
      </c>
      <c r="G420" s="383" t="s">
        <v>71</v>
      </c>
      <c r="H420" s="383" t="s">
        <v>5923</v>
      </c>
      <c r="I420" s="383" t="s">
        <v>5924</v>
      </c>
      <c r="J420" s="383" t="s">
        <v>5928</v>
      </c>
      <c r="K420" s="383" t="s">
        <v>5926</v>
      </c>
      <c r="L420" s="383" t="s">
        <v>8341</v>
      </c>
      <c r="M420" s="383" t="s">
        <v>10249</v>
      </c>
      <c r="N420" s="9" t="s">
        <v>44</v>
      </c>
      <c r="O420" s="383" t="str">
        <f>IF(LEN(SUBSTITUTE(Table3937[[#This Row],[PRIMARY CONTACT]]," ",""))=10,SUBSTITUTE(Table3937[[#This Row],[PRIMARY CONTACT]]," ","") &amp; " - Proper","- Follow Up")</f>
        <v>8655083000 - Proper</v>
      </c>
      <c r="P420" s="383" t="s">
        <v>5927</v>
      </c>
      <c r="Q420" s="383">
        <v>8655083000</v>
      </c>
      <c r="R420" s="383" t="str">
        <f>SUBSTITUTE(Table3937[[#This Row],[whatsapp_number]]," ","")</f>
        <v>8655083000</v>
      </c>
      <c r="S420" s="383" t="str">
        <f>IF(Table3937[[#This Row],[PRIMARY CONTACT]]=Table3937[[#This Row],[WHATSAPP CONTACT]],"Same Contact","Different Contact")</f>
        <v>Same Contact</v>
      </c>
      <c r="T420" s="383" t="str">
        <f>IF(LEN(SUBSTITUTE(Table3937[[#This Row],[PRIMARY CONTACT]]," ",""))=10,SUBSTITUTE(Table3937[[#This Row],[PRIMARY CONTACT]]," ","") &amp; " - Proper","- Follow Up")</f>
        <v>8655083000 - Proper</v>
      </c>
      <c r="U420" s="383" t="s">
        <v>5929</v>
      </c>
      <c r="V420" s="383" t="s">
        <v>71</v>
      </c>
      <c r="W420" s="383" t="s">
        <v>47</v>
      </c>
      <c r="X420" s="383" t="s">
        <v>44</v>
      </c>
      <c r="Y420" s="383" t="s">
        <v>44</v>
      </c>
      <c r="Z420" s="383" t="s">
        <v>44</v>
      </c>
      <c r="AA420" s="383" t="s">
        <v>44</v>
      </c>
      <c r="AB420" s="383"/>
    </row>
    <row r="421" spans="1:28" ht="13.8">
      <c r="A421" s="387">
        <v>420</v>
      </c>
      <c r="B421" s="383" t="s">
        <v>10710</v>
      </c>
      <c r="C421" s="383" t="s">
        <v>10710</v>
      </c>
      <c r="D421" s="383" t="s">
        <v>10710</v>
      </c>
      <c r="E421" s="383" t="s">
        <v>8954</v>
      </c>
      <c r="F421" s="383">
        <v>1064</v>
      </c>
      <c r="G421" s="383" t="s">
        <v>71</v>
      </c>
      <c r="H421" s="383" t="s">
        <v>5923</v>
      </c>
      <c r="I421" s="383" t="s">
        <v>5924</v>
      </c>
      <c r="J421" s="383" t="s">
        <v>9423</v>
      </c>
      <c r="K421" s="383" t="s">
        <v>5926</v>
      </c>
      <c r="L421" s="383" t="s">
        <v>8341</v>
      </c>
      <c r="M421" s="383" t="s">
        <v>10250</v>
      </c>
      <c r="N421" s="9" t="s">
        <v>44</v>
      </c>
      <c r="O421" s="383" t="str">
        <f>IF(LEN(SUBSTITUTE(Table3937[[#This Row],[PRIMARY CONTACT]]," ",""))=10,SUBSTITUTE(Table3937[[#This Row],[PRIMARY CONTACT]]," ","") &amp; " - Proper","- Follow Up")</f>
        <v>9969987000 - Proper</v>
      </c>
      <c r="P421" s="383" t="s">
        <v>5927</v>
      </c>
      <c r="Q421" s="383">
        <v>9969987000</v>
      </c>
      <c r="R421" s="383" t="str">
        <f>SUBSTITUTE(Table3937[[#This Row],[whatsapp_number]]," ","")</f>
        <v>9969987000</v>
      </c>
      <c r="S421" s="383" t="str">
        <f>IF(Table3937[[#This Row],[PRIMARY CONTACT]]=Table3937[[#This Row],[WHATSAPP CONTACT]],"Same Contact","Different Contact")</f>
        <v>Same Contact</v>
      </c>
      <c r="T421" s="383" t="str">
        <f>IF(LEN(SUBSTITUTE(Table3937[[#This Row],[PRIMARY CONTACT]]," ",""))=10,SUBSTITUTE(Table3937[[#This Row],[PRIMARY CONTACT]]," ","") &amp; " - Proper","- Follow Up")</f>
        <v>9969987000 - Proper</v>
      </c>
      <c r="U421" s="383" t="s">
        <v>10587</v>
      </c>
      <c r="V421" s="383" t="s">
        <v>71</v>
      </c>
      <c r="W421" s="383" t="s">
        <v>47</v>
      </c>
      <c r="X421" s="383" t="s">
        <v>44</v>
      </c>
      <c r="Y421" s="383" t="s">
        <v>44</v>
      </c>
      <c r="Z421" s="383" t="s">
        <v>44</v>
      </c>
      <c r="AA421" s="383" t="s">
        <v>44</v>
      </c>
      <c r="AB421" s="383"/>
    </row>
    <row r="422" spans="1:28" ht="13.8">
      <c r="A422" s="387">
        <v>421</v>
      </c>
      <c r="B422" s="383" t="s">
        <v>10710</v>
      </c>
      <c r="C422" s="383" t="s">
        <v>10710</v>
      </c>
      <c r="D422" s="383" t="s">
        <v>10710</v>
      </c>
      <c r="E422" s="383" t="s">
        <v>8955</v>
      </c>
      <c r="F422" s="383">
        <v>1066</v>
      </c>
      <c r="G422" s="383" t="s">
        <v>71</v>
      </c>
      <c r="H422" s="383" t="s">
        <v>5923</v>
      </c>
      <c r="I422" s="383" t="s">
        <v>5924</v>
      </c>
      <c r="J422" s="383" t="s">
        <v>9424</v>
      </c>
      <c r="K422" s="383" t="s">
        <v>5926</v>
      </c>
      <c r="L422" s="383" t="s">
        <v>8341</v>
      </c>
      <c r="M422" s="383" t="s">
        <v>10216</v>
      </c>
      <c r="N422" s="9" t="s">
        <v>44</v>
      </c>
      <c r="O422" s="383" t="str">
        <f>IF(LEN(SUBSTITUTE(Table3937[[#This Row],[PRIMARY CONTACT]]," ",""))=10,SUBSTITUTE(Table3937[[#This Row],[PRIMARY CONTACT]]," ","") &amp; " - Proper","- Follow Up")</f>
        <v>9969983000 - Proper</v>
      </c>
      <c r="P422" s="383" t="s">
        <v>5927</v>
      </c>
      <c r="Q422" s="383">
        <v>9969983000</v>
      </c>
      <c r="R422" s="383" t="str">
        <f>SUBSTITUTE(Table3937[[#This Row],[whatsapp_number]]," ","")</f>
        <v>9969983000</v>
      </c>
      <c r="S422" s="383" t="str">
        <f>IF(Table3937[[#This Row],[PRIMARY CONTACT]]=Table3937[[#This Row],[WHATSAPP CONTACT]],"Same Contact","Different Contact")</f>
        <v>Same Contact</v>
      </c>
      <c r="T422" s="383" t="str">
        <f>IF(LEN(SUBSTITUTE(Table3937[[#This Row],[PRIMARY CONTACT]]," ",""))=10,SUBSTITUTE(Table3937[[#This Row],[PRIMARY CONTACT]]," ","") &amp; " - Proper","- Follow Up")</f>
        <v>9969983000 - Proper</v>
      </c>
      <c r="U422" s="383" t="s">
        <v>5933</v>
      </c>
      <c r="V422" s="383" t="s">
        <v>71</v>
      </c>
      <c r="W422" s="383" t="s">
        <v>47</v>
      </c>
      <c r="X422" s="383" t="s">
        <v>44</v>
      </c>
      <c r="Y422" s="383" t="s">
        <v>44</v>
      </c>
      <c r="Z422" s="383" t="s">
        <v>44</v>
      </c>
      <c r="AA422" s="383" t="s">
        <v>44</v>
      </c>
      <c r="AB422" s="383"/>
    </row>
    <row r="423" spans="1:28" ht="13.8">
      <c r="A423" s="387">
        <v>422</v>
      </c>
      <c r="B423" s="383" t="s">
        <v>10710</v>
      </c>
      <c r="C423" s="383" t="s">
        <v>10710</v>
      </c>
      <c r="D423" s="383" t="s">
        <v>10710</v>
      </c>
      <c r="E423" s="383" t="s">
        <v>8956</v>
      </c>
      <c r="F423" s="383">
        <v>1068</v>
      </c>
      <c r="G423" s="383" t="s">
        <v>71</v>
      </c>
      <c r="H423" s="383" t="s">
        <v>5923</v>
      </c>
      <c r="I423" s="383" t="s">
        <v>5924</v>
      </c>
      <c r="J423" s="383" t="s">
        <v>9425</v>
      </c>
      <c r="K423" s="383" t="s">
        <v>5926</v>
      </c>
      <c r="L423" s="383" t="s">
        <v>8341</v>
      </c>
      <c r="M423" s="383" t="s">
        <v>10251</v>
      </c>
      <c r="N423" s="9" t="s">
        <v>44</v>
      </c>
      <c r="O423" s="383" t="str">
        <f>IF(LEN(SUBSTITUTE(Table3937[[#This Row],[PRIMARY CONTACT]]," ",""))=10,SUBSTITUTE(Table3937[[#This Row],[PRIMARY CONTACT]]," ","") &amp; " - Proper","- Follow Up")</f>
        <v>9969921234 - Proper</v>
      </c>
      <c r="P423" s="383" t="s">
        <v>5927</v>
      </c>
      <c r="Q423" s="383">
        <v>9969921234</v>
      </c>
      <c r="R423" s="383" t="str">
        <f>SUBSTITUTE(Table3937[[#This Row],[whatsapp_number]]," ","")</f>
        <v>9969921234</v>
      </c>
      <c r="S423" s="383" t="str">
        <f>IF(Table3937[[#This Row],[PRIMARY CONTACT]]=Table3937[[#This Row],[WHATSAPP CONTACT]],"Same Contact","Different Contact")</f>
        <v>Same Contact</v>
      </c>
      <c r="T423" s="383" t="str">
        <f>IF(LEN(SUBSTITUTE(Table3937[[#This Row],[PRIMARY CONTACT]]," ",""))=10,SUBSTITUTE(Table3937[[#This Row],[PRIMARY CONTACT]]," ","") &amp; " - Proper","- Follow Up")</f>
        <v>9969921234 - Proper</v>
      </c>
      <c r="U423" s="383" t="s">
        <v>10588</v>
      </c>
      <c r="V423" s="383" t="s">
        <v>71</v>
      </c>
      <c r="W423" s="383" t="s">
        <v>47</v>
      </c>
      <c r="X423" s="383" t="s">
        <v>44</v>
      </c>
      <c r="Y423" s="383" t="s">
        <v>44</v>
      </c>
      <c r="Z423" s="383" t="s">
        <v>44</v>
      </c>
      <c r="AA423" s="383" t="s">
        <v>44</v>
      </c>
      <c r="AB423" s="383"/>
    </row>
    <row r="424" spans="1:28" ht="13.8">
      <c r="A424" s="387">
        <v>423</v>
      </c>
      <c r="B424" s="383" t="s">
        <v>10710</v>
      </c>
      <c r="C424" s="383" t="s">
        <v>10710</v>
      </c>
      <c r="D424" s="383" t="s">
        <v>10710</v>
      </c>
      <c r="E424" s="383" t="s">
        <v>8957</v>
      </c>
      <c r="F424" s="383">
        <v>1069</v>
      </c>
      <c r="G424" s="383" t="s">
        <v>71</v>
      </c>
      <c r="H424" s="383" t="s">
        <v>5923</v>
      </c>
      <c r="I424" s="383" t="s">
        <v>5924</v>
      </c>
      <c r="J424" s="383" t="s">
        <v>9426</v>
      </c>
      <c r="K424" s="383" t="s">
        <v>5926</v>
      </c>
      <c r="L424" s="383" t="s">
        <v>8341</v>
      </c>
      <c r="M424" s="383" t="s">
        <v>10251</v>
      </c>
      <c r="N424" s="9" t="s">
        <v>44</v>
      </c>
      <c r="O424" s="383" t="str">
        <f>IF(LEN(SUBSTITUTE(Table3937[[#This Row],[PRIMARY CONTACT]]," ",""))=10,SUBSTITUTE(Table3937[[#This Row],[PRIMARY CONTACT]]," ","") &amp; " - Proper","- Follow Up")</f>
        <v>9969921234 - Proper</v>
      </c>
      <c r="P424" s="383" t="s">
        <v>5927</v>
      </c>
      <c r="Q424" s="383">
        <v>9969921234</v>
      </c>
      <c r="R424" s="383" t="str">
        <f>SUBSTITUTE(Table3937[[#This Row],[whatsapp_number]]," ","")</f>
        <v>9969921234</v>
      </c>
      <c r="S424" s="383" t="str">
        <f>IF(Table3937[[#This Row],[PRIMARY CONTACT]]=Table3937[[#This Row],[WHATSAPP CONTACT]],"Same Contact","Different Contact")</f>
        <v>Same Contact</v>
      </c>
      <c r="T424" s="383" t="str">
        <f>IF(LEN(SUBSTITUTE(Table3937[[#This Row],[PRIMARY CONTACT]]," ",""))=10,SUBSTITUTE(Table3937[[#This Row],[PRIMARY CONTACT]]," ","") &amp; " - Proper","- Follow Up")</f>
        <v>9969921234 - Proper</v>
      </c>
      <c r="U424" s="383" t="s">
        <v>8341</v>
      </c>
      <c r="V424" s="383" t="s">
        <v>71</v>
      </c>
      <c r="W424" s="383" t="s">
        <v>47</v>
      </c>
      <c r="X424" s="383" t="s">
        <v>44</v>
      </c>
      <c r="Y424" s="383" t="s">
        <v>44</v>
      </c>
      <c r="Z424" s="383" t="s">
        <v>44</v>
      </c>
      <c r="AA424" s="383" t="s">
        <v>44</v>
      </c>
      <c r="AB424" s="383"/>
    </row>
    <row r="425" spans="1:28" ht="13.8">
      <c r="A425" s="387">
        <v>424</v>
      </c>
      <c r="B425" s="383" t="s">
        <v>10710</v>
      </c>
      <c r="C425" s="383" t="s">
        <v>10710</v>
      </c>
      <c r="D425" s="383" t="s">
        <v>10710</v>
      </c>
      <c r="E425" s="383" t="s">
        <v>8958</v>
      </c>
      <c r="F425" s="383">
        <v>1070</v>
      </c>
      <c r="G425" s="383" t="s">
        <v>71</v>
      </c>
      <c r="H425" s="383" t="s">
        <v>5923</v>
      </c>
      <c r="I425" s="383" t="s">
        <v>5924</v>
      </c>
      <c r="J425" s="383" t="s">
        <v>9427</v>
      </c>
      <c r="K425" s="383" t="s">
        <v>5926</v>
      </c>
      <c r="L425" s="383" t="s">
        <v>8341</v>
      </c>
      <c r="M425" s="383" t="s">
        <v>10252</v>
      </c>
      <c r="N425" s="9" t="s">
        <v>44</v>
      </c>
      <c r="O425" s="383" t="str">
        <f>IF(LEN(SUBSTITUTE(Table3937[[#This Row],[PRIMARY CONTACT]]," ",""))=10,SUBSTITUTE(Table3937[[#This Row],[PRIMARY CONTACT]]," ","") &amp; " - Proper","- Follow Up")</f>
        <v>9969041234 - Proper</v>
      </c>
      <c r="P425" s="383" t="s">
        <v>5927</v>
      </c>
      <c r="Q425" s="383">
        <v>9969041234</v>
      </c>
      <c r="R425" s="383" t="str">
        <f>SUBSTITUTE(Table3937[[#This Row],[whatsapp_number]]," ","")</f>
        <v>9969041234</v>
      </c>
      <c r="S425" s="383" t="str">
        <f>IF(Table3937[[#This Row],[PRIMARY CONTACT]]=Table3937[[#This Row],[WHATSAPP CONTACT]],"Same Contact","Different Contact")</f>
        <v>Same Contact</v>
      </c>
      <c r="T425" s="383" t="str">
        <f>IF(LEN(SUBSTITUTE(Table3937[[#This Row],[PRIMARY CONTACT]]," ",""))=10,SUBSTITUTE(Table3937[[#This Row],[PRIMARY CONTACT]]," ","") &amp; " - Proper","- Follow Up")</f>
        <v>9969041234 - Proper</v>
      </c>
      <c r="U425" s="383" t="s">
        <v>10589</v>
      </c>
      <c r="V425" s="383" t="s">
        <v>71</v>
      </c>
      <c r="W425" s="383" t="s">
        <v>47</v>
      </c>
      <c r="X425" s="383" t="s">
        <v>44</v>
      </c>
      <c r="Y425" s="383" t="s">
        <v>44</v>
      </c>
      <c r="Z425" s="383" t="s">
        <v>44</v>
      </c>
      <c r="AA425" s="383" t="s">
        <v>44</v>
      </c>
      <c r="AB425" s="383"/>
    </row>
    <row r="426" spans="1:28" ht="13.8">
      <c r="A426" s="387">
        <v>425</v>
      </c>
      <c r="B426" s="383" t="s">
        <v>10710</v>
      </c>
      <c r="C426" s="383" t="s">
        <v>10710</v>
      </c>
      <c r="D426" s="383" t="s">
        <v>10710</v>
      </c>
      <c r="E426" s="383" t="s">
        <v>2698</v>
      </c>
      <c r="F426" s="383">
        <v>1071</v>
      </c>
      <c r="G426" s="383" t="s">
        <v>71</v>
      </c>
      <c r="H426" s="383" t="s">
        <v>5923</v>
      </c>
      <c r="I426" s="383" t="s">
        <v>5924</v>
      </c>
      <c r="J426" s="383" t="s">
        <v>9428</v>
      </c>
      <c r="K426" s="383" t="s">
        <v>5926</v>
      </c>
      <c r="L426" s="383" t="s">
        <v>8341</v>
      </c>
      <c r="M426" s="383" t="s">
        <v>10253</v>
      </c>
      <c r="N426" s="9" t="s">
        <v>44</v>
      </c>
      <c r="O426" s="383" t="str">
        <f>IF(LEN(SUBSTITUTE(Table3937[[#This Row],[PRIMARY CONTACT]]," ",""))=10,SUBSTITUTE(Table3937[[#This Row],[PRIMARY CONTACT]]," ","") &amp; " - Proper","- Follow Up")</f>
        <v>9969961234 - Proper</v>
      </c>
      <c r="P426" s="383" t="s">
        <v>5927</v>
      </c>
      <c r="Q426" s="383">
        <v>9969961234</v>
      </c>
      <c r="R426" s="383" t="str">
        <f>SUBSTITUTE(Table3937[[#This Row],[whatsapp_number]]," ","")</f>
        <v>9969961234</v>
      </c>
      <c r="S426" s="383" t="str">
        <f>IF(Table3937[[#This Row],[PRIMARY CONTACT]]=Table3937[[#This Row],[WHATSAPP CONTACT]],"Same Contact","Different Contact")</f>
        <v>Same Contact</v>
      </c>
      <c r="T426" s="383" t="str">
        <f>IF(LEN(SUBSTITUTE(Table3937[[#This Row],[PRIMARY CONTACT]]," ",""))=10,SUBSTITUTE(Table3937[[#This Row],[PRIMARY CONTACT]]," ","") &amp; " - Proper","- Follow Up")</f>
        <v>9969961234 - Proper</v>
      </c>
      <c r="U426" s="383" t="s">
        <v>8341</v>
      </c>
      <c r="V426" s="383" t="s">
        <v>71</v>
      </c>
      <c r="W426" s="383" t="s">
        <v>47</v>
      </c>
      <c r="X426" s="383" t="s">
        <v>44</v>
      </c>
      <c r="Y426" s="383" t="s">
        <v>44</v>
      </c>
      <c r="Z426" s="383" t="s">
        <v>44</v>
      </c>
      <c r="AA426" s="383" t="s">
        <v>44</v>
      </c>
      <c r="AB426" s="383"/>
    </row>
    <row r="427" spans="1:28" ht="13.8">
      <c r="A427" s="387">
        <v>426</v>
      </c>
      <c r="B427" s="383" t="s">
        <v>10710</v>
      </c>
      <c r="C427" s="383" t="s">
        <v>10710</v>
      </c>
      <c r="D427" s="383" t="s">
        <v>10710</v>
      </c>
      <c r="E427" s="383" t="s">
        <v>2699</v>
      </c>
      <c r="F427" s="383">
        <v>1072</v>
      </c>
      <c r="G427" s="383" t="s">
        <v>71</v>
      </c>
      <c r="H427" s="383" t="s">
        <v>5923</v>
      </c>
      <c r="I427" s="383" t="s">
        <v>5924</v>
      </c>
      <c r="J427" s="383" t="s">
        <v>5940</v>
      </c>
      <c r="K427" s="383" t="s">
        <v>5926</v>
      </c>
      <c r="L427" s="383" t="s">
        <v>8341</v>
      </c>
      <c r="M427" s="383" t="s">
        <v>10253</v>
      </c>
      <c r="N427" s="9" t="s">
        <v>44</v>
      </c>
      <c r="O427" s="383" t="str">
        <f>IF(LEN(SUBSTITUTE(Table3937[[#This Row],[PRIMARY CONTACT]]," ",""))=10,SUBSTITUTE(Table3937[[#This Row],[PRIMARY CONTACT]]," ","") &amp; " - Proper","- Follow Up")</f>
        <v>9969961234 - Proper</v>
      </c>
      <c r="P427" s="383" t="s">
        <v>5927</v>
      </c>
      <c r="Q427" s="383">
        <v>9969961234</v>
      </c>
      <c r="R427" s="383" t="str">
        <f>SUBSTITUTE(Table3937[[#This Row],[whatsapp_number]]," ","")</f>
        <v>9969961234</v>
      </c>
      <c r="S427" s="383" t="str">
        <f>IF(Table3937[[#This Row],[PRIMARY CONTACT]]=Table3937[[#This Row],[WHATSAPP CONTACT]],"Same Contact","Different Contact")</f>
        <v>Same Contact</v>
      </c>
      <c r="T427" s="383" t="str">
        <f>IF(LEN(SUBSTITUTE(Table3937[[#This Row],[PRIMARY CONTACT]]," ",""))=10,SUBSTITUTE(Table3937[[#This Row],[PRIMARY CONTACT]]," ","") &amp; " - Proper","- Follow Up")</f>
        <v>9969961234 - Proper</v>
      </c>
      <c r="U427" s="383" t="s">
        <v>5941</v>
      </c>
      <c r="V427" s="383" t="s">
        <v>71</v>
      </c>
      <c r="W427" s="383" t="s">
        <v>47</v>
      </c>
      <c r="X427" s="383" t="s">
        <v>44</v>
      </c>
      <c r="Y427" s="383" t="s">
        <v>44</v>
      </c>
      <c r="Z427" s="383" t="s">
        <v>44</v>
      </c>
      <c r="AA427" s="383" t="s">
        <v>44</v>
      </c>
      <c r="AB427" s="383"/>
    </row>
    <row r="428" spans="1:28" ht="13.8">
      <c r="A428" s="387">
        <v>427</v>
      </c>
      <c r="B428" s="383" t="s">
        <v>10710</v>
      </c>
      <c r="C428" s="383" t="s">
        <v>10710</v>
      </c>
      <c r="D428" s="383" t="s">
        <v>10710</v>
      </c>
      <c r="E428" s="383" t="s">
        <v>8959</v>
      </c>
      <c r="F428" s="383">
        <v>1073</v>
      </c>
      <c r="G428" s="383" t="s">
        <v>71</v>
      </c>
      <c r="H428" s="383" t="s">
        <v>5923</v>
      </c>
      <c r="I428" s="383" t="s">
        <v>5924</v>
      </c>
      <c r="J428" s="383" t="s">
        <v>9429</v>
      </c>
      <c r="K428" s="383" t="s">
        <v>5926</v>
      </c>
      <c r="L428" s="383" t="s">
        <v>8341</v>
      </c>
      <c r="M428" s="383" t="s">
        <v>10254</v>
      </c>
      <c r="N428" s="9" t="s">
        <v>44</v>
      </c>
      <c r="O428" s="383" t="str">
        <f>IF(LEN(SUBSTITUTE(Table3937[[#This Row],[PRIMARY CONTACT]]," ",""))=10,SUBSTITUTE(Table3937[[#This Row],[PRIMARY CONTACT]]," ","") &amp; " - Proper","- Follow Up")</f>
        <v>9969931234 - Proper</v>
      </c>
      <c r="P428" s="383" t="s">
        <v>5927</v>
      </c>
      <c r="Q428" s="383">
        <v>9969931234</v>
      </c>
      <c r="R428" s="383" t="str">
        <f>SUBSTITUTE(Table3937[[#This Row],[whatsapp_number]]," ","")</f>
        <v>9969931234</v>
      </c>
      <c r="S428" s="383" t="str">
        <f>IF(Table3937[[#This Row],[PRIMARY CONTACT]]=Table3937[[#This Row],[WHATSAPP CONTACT]],"Same Contact","Different Contact")</f>
        <v>Same Contact</v>
      </c>
      <c r="T428" s="383" t="str">
        <f>IF(LEN(SUBSTITUTE(Table3937[[#This Row],[PRIMARY CONTACT]]," ",""))=10,SUBSTITUTE(Table3937[[#This Row],[PRIMARY CONTACT]]," ","") &amp; " - Proper","- Follow Up")</f>
        <v>9969931234 - Proper</v>
      </c>
      <c r="U428" s="383" t="s">
        <v>8341</v>
      </c>
      <c r="V428" s="383" t="s">
        <v>71</v>
      </c>
      <c r="W428" s="383" t="s">
        <v>47</v>
      </c>
      <c r="X428" s="383" t="s">
        <v>44</v>
      </c>
      <c r="Y428" s="383" t="s">
        <v>44</v>
      </c>
      <c r="Z428" s="383" t="s">
        <v>44</v>
      </c>
      <c r="AA428" s="383" t="s">
        <v>44</v>
      </c>
      <c r="AB428" s="383"/>
    </row>
    <row r="429" spans="1:28" ht="13.8">
      <c r="A429" s="387">
        <v>428</v>
      </c>
      <c r="B429" s="383" t="s">
        <v>10710</v>
      </c>
      <c r="C429" s="383" t="s">
        <v>10710</v>
      </c>
      <c r="D429" s="383" t="s">
        <v>10710</v>
      </c>
      <c r="E429" s="383" t="s">
        <v>8960</v>
      </c>
      <c r="F429" s="383">
        <v>1074</v>
      </c>
      <c r="G429" s="383" t="s">
        <v>71</v>
      </c>
      <c r="H429" s="383" t="s">
        <v>5923</v>
      </c>
      <c r="I429" s="383" t="s">
        <v>5924</v>
      </c>
      <c r="J429" s="383" t="s">
        <v>9430</v>
      </c>
      <c r="K429" s="383" t="s">
        <v>5926</v>
      </c>
      <c r="L429" s="383" t="s">
        <v>8341</v>
      </c>
      <c r="M429" s="383" t="s">
        <v>10255</v>
      </c>
      <c r="N429" s="9" t="s">
        <v>44</v>
      </c>
      <c r="O429" s="383" t="str">
        <f>IF(LEN(SUBSTITUTE(Table3937[[#This Row],[PRIMARY CONTACT]]," ",""))=10,SUBSTITUTE(Table3937[[#This Row],[PRIMARY CONTACT]]," ","") &amp; " - Proper","- Follow Up")</f>
        <v>8928623994 - Proper</v>
      </c>
      <c r="P429" s="383" t="s">
        <v>5927</v>
      </c>
      <c r="Q429" s="383">
        <v>8928623994</v>
      </c>
      <c r="R429" s="383" t="str">
        <f>SUBSTITUTE(Table3937[[#This Row],[whatsapp_number]]," ","")</f>
        <v>8928623994</v>
      </c>
      <c r="S429" s="383" t="str">
        <f>IF(Table3937[[#This Row],[PRIMARY CONTACT]]=Table3937[[#This Row],[WHATSAPP CONTACT]],"Same Contact","Different Contact")</f>
        <v>Same Contact</v>
      </c>
      <c r="T429" s="383" t="str">
        <f>IF(LEN(SUBSTITUTE(Table3937[[#This Row],[PRIMARY CONTACT]]," ",""))=10,SUBSTITUTE(Table3937[[#This Row],[PRIMARY CONTACT]]," ","") &amp; " - Proper","- Follow Up")</f>
        <v>8928623994 - Proper</v>
      </c>
      <c r="U429" s="383" t="s">
        <v>5944</v>
      </c>
      <c r="V429" s="383" t="s">
        <v>71</v>
      </c>
      <c r="W429" s="383" t="s">
        <v>47</v>
      </c>
      <c r="X429" s="383" t="s">
        <v>44</v>
      </c>
      <c r="Y429" s="383" t="s">
        <v>44</v>
      </c>
      <c r="Z429" s="383" t="s">
        <v>44</v>
      </c>
      <c r="AA429" s="383" t="s">
        <v>44</v>
      </c>
      <c r="AB429" s="383"/>
    </row>
    <row r="430" spans="1:28" ht="13.8">
      <c r="A430" s="387">
        <v>429</v>
      </c>
      <c r="B430" s="383" t="s">
        <v>10710</v>
      </c>
      <c r="C430" s="383" t="s">
        <v>10710</v>
      </c>
      <c r="D430" s="383" t="s">
        <v>10710</v>
      </c>
      <c r="E430" s="383" t="s">
        <v>8961</v>
      </c>
      <c r="F430" s="383">
        <v>1075</v>
      </c>
      <c r="G430" s="383" t="s">
        <v>71</v>
      </c>
      <c r="H430" s="383" t="s">
        <v>5923</v>
      </c>
      <c r="I430" s="383" t="s">
        <v>5924</v>
      </c>
      <c r="J430" s="383" t="s">
        <v>9431</v>
      </c>
      <c r="K430" s="383" t="s">
        <v>5926</v>
      </c>
      <c r="L430" s="383" t="s">
        <v>8341</v>
      </c>
      <c r="M430" s="383" t="s">
        <v>10256</v>
      </c>
      <c r="N430" s="9" t="s">
        <v>44</v>
      </c>
      <c r="O430" s="383" t="str">
        <f>IF(LEN(SUBSTITUTE(Table3937[[#This Row],[PRIMARY CONTACT]]," ",""))=10,SUBSTITUTE(Table3937[[#This Row],[PRIMARY CONTACT]]," ","") &amp; " - Proper","- Follow Up")</f>
        <v>9969941234 - Proper</v>
      </c>
      <c r="P430" s="383" t="s">
        <v>5927</v>
      </c>
      <c r="Q430" s="383">
        <v>9969941234</v>
      </c>
      <c r="R430" s="383" t="str">
        <f>SUBSTITUTE(Table3937[[#This Row],[whatsapp_number]]," ","")</f>
        <v>9969941234</v>
      </c>
      <c r="S430" s="383" t="str">
        <f>IF(Table3937[[#This Row],[PRIMARY CONTACT]]=Table3937[[#This Row],[WHATSAPP CONTACT]],"Same Contact","Different Contact")</f>
        <v>Same Contact</v>
      </c>
      <c r="T430" s="383" t="str">
        <f>IF(LEN(SUBSTITUTE(Table3937[[#This Row],[PRIMARY CONTACT]]," ",""))=10,SUBSTITUTE(Table3937[[#This Row],[PRIMARY CONTACT]]," ","") &amp; " - Proper","- Follow Up")</f>
        <v>9969941234 - Proper</v>
      </c>
      <c r="U430" s="383" t="s">
        <v>5946</v>
      </c>
      <c r="V430" s="383" t="s">
        <v>71</v>
      </c>
      <c r="W430" s="383" t="s">
        <v>47</v>
      </c>
      <c r="X430" s="383" t="s">
        <v>44</v>
      </c>
      <c r="Y430" s="383" t="s">
        <v>44</v>
      </c>
      <c r="Z430" s="383" t="s">
        <v>44</v>
      </c>
      <c r="AA430" s="383" t="s">
        <v>44</v>
      </c>
      <c r="AB430" s="383"/>
    </row>
    <row r="431" spans="1:28" ht="13.8">
      <c r="A431" s="387">
        <v>430</v>
      </c>
      <c r="B431" s="383" t="s">
        <v>10710</v>
      </c>
      <c r="C431" s="383" t="s">
        <v>10710</v>
      </c>
      <c r="D431" s="383" t="s">
        <v>10710</v>
      </c>
      <c r="E431" s="383" t="s">
        <v>8962</v>
      </c>
      <c r="F431" s="383">
        <v>1076</v>
      </c>
      <c r="G431" s="383" t="s">
        <v>71</v>
      </c>
      <c r="H431" s="383" t="s">
        <v>5923</v>
      </c>
      <c r="I431" s="383" t="s">
        <v>5924</v>
      </c>
      <c r="J431" s="383" t="s">
        <v>9432</v>
      </c>
      <c r="K431" s="383" t="s">
        <v>5926</v>
      </c>
      <c r="L431" s="383" t="s">
        <v>8341</v>
      </c>
      <c r="M431" s="383" t="s">
        <v>8341</v>
      </c>
      <c r="N431" s="9" t="s">
        <v>44</v>
      </c>
      <c r="O431" s="383" t="str">
        <f>IF(LEN(SUBSTITUTE(Table3937[[#This Row],[PRIMARY CONTACT]]," ",""))=10,SUBSTITUTE(Table3937[[#This Row],[PRIMARY CONTACT]]," ","") &amp; " - Proper","- Follow Up")</f>
        <v>- Follow Up</v>
      </c>
      <c r="P431" s="383" t="s">
        <v>5927</v>
      </c>
      <c r="Q431" s="383" t="s">
        <v>71</v>
      </c>
      <c r="R431" s="383" t="str">
        <f>SUBSTITUTE(Table3937[[#This Row],[whatsapp_number]]," ","")</f>
        <v>UNDEFINED</v>
      </c>
      <c r="S431" s="383" t="str">
        <f>IF(Table3937[[#This Row],[PRIMARY CONTACT]]=Table3937[[#This Row],[WHATSAPP CONTACT]],"Same Contact","Different Contact")</f>
        <v>Same Contact</v>
      </c>
      <c r="T431" s="383" t="str">
        <f>IF(LEN(SUBSTITUTE(Table3937[[#This Row],[PRIMARY CONTACT]]," ",""))=10,SUBSTITUTE(Table3937[[#This Row],[PRIMARY CONTACT]]," ","") &amp; " - Proper","- Follow Up")</f>
        <v>- Follow Up</v>
      </c>
      <c r="U431" s="383" t="s">
        <v>5948</v>
      </c>
      <c r="V431" s="383" t="s">
        <v>71</v>
      </c>
      <c r="W431" s="383" t="s">
        <v>47</v>
      </c>
      <c r="X431" s="383" t="s">
        <v>44</v>
      </c>
      <c r="Y431" s="383" t="s">
        <v>44</v>
      </c>
      <c r="Z431" s="383" t="s">
        <v>44</v>
      </c>
      <c r="AA431" s="383" t="s">
        <v>44</v>
      </c>
      <c r="AB431" s="383"/>
    </row>
    <row r="432" spans="1:28" ht="13.8">
      <c r="A432" s="387">
        <v>431</v>
      </c>
      <c r="B432" s="383" t="s">
        <v>10710</v>
      </c>
      <c r="C432" s="383" t="s">
        <v>10710</v>
      </c>
      <c r="D432" s="383" t="s">
        <v>10710</v>
      </c>
      <c r="E432" s="383" t="s">
        <v>2704</v>
      </c>
      <c r="F432" s="383">
        <v>1077</v>
      </c>
      <c r="G432" s="383" t="s">
        <v>71</v>
      </c>
      <c r="H432" s="383" t="s">
        <v>5923</v>
      </c>
      <c r="I432" s="383" t="s">
        <v>5924</v>
      </c>
      <c r="J432" s="383" t="s">
        <v>5949</v>
      </c>
      <c r="K432" s="383" t="s">
        <v>5926</v>
      </c>
      <c r="L432" s="383" t="s">
        <v>8341</v>
      </c>
      <c r="M432" s="383" t="s">
        <v>10257</v>
      </c>
      <c r="N432" s="9" t="s">
        <v>44</v>
      </c>
      <c r="O432" s="383" t="str">
        <f>IF(LEN(SUBSTITUTE(Table3937[[#This Row],[PRIMARY CONTACT]]," ",""))=10,SUBSTITUTE(Table3937[[#This Row],[PRIMARY CONTACT]]," ","") &amp; " - Proper","- Follow Up")</f>
        <v>8928623991 - Proper</v>
      </c>
      <c r="P432" s="383" t="s">
        <v>5927</v>
      </c>
      <c r="Q432" s="383" t="s">
        <v>71</v>
      </c>
      <c r="R432" s="383" t="str">
        <f>SUBSTITUTE(Table3937[[#This Row],[whatsapp_number]]," ","")</f>
        <v>UNDEFINED</v>
      </c>
      <c r="S432" s="383" t="str">
        <f>IF(Table3937[[#This Row],[PRIMARY CONTACT]]=Table3937[[#This Row],[WHATSAPP CONTACT]],"Same Contact","Different Contact")</f>
        <v>Different Contact</v>
      </c>
      <c r="T432" s="383" t="str">
        <f>IF(LEN(SUBSTITUTE(Table3937[[#This Row],[PRIMARY CONTACT]]," ",""))=10,SUBSTITUTE(Table3937[[#This Row],[PRIMARY CONTACT]]," ","") &amp; " - Proper","- Follow Up")</f>
        <v>8928623991 - Proper</v>
      </c>
      <c r="U432" s="383" t="s">
        <v>5950</v>
      </c>
      <c r="V432" s="383" t="s">
        <v>71</v>
      </c>
      <c r="W432" s="383" t="s">
        <v>47</v>
      </c>
      <c r="X432" s="383" t="s">
        <v>44</v>
      </c>
      <c r="Y432" s="383" t="s">
        <v>44</v>
      </c>
      <c r="Z432" s="383" t="s">
        <v>44</v>
      </c>
      <c r="AA432" s="383" t="s">
        <v>44</v>
      </c>
      <c r="AB432" s="383"/>
    </row>
    <row r="433" spans="1:28" ht="13.8">
      <c r="A433" s="387">
        <v>432</v>
      </c>
      <c r="B433" s="383" t="s">
        <v>10710</v>
      </c>
      <c r="C433" s="383" t="s">
        <v>10710</v>
      </c>
      <c r="D433" s="383" t="s">
        <v>10710</v>
      </c>
      <c r="E433" s="383" t="s">
        <v>8963</v>
      </c>
      <c r="F433" s="383">
        <v>1078</v>
      </c>
      <c r="G433" s="383" t="s">
        <v>71</v>
      </c>
      <c r="H433" s="383" t="s">
        <v>5923</v>
      </c>
      <c r="I433" s="383" t="s">
        <v>5924</v>
      </c>
      <c r="J433" s="383" t="s">
        <v>9433</v>
      </c>
      <c r="K433" s="383" t="s">
        <v>5926</v>
      </c>
      <c r="L433" s="383" t="s">
        <v>8341</v>
      </c>
      <c r="M433" s="383" t="s">
        <v>10258</v>
      </c>
      <c r="N433" s="9" t="s">
        <v>44</v>
      </c>
      <c r="O433" s="383" t="str">
        <f>IF(LEN(SUBSTITUTE(Table3937[[#This Row],[PRIMARY CONTACT]]," ",""))=10,SUBSTITUTE(Table3937[[#This Row],[PRIMARY CONTACT]]," ","") &amp; " - Proper","- Follow Up")</f>
        <v>9969051234 - Proper</v>
      </c>
      <c r="P433" s="383" t="s">
        <v>5927</v>
      </c>
      <c r="Q433" s="383" t="s">
        <v>71</v>
      </c>
      <c r="R433" s="383" t="str">
        <f>SUBSTITUTE(Table3937[[#This Row],[whatsapp_number]]," ","")</f>
        <v>UNDEFINED</v>
      </c>
      <c r="S433" s="383" t="str">
        <f>IF(Table3937[[#This Row],[PRIMARY CONTACT]]=Table3937[[#This Row],[WHATSAPP CONTACT]],"Same Contact","Different Contact")</f>
        <v>Different Contact</v>
      </c>
      <c r="T433" s="383" t="str">
        <f>IF(LEN(SUBSTITUTE(Table3937[[#This Row],[PRIMARY CONTACT]]," ",""))=10,SUBSTITUTE(Table3937[[#This Row],[PRIMARY CONTACT]]," ","") &amp; " - Proper","- Follow Up")</f>
        <v>9969051234 - Proper</v>
      </c>
      <c r="U433" s="383" t="s">
        <v>5952</v>
      </c>
      <c r="V433" s="383" t="s">
        <v>71</v>
      </c>
      <c r="W433" s="383" t="s">
        <v>47</v>
      </c>
      <c r="X433" s="383" t="s">
        <v>44</v>
      </c>
      <c r="Y433" s="383" t="s">
        <v>44</v>
      </c>
      <c r="Z433" s="383" t="s">
        <v>44</v>
      </c>
      <c r="AA433" s="383" t="s">
        <v>44</v>
      </c>
      <c r="AB433" s="383"/>
    </row>
    <row r="434" spans="1:28" ht="13.8">
      <c r="A434" s="387">
        <v>433</v>
      </c>
      <c r="B434" s="383" t="s">
        <v>10710</v>
      </c>
      <c r="C434" s="383" t="s">
        <v>10710</v>
      </c>
      <c r="D434" s="383" t="s">
        <v>10710</v>
      </c>
      <c r="E434" s="383" t="s">
        <v>8964</v>
      </c>
      <c r="F434" s="383">
        <v>1079</v>
      </c>
      <c r="G434" s="383" t="s">
        <v>71</v>
      </c>
      <c r="H434" s="383" t="s">
        <v>5923</v>
      </c>
      <c r="I434" s="383" t="s">
        <v>5924</v>
      </c>
      <c r="J434" s="383" t="s">
        <v>9434</v>
      </c>
      <c r="K434" s="383" t="s">
        <v>5926</v>
      </c>
      <c r="L434" s="383" t="s">
        <v>8341</v>
      </c>
      <c r="M434" s="383" t="s">
        <v>10259</v>
      </c>
      <c r="N434" s="9" t="s">
        <v>44</v>
      </c>
      <c r="O434" s="383" t="str">
        <f>IF(LEN(SUBSTITUTE(Table3937[[#This Row],[PRIMARY CONTACT]]," ",""))=10,SUBSTITUTE(Table3937[[#This Row],[PRIMARY CONTACT]]," ","") &amp; " - Proper","- Follow Up")</f>
        <v>9969071234 - Proper</v>
      </c>
      <c r="P434" s="383" t="s">
        <v>5927</v>
      </c>
      <c r="Q434" s="383">
        <v>9969071234</v>
      </c>
      <c r="R434" s="383" t="str">
        <f>SUBSTITUTE(Table3937[[#This Row],[whatsapp_number]]," ","")</f>
        <v>9969071234</v>
      </c>
      <c r="S434" s="383" t="str">
        <f>IF(Table3937[[#This Row],[PRIMARY CONTACT]]=Table3937[[#This Row],[WHATSAPP CONTACT]],"Same Contact","Different Contact")</f>
        <v>Same Contact</v>
      </c>
      <c r="T434" s="383" t="str">
        <f>IF(LEN(SUBSTITUTE(Table3937[[#This Row],[PRIMARY CONTACT]]," ",""))=10,SUBSTITUTE(Table3937[[#This Row],[PRIMARY CONTACT]]," ","") &amp; " - Proper","- Follow Up")</f>
        <v>9969071234 - Proper</v>
      </c>
      <c r="U434" s="383" t="s">
        <v>10590</v>
      </c>
      <c r="V434" s="383" t="s">
        <v>71</v>
      </c>
      <c r="W434" s="383" t="s">
        <v>47</v>
      </c>
      <c r="X434" s="383" t="s">
        <v>44</v>
      </c>
      <c r="Y434" s="383" t="s">
        <v>44</v>
      </c>
      <c r="Z434" s="383" t="s">
        <v>44</v>
      </c>
      <c r="AA434" s="383" t="s">
        <v>44</v>
      </c>
      <c r="AB434" s="383"/>
    </row>
    <row r="435" spans="1:28" ht="13.8">
      <c r="A435" s="387">
        <v>434</v>
      </c>
      <c r="B435" s="383" t="s">
        <v>10710</v>
      </c>
      <c r="C435" s="383" t="s">
        <v>10710</v>
      </c>
      <c r="D435" s="383" t="s">
        <v>10710</v>
      </c>
      <c r="E435" s="383" t="s">
        <v>8965</v>
      </c>
      <c r="F435" s="383">
        <v>1081</v>
      </c>
      <c r="G435" s="383" t="s">
        <v>71</v>
      </c>
      <c r="H435" s="383" t="s">
        <v>5923</v>
      </c>
      <c r="I435" s="383" t="s">
        <v>5924</v>
      </c>
      <c r="J435" s="383" t="s">
        <v>9435</v>
      </c>
      <c r="K435" s="383" t="s">
        <v>5926</v>
      </c>
      <c r="L435" s="383" t="s">
        <v>8341</v>
      </c>
      <c r="M435" s="383" t="s">
        <v>10260</v>
      </c>
      <c r="N435" s="9" t="s">
        <v>44</v>
      </c>
      <c r="O435" s="383" t="str">
        <f>IF(LEN(SUBSTITUTE(Table3937[[#This Row],[PRIMARY CONTACT]]," ",""))=10,SUBSTITUTE(Table3937[[#This Row],[PRIMARY CONTACT]]," ","") &amp; " - Proper","- Follow Up")</f>
        <v>9324983695 - Proper</v>
      </c>
      <c r="P435" s="383" t="s">
        <v>5927</v>
      </c>
      <c r="Q435" s="383">
        <v>9324983695</v>
      </c>
      <c r="R435" s="383" t="str">
        <f>SUBSTITUTE(Table3937[[#This Row],[whatsapp_number]]," ","")</f>
        <v>9324983695</v>
      </c>
      <c r="S435" s="383" t="str">
        <f>IF(Table3937[[#This Row],[PRIMARY CONTACT]]=Table3937[[#This Row],[WHATSAPP CONTACT]],"Same Contact","Different Contact")</f>
        <v>Same Contact</v>
      </c>
      <c r="T435" s="383" t="str">
        <f>IF(LEN(SUBSTITUTE(Table3937[[#This Row],[PRIMARY CONTACT]]," ",""))=10,SUBSTITUTE(Table3937[[#This Row],[PRIMARY CONTACT]]," ","") &amp; " - Proper","- Follow Up")</f>
        <v>9324983695 - Proper</v>
      </c>
      <c r="U435" s="383" t="s">
        <v>5956</v>
      </c>
      <c r="V435" s="383" t="s">
        <v>71</v>
      </c>
      <c r="W435" s="383" t="s">
        <v>47</v>
      </c>
      <c r="X435" s="383" t="s">
        <v>44</v>
      </c>
      <c r="Y435" s="383" t="s">
        <v>44</v>
      </c>
      <c r="Z435" s="383" t="s">
        <v>44</v>
      </c>
      <c r="AA435" s="383" t="s">
        <v>44</v>
      </c>
      <c r="AB435" s="383"/>
    </row>
    <row r="436" spans="1:28" ht="13.8">
      <c r="A436" s="387">
        <v>435</v>
      </c>
      <c r="B436" s="383" t="s">
        <v>10710</v>
      </c>
      <c r="C436" s="383" t="s">
        <v>10710</v>
      </c>
      <c r="D436" s="383" t="s">
        <v>10710</v>
      </c>
      <c r="E436" s="383" t="s">
        <v>8966</v>
      </c>
      <c r="F436" s="383">
        <v>1083</v>
      </c>
      <c r="G436" s="383" t="s">
        <v>71</v>
      </c>
      <c r="H436" s="383" t="s">
        <v>5923</v>
      </c>
      <c r="I436" s="383" t="s">
        <v>5924</v>
      </c>
      <c r="J436" s="383" t="s">
        <v>9436</v>
      </c>
      <c r="K436" s="383" t="s">
        <v>5926</v>
      </c>
      <c r="L436" s="383" t="s">
        <v>8341</v>
      </c>
      <c r="M436" s="383" t="s">
        <v>10261</v>
      </c>
      <c r="N436" s="9" t="s">
        <v>44</v>
      </c>
      <c r="O436" s="383" t="str">
        <f>IF(LEN(SUBSTITUTE(Table3937[[#This Row],[PRIMARY CONTACT]]," ",""))=10,SUBSTITUTE(Table3937[[#This Row],[PRIMARY CONTACT]]," ","") &amp; " - Proper","- Follow Up")</f>
        <v>9969061234 - Proper</v>
      </c>
      <c r="P436" s="383" t="s">
        <v>5927</v>
      </c>
      <c r="Q436" s="383">
        <v>9969061234</v>
      </c>
      <c r="R436" s="383" t="str">
        <f>SUBSTITUTE(Table3937[[#This Row],[whatsapp_number]]," ","")</f>
        <v>9969061234</v>
      </c>
      <c r="S436" s="383" t="str">
        <f>IF(Table3937[[#This Row],[PRIMARY CONTACT]]=Table3937[[#This Row],[WHATSAPP CONTACT]],"Same Contact","Different Contact")</f>
        <v>Same Contact</v>
      </c>
      <c r="T436" s="383" t="str">
        <f>IF(LEN(SUBSTITUTE(Table3937[[#This Row],[PRIMARY CONTACT]]," ",""))=10,SUBSTITUTE(Table3937[[#This Row],[PRIMARY CONTACT]]," ","") &amp; " - Proper","- Follow Up")</f>
        <v>9969061234 - Proper</v>
      </c>
      <c r="U436" s="383" t="s">
        <v>5958</v>
      </c>
      <c r="V436" s="383" t="s">
        <v>71</v>
      </c>
      <c r="W436" s="383" t="s">
        <v>47</v>
      </c>
      <c r="X436" s="383" t="s">
        <v>44</v>
      </c>
      <c r="Y436" s="383" t="s">
        <v>44</v>
      </c>
      <c r="Z436" s="383" t="s">
        <v>44</v>
      </c>
      <c r="AA436" s="383" t="s">
        <v>44</v>
      </c>
      <c r="AB436" s="383"/>
    </row>
    <row r="437" spans="1:28" ht="13.8">
      <c r="A437" s="387">
        <v>436</v>
      </c>
      <c r="B437" s="383" t="s">
        <v>10710</v>
      </c>
      <c r="C437" s="383" t="s">
        <v>10710</v>
      </c>
      <c r="D437" s="383" t="s">
        <v>10710</v>
      </c>
      <c r="E437" s="383" t="s">
        <v>8967</v>
      </c>
      <c r="F437" s="383">
        <v>1084</v>
      </c>
      <c r="G437" s="383" t="s">
        <v>71</v>
      </c>
      <c r="H437" s="383" t="s">
        <v>5923</v>
      </c>
      <c r="I437" s="383" t="s">
        <v>5924</v>
      </c>
      <c r="J437" s="383" t="s">
        <v>9437</v>
      </c>
      <c r="K437" s="383" t="s">
        <v>5926</v>
      </c>
      <c r="L437" s="383" t="s">
        <v>8341</v>
      </c>
      <c r="M437" s="383" t="s">
        <v>10262</v>
      </c>
      <c r="N437" s="9" t="s">
        <v>44</v>
      </c>
      <c r="O437" s="383" t="str">
        <f>IF(LEN(SUBSTITUTE(Table3937[[#This Row],[PRIMARY CONTACT]]," ",""))=10,SUBSTITUTE(Table3937[[#This Row],[PRIMARY CONTACT]]," ","") &amp; " - Proper","- Follow Up")</f>
        <v>9969981234 - Proper</v>
      </c>
      <c r="P437" s="383" t="s">
        <v>5927</v>
      </c>
      <c r="Q437" s="383">
        <v>9969981234</v>
      </c>
      <c r="R437" s="383" t="str">
        <f>SUBSTITUTE(Table3937[[#This Row],[whatsapp_number]]," ","")</f>
        <v>9969981234</v>
      </c>
      <c r="S437" s="383" t="str">
        <f>IF(Table3937[[#This Row],[PRIMARY CONTACT]]=Table3937[[#This Row],[WHATSAPP CONTACT]],"Same Contact","Different Contact")</f>
        <v>Same Contact</v>
      </c>
      <c r="T437" s="383" t="str">
        <f>IF(LEN(SUBSTITUTE(Table3937[[#This Row],[PRIMARY CONTACT]]," ",""))=10,SUBSTITUTE(Table3937[[#This Row],[PRIMARY CONTACT]]," ","") &amp; " - Proper","- Follow Up")</f>
        <v>9969981234 - Proper</v>
      </c>
      <c r="U437" s="383" t="s">
        <v>10591</v>
      </c>
      <c r="V437" s="383" t="s">
        <v>71</v>
      </c>
      <c r="W437" s="383" t="s">
        <v>47</v>
      </c>
      <c r="X437" s="383" t="s">
        <v>44</v>
      </c>
      <c r="Y437" s="383" t="s">
        <v>44</v>
      </c>
      <c r="Z437" s="383" t="s">
        <v>44</v>
      </c>
      <c r="AA437" s="383" t="s">
        <v>44</v>
      </c>
      <c r="AB437" s="383"/>
    </row>
    <row r="438" spans="1:28" ht="13.8">
      <c r="A438" s="387">
        <v>437</v>
      </c>
      <c r="B438" s="383" t="s">
        <v>10710</v>
      </c>
      <c r="C438" s="383" t="s">
        <v>10710</v>
      </c>
      <c r="D438" s="383" t="s">
        <v>10710</v>
      </c>
      <c r="E438" s="383" t="s">
        <v>8968</v>
      </c>
      <c r="F438" s="383">
        <v>1085</v>
      </c>
      <c r="G438" s="383" t="s">
        <v>71</v>
      </c>
      <c r="H438" s="383" t="s">
        <v>5923</v>
      </c>
      <c r="I438" s="383" t="s">
        <v>5924</v>
      </c>
      <c r="J438" s="383" t="s">
        <v>9438</v>
      </c>
      <c r="K438" s="383" t="s">
        <v>5926</v>
      </c>
      <c r="L438" s="383" t="s">
        <v>8341</v>
      </c>
      <c r="M438" s="383" t="s">
        <v>10263</v>
      </c>
      <c r="N438" s="9" t="s">
        <v>44</v>
      </c>
      <c r="O438" s="383" t="str">
        <f>IF(LEN(SUBSTITUTE(Table3937[[#This Row],[PRIMARY CONTACT]]," ",""))=10,SUBSTITUTE(Table3937[[#This Row],[PRIMARY CONTACT]]," ","") &amp; " - Proper","- Follow Up")</f>
        <v>9969011234 - Proper</v>
      </c>
      <c r="P438" s="383" t="s">
        <v>5927</v>
      </c>
      <c r="Q438" s="383">
        <v>9969011234</v>
      </c>
      <c r="R438" s="383" t="str">
        <f>SUBSTITUTE(Table3937[[#This Row],[whatsapp_number]]," ","")</f>
        <v>9969011234</v>
      </c>
      <c r="S438" s="383" t="str">
        <f>IF(Table3937[[#This Row],[PRIMARY CONTACT]]=Table3937[[#This Row],[WHATSAPP CONTACT]],"Same Contact","Different Contact")</f>
        <v>Same Contact</v>
      </c>
      <c r="T438" s="383" t="str">
        <f>IF(LEN(SUBSTITUTE(Table3937[[#This Row],[PRIMARY CONTACT]]," ",""))=10,SUBSTITUTE(Table3937[[#This Row],[PRIMARY CONTACT]]," ","") &amp; " - Proper","- Follow Up")</f>
        <v>9969011234 - Proper</v>
      </c>
      <c r="U438" s="383" t="s">
        <v>5962</v>
      </c>
      <c r="V438" s="383" t="s">
        <v>71</v>
      </c>
      <c r="W438" s="383" t="s">
        <v>47</v>
      </c>
      <c r="X438" s="383" t="s">
        <v>44</v>
      </c>
      <c r="Y438" s="383" t="s">
        <v>44</v>
      </c>
      <c r="Z438" s="383" t="s">
        <v>44</v>
      </c>
      <c r="AA438" s="383" t="s">
        <v>44</v>
      </c>
      <c r="AB438" s="383"/>
    </row>
    <row r="439" spans="1:28" ht="13.8">
      <c r="A439" s="387">
        <v>438</v>
      </c>
      <c r="B439" s="383" t="s">
        <v>10710</v>
      </c>
      <c r="C439" s="383" t="s">
        <v>10710</v>
      </c>
      <c r="D439" s="383" t="s">
        <v>10710</v>
      </c>
      <c r="E439" s="383" t="s">
        <v>8969</v>
      </c>
      <c r="F439" s="383">
        <v>1086</v>
      </c>
      <c r="G439" s="383" t="s">
        <v>71</v>
      </c>
      <c r="H439" s="383" t="s">
        <v>5923</v>
      </c>
      <c r="I439" s="383" t="s">
        <v>5924</v>
      </c>
      <c r="J439" s="383" t="s">
        <v>9439</v>
      </c>
      <c r="K439" s="383" t="s">
        <v>5926</v>
      </c>
      <c r="L439" s="383" t="s">
        <v>8341</v>
      </c>
      <c r="M439" s="383" t="s">
        <v>10264</v>
      </c>
      <c r="N439" s="9" t="s">
        <v>44</v>
      </c>
      <c r="O439" s="383" t="str">
        <f>IF(LEN(SUBSTITUTE(Table3937[[#This Row],[PRIMARY CONTACT]]," ",""))=10,SUBSTITUTE(Table3937[[#This Row],[PRIMARY CONTACT]]," ","") &amp; " - Proper","- Follow Up")</f>
        <v>8928623992 - Proper</v>
      </c>
      <c r="P439" s="383" t="s">
        <v>5927</v>
      </c>
      <c r="Q439" s="383">
        <v>8928623992</v>
      </c>
      <c r="R439" s="383" t="str">
        <f>SUBSTITUTE(Table3937[[#This Row],[whatsapp_number]]," ","")</f>
        <v>8928623992</v>
      </c>
      <c r="S439" s="383" t="str">
        <f>IF(Table3937[[#This Row],[PRIMARY CONTACT]]=Table3937[[#This Row],[WHATSAPP CONTACT]],"Same Contact","Different Contact")</f>
        <v>Same Contact</v>
      </c>
      <c r="T439" s="383" t="str">
        <f>IF(LEN(SUBSTITUTE(Table3937[[#This Row],[PRIMARY CONTACT]]," ",""))=10,SUBSTITUTE(Table3937[[#This Row],[PRIMARY CONTACT]]," ","") &amp; " - Proper","- Follow Up")</f>
        <v>8928623992 - Proper</v>
      </c>
      <c r="U439" s="383" t="s">
        <v>5964</v>
      </c>
      <c r="V439" s="383" t="s">
        <v>71</v>
      </c>
      <c r="W439" s="383" t="s">
        <v>47</v>
      </c>
      <c r="X439" s="383" t="s">
        <v>44</v>
      </c>
      <c r="Y439" s="383" t="s">
        <v>44</v>
      </c>
      <c r="Z439" s="383" t="s">
        <v>44</v>
      </c>
      <c r="AA439" s="383" t="s">
        <v>44</v>
      </c>
      <c r="AB439" s="383"/>
    </row>
    <row r="440" spans="1:28" ht="13.8">
      <c r="A440" s="387">
        <v>439</v>
      </c>
      <c r="B440" s="383" t="s">
        <v>10710</v>
      </c>
      <c r="C440" s="383" t="s">
        <v>10710</v>
      </c>
      <c r="D440" s="383" t="s">
        <v>10710</v>
      </c>
      <c r="E440" s="383" t="s">
        <v>2712</v>
      </c>
      <c r="F440" s="383">
        <v>1087</v>
      </c>
      <c r="G440" s="383" t="s">
        <v>71</v>
      </c>
      <c r="H440" s="383" t="s">
        <v>5923</v>
      </c>
      <c r="I440" s="383" t="s">
        <v>5924</v>
      </c>
      <c r="J440" s="383" t="s">
        <v>5965</v>
      </c>
      <c r="K440" s="383" t="s">
        <v>5926</v>
      </c>
      <c r="L440" s="383" t="s">
        <v>8341</v>
      </c>
      <c r="M440" s="383" t="s">
        <v>10264</v>
      </c>
      <c r="N440" s="9" t="s">
        <v>44</v>
      </c>
      <c r="O440" s="383" t="str">
        <f>IF(LEN(SUBSTITUTE(Table3937[[#This Row],[PRIMARY CONTACT]]," ",""))=10,SUBSTITUTE(Table3937[[#This Row],[PRIMARY CONTACT]]," ","") &amp; " - Proper","- Follow Up")</f>
        <v>8928623992 - Proper</v>
      </c>
      <c r="P440" s="383" t="s">
        <v>5927</v>
      </c>
      <c r="Q440" s="383">
        <v>8928623992</v>
      </c>
      <c r="R440" s="383" t="str">
        <f>SUBSTITUTE(Table3937[[#This Row],[whatsapp_number]]," ","")</f>
        <v>8928623992</v>
      </c>
      <c r="S440" s="383" t="str">
        <f>IF(Table3937[[#This Row],[PRIMARY CONTACT]]=Table3937[[#This Row],[WHATSAPP CONTACT]],"Same Contact","Different Contact")</f>
        <v>Same Contact</v>
      </c>
      <c r="T440" s="383" t="str">
        <f>IF(LEN(SUBSTITUTE(Table3937[[#This Row],[PRIMARY CONTACT]]," ",""))=10,SUBSTITUTE(Table3937[[#This Row],[PRIMARY CONTACT]]," ","") &amp; " - Proper","- Follow Up")</f>
        <v>8928623992 - Proper</v>
      </c>
      <c r="U440" s="383" t="s">
        <v>10592</v>
      </c>
      <c r="V440" s="383" t="s">
        <v>71</v>
      </c>
      <c r="W440" s="383" t="s">
        <v>47</v>
      </c>
      <c r="X440" s="383" t="s">
        <v>44</v>
      </c>
      <c r="Y440" s="383" t="s">
        <v>44</v>
      </c>
      <c r="Z440" s="383" t="s">
        <v>44</v>
      </c>
      <c r="AA440" s="383" t="s">
        <v>44</v>
      </c>
      <c r="AB440" s="383"/>
    </row>
    <row r="441" spans="1:28" ht="13.8">
      <c r="A441" s="387">
        <v>440</v>
      </c>
      <c r="B441" s="383" t="s">
        <v>10710</v>
      </c>
      <c r="C441" s="383" t="s">
        <v>10710</v>
      </c>
      <c r="D441" s="383" t="s">
        <v>10710</v>
      </c>
      <c r="E441" s="383" t="s">
        <v>2712</v>
      </c>
      <c r="F441" s="383">
        <v>1088</v>
      </c>
      <c r="G441" s="383" t="s">
        <v>71</v>
      </c>
      <c r="H441" s="383" t="s">
        <v>5923</v>
      </c>
      <c r="I441" s="383" t="s">
        <v>5924</v>
      </c>
      <c r="J441" s="383" t="s">
        <v>5965</v>
      </c>
      <c r="K441" s="383" t="s">
        <v>5926</v>
      </c>
      <c r="L441" s="383" t="s">
        <v>8341</v>
      </c>
      <c r="M441" s="383" t="s">
        <v>10265</v>
      </c>
      <c r="N441" s="9" t="s">
        <v>44</v>
      </c>
      <c r="O441" s="383" t="str">
        <f>IF(LEN(SUBSTITUTE(Table3937[[#This Row],[PRIMARY CONTACT]]," ",""))=10,SUBSTITUTE(Table3937[[#This Row],[PRIMARY CONTACT]]," ","") &amp; " - Proper","- Follow Up")</f>
        <v>9969986000 - Proper</v>
      </c>
      <c r="P441" s="383" t="s">
        <v>5927</v>
      </c>
      <c r="Q441" s="383">
        <v>9969986000</v>
      </c>
      <c r="R441" s="383" t="str">
        <f>SUBSTITUTE(Table3937[[#This Row],[whatsapp_number]]," ","")</f>
        <v>9969986000</v>
      </c>
      <c r="S441" s="383" t="str">
        <f>IF(Table3937[[#This Row],[PRIMARY CONTACT]]=Table3937[[#This Row],[WHATSAPP CONTACT]],"Same Contact","Different Contact")</f>
        <v>Same Contact</v>
      </c>
      <c r="T441" s="383" t="str">
        <f>IF(LEN(SUBSTITUTE(Table3937[[#This Row],[PRIMARY CONTACT]]," ",""))=10,SUBSTITUTE(Table3937[[#This Row],[PRIMARY CONTACT]]," ","") &amp; " - Proper","- Follow Up")</f>
        <v>9969986000 - Proper</v>
      </c>
      <c r="U441" s="383" t="s">
        <v>5967</v>
      </c>
      <c r="V441" s="383" t="s">
        <v>71</v>
      </c>
      <c r="W441" s="383" t="s">
        <v>47</v>
      </c>
      <c r="X441" s="383" t="s">
        <v>44</v>
      </c>
      <c r="Y441" s="383" t="s">
        <v>44</v>
      </c>
      <c r="Z441" s="383" t="s">
        <v>44</v>
      </c>
      <c r="AA441" s="383" t="s">
        <v>44</v>
      </c>
      <c r="AB441" s="383"/>
    </row>
    <row r="442" spans="1:28" ht="13.8">
      <c r="A442" s="387">
        <v>441</v>
      </c>
      <c r="B442" s="383" t="s">
        <v>10710</v>
      </c>
      <c r="C442" s="383" t="s">
        <v>10710</v>
      </c>
      <c r="D442" s="383" t="s">
        <v>10710</v>
      </c>
      <c r="E442" s="383" t="s">
        <v>8970</v>
      </c>
      <c r="F442" s="383">
        <v>1089</v>
      </c>
      <c r="G442" s="383" t="s">
        <v>71</v>
      </c>
      <c r="H442" s="383" t="s">
        <v>5923</v>
      </c>
      <c r="I442" s="383" t="s">
        <v>5924</v>
      </c>
      <c r="J442" s="383" t="s">
        <v>9440</v>
      </c>
      <c r="K442" s="383" t="s">
        <v>5926</v>
      </c>
      <c r="L442" s="383" t="s">
        <v>8341</v>
      </c>
      <c r="M442" s="383" t="s">
        <v>10266</v>
      </c>
      <c r="N442" s="9" t="s">
        <v>44</v>
      </c>
      <c r="O442" s="383" t="str">
        <f>IF(LEN(SUBSTITUTE(Table3937[[#This Row],[PRIMARY CONTACT]]," ",""))=10,SUBSTITUTE(Table3937[[#This Row],[PRIMARY CONTACT]]," ","") &amp; " - Proper","- Follow Up")</f>
        <v>9969951234 - Proper</v>
      </c>
      <c r="P442" s="383" t="s">
        <v>5927</v>
      </c>
      <c r="Q442" s="383">
        <v>9969951234</v>
      </c>
      <c r="R442" s="383" t="str">
        <f>SUBSTITUTE(Table3937[[#This Row],[whatsapp_number]]," ","")</f>
        <v>9969951234</v>
      </c>
      <c r="S442" s="383" t="str">
        <f>IF(Table3937[[#This Row],[PRIMARY CONTACT]]=Table3937[[#This Row],[WHATSAPP CONTACT]],"Same Contact","Different Contact")</f>
        <v>Same Contact</v>
      </c>
      <c r="T442" s="383" t="str">
        <f>IF(LEN(SUBSTITUTE(Table3937[[#This Row],[PRIMARY CONTACT]]," ",""))=10,SUBSTITUTE(Table3937[[#This Row],[PRIMARY CONTACT]]," ","") &amp; " - Proper","- Follow Up")</f>
        <v>9969951234 - Proper</v>
      </c>
      <c r="U442" s="383" t="s">
        <v>5969</v>
      </c>
      <c r="V442" s="383" t="s">
        <v>71</v>
      </c>
      <c r="W442" s="383" t="s">
        <v>47</v>
      </c>
      <c r="X442" s="383" t="s">
        <v>44</v>
      </c>
      <c r="Y442" s="383" t="s">
        <v>44</v>
      </c>
      <c r="Z442" s="383" t="s">
        <v>44</v>
      </c>
      <c r="AA442" s="383" t="s">
        <v>44</v>
      </c>
      <c r="AB442" s="383"/>
    </row>
    <row r="443" spans="1:28" ht="13.8">
      <c r="A443" s="387">
        <v>442</v>
      </c>
      <c r="B443" s="383" t="s">
        <v>10710</v>
      </c>
      <c r="C443" s="383" t="s">
        <v>10710</v>
      </c>
      <c r="D443" s="383" t="s">
        <v>10710</v>
      </c>
      <c r="E443" s="383" t="s">
        <v>8971</v>
      </c>
      <c r="F443" s="383">
        <v>1090</v>
      </c>
      <c r="G443" s="383" t="s">
        <v>71</v>
      </c>
      <c r="H443" s="383" t="s">
        <v>5923</v>
      </c>
      <c r="I443" s="383" t="s">
        <v>5924</v>
      </c>
      <c r="J443" s="383" t="s">
        <v>9441</v>
      </c>
      <c r="K443" s="383" t="s">
        <v>5926</v>
      </c>
      <c r="L443" s="383" t="s">
        <v>8341</v>
      </c>
      <c r="M443" s="383" t="s">
        <v>10267</v>
      </c>
      <c r="N443" s="9" t="s">
        <v>44</v>
      </c>
      <c r="O443" s="383" t="str">
        <f>IF(LEN(SUBSTITUTE(Table3937[[#This Row],[PRIMARY CONTACT]]," ",""))=10,SUBSTITUTE(Table3937[[#This Row],[PRIMARY CONTACT]]," ","") &amp; " - Proper","- Follow Up")</f>
        <v>9324983699 - Proper</v>
      </c>
      <c r="P443" s="383" t="s">
        <v>5927</v>
      </c>
      <c r="Q443" s="383">
        <v>9324983699</v>
      </c>
      <c r="R443" s="383" t="str">
        <f>SUBSTITUTE(Table3937[[#This Row],[whatsapp_number]]," ","")</f>
        <v>9324983699</v>
      </c>
      <c r="S443" s="383" t="str">
        <f>IF(Table3937[[#This Row],[PRIMARY CONTACT]]=Table3937[[#This Row],[WHATSAPP CONTACT]],"Same Contact","Different Contact")</f>
        <v>Same Contact</v>
      </c>
      <c r="T443" s="383" t="str">
        <f>IF(LEN(SUBSTITUTE(Table3937[[#This Row],[PRIMARY CONTACT]]," ",""))=10,SUBSTITUTE(Table3937[[#This Row],[PRIMARY CONTACT]]," ","") &amp; " - Proper","- Follow Up")</f>
        <v>9324983699 - Proper</v>
      </c>
      <c r="U443" s="383" t="s">
        <v>5971</v>
      </c>
      <c r="V443" s="383" t="s">
        <v>71</v>
      </c>
      <c r="W443" s="383" t="s">
        <v>47</v>
      </c>
      <c r="X443" s="383" t="s">
        <v>44</v>
      </c>
      <c r="Y443" s="383" t="s">
        <v>44</v>
      </c>
      <c r="Z443" s="383" t="s">
        <v>44</v>
      </c>
      <c r="AA443" s="383" t="s">
        <v>44</v>
      </c>
      <c r="AB443" s="383"/>
    </row>
    <row r="444" spans="1:28" ht="13.8">
      <c r="A444" s="387">
        <v>443</v>
      </c>
      <c r="B444" s="383" t="s">
        <v>10710</v>
      </c>
      <c r="C444" s="383" t="s">
        <v>10710</v>
      </c>
      <c r="D444" s="383" t="s">
        <v>10710</v>
      </c>
      <c r="E444" s="383" t="s">
        <v>2715</v>
      </c>
      <c r="F444" s="383">
        <v>1091</v>
      </c>
      <c r="G444" s="383" t="s">
        <v>71</v>
      </c>
      <c r="H444" s="383" t="s">
        <v>5923</v>
      </c>
      <c r="I444" s="383" t="s">
        <v>5924</v>
      </c>
      <c r="J444" s="383" t="s">
        <v>5972</v>
      </c>
      <c r="K444" s="383" t="s">
        <v>5926</v>
      </c>
      <c r="L444" s="383" t="s">
        <v>8341</v>
      </c>
      <c r="M444" s="383" t="s">
        <v>10268</v>
      </c>
      <c r="N444" s="9" t="s">
        <v>44</v>
      </c>
      <c r="O444" s="383" t="str">
        <f>IF(LEN(SUBSTITUTE(Table3937[[#This Row],[PRIMARY CONTACT]]," ",""))=10,SUBSTITUTE(Table3937[[#This Row],[PRIMARY CONTACT]]," ","") &amp; " - Proper","- Follow Up")</f>
        <v>9969985000 - Proper</v>
      </c>
      <c r="P444" s="383" t="s">
        <v>5927</v>
      </c>
      <c r="Q444" s="383">
        <v>9969985000</v>
      </c>
      <c r="R444" s="383" t="str">
        <f>SUBSTITUTE(Table3937[[#This Row],[whatsapp_number]]," ","")</f>
        <v>9969985000</v>
      </c>
      <c r="S444" s="383" t="str">
        <f>IF(Table3937[[#This Row],[PRIMARY CONTACT]]=Table3937[[#This Row],[WHATSAPP CONTACT]],"Same Contact","Different Contact")</f>
        <v>Same Contact</v>
      </c>
      <c r="T444" s="383" t="str">
        <f>IF(LEN(SUBSTITUTE(Table3937[[#This Row],[PRIMARY CONTACT]]," ",""))=10,SUBSTITUTE(Table3937[[#This Row],[PRIMARY CONTACT]]," ","") &amp; " - Proper","- Follow Up")</f>
        <v>9969985000 - Proper</v>
      </c>
      <c r="U444" s="383" t="s">
        <v>5973</v>
      </c>
      <c r="V444" s="383" t="s">
        <v>71</v>
      </c>
      <c r="W444" s="383" t="s">
        <v>47</v>
      </c>
      <c r="X444" s="383" t="s">
        <v>44</v>
      </c>
      <c r="Y444" s="383" t="s">
        <v>44</v>
      </c>
      <c r="Z444" s="383" t="s">
        <v>44</v>
      </c>
      <c r="AA444" s="383" t="s">
        <v>44</v>
      </c>
      <c r="AB444" s="383"/>
    </row>
    <row r="445" spans="1:28" ht="13.8">
      <c r="A445" s="387">
        <v>444</v>
      </c>
      <c r="B445" s="383" t="s">
        <v>10710</v>
      </c>
      <c r="C445" s="383" t="s">
        <v>10710</v>
      </c>
      <c r="D445" s="383" t="s">
        <v>10710</v>
      </c>
      <c r="E445" s="383" t="s">
        <v>2716</v>
      </c>
      <c r="F445" s="383">
        <v>1092</v>
      </c>
      <c r="G445" s="383" t="s">
        <v>71</v>
      </c>
      <c r="H445" s="383" t="s">
        <v>5923</v>
      </c>
      <c r="I445" s="383" t="s">
        <v>5924</v>
      </c>
      <c r="J445" s="383" t="s">
        <v>5974</v>
      </c>
      <c r="K445" s="383" t="s">
        <v>5926</v>
      </c>
      <c r="L445" s="383" t="s">
        <v>8341</v>
      </c>
      <c r="M445" s="383" t="s">
        <v>10269</v>
      </c>
      <c r="N445" s="9" t="s">
        <v>44</v>
      </c>
      <c r="O445" s="383" t="str">
        <f>IF(LEN(SUBSTITUTE(Table3937[[#This Row],[PRIMARY CONTACT]]," ",""))=10,SUBSTITUTE(Table3937[[#This Row],[PRIMARY CONTACT]]," ","") &amp; " - Proper","- Follow Up")</f>
        <v>8928787501 - Proper</v>
      </c>
      <c r="P445" s="383" t="s">
        <v>5927</v>
      </c>
      <c r="Q445" s="383">
        <v>8928787501</v>
      </c>
      <c r="R445" s="383" t="str">
        <f>SUBSTITUTE(Table3937[[#This Row],[whatsapp_number]]," ","")</f>
        <v>8928787501</v>
      </c>
      <c r="S445" s="383" t="str">
        <f>IF(Table3937[[#This Row],[PRIMARY CONTACT]]=Table3937[[#This Row],[WHATSAPP CONTACT]],"Same Contact","Different Contact")</f>
        <v>Same Contact</v>
      </c>
      <c r="T445" s="383" t="str">
        <f>IF(LEN(SUBSTITUTE(Table3937[[#This Row],[PRIMARY CONTACT]]," ",""))=10,SUBSTITUTE(Table3937[[#This Row],[PRIMARY CONTACT]]," ","") &amp; " - Proper","- Follow Up")</f>
        <v>8928787501 - Proper</v>
      </c>
      <c r="U445" s="383" t="s">
        <v>8341</v>
      </c>
      <c r="V445" s="383" t="s">
        <v>71</v>
      </c>
      <c r="W445" s="383" t="s">
        <v>47</v>
      </c>
      <c r="X445" s="383" t="s">
        <v>44</v>
      </c>
      <c r="Y445" s="383" t="s">
        <v>44</v>
      </c>
      <c r="Z445" s="383" t="s">
        <v>44</v>
      </c>
      <c r="AA445" s="383" t="s">
        <v>44</v>
      </c>
      <c r="AB445" s="383"/>
    </row>
    <row r="446" spans="1:28" ht="13.8">
      <c r="A446" s="387">
        <v>445</v>
      </c>
      <c r="B446" s="383" t="s">
        <v>10710</v>
      </c>
      <c r="C446" s="383" t="s">
        <v>10710</v>
      </c>
      <c r="D446" s="383" t="s">
        <v>10710</v>
      </c>
      <c r="E446" s="383" t="s">
        <v>2717</v>
      </c>
      <c r="F446" s="383">
        <v>1093</v>
      </c>
      <c r="G446" s="383" t="s">
        <v>71</v>
      </c>
      <c r="H446" s="383" t="s">
        <v>5923</v>
      </c>
      <c r="I446" s="383" t="s">
        <v>5924</v>
      </c>
      <c r="J446" s="383" t="s">
        <v>5975</v>
      </c>
      <c r="K446" s="383" t="s">
        <v>5926</v>
      </c>
      <c r="L446" s="383" t="s">
        <v>8341</v>
      </c>
      <c r="M446" s="383" t="s">
        <v>10270</v>
      </c>
      <c r="N446" s="9" t="s">
        <v>44</v>
      </c>
      <c r="O446" s="383" t="str">
        <f>IF(LEN(SUBSTITUTE(Table3937[[#This Row],[PRIMARY CONTACT]]," ",""))=10,SUBSTITUTE(Table3937[[#This Row],[PRIMARY CONTACT]]," ","") &amp; " - Proper","- Follow Up")</f>
        <v>9137299981 - Proper</v>
      </c>
      <c r="P446" s="383" t="s">
        <v>5927</v>
      </c>
      <c r="Q446" s="383">
        <v>9137299981</v>
      </c>
      <c r="R446" s="383" t="str">
        <f>SUBSTITUTE(Table3937[[#This Row],[whatsapp_number]]," ","")</f>
        <v>9137299981</v>
      </c>
      <c r="S446" s="383" t="str">
        <f>IF(Table3937[[#This Row],[PRIMARY CONTACT]]=Table3937[[#This Row],[WHATSAPP CONTACT]],"Same Contact","Different Contact")</f>
        <v>Same Contact</v>
      </c>
      <c r="T446" s="383" t="str">
        <f>IF(LEN(SUBSTITUTE(Table3937[[#This Row],[PRIMARY CONTACT]]," ",""))=10,SUBSTITUTE(Table3937[[#This Row],[PRIMARY CONTACT]]," ","") &amp; " - Proper","- Follow Up")</f>
        <v>9137299981 - Proper</v>
      </c>
      <c r="U446" s="383" t="s">
        <v>10593</v>
      </c>
      <c r="V446" s="383" t="s">
        <v>71</v>
      </c>
      <c r="W446" s="383" t="s">
        <v>47</v>
      </c>
      <c r="X446" s="383" t="s">
        <v>44</v>
      </c>
      <c r="Y446" s="383" t="s">
        <v>44</v>
      </c>
      <c r="Z446" s="383" t="s">
        <v>44</v>
      </c>
      <c r="AA446" s="383" t="s">
        <v>44</v>
      </c>
      <c r="AB446" s="383"/>
    </row>
    <row r="447" spans="1:28" ht="13.8">
      <c r="A447" s="387">
        <v>446</v>
      </c>
      <c r="B447" s="383" t="s">
        <v>10710</v>
      </c>
      <c r="C447" s="383" t="s">
        <v>10710</v>
      </c>
      <c r="D447" s="383" t="s">
        <v>10710</v>
      </c>
      <c r="E447" s="383" t="s">
        <v>8972</v>
      </c>
      <c r="F447" s="383">
        <v>1094</v>
      </c>
      <c r="G447" s="383" t="s">
        <v>71</v>
      </c>
      <c r="H447" s="383" t="s">
        <v>5923</v>
      </c>
      <c r="I447" s="383" t="s">
        <v>5924</v>
      </c>
      <c r="J447" s="383" t="s">
        <v>5977</v>
      </c>
      <c r="K447" s="383" t="s">
        <v>5926</v>
      </c>
      <c r="L447" s="383" t="s">
        <v>8341</v>
      </c>
      <c r="M447" s="383" t="s">
        <v>10271</v>
      </c>
      <c r="N447" s="9" t="s">
        <v>44</v>
      </c>
      <c r="O447" s="383" t="str">
        <f>IF(LEN(SUBSTITUTE(Table3937[[#This Row],[PRIMARY CONTACT]]," ",""))=10,SUBSTITUTE(Table3937[[#This Row],[PRIMARY CONTACT]]," ","") &amp; " - Proper","- Follow Up")</f>
        <v>8779398553 - Proper</v>
      </c>
      <c r="P447" s="383" t="s">
        <v>5927</v>
      </c>
      <c r="Q447" s="383">
        <v>8779398553</v>
      </c>
      <c r="R447" s="383" t="str">
        <f>SUBSTITUTE(Table3937[[#This Row],[whatsapp_number]]," ","")</f>
        <v>8779398553</v>
      </c>
      <c r="S447" s="383" t="str">
        <f>IF(Table3937[[#This Row],[PRIMARY CONTACT]]=Table3937[[#This Row],[WHATSAPP CONTACT]],"Same Contact","Different Contact")</f>
        <v>Same Contact</v>
      </c>
      <c r="T447" s="383" t="str">
        <f>IF(LEN(SUBSTITUTE(Table3937[[#This Row],[PRIMARY CONTACT]]," ",""))=10,SUBSTITUTE(Table3937[[#This Row],[PRIMARY CONTACT]]," ","") &amp; " - Proper","- Follow Up")</f>
        <v>8779398553 - Proper</v>
      </c>
      <c r="U447" s="383" t="s">
        <v>8341</v>
      </c>
      <c r="V447" s="383" t="s">
        <v>71</v>
      </c>
      <c r="W447" s="383" t="s">
        <v>47</v>
      </c>
      <c r="X447" s="383" t="s">
        <v>44</v>
      </c>
      <c r="Y447" s="383" t="s">
        <v>44</v>
      </c>
      <c r="Z447" s="383" t="s">
        <v>44</v>
      </c>
      <c r="AA447" s="383" t="s">
        <v>44</v>
      </c>
      <c r="AB447" s="383"/>
    </row>
    <row r="448" spans="1:28" ht="13.8">
      <c r="A448" s="387">
        <v>447</v>
      </c>
      <c r="B448" s="94" t="s">
        <v>1524</v>
      </c>
      <c r="C448" s="383" t="s">
        <v>10709</v>
      </c>
      <c r="D448" s="383" t="s">
        <v>10969</v>
      </c>
      <c r="E448" s="383" t="s">
        <v>8973</v>
      </c>
      <c r="F448" s="383">
        <v>1096</v>
      </c>
      <c r="G448" s="383" t="s">
        <v>71</v>
      </c>
      <c r="H448" s="383" t="s">
        <v>1410</v>
      </c>
      <c r="I448" s="383" t="s">
        <v>1401</v>
      </c>
      <c r="J448" s="383" t="s">
        <v>1526</v>
      </c>
      <c r="K448" s="383" t="s">
        <v>1527</v>
      </c>
      <c r="L448" s="383" t="s">
        <v>8341</v>
      </c>
      <c r="M448" s="383" t="s">
        <v>10272</v>
      </c>
      <c r="N448" s="383" t="s">
        <v>44</v>
      </c>
      <c r="O448" s="383" t="str">
        <f>IF(LEN(SUBSTITUTE(Table3937[[#This Row],[PRIMARY CONTACT]]," ",""))=10,SUBSTITUTE(Table3937[[#This Row],[PRIMARY CONTACT]]," ","") &amp; " - Proper","- Follow Up")</f>
        <v>8657962272 - Proper</v>
      </c>
      <c r="P448" s="383" t="s">
        <v>3268</v>
      </c>
      <c r="Q448" s="383">
        <v>8657962272</v>
      </c>
      <c r="R448" s="383" t="str">
        <f>SUBSTITUTE(Table3937[[#This Row],[whatsapp_number]]," ","")</f>
        <v>8657962272</v>
      </c>
      <c r="S448" s="383" t="str">
        <f>IF(Table3937[[#This Row],[PRIMARY CONTACT]]=Table3937[[#This Row],[WHATSAPP CONTACT]],"Same Contact","Different Contact")</f>
        <v>Same Contact</v>
      </c>
      <c r="T448" s="383" t="str">
        <f>IF(LEN(SUBSTITUTE(Table3937[[#This Row],[PRIMARY CONTACT]]," ",""))=10,SUBSTITUTE(Table3937[[#This Row],[PRIMARY CONTACT]]," ","") &amp; " - Proper","- Follow Up")</f>
        <v>8657962272 - Proper</v>
      </c>
      <c r="U448" s="383" t="s">
        <v>8341</v>
      </c>
      <c r="V448" s="393" t="s">
        <v>1405</v>
      </c>
      <c r="W448" s="383" t="s">
        <v>47</v>
      </c>
      <c r="X448" s="5" t="s">
        <v>1528</v>
      </c>
      <c r="Y448" s="101" t="s">
        <v>1529</v>
      </c>
      <c r="Z448" s="101" t="s">
        <v>1530</v>
      </c>
      <c r="AA448" s="101" t="s">
        <v>1531</v>
      </c>
      <c r="AB448" s="383"/>
    </row>
    <row r="449" spans="1:28" ht="13.8">
      <c r="A449" s="387">
        <v>448</v>
      </c>
      <c r="B449" s="383" t="s">
        <v>10710</v>
      </c>
      <c r="C449" s="383" t="s">
        <v>10710</v>
      </c>
      <c r="D449" s="383" t="s">
        <v>10710</v>
      </c>
      <c r="E449" s="383" t="s">
        <v>8974</v>
      </c>
      <c r="F449" s="383">
        <v>1098</v>
      </c>
      <c r="G449" s="383" t="s">
        <v>71</v>
      </c>
      <c r="H449" s="383" t="s">
        <v>71</v>
      </c>
      <c r="I449" s="383" t="s">
        <v>8480</v>
      </c>
      <c r="J449" s="383" t="s">
        <v>1653</v>
      </c>
      <c r="K449" s="383" t="s">
        <v>191</v>
      </c>
      <c r="L449" s="383" t="s">
        <v>9713</v>
      </c>
      <c r="M449" s="383" t="s">
        <v>10062</v>
      </c>
      <c r="N449" s="383" t="s">
        <v>44</v>
      </c>
      <c r="O449" s="383" t="str">
        <f>IF(LEN(SUBSTITUTE(Table3937[[#This Row],[PRIMARY CONTACT]]," ",""))=10,SUBSTITUTE(Table3937[[#This Row],[PRIMARY CONTACT]]," ","") &amp; " - Proper","- Follow Up")</f>
        <v>9984559999 - Proper</v>
      </c>
      <c r="P449" s="383" t="s">
        <v>3322</v>
      </c>
      <c r="Q449" s="383">
        <v>9984559999</v>
      </c>
      <c r="R449" s="383" t="str">
        <f>SUBSTITUTE(Table3937[[#This Row],[whatsapp_number]]," ","")</f>
        <v>9984559999</v>
      </c>
      <c r="S449" s="383" t="str">
        <f>IF(Table3937[[#This Row],[PRIMARY CONTACT]]=Table3937[[#This Row],[WHATSAPP CONTACT]],"Same Contact","Different Contact")</f>
        <v>Same Contact</v>
      </c>
      <c r="T449" s="383" t="str">
        <f>IF(LEN(SUBSTITUTE(Table3937[[#This Row],[PRIMARY CONTACT]]," ",""))=10,SUBSTITUTE(Table3937[[#This Row],[PRIMARY CONTACT]]," ","") &amp; " - Proper","- Follow Up")</f>
        <v>9984559999 - Proper</v>
      </c>
      <c r="U449" s="383" t="s">
        <v>1656</v>
      </c>
      <c r="V449" s="393" t="s">
        <v>1655</v>
      </c>
      <c r="W449" s="383" t="s">
        <v>47</v>
      </c>
      <c r="X449" s="383" t="s">
        <v>44</v>
      </c>
      <c r="Y449" s="383" t="s">
        <v>44</v>
      </c>
      <c r="Z449" s="383" t="s">
        <v>44</v>
      </c>
      <c r="AA449" s="383" t="s">
        <v>44</v>
      </c>
      <c r="AB449" s="383"/>
    </row>
    <row r="450" spans="1:28" ht="13.8">
      <c r="A450" s="387">
        <v>449</v>
      </c>
      <c r="B450" s="383" t="s">
        <v>10710</v>
      </c>
      <c r="C450" s="383" t="s">
        <v>10710</v>
      </c>
      <c r="D450" s="383" t="s">
        <v>10710</v>
      </c>
      <c r="E450" s="383" t="s">
        <v>8975</v>
      </c>
      <c r="F450" s="383">
        <v>1106</v>
      </c>
      <c r="G450" s="383" t="s">
        <v>1666</v>
      </c>
      <c r="H450" s="383" t="s">
        <v>1667</v>
      </c>
      <c r="I450" s="383" t="s">
        <v>8481</v>
      </c>
      <c r="J450" s="383" t="s">
        <v>1661</v>
      </c>
      <c r="K450" s="383" t="s">
        <v>9550</v>
      </c>
      <c r="L450" s="383" t="s">
        <v>9714</v>
      </c>
      <c r="M450" s="383" t="s">
        <v>10273</v>
      </c>
      <c r="N450" s="383" t="s">
        <v>44</v>
      </c>
      <c r="O450" s="383" t="str">
        <f>IF(LEN(SUBSTITUTE(Table3937[[#This Row],[PRIMARY CONTACT]]," ",""))=10,SUBSTITUTE(Table3937[[#This Row],[PRIMARY CONTACT]]," ","") &amp; " - Proper","- Follow Up")</f>
        <v>- Follow Up</v>
      </c>
      <c r="P450" s="383" t="s">
        <v>1658</v>
      </c>
      <c r="Q450" s="383">
        <v>16464250063</v>
      </c>
      <c r="R450" s="383" t="str">
        <f>SUBSTITUTE(Table3937[[#This Row],[whatsapp_number]]," ","")</f>
        <v>16464250063</v>
      </c>
      <c r="S450" s="383" t="str">
        <f>IF(Table3937[[#This Row],[PRIMARY CONTACT]]=Table3937[[#This Row],[WHATSAPP CONTACT]],"Same Contact","Different Contact")</f>
        <v>Same Contact</v>
      </c>
      <c r="T450" s="383" t="str">
        <f>IF(LEN(SUBSTITUTE(Table3937[[#This Row],[PRIMARY CONTACT]]," ",""))=10,SUBSTITUTE(Table3937[[#This Row],[PRIMARY CONTACT]]," ","") &amp; " - Proper","- Follow Up")</f>
        <v>- Follow Up</v>
      </c>
      <c r="U450" s="383" t="s">
        <v>2953</v>
      </c>
      <c r="V450" s="393" t="s">
        <v>1664</v>
      </c>
      <c r="W450" s="383" t="s">
        <v>47</v>
      </c>
      <c r="X450" s="383" t="s">
        <v>44</v>
      </c>
      <c r="Y450" s="383" t="s">
        <v>44</v>
      </c>
      <c r="Z450" s="383" t="s">
        <v>44</v>
      </c>
      <c r="AA450" s="383" t="s">
        <v>44</v>
      </c>
      <c r="AB450" s="383"/>
    </row>
    <row r="451" spans="1:28" ht="13.8">
      <c r="A451" s="387">
        <v>450</v>
      </c>
      <c r="B451" s="383" t="s">
        <v>10710</v>
      </c>
      <c r="C451" s="383" t="s">
        <v>10710</v>
      </c>
      <c r="D451" s="383" t="s">
        <v>10710</v>
      </c>
      <c r="E451" s="383" t="s">
        <v>8976</v>
      </c>
      <c r="F451" s="383">
        <v>1107</v>
      </c>
      <c r="G451" s="383" t="s">
        <v>1687</v>
      </c>
      <c r="H451" s="383" t="s">
        <v>1667</v>
      </c>
      <c r="I451" s="383" t="s">
        <v>8481</v>
      </c>
      <c r="J451" s="383" t="s">
        <v>1683</v>
      </c>
      <c r="K451" s="383" t="s">
        <v>1684</v>
      </c>
      <c r="L451" s="383" t="s">
        <v>9715</v>
      </c>
      <c r="M451" s="383" t="s">
        <v>10274</v>
      </c>
      <c r="N451" s="383" t="s">
        <v>44</v>
      </c>
      <c r="O451" s="383" t="str">
        <f>IF(LEN(SUBSTITUTE(Table3937[[#This Row],[PRIMARY CONTACT]]," ",""))=10,SUBSTITUTE(Table3937[[#This Row],[PRIMARY CONTACT]]," ","") &amp; " - Proper","- Follow Up")</f>
        <v>9176367939 - Proper</v>
      </c>
      <c r="P451" s="383" t="s">
        <v>1681</v>
      </c>
      <c r="Q451" s="383">
        <v>9176367939</v>
      </c>
      <c r="R451" s="383" t="str">
        <f>SUBSTITUTE(Table3937[[#This Row],[whatsapp_number]]," ","")</f>
        <v>9176367939</v>
      </c>
      <c r="S451" s="383" t="str">
        <f>IF(Table3937[[#This Row],[PRIMARY CONTACT]]=Table3937[[#This Row],[WHATSAPP CONTACT]],"Same Contact","Different Contact")</f>
        <v>Same Contact</v>
      </c>
      <c r="T451" s="383" t="str">
        <f>IF(LEN(SUBSTITUTE(Table3937[[#This Row],[PRIMARY CONTACT]]," ",""))=10,SUBSTITUTE(Table3937[[#This Row],[PRIMARY CONTACT]]," ","") &amp; " - Proper","- Follow Up")</f>
        <v>9176367939 - Proper</v>
      </c>
      <c r="U451" s="383" t="s">
        <v>2953</v>
      </c>
      <c r="V451" s="393" t="s">
        <v>1664</v>
      </c>
      <c r="W451" s="383" t="s">
        <v>47</v>
      </c>
      <c r="X451" s="383" t="s">
        <v>44</v>
      </c>
      <c r="Y451" s="383" t="s">
        <v>44</v>
      </c>
      <c r="Z451" s="383" t="s">
        <v>44</v>
      </c>
      <c r="AA451" s="383" t="s">
        <v>44</v>
      </c>
      <c r="AB451" s="383"/>
    </row>
    <row r="452" spans="1:28" ht="13.8">
      <c r="A452" s="387">
        <v>451</v>
      </c>
      <c r="B452" s="196" t="s">
        <v>1688</v>
      </c>
      <c r="C452" s="383" t="s">
        <v>10709</v>
      </c>
      <c r="D452" s="383" t="s">
        <v>10788</v>
      </c>
      <c r="E452" s="383" t="s">
        <v>8977</v>
      </c>
      <c r="F452" s="383">
        <v>1110</v>
      </c>
      <c r="G452" s="383" t="s">
        <v>1699</v>
      </c>
      <c r="H452" s="383" t="s">
        <v>1700</v>
      </c>
      <c r="I452" s="383" t="s">
        <v>8482</v>
      </c>
      <c r="J452" s="383" t="s">
        <v>1692</v>
      </c>
      <c r="K452" s="383" t="s">
        <v>1693</v>
      </c>
      <c r="L452" s="383" t="s">
        <v>9699</v>
      </c>
      <c r="M452" s="383" t="s">
        <v>10275</v>
      </c>
      <c r="N452" s="211">
        <v>9321697279</v>
      </c>
      <c r="O452" s="383" t="str">
        <f>IF(LEN(SUBSTITUTE(Table3937[[#This Row],[PRIMARY CONTACT]]," ",""))=10,SUBSTITUTE(Table3937[[#This Row],[PRIMARY CONTACT]]," ","") &amp; " - Proper","- Follow Up")</f>
        <v>9967758499 - Proper</v>
      </c>
      <c r="P452" s="383" t="s">
        <v>1710</v>
      </c>
      <c r="Q452" s="383">
        <v>9967758499</v>
      </c>
      <c r="R452" s="383" t="str">
        <f>SUBSTITUTE(Table3937[[#This Row],[whatsapp_number]]," ","")</f>
        <v>9967758499</v>
      </c>
      <c r="S452" s="383" t="str">
        <f>IF(Table3937[[#This Row],[PRIMARY CONTACT]]=Table3937[[#This Row],[WHATSAPP CONTACT]],"Same Contact","Different Contact")</f>
        <v>Same Contact</v>
      </c>
      <c r="T452" s="383" t="str">
        <f>IF(LEN(SUBSTITUTE(Table3937[[#This Row],[PRIMARY CONTACT]]," ",""))=10,SUBSTITUTE(Table3937[[#This Row],[PRIMARY CONTACT]]," ","") &amp; " - Proper","- Follow Up")</f>
        <v>9967758499 - Proper</v>
      </c>
      <c r="U452" s="383" t="s">
        <v>10594</v>
      </c>
      <c r="V452" s="393" t="s">
        <v>1695</v>
      </c>
      <c r="W452" s="383" t="s">
        <v>47</v>
      </c>
      <c r="X452" s="198" t="s">
        <v>990</v>
      </c>
      <c r="Y452" s="198" t="s">
        <v>1697</v>
      </c>
      <c r="Z452" s="198" t="s">
        <v>1697</v>
      </c>
      <c r="AA452" s="198" t="s">
        <v>1698</v>
      </c>
      <c r="AB452" s="383"/>
    </row>
    <row r="453" spans="1:28" ht="13.8">
      <c r="A453" s="387">
        <v>452</v>
      </c>
      <c r="B453" s="196" t="s">
        <v>1701</v>
      </c>
      <c r="C453" s="383" t="s">
        <v>10709</v>
      </c>
      <c r="D453" s="383" t="s">
        <v>10789</v>
      </c>
      <c r="E453" s="383" t="s">
        <v>8978</v>
      </c>
      <c r="F453" s="383">
        <v>1111</v>
      </c>
      <c r="G453" s="383" t="s">
        <v>1708</v>
      </c>
      <c r="H453" s="383" t="s">
        <v>1700</v>
      </c>
      <c r="I453" s="383" t="s">
        <v>8482</v>
      </c>
      <c r="J453" s="383" t="s">
        <v>1704</v>
      </c>
      <c r="K453" s="383" t="s">
        <v>1693</v>
      </c>
      <c r="L453" s="383" t="s">
        <v>9699</v>
      </c>
      <c r="M453" s="383" t="s">
        <v>10276</v>
      </c>
      <c r="N453" s="211">
        <v>9321697279</v>
      </c>
      <c r="O453" s="383" t="str">
        <f>IF(LEN(SUBSTITUTE(Table3937[[#This Row],[PRIMARY CONTACT]]," ",""))=10,SUBSTITUTE(Table3937[[#This Row],[PRIMARY CONTACT]]," ","") &amp; " - Proper","- Follow Up")</f>
        <v>8208406133 - Proper</v>
      </c>
      <c r="P453" s="383" t="s">
        <v>1710</v>
      </c>
      <c r="Q453" s="383">
        <v>8208406133</v>
      </c>
      <c r="R453" s="383" t="str">
        <f>SUBSTITUTE(Table3937[[#This Row],[whatsapp_number]]," ","")</f>
        <v>8208406133</v>
      </c>
      <c r="S453" s="383" t="str">
        <f>IF(Table3937[[#This Row],[PRIMARY CONTACT]]=Table3937[[#This Row],[WHATSAPP CONTACT]],"Same Contact","Different Contact")</f>
        <v>Same Contact</v>
      </c>
      <c r="T453" s="383" t="str">
        <f>IF(LEN(SUBSTITUTE(Table3937[[#This Row],[PRIMARY CONTACT]]," ",""))=10,SUBSTITUTE(Table3937[[#This Row],[PRIMARY CONTACT]]," ","") &amp; " - Proper","- Follow Up")</f>
        <v>8208406133 - Proper</v>
      </c>
      <c r="U453" s="383" t="s">
        <v>10594</v>
      </c>
      <c r="V453" s="393" t="s">
        <v>1695</v>
      </c>
      <c r="W453" s="383" t="s">
        <v>47</v>
      </c>
      <c r="X453" s="198" t="s">
        <v>1706</v>
      </c>
      <c r="Y453" s="198" t="s">
        <v>1707</v>
      </c>
      <c r="Z453" s="198" t="s">
        <v>1707</v>
      </c>
      <c r="AA453" s="198" t="s">
        <v>1698</v>
      </c>
      <c r="AB453" s="383"/>
    </row>
    <row r="454" spans="1:28" ht="13.8">
      <c r="A454" s="387">
        <v>453</v>
      </c>
      <c r="B454" s="196" t="s">
        <v>1709</v>
      </c>
      <c r="C454" s="383" t="s">
        <v>10709</v>
      </c>
      <c r="D454" s="383" t="s">
        <v>10790</v>
      </c>
      <c r="E454" s="383" t="s">
        <v>8979</v>
      </c>
      <c r="F454" s="383">
        <v>1112</v>
      </c>
      <c r="G454" s="383" t="s">
        <v>1717</v>
      </c>
      <c r="H454" s="383" t="s">
        <v>1700</v>
      </c>
      <c r="I454" s="383" t="s">
        <v>8482</v>
      </c>
      <c r="J454" s="383" t="s">
        <v>1712</v>
      </c>
      <c r="K454" s="383" t="s">
        <v>1713</v>
      </c>
      <c r="L454" s="383" t="s">
        <v>9716</v>
      </c>
      <c r="M454" s="383" t="s">
        <v>10277</v>
      </c>
      <c r="N454" s="178" t="s">
        <v>44</v>
      </c>
      <c r="O454" s="383" t="str">
        <f>IF(LEN(SUBSTITUTE(Table3937[[#This Row],[PRIMARY CONTACT]]," ",""))=10,SUBSTITUTE(Table3937[[#This Row],[PRIMARY CONTACT]]," ","") &amp; " - Proper","- Follow Up")</f>
        <v>9321697279 - Proper</v>
      </c>
      <c r="P454" s="383" t="s">
        <v>1710</v>
      </c>
      <c r="Q454" s="383">
        <v>9321697279</v>
      </c>
      <c r="R454" s="383" t="str">
        <f>SUBSTITUTE(Table3937[[#This Row],[whatsapp_number]]," ","")</f>
        <v>9321697279</v>
      </c>
      <c r="S454" s="383" t="str">
        <f>IF(Table3937[[#This Row],[PRIMARY CONTACT]]=Table3937[[#This Row],[WHATSAPP CONTACT]],"Same Contact","Different Contact")</f>
        <v>Same Contact</v>
      </c>
      <c r="T454" s="383" t="str">
        <f>IF(LEN(SUBSTITUTE(Table3937[[#This Row],[PRIMARY CONTACT]]," ",""))=10,SUBSTITUTE(Table3937[[#This Row],[PRIMARY CONTACT]]," ","") &amp; " - Proper","- Follow Up")</f>
        <v>9321697279 - Proper</v>
      </c>
      <c r="U454" s="383" t="s">
        <v>10594</v>
      </c>
      <c r="V454" s="393" t="s">
        <v>1695</v>
      </c>
      <c r="W454" s="383" t="s">
        <v>47</v>
      </c>
      <c r="X454" s="198" t="s">
        <v>1715</v>
      </c>
      <c r="Y454" s="198" t="s">
        <v>1716</v>
      </c>
      <c r="Z454" s="198" t="s">
        <v>1716</v>
      </c>
      <c r="AA454" s="198" t="s">
        <v>1698</v>
      </c>
      <c r="AB454" s="383"/>
    </row>
    <row r="455" spans="1:28" ht="13.8">
      <c r="A455" s="387">
        <v>454</v>
      </c>
      <c r="B455" s="196" t="s">
        <v>1718</v>
      </c>
      <c r="C455" s="383" t="s">
        <v>10709</v>
      </c>
      <c r="D455" s="383" t="s">
        <v>10791</v>
      </c>
      <c r="E455" s="383" t="s">
        <v>8980</v>
      </c>
      <c r="F455" s="383">
        <v>1113</v>
      </c>
      <c r="G455" s="383" t="s">
        <v>71</v>
      </c>
      <c r="H455" s="383" t="s">
        <v>1700</v>
      </c>
      <c r="I455" s="383" t="s">
        <v>8482</v>
      </c>
      <c r="J455" s="383" t="s">
        <v>1720</v>
      </c>
      <c r="K455" s="383" t="s">
        <v>1693</v>
      </c>
      <c r="L455" s="383" t="s">
        <v>9716</v>
      </c>
      <c r="M455" s="383" t="s">
        <v>10277</v>
      </c>
      <c r="N455" s="178" t="s">
        <v>44</v>
      </c>
      <c r="O455" s="383" t="str">
        <f>IF(LEN(SUBSTITUTE(Table3937[[#This Row],[PRIMARY CONTACT]]," ",""))=10,SUBSTITUTE(Table3937[[#This Row],[PRIMARY CONTACT]]," ","") &amp; " - Proper","- Follow Up")</f>
        <v>9321697279 - Proper</v>
      </c>
      <c r="P455" s="383" t="s">
        <v>1710</v>
      </c>
      <c r="Q455" s="383">
        <v>9321697279</v>
      </c>
      <c r="R455" s="383" t="str">
        <f>SUBSTITUTE(Table3937[[#This Row],[whatsapp_number]]," ","")</f>
        <v>9321697279</v>
      </c>
      <c r="S455" s="383" t="str">
        <f>IF(Table3937[[#This Row],[PRIMARY CONTACT]]=Table3937[[#This Row],[WHATSAPP CONTACT]],"Same Contact","Different Contact")</f>
        <v>Same Contact</v>
      </c>
      <c r="T455" s="383" t="str">
        <f>IF(LEN(SUBSTITUTE(Table3937[[#This Row],[PRIMARY CONTACT]]," ",""))=10,SUBSTITUTE(Table3937[[#This Row],[PRIMARY CONTACT]]," ","") &amp; " - Proper","- Follow Up")</f>
        <v>9321697279 - Proper</v>
      </c>
      <c r="U455" s="383" t="s">
        <v>10594</v>
      </c>
      <c r="V455" s="393" t="s">
        <v>1695</v>
      </c>
      <c r="W455" s="383" t="s">
        <v>47</v>
      </c>
      <c r="X455" s="198" t="s">
        <v>1722</v>
      </c>
      <c r="Y455" s="198" t="s">
        <v>1723</v>
      </c>
      <c r="Z455" s="198" t="s">
        <v>1723</v>
      </c>
      <c r="AA455" s="198" t="s">
        <v>1698</v>
      </c>
      <c r="AB455" s="383"/>
    </row>
    <row r="456" spans="1:28" ht="13.8">
      <c r="A456" s="387">
        <v>455</v>
      </c>
      <c r="B456" s="383" t="s">
        <v>10710</v>
      </c>
      <c r="C456" s="383" t="s">
        <v>10710</v>
      </c>
      <c r="D456" s="383" t="s">
        <v>10710</v>
      </c>
      <c r="E456" s="383" t="s">
        <v>8981</v>
      </c>
      <c r="F456" s="383">
        <v>1115</v>
      </c>
      <c r="G456" s="383" t="s">
        <v>1734</v>
      </c>
      <c r="H456" s="383" t="s">
        <v>1735</v>
      </c>
      <c r="I456" s="383" t="s">
        <v>8483</v>
      </c>
      <c r="J456" s="383" t="s">
        <v>1728</v>
      </c>
      <c r="K456" s="383" t="s">
        <v>1729</v>
      </c>
      <c r="L456" s="383" t="s">
        <v>9701</v>
      </c>
      <c r="M456" s="383" t="s">
        <v>10278</v>
      </c>
      <c r="N456" s="178" t="s">
        <v>44</v>
      </c>
      <c r="O456" s="383" t="str">
        <f>IF(LEN(SUBSTITUTE(Table3937[[#This Row],[PRIMARY CONTACT]]," ",""))=10,SUBSTITUTE(Table3937[[#This Row],[PRIMARY CONTACT]]," ","") &amp; " - Proper","- Follow Up")</f>
        <v>9082395719 - Proper</v>
      </c>
      <c r="P456" s="383" t="s">
        <v>1725</v>
      </c>
      <c r="Q456" s="383">
        <v>9082395719</v>
      </c>
      <c r="R456" s="383" t="str">
        <f>SUBSTITUTE(Table3937[[#This Row],[whatsapp_number]]," ","")</f>
        <v>9082395719</v>
      </c>
      <c r="S456" s="383" t="str">
        <f>IF(Table3937[[#This Row],[PRIMARY CONTACT]]=Table3937[[#This Row],[WHATSAPP CONTACT]],"Same Contact","Different Contact")</f>
        <v>Same Contact</v>
      </c>
      <c r="T456" s="383" t="str">
        <f>IF(LEN(SUBSTITUTE(Table3937[[#This Row],[PRIMARY CONTACT]]," ",""))=10,SUBSTITUTE(Table3937[[#This Row],[PRIMARY CONTACT]]," ","") &amp; " - Proper","- Follow Up")</f>
        <v>9082395719 - Proper</v>
      </c>
      <c r="U456" s="383" t="s">
        <v>2953</v>
      </c>
      <c r="V456" s="393" t="s">
        <v>1731</v>
      </c>
      <c r="W456" s="383" t="s">
        <v>47</v>
      </c>
      <c r="X456" s="383" t="s">
        <v>44</v>
      </c>
      <c r="Y456" s="383" t="s">
        <v>44</v>
      </c>
      <c r="Z456" s="383" t="s">
        <v>44</v>
      </c>
      <c r="AA456" s="383" t="s">
        <v>44</v>
      </c>
      <c r="AB456" s="383"/>
    </row>
    <row r="457" spans="1:28" ht="13.8">
      <c r="A457" s="387">
        <v>456</v>
      </c>
      <c r="B457" s="383" t="s">
        <v>10710</v>
      </c>
      <c r="C457" s="383" t="s">
        <v>10710</v>
      </c>
      <c r="D457" s="383" t="s">
        <v>10710</v>
      </c>
      <c r="E457" s="383" t="s">
        <v>8982</v>
      </c>
      <c r="F457" s="383">
        <v>1116</v>
      </c>
      <c r="G457" s="383" t="s">
        <v>71</v>
      </c>
      <c r="H457" s="383" t="s">
        <v>1758</v>
      </c>
      <c r="I457" s="383" t="s">
        <v>1752</v>
      </c>
      <c r="J457" s="383" t="s">
        <v>1753</v>
      </c>
      <c r="K457" s="383" t="s">
        <v>534</v>
      </c>
      <c r="L457" s="383" t="s">
        <v>9717</v>
      </c>
      <c r="M457" s="383" t="s">
        <v>10279</v>
      </c>
      <c r="N457" s="178" t="s">
        <v>44</v>
      </c>
      <c r="O457" s="383" t="str">
        <f>IF(LEN(SUBSTITUTE(Table3937[[#This Row],[PRIMARY CONTACT]]," ",""))=10,SUBSTITUTE(Table3937[[#This Row],[PRIMARY CONTACT]]," ","") &amp; " - Proper","- Follow Up")</f>
        <v>- Follow Up</v>
      </c>
      <c r="P457" s="383" t="s">
        <v>1750</v>
      </c>
      <c r="Q457" s="383">
        <v>950604111</v>
      </c>
      <c r="R457" s="383" t="str">
        <f>SUBSTITUTE(Table3937[[#This Row],[whatsapp_number]]," ","")</f>
        <v>950604111</v>
      </c>
      <c r="S457" s="383" t="str">
        <f>IF(Table3937[[#This Row],[PRIMARY CONTACT]]=Table3937[[#This Row],[WHATSAPP CONTACT]],"Same Contact","Different Contact")</f>
        <v>Same Contact</v>
      </c>
      <c r="T457" s="383" t="str">
        <f>IF(LEN(SUBSTITUTE(Table3937[[#This Row],[PRIMARY CONTACT]]," ",""))=10,SUBSTITUTE(Table3937[[#This Row],[PRIMARY CONTACT]]," ","") &amp; " - Proper","- Follow Up")</f>
        <v>- Follow Up</v>
      </c>
      <c r="U457" s="383" t="s">
        <v>2953</v>
      </c>
      <c r="V457" s="393" t="s">
        <v>1755</v>
      </c>
      <c r="W457" s="383" t="s">
        <v>47</v>
      </c>
      <c r="X457" s="383" t="s">
        <v>44</v>
      </c>
      <c r="Y457" s="383" t="s">
        <v>44</v>
      </c>
      <c r="Z457" s="383" t="s">
        <v>44</v>
      </c>
      <c r="AA457" s="383" t="s">
        <v>44</v>
      </c>
      <c r="AB457" s="383"/>
    </row>
    <row r="458" spans="1:28" ht="13.8">
      <c r="A458" s="387">
        <v>457</v>
      </c>
      <c r="B458" s="383" t="s">
        <v>10710</v>
      </c>
      <c r="C458" s="383" t="s">
        <v>10710</v>
      </c>
      <c r="D458" s="383" t="s">
        <v>10710</v>
      </c>
      <c r="E458" s="383" t="s">
        <v>8983</v>
      </c>
      <c r="F458" s="383">
        <v>1117</v>
      </c>
      <c r="G458" s="383" t="s">
        <v>1770</v>
      </c>
      <c r="H458" s="383" t="s">
        <v>1771</v>
      </c>
      <c r="I458" s="383" t="s">
        <v>8484</v>
      </c>
      <c r="J458" s="383" t="s">
        <v>1763</v>
      </c>
      <c r="K458" s="383" t="s">
        <v>9551</v>
      </c>
      <c r="L458" s="383" t="s">
        <v>8341</v>
      </c>
      <c r="M458" s="383" t="s">
        <v>10280</v>
      </c>
      <c r="N458" s="178" t="s">
        <v>44</v>
      </c>
      <c r="O458" s="383" t="str">
        <f>IF(LEN(SUBSTITUTE(Table3937[[#This Row],[PRIMARY CONTACT]]," ",""))=10,SUBSTITUTE(Table3937[[#This Row],[PRIMARY CONTACT]]," ","") &amp; " - Proper","- Follow Up")</f>
        <v>9820298682 - Proper</v>
      </c>
      <c r="P458" s="383" t="s">
        <v>3338</v>
      </c>
      <c r="Q458" s="383">
        <v>9820298682</v>
      </c>
      <c r="R458" s="383" t="str">
        <f>SUBSTITUTE(Table3937[[#This Row],[whatsapp_number]]," ","")</f>
        <v>9820298682</v>
      </c>
      <c r="S458" s="383" t="str">
        <f>IF(Table3937[[#This Row],[PRIMARY CONTACT]]=Table3937[[#This Row],[WHATSAPP CONTACT]],"Same Contact","Different Contact")</f>
        <v>Same Contact</v>
      </c>
      <c r="T458" s="383" t="str">
        <f>IF(LEN(SUBSTITUTE(Table3937[[#This Row],[PRIMARY CONTACT]]," ",""))=10,SUBSTITUTE(Table3937[[#This Row],[PRIMARY CONTACT]]," ","") &amp; " - Proper","- Follow Up")</f>
        <v>9820298682 - Proper</v>
      </c>
      <c r="U458" s="383" t="s">
        <v>2953</v>
      </c>
      <c r="V458" s="383" t="s">
        <v>71</v>
      </c>
      <c r="W458" s="383" t="s">
        <v>47</v>
      </c>
      <c r="X458" s="383" t="s">
        <v>44</v>
      </c>
      <c r="Y458" s="383" t="s">
        <v>44</v>
      </c>
      <c r="Z458" s="383" t="s">
        <v>44</v>
      </c>
      <c r="AA458" s="383" t="s">
        <v>44</v>
      </c>
      <c r="AB458" s="383"/>
    </row>
    <row r="459" spans="1:28" ht="13.8">
      <c r="A459" s="387">
        <v>458</v>
      </c>
      <c r="B459" s="383" t="s">
        <v>10710</v>
      </c>
      <c r="C459" s="383" t="s">
        <v>10710</v>
      </c>
      <c r="D459" s="383" t="s">
        <v>10710</v>
      </c>
      <c r="E459" s="383" t="s">
        <v>8984</v>
      </c>
      <c r="F459" s="383">
        <v>1118</v>
      </c>
      <c r="G459" s="383" t="s">
        <v>71</v>
      </c>
      <c r="H459" s="383" t="s">
        <v>71</v>
      </c>
      <c r="I459" s="383" t="s">
        <v>8485</v>
      </c>
      <c r="J459" s="383" t="s">
        <v>1776</v>
      </c>
      <c r="K459" s="383" t="s">
        <v>116</v>
      </c>
      <c r="L459" s="383" t="s">
        <v>8341</v>
      </c>
      <c r="M459" s="383" t="s">
        <v>10281</v>
      </c>
      <c r="N459" s="178" t="s">
        <v>44</v>
      </c>
      <c r="O459" s="383" t="str">
        <f>IF(LEN(SUBSTITUTE(Table3937[[#This Row],[PRIMARY CONTACT]]," ",""))=10,SUBSTITUTE(Table3937[[#This Row],[PRIMARY CONTACT]]," ","") &amp; " - Proper","- Follow Up")</f>
        <v>9820081014 - Proper</v>
      </c>
      <c r="P459" s="383" t="s">
        <v>3340</v>
      </c>
      <c r="Q459" s="383">
        <v>9820081014</v>
      </c>
      <c r="R459" s="383" t="str">
        <f>SUBSTITUTE(Table3937[[#This Row],[whatsapp_number]]," ","")</f>
        <v>9820081014</v>
      </c>
      <c r="S459" s="383" t="str">
        <f>IF(Table3937[[#This Row],[PRIMARY CONTACT]]=Table3937[[#This Row],[WHATSAPP CONTACT]],"Same Contact","Different Contact")</f>
        <v>Same Contact</v>
      </c>
      <c r="T459" s="383" t="str">
        <f>IF(LEN(SUBSTITUTE(Table3937[[#This Row],[PRIMARY CONTACT]]," ",""))=10,SUBSTITUTE(Table3937[[#This Row],[PRIMARY CONTACT]]," ","") &amp; " - Proper","- Follow Up")</f>
        <v>9820081014 - Proper</v>
      </c>
      <c r="U459" s="383" t="s">
        <v>2953</v>
      </c>
      <c r="V459" s="383" t="s">
        <v>71</v>
      </c>
      <c r="W459" s="383" t="s">
        <v>47</v>
      </c>
      <c r="X459" s="383" t="s">
        <v>44</v>
      </c>
      <c r="Y459" s="383" t="s">
        <v>44</v>
      </c>
      <c r="Z459" s="383" t="s">
        <v>44</v>
      </c>
      <c r="AA459" s="383" t="s">
        <v>44</v>
      </c>
      <c r="AB459" s="383"/>
    </row>
    <row r="460" spans="1:28" ht="13.8">
      <c r="A460" s="387">
        <v>459</v>
      </c>
      <c r="B460" s="383" t="s">
        <v>10710</v>
      </c>
      <c r="C460" s="383" t="s">
        <v>10710</v>
      </c>
      <c r="D460" s="383" t="s">
        <v>10710</v>
      </c>
      <c r="E460" s="383" t="s">
        <v>8985</v>
      </c>
      <c r="F460" s="383">
        <v>1119</v>
      </c>
      <c r="G460" s="383" t="s">
        <v>71</v>
      </c>
      <c r="H460" s="383" t="s">
        <v>1787</v>
      </c>
      <c r="I460" s="383" t="s">
        <v>1782</v>
      </c>
      <c r="J460" s="383" t="s">
        <v>1783</v>
      </c>
      <c r="K460" s="383" t="s">
        <v>534</v>
      </c>
      <c r="L460" s="383" t="s">
        <v>8341</v>
      </c>
      <c r="M460" s="383" t="s">
        <v>10282</v>
      </c>
      <c r="N460" s="178" t="s">
        <v>44</v>
      </c>
      <c r="O460" s="383" t="str">
        <f>IF(LEN(SUBSTITUTE(Table3937[[#This Row],[PRIMARY CONTACT]]," ",""))=10,SUBSTITUTE(Table3937[[#This Row],[PRIMARY CONTACT]]," ","") &amp; " - Proper","- Follow Up")</f>
        <v>8655241941 - Proper</v>
      </c>
      <c r="P460" s="383" t="s">
        <v>1780</v>
      </c>
      <c r="Q460" s="383">
        <v>8655241941</v>
      </c>
      <c r="R460" s="383" t="str">
        <f>SUBSTITUTE(Table3937[[#This Row],[whatsapp_number]]," ","")</f>
        <v>8655241941</v>
      </c>
      <c r="S460" s="383" t="str">
        <f>IF(Table3937[[#This Row],[PRIMARY CONTACT]]=Table3937[[#This Row],[WHATSAPP CONTACT]],"Same Contact","Different Contact")</f>
        <v>Same Contact</v>
      </c>
      <c r="T460" s="383" t="str">
        <f>IF(LEN(SUBSTITUTE(Table3937[[#This Row],[PRIMARY CONTACT]]," ",""))=10,SUBSTITUTE(Table3937[[#This Row],[PRIMARY CONTACT]]," ","") &amp; " - Proper","- Follow Up")</f>
        <v>8655241941 - Proper</v>
      </c>
      <c r="U460" s="383" t="s">
        <v>2953</v>
      </c>
      <c r="V460" s="383" t="s">
        <v>71</v>
      </c>
      <c r="W460" s="383" t="s">
        <v>47</v>
      </c>
      <c r="X460" s="383" t="s">
        <v>44</v>
      </c>
      <c r="Y460" s="383" t="s">
        <v>44</v>
      </c>
      <c r="Z460" s="383" t="s">
        <v>44</v>
      </c>
      <c r="AA460" s="383" t="s">
        <v>44</v>
      </c>
      <c r="AB460" s="383"/>
    </row>
    <row r="461" spans="1:28" ht="13.8">
      <c r="A461" s="387">
        <v>460</v>
      </c>
      <c r="B461" s="383" t="s">
        <v>10710</v>
      </c>
      <c r="C461" s="383" t="s">
        <v>10710</v>
      </c>
      <c r="D461" s="383" t="s">
        <v>10710</v>
      </c>
      <c r="E461" s="383" t="s">
        <v>8986</v>
      </c>
      <c r="F461" s="383">
        <v>1121</v>
      </c>
      <c r="G461" s="383" t="s">
        <v>71</v>
      </c>
      <c r="H461" s="383" t="s">
        <v>1805</v>
      </c>
      <c r="I461" s="383" t="s">
        <v>8486</v>
      </c>
      <c r="J461" s="383" t="s">
        <v>1800</v>
      </c>
      <c r="K461" s="383" t="s">
        <v>8341</v>
      </c>
      <c r="L461" s="383" t="s">
        <v>9718</v>
      </c>
      <c r="M461" s="383" t="s">
        <v>10283</v>
      </c>
      <c r="N461" s="178" t="s">
        <v>44</v>
      </c>
      <c r="O461" s="383" t="str">
        <f>IF(LEN(SUBSTITUTE(Table3937[[#This Row],[PRIMARY CONTACT]]," ",""))=10,SUBSTITUTE(Table3937[[#This Row],[PRIMARY CONTACT]]," ","") &amp; " - Proper","- Follow Up")</f>
        <v>9833409290 - Proper</v>
      </c>
      <c r="P461" s="383" t="s">
        <v>3344</v>
      </c>
      <c r="Q461" s="383">
        <v>9833409290</v>
      </c>
      <c r="R461" s="383" t="str">
        <f>SUBSTITUTE(Table3937[[#This Row],[whatsapp_number]]," ","")</f>
        <v>9833409290</v>
      </c>
      <c r="S461" s="383" t="str">
        <f>IF(Table3937[[#This Row],[PRIMARY CONTACT]]=Table3937[[#This Row],[WHATSAPP CONTACT]],"Same Contact","Different Contact")</f>
        <v>Same Contact</v>
      </c>
      <c r="T461" s="383" t="str">
        <f>IF(LEN(SUBSTITUTE(Table3937[[#This Row],[PRIMARY CONTACT]]," ",""))=10,SUBSTITUTE(Table3937[[#This Row],[PRIMARY CONTACT]]," ","") &amp; " - Proper","- Follow Up")</f>
        <v>9833409290 - Proper</v>
      </c>
      <c r="U461" s="383" t="s">
        <v>10595</v>
      </c>
      <c r="V461" s="383" t="s">
        <v>71</v>
      </c>
      <c r="W461" s="383" t="s">
        <v>47</v>
      </c>
      <c r="X461" s="383" t="s">
        <v>44</v>
      </c>
      <c r="Y461" s="383" t="s">
        <v>44</v>
      </c>
      <c r="Z461" s="383" t="s">
        <v>44</v>
      </c>
      <c r="AA461" s="383" t="s">
        <v>44</v>
      </c>
      <c r="AB461" s="383"/>
    </row>
    <row r="462" spans="1:28" ht="13.8">
      <c r="A462" s="387">
        <v>461</v>
      </c>
      <c r="B462" s="383" t="s">
        <v>10710</v>
      </c>
      <c r="C462" s="383" t="s">
        <v>10710</v>
      </c>
      <c r="D462" s="383" t="s">
        <v>10710</v>
      </c>
      <c r="E462" s="383" t="s">
        <v>8987</v>
      </c>
      <c r="F462" s="383">
        <v>1125</v>
      </c>
      <c r="G462" s="383" t="s">
        <v>71</v>
      </c>
      <c r="H462" s="383" t="s">
        <v>1830</v>
      </c>
      <c r="I462" s="383" t="s">
        <v>8487</v>
      </c>
      <c r="J462" s="383" t="s">
        <v>1824</v>
      </c>
      <c r="K462" s="383" t="s">
        <v>1825</v>
      </c>
      <c r="L462" s="383" t="s">
        <v>9719</v>
      </c>
      <c r="M462" s="383" t="s">
        <v>10284</v>
      </c>
      <c r="N462" s="178" t="s">
        <v>44</v>
      </c>
      <c r="O462" s="383" t="str">
        <f>IF(LEN(SUBSTITUTE(Table3937[[#This Row],[PRIMARY CONTACT]]," ",""))=10,SUBSTITUTE(Table3937[[#This Row],[PRIMARY CONTACT]]," ","") &amp; " - Proper","- Follow Up")</f>
        <v>9051646424 - Proper</v>
      </c>
      <c r="P462" s="383" t="s">
        <v>1821</v>
      </c>
      <c r="Q462" s="383">
        <v>9051646424</v>
      </c>
      <c r="R462" s="383" t="str">
        <f>SUBSTITUTE(Table3937[[#This Row],[whatsapp_number]]," ","")</f>
        <v>9051646424</v>
      </c>
      <c r="S462" s="383" t="str">
        <f>IF(Table3937[[#This Row],[PRIMARY CONTACT]]=Table3937[[#This Row],[WHATSAPP CONTACT]],"Same Contact","Different Contact")</f>
        <v>Same Contact</v>
      </c>
      <c r="T462" s="383" t="str">
        <f>IF(LEN(SUBSTITUTE(Table3937[[#This Row],[PRIMARY CONTACT]]," ",""))=10,SUBSTITUTE(Table3937[[#This Row],[PRIMARY CONTACT]]," ","") &amp; " - Proper","- Follow Up")</f>
        <v>9051646424 - Proper</v>
      </c>
      <c r="U462" s="383" t="s">
        <v>3346</v>
      </c>
      <c r="V462" s="393" t="s">
        <v>1827</v>
      </c>
      <c r="W462" s="383" t="s">
        <v>47</v>
      </c>
      <c r="X462" s="383" t="s">
        <v>44</v>
      </c>
      <c r="Y462" s="383" t="s">
        <v>44</v>
      </c>
      <c r="Z462" s="383" t="s">
        <v>44</v>
      </c>
      <c r="AA462" s="383" t="s">
        <v>44</v>
      </c>
      <c r="AB462" s="383"/>
    </row>
    <row r="463" spans="1:28" ht="13.8">
      <c r="A463" s="387">
        <v>462</v>
      </c>
      <c r="B463" s="383" t="s">
        <v>10710</v>
      </c>
      <c r="C463" s="383" t="s">
        <v>10710</v>
      </c>
      <c r="D463" s="383" t="s">
        <v>10710</v>
      </c>
      <c r="E463" s="383" t="s">
        <v>8988</v>
      </c>
      <c r="F463" s="383">
        <v>1126</v>
      </c>
      <c r="G463" s="383" t="s">
        <v>71</v>
      </c>
      <c r="H463" s="383" t="s">
        <v>1841</v>
      </c>
      <c r="I463" s="383" t="s">
        <v>1835</v>
      </c>
      <c r="J463" s="383" t="s">
        <v>1835</v>
      </c>
      <c r="K463" s="383" t="s">
        <v>1836</v>
      </c>
      <c r="L463" s="383" t="s">
        <v>9707</v>
      </c>
      <c r="M463" s="383" t="s">
        <v>10285</v>
      </c>
      <c r="N463" s="178" t="s">
        <v>44</v>
      </c>
      <c r="O463" s="383" t="str">
        <f>IF(LEN(SUBSTITUTE(Table3937[[#This Row],[PRIMARY CONTACT]]," ",""))=10,SUBSTITUTE(Table3937[[#This Row],[PRIMARY CONTACT]]," ","") &amp; " - Proper","- Follow Up")</f>
        <v>7044127834 - Proper</v>
      </c>
      <c r="P463" s="383" t="s">
        <v>1833</v>
      </c>
      <c r="Q463" s="383">
        <v>7044127834</v>
      </c>
      <c r="R463" s="383" t="str">
        <f>SUBSTITUTE(Table3937[[#This Row],[whatsapp_number]]," ","")</f>
        <v>7044127834</v>
      </c>
      <c r="S463" s="383" t="str">
        <f>IF(Table3937[[#This Row],[PRIMARY CONTACT]]=Table3937[[#This Row],[WHATSAPP CONTACT]],"Same Contact","Different Contact")</f>
        <v>Same Contact</v>
      </c>
      <c r="T463" s="383" t="str">
        <f>IF(LEN(SUBSTITUTE(Table3937[[#This Row],[PRIMARY CONTACT]]," ",""))=10,SUBSTITUTE(Table3937[[#This Row],[PRIMARY CONTACT]]," ","") &amp; " - Proper","- Follow Up")</f>
        <v>7044127834 - Proper</v>
      </c>
      <c r="U463" s="383" t="s">
        <v>3346</v>
      </c>
      <c r="V463" s="393" t="s">
        <v>1838</v>
      </c>
      <c r="W463" s="383" t="s">
        <v>47</v>
      </c>
      <c r="X463" s="383" t="s">
        <v>44</v>
      </c>
      <c r="Y463" s="383" t="s">
        <v>44</v>
      </c>
      <c r="Z463" s="383" t="s">
        <v>44</v>
      </c>
      <c r="AA463" s="383" t="s">
        <v>44</v>
      </c>
      <c r="AB463" s="383"/>
    </row>
    <row r="464" spans="1:28" ht="13.8">
      <c r="A464" s="387">
        <v>463</v>
      </c>
      <c r="B464" s="286" t="s">
        <v>3834</v>
      </c>
      <c r="C464" s="383" t="s">
        <v>10709</v>
      </c>
      <c r="D464" s="383" t="s">
        <v>10986</v>
      </c>
      <c r="E464" s="383" t="s">
        <v>8989</v>
      </c>
      <c r="F464" s="383">
        <v>1127</v>
      </c>
      <c r="G464" s="383" t="s">
        <v>71</v>
      </c>
      <c r="H464" s="383" t="s">
        <v>3547</v>
      </c>
      <c r="I464" s="383" t="s">
        <v>3836</v>
      </c>
      <c r="J464" s="383" t="s">
        <v>3837</v>
      </c>
      <c r="K464" s="383" t="s">
        <v>8341</v>
      </c>
      <c r="L464" s="383" t="s">
        <v>8341</v>
      </c>
      <c r="M464" s="383" t="s">
        <v>10286</v>
      </c>
      <c r="N464" s="383" t="s">
        <v>44</v>
      </c>
      <c r="O464" s="383" t="str">
        <f>IF(LEN(SUBSTITUTE(Table3937[[#This Row],[PRIMARY CONTACT]]," ",""))=10,SUBSTITUTE(Table3937[[#This Row],[PRIMARY CONTACT]]," ","") &amp; " - Proper","- Follow Up")</f>
        <v>9819499143 - Proper</v>
      </c>
      <c r="P464" s="383" t="s">
        <v>2780</v>
      </c>
      <c r="Q464" s="383">
        <v>9819499143</v>
      </c>
      <c r="R464" s="383" t="str">
        <f>SUBSTITUTE(Table3937[[#This Row],[whatsapp_number]]," ","")</f>
        <v>9819499143</v>
      </c>
      <c r="S464" s="383" t="str">
        <f>IF(Table3937[[#This Row],[PRIMARY CONTACT]]=Table3937[[#This Row],[WHATSAPP CONTACT]],"Same Contact","Different Contact")</f>
        <v>Same Contact</v>
      </c>
      <c r="T464" s="383" t="str">
        <f>IF(LEN(SUBSTITUTE(Table3937[[#This Row],[PRIMARY CONTACT]]," ",""))=10,SUBSTITUTE(Table3937[[#This Row],[PRIMARY CONTACT]]," ","") &amp; " - Proper","- Follow Up")</f>
        <v>9819499143 - Proper</v>
      </c>
      <c r="U464" s="383" t="s">
        <v>3301</v>
      </c>
      <c r="V464" s="393" t="s">
        <v>2786</v>
      </c>
      <c r="W464" s="383" t="s">
        <v>47</v>
      </c>
      <c r="X464" s="101" t="s">
        <v>49</v>
      </c>
      <c r="Y464" s="5" t="s">
        <v>2164</v>
      </c>
      <c r="Z464" s="5" t="s">
        <v>7773</v>
      </c>
      <c r="AA464" s="101" t="s">
        <v>7774</v>
      </c>
      <c r="AB464" s="383"/>
    </row>
    <row r="465" spans="1:28" ht="13.8">
      <c r="A465" s="387">
        <v>464</v>
      </c>
      <c r="B465" s="286" t="s">
        <v>3838</v>
      </c>
      <c r="C465" s="383" t="s">
        <v>10709</v>
      </c>
      <c r="D465" s="383" t="s">
        <v>10987</v>
      </c>
      <c r="E465" s="383" t="s">
        <v>8990</v>
      </c>
      <c r="F465" s="383">
        <v>1129</v>
      </c>
      <c r="G465" s="383" t="s">
        <v>71</v>
      </c>
      <c r="H465" s="383" t="s">
        <v>3547</v>
      </c>
      <c r="I465" s="383" t="s">
        <v>3840</v>
      </c>
      <c r="J465" s="383" t="s">
        <v>3841</v>
      </c>
      <c r="K465" s="383" t="s">
        <v>42</v>
      </c>
      <c r="L465" s="383" t="s">
        <v>8341</v>
      </c>
      <c r="M465" s="383" t="s">
        <v>10287</v>
      </c>
      <c r="N465" s="383" t="s">
        <v>44</v>
      </c>
      <c r="O465" s="383" t="str">
        <f>IF(LEN(SUBSTITUTE(Table3937[[#This Row],[PRIMARY CONTACT]]," ",""))=10,SUBSTITUTE(Table3937[[#This Row],[PRIMARY CONTACT]]," ","") &amp; " - Proper","- Follow Up")</f>
        <v>9099077028 - Proper</v>
      </c>
      <c r="P465" s="383" t="s">
        <v>2780</v>
      </c>
      <c r="Q465" s="383">
        <v>9099077028</v>
      </c>
      <c r="R465" s="383" t="str">
        <f>SUBSTITUTE(Table3937[[#This Row],[whatsapp_number]]," ","")</f>
        <v>9099077028</v>
      </c>
      <c r="S465" s="383" t="str">
        <f>IF(Table3937[[#This Row],[PRIMARY CONTACT]]=Table3937[[#This Row],[WHATSAPP CONTACT]],"Same Contact","Different Contact")</f>
        <v>Same Contact</v>
      </c>
      <c r="T465" s="383" t="str">
        <f>IF(LEN(SUBSTITUTE(Table3937[[#This Row],[PRIMARY CONTACT]]," ",""))=10,SUBSTITUTE(Table3937[[#This Row],[PRIMARY CONTACT]]," ","") &amp; " - Proper","- Follow Up")</f>
        <v>9099077028 - Proper</v>
      </c>
      <c r="U465" s="383" t="s">
        <v>3301</v>
      </c>
      <c r="V465" s="393" t="s">
        <v>2786</v>
      </c>
      <c r="W465" s="383" t="s">
        <v>47</v>
      </c>
      <c r="X465" s="101" t="s">
        <v>49</v>
      </c>
      <c r="Y465" s="5" t="s">
        <v>2164</v>
      </c>
      <c r="Z465" s="5" t="s">
        <v>7773</v>
      </c>
      <c r="AA465" s="101" t="s">
        <v>7774</v>
      </c>
      <c r="AB465" s="383"/>
    </row>
    <row r="466" spans="1:28" ht="13.8">
      <c r="A466" s="387">
        <v>465</v>
      </c>
      <c r="B466" s="419" t="s">
        <v>10710</v>
      </c>
      <c r="C466" s="383" t="s">
        <v>10710</v>
      </c>
      <c r="D466" s="383" t="s">
        <v>10710</v>
      </c>
      <c r="E466" s="383" t="s">
        <v>1842</v>
      </c>
      <c r="F466" s="383">
        <v>1130</v>
      </c>
      <c r="G466" s="383" t="s">
        <v>71</v>
      </c>
      <c r="H466" s="383" t="s">
        <v>1849</v>
      </c>
      <c r="I466" s="383" t="s">
        <v>1845</v>
      </c>
      <c r="J466" s="383" t="s">
        <v>1846</v>
      </c>
      <c r="K466" s="383" t="s">
        <v>9499</v>
      </c>
      <c r="L466" s="383" t="s">
        <v>9707</v>
      </c>
      <c r="M466" s="383" t="s">
        <v>10288</v>
      </c>
      <c r="N466" s="383" t="s">
        <v>44</v>
      </c>
      <c r="O466" s="383" t="str">
        <f>IF(LEN(SUBSTITUTE(Table3937[[#This Row],[PRIMARY CONTACT]]," ",""))=10,SUBSTITUTE(Table3937[[#This Row],[PRIMARY CONTACT]]," ","") &amp; " - Proper","- Follow Up")</f>
        <v>8591697900 - Proper</v>
      </c>
      <c r="P466" s="383" t="s">
        <v>3349</v>
      </c>
      <c r="Q466" s="383">
        <v>8591697900</v>
      </c>
      <c r="R466" s="383" t="str">
        <f>SUBSTITUTE(Table3937[[#This Row],[whatsapp_number]]," ","")</f>
        <v>8591697900</v>
      </c>
      <c r="S466" s="383" t="str">
        <f>IF(Table3937[[#This Row],[PRIMARY CONTACT]]=Table3937[[#This Row],[WHATSAPP CONTACT]],"Same Contact","Different Contact")</f>
        <v>Same Contact</v>
      </c>
      <c r="T466" s="383" t="str">
        <f>IF(LEN(SUBSTITUTE(Table3937[[#This Row],[PRIMARY CONTACT]]," ",""))=10,SUBSTITUTE(Table3937[[#This Row],[PRIMARY CONTACT]]," ","") &amp; " - Proper","- Follow Up")</f>
        <v>8591697900 - Proper</v>
      </c>
      <c r="U466" s="383" t="s">
        <v>3057</v>
      </c>
      <c r="V466" s="383" t="s">
        <v>71</v>
      </c>
      <c r="W466" s="383" t="s">
        <v>47</v>
      </c>
      <c r="X466" s="383" t="s">
        <v>44</v>
      </c>
      <c r="Y466" s="383" t="s">
        <v>44</v>
      </c>
      <c r="Z466" s="383" t="s">
        <v>44</v>
      </c>
      <c r="AA466" s="383" t="s">
        <v>44</v>
      </c>
      <c r="AB466" s="383"/>
    </row>
    <row r="467" spans="1:28" ht="13.8">
      <c r="A467" s="387">
        <v>466</v>
      </c>
      <c r="B467" s="419" t="s">
        <v>10710</v>
      </c>
      <c r="C467" s="383" t="s">
        <v>10710</v>
      </c>
      <c r="D467" s="383" t="s">
        <v>10710</v>
      </c>
      <c r="E467" s="383" t="s">
        <v>2719</v>
      </c>
      <c r="F467" s="383">
        <v>1131</v>
      </c>
      <c r="G467" s="383" t="s">
        <v>71</v>
      </c>
      <c r="H467" s="383" t="s">
        <v>5923</v>
      </c>
      <c r="I467" s="383" t="s">
        <v>5924</v>
      </c>
      <c r="J467" s="383" t="s">
        <v>5978</v>
      </c>
      <c r="K467" s="383" t="s">
        <v>5926</v>
      </c>
      <c r="L467" s="383" t="s">
        <v>8341</v>
      </c>
      <c r="M467" s="383" t="s">
        <v>10289</v>
      </c>
      <c r="N467" s="383" t="s">
        <v>44</v>
      </c>
      <c r="O467" s="383" t="str">
        <f>IF(LEN(SUBSTITUTE(Table3937[[#This Row],[PRIMARY CONTACT]]," ",""))=10,SUBSTITUTE(Table3937[[#This Row],[PRIMARY CONTACT]]," ","") &amp; " - Proper","- Follow Up")</f>
        <v>9969982000 - Proper</v>
      </c>
      <c r="P467" s="383" t="s">
        <v>5927</v>
      </c>
      <c r="Q467" s="383">
        <v>9969982000</v>
      </c>
      <c r="R467" s="383" t="str">
        <f>SUBSTITUTE(Table3937[[#This Row],[whatsapp_number]]," ","")</f>
        <v>9969982000</v>
      </c>
      <c r="S467" s="383" t="str">
        <f>IF(Table3937[[#This Row],[PRIMARY CONTACT]]=Table3937[[#This Row],[WHATSAPP CONTACT]],"Same Contact","Different Contact")</f>
        <v>Same Contact</v>
      </c>
      <c r="T467" s="383" t="str">
        <f>IF(LEN(SUBSTITUTE(Table3937[[#This Row],[PRIMARY CONTACT]]," ",""))=10,SUBSTITUTE(Table3937[[#This Row],[PRIMARY CONTACT]]," ","") &amp; " - Proper","- Follow Up")</f>
        <v>9969982000 - Proper</v>
      </c>
      <c r="U467" s="383" t="s">
        <v>8341</v>
      </c>
      <c r="V467" s="383" t="s">
        <v>71</v>
      </c>
      <c r="W467" s="383" t="s">
        <v>47</v>
      </c>
      <c r="X467" s="383" t="s">
        <v>44</v>
      </c>
      <c r="Y467" s="383" t="s">
        <v>44</v>
      </c>
      <c r="Z467" s="383" t="s">
        <v>44</v>
      </c>
      <c r="AA467" s="383" t="s">
        <v>44</v>
      </c>
      <c r="AB467" s="383"/>
    </row>
    <row r="468" spans="1:28" ht="13.8">
      <c r="A468" s="387">
        <v>467</v>
      </c>
      <c r="B468" s="419" t="s">
        <v>10710</v>
      </c>
      <c r="C468" s="383" t="s">
        <v>10710</v>
      </c>
      <c r="D468" s="383" t="s">
        <v>10710</v>
      </c>
      <c r="E468" s="383" t="s">
        <v>8991</v>
      </c>
      <c r="F468" s="383">
        <v>1133</v>
      </c>
      <c r="G468" s="383" t="s">
        <v>1865</v>
      </c>
      <c r="H468" s="383" t="s">
        <v>1866</v>
      </c>
      <c r="I468" s="383" t="s">
        <v>8488</v>
      </c>
      <c r="J468" s="383" t="s">
        <v>1860</v>
      </c>
      <c r="K468" s="383" t="s">
        <v>9552</v>
      </c>
      <c r="L468" s="383" t="s">
        <v>8341</v>
      </c>
      <c r="M468" s="383" t="s">
        <v>10290</v>
      </c>
      <c r="N468" s="383" t="s">
        <v>44</v>
      </c>
      <c r="O468" s="383" t="str">
        <f>IF(LEN(SUBSTITUTE(Table3937[[#This Row],[PRIMARY CONTACT]]," ",""))=10,SUBSTITUTE(Table3937[[#This Row],[PRIMARY CONTACT]]," ","") &amp; " - Proper","- Follow Up")</f>
        <v>9833930531 - Proper</v>
      </c>
      <c r="P468" s="383" t="s">
        <v>1857</v>
      </c>
      <c r="Q468" s="383">
        <v>9833930531</v>
      </c>
      <c r="R468" s="383" t="str">
        <f>SUBSTITUTE(Table3937[[#This Row],[whatsapp_number]]," ","")</f>
        <v>9833930531</v>
      </c>
      <c r="S468" s="383" t="str">
        <f>IF(Table3937[[#This Row],[PRIMARY CONTACT]]=Table3937[[#This Row],[WHATSAPP CONTACT]],"Same Contact","Different Contact")</f>
        <v>Same Contact</v>
      </c>
      <c r="T468" s="383" t="str">
        <f>IF(LEN(SUBSTITUTE(Table3937[[#This Row],[PRIMARY CONTACT]]," ",""))=10,SUBSTITUTE(Table3937[[#This Row],[PRIMARY CONTACT]]," ","") &amp; " - Proper","- Follow Up")</f>
        <v>9833930531 - Proper</v>
      </c>
      <c r="U468" s="383" t="s">
        <v>10596</v>
      </c>
      <c r="V468" s="393" t="s">
        <v>3351</v>
      </c>
      <c r="W468" s="383" t="s">
        <v>47</v>
      </c>
      <c r="X468" s="383" t="s">
        <v>44</v>
      </c>
      <c r="Y468" s="383" t="s">
        <v>44</v>
      </c>
      <c r="Z468" s="383" t="s">
        <v>44</v>
      </c>
      <c r="AA468" s="383" t="s">
        <v>44</v>
      </c>
      <c r="AB468" s="383"/>
    </row>
    <row r="469" spans="1:28" ht="13.8">
      <c r="A469" s="387">
        <v>468</v>
      </c>
      <c r="B469" s="419" t="s">
        <v>10710</v>
      </c>
      <c r="C469" s="383" t="s">
        <v>10710</v>
      </c>
      <c r="D469" s="383" t="s">
        <v>10710</v>
      </c>
      <c r="E469" s="383" t="s">
        <v>8992</v>
      </c>
      <c r="F469" s="383">
        <v>1134</v>
      </c>
      <c r="G469" s="383" t="s">
        <v>71</v>
      </c>
      <c r="H469" s="383" t="s">
        <v>5923</v>
      </c>
      <c r="I469" s="383" t="s">
        <v>5924</v>
      </c>
      <c r="J469" s="383" t="s">
        <v>5979</v>
      </c>
      <c r="K469" s="383" t="s">
        <v>5926</v>
      </c>
      <c r="L469" s="383" t="s">
        <v>8341</v>
      </c>
      <c r="M469" s="383" t="s">
        <v>8341</v>
      </c>
      <c r="N469" s="383" t="s">
        <v>44</v>
      </c>
      <c r="O469" s="383" t="str">
        <f>IF(LEN(SUBSTITUTE(Table3937[[#This Row],[PRIMARY CONTACT]]," ",""))=10,SUBSTITUTE(Table3937[[#This Row],[PRIMARY CONTACT]]," ","") &amp; " - Proper","- Follow Up")</f>
        <v>- Follow Up</v>
      </c>
      <c r="P469" s="383" t="s">
        <v>5927</v>
      </c>
      <c r="Q469" s="383" t="s">
        <v>71</v>
      </c>
      <c r="R469" s="383" t="str">
        <f>SUBSTITUTE(Table3937[[#This Row],[whatsapp_number]]," ","")</f>
        <v>UNDEFINED</v>
      </c>
      <c r="S469" s="383" t="str">
        <f>IF(Table3937[[#This Row],[PRIMARY CONTACT]]=Table3937[[#This Row],[WHATSAPP CONTACT]],"Same Contact","Different Contact")</f>
        <v>Same Contact</v>
      </c>
      <c r="T469" s="383" t="str">
        <f>IF(LEN(SUBSTITUTE(Table3937[[#This Row],[PRIMARY CONTACT]]," ",""))=10,SUBSTITUTE(Table3937[[#This Row],[PRIMARY CONTACT]]," ","") &amp; " - Proper","- Follow Up")</f>
        <v>- Follow Up</v>
      </c>
      <c r="U469" s="383" t="s">
        <v>8341</v>
      </c>
      <c r="V469" s="383" t="s">
        <v>71</v>
      </c>
      <c r="W469" s="383" t="s">
        <v>47</v>
      </c>
      <c r="X469" s="383" t="s">
        <v>44</v>
      </c>
      <c r="Y469" s="383" t="s">
        <v>44</v>
      </c>
      <c r="Z469" s="383" t="s">
        <v>44</v>
      </c>
      <c r="AA469" s="383" t="s">
        <v>44</v>
      </c>
      <c r="AB469" s="383"/>
    </row>
    <row r="470" spans="1:28" ht="13.8">
      <c r="A470" s="387">
        <v>469</v>
      </c>
      <c r="B470" s="419" t="s">
        <v>10710</v>
      </c>
      <c r="C470" s="383" t="s">
        <v>10710</v>
      </c>
      <c r="D470" s="383" t="s">
        <v>10710</v>
      </c>
      <c r="E470" s="383" t="s">
        <v>8993</v>
      </c>
      <c r="F470" s="383">
        <v>1135</v>
      </c>
      <c r="G470" s="383" t="s">
        <v>71</v>
      </c>
      <c r="H470" s="383" t="s">
        <v>1876</v>
      </c>
      <c r="I470" s="383" t="s">
        <v>8489</v>
      </c>
      <c r="J470" s="383" t="s">
        <v>1872</v>
      </c>
      <c r="K470" s="383" t="s">
        <v>9553</v>
      </c>
      <c r="L470" s="383" t="s">
        <v>8341</v>
      </c>
      <c r="M470" s="383" t="s">
        <v>10291</v>
      </c>
      <c r="N470" s="383" t="s">
        <v>44</v>
      </c>
      <c r="O470" s="383" t="str">
        <f>IF(LEN(SUBSTITUTE(Table3937[[#This Row],[PRIMARY CONTACT]]," ",""))=10,SUBSTITUTE(Table3937[[#This Row],[PRIMARY CONTACT]]," ","") &amp; " - Proper","- Follow Up")</f>
        <v>8080704119 - Proper</v>
      </c>
      <c r="P470" s="383" t="s">
        <v>1869</v>
      </c>
      <c r="Q470" s="383">
        <v>8080704119</v>
      </c>
      <c r="R470" s="383" t="str">
        <f>SUBSTITUTE(Table3937[[#This Row],[whatsapp_number]]," ","")</f>
        <v>8080704119</v>
      </c>
      <c r="S470" s="383" t="str">
        <f>IF(Table3937[[#This Row],[PRIMARY CONTACT]]=Table3937[[#This Row],[WHATSAPP CONTACT]],"Same Contact","Different Contact")</f>
        <v>Same Contact</v>
      </c>
      <c r="T470" s="383" t="str">
        <f>IF(LEN(SUBSTITUTE(Table3937[[#This Row],[PRIMARY CONTACT]]," ",""))=10,SUBSTITUTE(Table3937[[#This Row],[PRIMARY CONTACT]]," ","") &amp; " - Proper","- Follow Up")</f>
        <v>8080704119 - Proper</v>
      </c>
      <c r="U470" s="383" t="s">
        <v>2953</v>
      </c>
      <c r="V470" s="383" t="s">
        <v>71</v>
      </c>
      <c r="W470" s="383" t="s">
        <v>47</v>
      </c>
      <c r="X470" s="383" t="s">
        <v>44</v>
      </c>
      <c r="Y470" s="383" t="s">
        <v>44</v>
      </c>
      <c r="Z470" s="383" t="s">
        <v>44</v>
      </c>
      <c r="AA470" s="383" t="s">
        <v>44</v>
      </c>
      <c r="AB470" s="383"/>
    </row>
    <row r="471" spans="1:28" ht="13.8">
      <c r="A471" s="387">
        <v>470</v>
      </c>
      <c r="B471" s="419" t="s">
        <v>10710</v>
      </c>
      <c r="C471" s="383" t="s">
        <v>10710</v>
      </c>
      <c r="D471" s="383" t="s">
        <v>10710</v>
      </c>
      <c r="E471" s="383" t="s">
        <v>8994</v>
      </c>
      <c r="F471" s="383">
        <v>1137</v>
      </c>
      <c r="G471" s="383" t="s">
        <v>71</v>
      </c>
      <c r="H471" s="383" t="s">
        <v>1885</v>
      </c>
      <c r="I471" s="383" t="s">
        <v>1880</v>
      </c>
      <c r="J471" s="383" t="s">
        <v>1881</v>
      </c>
      <c r="K471" s="383" t="s">
        <v>1882</v>
      </c>
      <c r="L471" s="383" t="s">
        <v>8341</v>
      </c>
      <c r="M471" s="383" t="s">
        <v>10292</v>
      </c>
      <c r="N471" s="383" t="s">
        <v>44</v>
      </c>
      <c r="O471" s="383" t="str">
        <f>IF(LEN(SUBSTITUTE(Table3937[[#This Row],[PRIMARY CONTACT]]," ",""))=10,SUBSTITUTE(Table3937[[#This Row],[PRIMARY CONTACT]]," ","") &amp; " - Proper","- Follow Up")</f>
        <v>7777029097 - Proper</v>
      </c>
      <c r="P471" s="383" t="s">
        <v>1878</v>
      </c>
      <c r="Q471" s="383">
        <v>7777029097</v>
      </c>
      <c r="R471" s="383" t="str">
        <f>SUBSTITUTE(Table3937[[#This Row],[whatsapp_number]]," ","")</f>
        <v>7777029097</v>
      </c>
      <c r="S471" s="383" t="str">
        <f>IF(Table3937[[#This Row],[PRIMARY CONTACT]]=Table3937[[#This Row],[WHATSAPP CONTACT]],"Same Contact","Different Contact")</f>
        <v>Same Contact</v>
      </c>
      <c r="T471" s="383" t="str">
        <f>IF(LEN(SUBSTITUTE(Table3937[[#This Row],[PRIMARY CONTACT]]," ",""))=10,SUBSTITUTE(Table3937[[#This Row],[PRIMARY CONTACT]]," ","") &amp; " - Proper","- Follow Up")</f>
        <v>7777029097 - Proper</v>
      </c>
      <c r="U471" s="383" t="s">
        <v>2953</v>
      </c>
      <c r="V471" s="383" t="s">
        <v>71</v>
      </c>
      <c r="W471" s="383" t="s">
        <v>47</v>
      </c>
      <c r="X471" s="383" t="s">
        <v>44</v>
      </c>
      <c r="Y471" s="383" t="s">
        <v>44</v>
      </c>
      <c r="Z471" s="383" t="s">
        <v>44</v>
      </c>
      <c r="AA471" s="383" t="s">
        <v>44</v>
      </c>
      <c r="AB471" s="383"/>
    </row>
    <row r="472" spans="1:28" ht="13.8">
      <c r="A472" s="387">
        <v>471</v>
      </c>
      <c r="B472" s="419" t="s">
        <v>10710</v>
      </c>
      <c r="C472" s="383" t="s">
        <v>10710</v>
      </c>
      <c r="D472" s="383" t="s">
        <v>10710</v>
      </c>
      <c r="E472" s="383" t="s">
        <v>1886</v>
      </c>
      <c r="F472" s="383">
        <v>1138</v>
      </c>
      <c r="G472" s="383" t="s">
        <v>71</v>
      </c>
      <c r="H472" s="383" t="s">
        <v>1892</v>
      </c>
      <c r="I472" s="383" t="s">
        <v>1889</v>
      </c>
      <c r="J472" s="383" t="s">
        <v>1890</v>
      </c>
      <c r="K472" s="383" t="s">
        <v>116</v>
      </c>
      <c r="L472" s="383" t="s">
        <v>8341</v>
      </c>
      <c r="M472" s="383" t="s">
        <v>10293</v>
      </c>
      <c r="N472" s="383" t="s">
        <v>44</v>
      </c>
      <c r="O472" s="383" t="str">
        <f>IF(LEN(SUBSTITUTE(Table3937[[#This Row],[PRIMARY CONTACT]]," ",""))=10,SUBSTITUTE(Table3937[[#This Row],[PRIMARY CONTACT]]," ","") &amp; " - Proper","- Follow Up")</f>
        <v>9820947010 - Proper</v>
      </c>
      <c r="P472" s="383" t="s">
        <v>1887</v>
      </c>
      <c r="Q472" s="383">
        <v>9820947010</v>
      </c>
      <c r="R472" s="383" t="str">
        <f>SUBSTITUTE(Table3937[[#This Row],[whatsapp_number]]," ","")</f>
        <v>9820947010</v>
      </c>
      <c r="S472" s="383" t="str">
        <f>IF(Table3937[[#This Row],[PRIMARY CONTACT]]=Table3937[[#This Row],[WHATSAPP CONTACT]],"Same Contact","Different Contact")</f>
        <v>Same Contact</v>
      </c>
      <c r="T472" s="383" t="str">
        <f>IF(LEN(SUBSTITUTE(Table3937[[#This Row],[PRIMARY CONTACT]]," ",""))=10,SUBSTITUTE(Table3937[[#This Row],[PRIMARY CONTACT]]," ","") &amp; " - Proper","- Follow Up")</f>
        <v>9820947010 - Proper</v>
      </c>
      <c r="U472" s="383" t="s">
        <v>2953</v>
      </c>
      <c r="V472" s="383" t="s">
        <v>71</v>
      </c>
      <c r="W472" s="383" t="s">
        <v>47</v>
      </c>
      <c r="X472" s="383" t="s">
        <v>44</v>
      </c>
      <c r="Y472" s="383" t="s">
        <v>44</v>
      </c>
      <c r="Z472" s="383" t="s">
        <v>44</v>
      </c>
      <c r="AA472" s="383" t="s">
        <v>44</v>
      </c>
      <c r="AB472" s="383"/>
    </row>
    <row r="473" spans="1:28" ht="13.8">
      <c r="A473" s="387">
        <v>472</v>
      </c>
      <c r="B473" s="419" t="s">
        <v>10710</v>
      </c>
      <c r="C473" s="383" t="s">
        <v>10710</v>
      </c>
      <c r="D473" s="383" t="s">
        <v>10710</v>
      </c>
      <c r="E473" s="383" t="s">
        <v>1894</v>
      </c>
      <c r="F473" s="383">
        <v>1139</v>
      </c>
      <c r="G473" s="383" t="s">
        <v>71</v>
      </c>
      <c r="H473" s="383" t="s">
        <v>1900</v>
      </c>
      <c r="I473" s="383" t="s">
        <v>8490</v>
      </c>
      <c r="J473" s="383" t="s">
        <v>1898</v>
      </c>
      <c r="K473" s="383" t="s">
        <v>1742</v>
      </c>
      <c r="L473" s="383" t="s">
        <v>9708</v>
      </c>
      <c r="M473" s="383" t="s">
        <v>10294</v>
      </c>
      <c r="N473" s="383" t="s">
        <v>44</v>
      </c>
      <c r="O473" s="383" t="str">
        <f>IF(LEN(SUBSTITUTE(Table3937[[#This Row],[PRIMARY CONTACT]]," ",""))=10,SUBSTITUTE(Table3937[[#This Row],[PRIMARY CONTACT]]," ","") &amp; " - Proper","- Follow Up")</f>
        <v>9903635366 - Proper</v>
      </c>
      <c r="P473" s="383" t="s">
        <v>3356</v>
      </c>
      <c r="Q473" s="383">
        <v>9903635366</v>
      </c>
      <c r="R473" s="383" t="str">
        <f>SUBSTITUTE(Table3937[[#This Row],[whatsapp_number]]," ","")</f>
        <v>9903635366</v>
      </c>
      <c r="S473" s="383" t="str">
        <f>IF(Table3937[[#This Row],[PRIMARY CONTACT]]=Table3937[[#This Row],[WHATSAPP CONTACT]],"Same Contact","Different Contact")</f>
        <v>Same Contact</v>
      </c>
      <c r="T473" s="383" t="str">
        <f>IF(LEN(SUBSTITUTE(Table3937[[#This Row],[PRIMARY CONTACT]]," ",""))=10,SUBSTITUTE(Table3937[[#This Row],[PRIMARY CONTACT]]," ","") &amp; " - Proper","- Follow Up")</f>
        <v>9903635366 - Proper</v>
      </c>
      <c r="U473" s="383" t="s">
        <v>3346</v>
      </c>
      <c r="V473" s="383" t="s">
        <v>71</v>
      </c>
      <c r="W473" s="383" t="s">
        <v>47</v>
      </c>
      <c r="X473" s="383" t="s">
        <v>44</v>
      </c>
      <c r="Y473" s="383" t="s">
        <v>44</v>
      </c>
      <c r="Z473" s="383" t="s">
        <v>44</v>
      </c>
      <c r="AA473" s="383" t="s">
        <v>44</v>
      </c>
      <c r="AB473" s="383"/>
    </row>
    <row r="474" spans="1:28" ht="13.8">
      <c r="A474" s="387">
        <v>473</v>
      </c>
      <c r="B474" s="419" t="s">
        <v>10710</v>
      </c>
      <c r="C474" s="383" t="s">
        <v>10710</v>
      </c>
      <c r="D474" s="383" t="s">
        <v>10710</v>
      </c>
      <c r="E474" s="383" t="s">
        <v>1902</v>
      </c>
      <c r="F474" s="383">
        <v>1160</v>
      </c>
      <c r="G474" s="383" t="s">
        <v>71</v>
      </c>
      <c r="H474" s="383" t="s">
        <v>1912</v>
      </c>
      <c r="I474" s="383" t="s">
        <v>1905</v>
      </c>
      <c r="J474" s="383" t="s">
        <v>1906</v>
      </c>
      <c r="K474" s="383" t="s">
        <v>9499</v>
      </c>
      <c r="L474" s="383" t="s">
        <v>9709</v>
      </c>
      <c r="M474" s="383" t="s">
        <v>10295</v>
      </c>
      <c r="N474" s="383" t="s">
        <v>44</v>
      </c>
      <c r="O474" s="383" t="str">
        <f>IF(LEN(SUBSTITUTE(Table3937[[#This Row],[PRIMARY CONTACT]]," ",""))=10,SUBSTITUTE(Table3937[[#This Row],[PRIMARY CONTACT]]," ","") &amp; " - Proper","- Follow Up")</f>
        <v>7977963942 - Proper</v>
      </c>
      <c r="P474" s="383" t="s">
        <v>1903</v>
      </c>
      <c r="Q474" s="383">
        <v>7977963942</v>
      </c>
      <c r="R474" s="383" t="str">
        <f>SUBSTITUTE(Table3937[[#This Row],[whatsapp_number]]," ","")</f>
        <v>7977963942</v>
      </c>
      <c r="S474" s="383" t="str">
        <f>IF(Table3937[[#This Row],[PRIMARY CONTACT]]=Table3937[[#This Row],[WHATSAPP CONTACT]],"Same Contact","Different Contact")</f>
        <v>Same Contact</v>
      </c>
      <c r="T474" s="383" t="str">
        <f>IF(LEN(SUBSTITUTE(Table3937[[#This Row],[PRIMARY CONTACT]]," ",""))=10,SUBSTITUTE(Table3937[[#This Row],[PRIMARY CONTACT]]," ","") &amp; " - Proper","- Follow Up")</f>
        <v>7977963942 - Proper</v>
      </c>
      <c r="U474" s="383" t="s">
        <v>1908</v>
      </c>
      <c r="V474" s="383" t="s">
        <v>71</v>
      </c>
      <c r="W474" s="383" t="s">
        <v>47</v>
      </c>
      <c r="X474" s="383" t="s">
        <v>44</v>
      </c>
      <c r="Y474" s="383" t="s">
        <v>44</v>
      </c>
      <c r="Z474" s="383" t="s">
        <v>44</v>
      </c>
      <c r="AA474" s="383" t="s">
        <v>44</v>
      </c>
      <c r="AB474" s="383"/>
    </row>
    <row r="475" spans="1:28" ht="13.8">
      <c r="A475" s="387">
        <v>474</v>
      </c>
      <c r="B475" s="419" t="s">
        <v>10710</v>
      </c>
      <c r="C475" s="383" t="s">
        <v>10710</v>
      </c>
      <c r="D475" s="383" t="s">
        <v>10710</v>
      </c>
      <c r="E475" s="383" t="s">
        <v>1913</v>
      </c>
      <c r="F475" s="383">
        <v>1165</v>
      </c>
      <c r="G475" s="383" t="s">
        <v>71</v>
      </c>
      <c r="H475" s="383" t="s">
        <v>1920</v>
      </c>
      <c r="I475" s="383" t="s">
        <v>1916</v>
      </c>
      <c r="J475" s="383" t="s">
        <v>1916</v>
      </c>
      <c r="K475" s="383" t="s">
        <v>3359</v>
      </c>
      <c r="L475" s="383" t="s">
        <v>8341</v>
      </c>
      <c r="M475" s="383" t="s">
        <v>10296</v>
      </c>
      <c r="N475" s="383" t="s">
        <v>44</v>
      </c>
      <c r="O475" s="383" t="str">
        <f>IF(LEN(SUBSTITUTE(Table3937[[#This Row],[PRIMARY CONTACT]]," ",""))=10,SUBSTITUTE(Table3937[[#This Row],[PRIMARY CONTACT]]," ","") &amp; " - Proper","- Follow Up")</f>
        <v>9699393949 - Proper</v>
      </c>
      <c r="P475" s="383" t="s">
        <v>1914</v>
      </c>
      <c r="Q475" s="383">
        <v>9699393949</v>
      </c>
      <c r="R475" s="383" t="str">
        <f>SUBSTITUTE(Table3937[[#This Row],[whatsapp_number]]," ","")</f>
        <v>9699393949</v>
      </c>
      <c r="S475" s="383" t="str">
        <f>IF(Table3937[[#This Row],[PRIMARY CONTACT]]=Table3937[[#This Row],[WHATSAPP CONTACT]],"Same Contact","Different Contact")</f>
        <v>Same Contact</v>
      </c>
      <c r="T475" s="383" t="str">
        <f>IF(LEN(SUBSTITUTE(Table3937[[#This Row],[PRIMARY CONTACT]]," ",""))=10,SUBSTITUTE(Table3937[[#This Row],[PRIMARY CONTACT]]," ","") &amp; " - Proper","- Follow Up")</f>
        <v>9699393949 - Proper</v>
      </c>
      <c r="U475" s="383" t="s">
        <v>10597</v>
      </c>
      <c r="V475" s="383" t="s">
        <v>71</v>
      </c>
      <c r="W475" s="383" t="s">
        <v>47</v>
      </c>
      <c r="X475" s="383" t="s">
        <v>44</v>
      </c>
      <c r="Y475" s="383" t="s">
        <v>44</v>
      </c>
      <c r="Z475" s="383" t="s">
        <v>44</v>
      </c>
      <c r="AA475" s="383" t="s">
        <v>44</v>
      </c>
      <c r="AB475" s="383"/>
    </row>
    <row r="476" spans="1:28" ht="13.8">
      <c r="A476" s="387">
        <v>475</v>
      </c>
      <c r="B476" s="419" t="s">
        <v>10710</v>
      </c>
      <c r="C476" s="383" t="s">
        <v>10710</v>
      </c>
      <c r="D476" s="383" t="s">
        <v>10710</v>
      </c>
      <c r="E476" s="383" t="s">
        <v>1921</v>
      </c>
      <c r="F476" s="383">
        <v>1166</v>
      </c>
      <c r="G476" s="383" t="s">
        <v>1929</v>
      </c>
      <c r="H476" s="383" t="s">
        <v>1930</v>
      </c>
      <c r="I476" s="383" t="s">
        <v>3362</v>
      </c>
      <c r="J476" s="383" t="s">
        <v>1924</v>
      </c>
      <c r="K476" s="383" t="s">
        <v>3364</v>
      </c>
      <c r="L476" s="383" t="s">
        <v>9720</v>
      </c>
      <c r="M476" s="383" t="s">
        <v>10297</v>
      </c>
      <c r="N476" s="383" t="s">
        <v>44</v>
      </c>
      <c r="O476" s="383" t="str">
        <f>IF(LEN(SUBSTITUTE(Table3937[[#This Row],[PRIMARY CONTACT]]," ",""))=10,SUBSTITUTE(Table3937[[#This Row],[PRIMARY CONTACT]]," ","") &amp; " - Proper","- Follow Up")</f>
        <v>8286810610 - Proper</v>
      </c>
      <c r="P476" s="383" t="s">
        <v>1922</v>
      </c>
      <c r="Q476" s="383">
        <v>8286810610</v>
      </c>
      <c r="R476" s="383" t="str">
        <f>SUBSTITUTE(Table3937[[#This Row],[whatsapp_number]]," ","")</f>
        <v>8286810610</v>
      </c>
      <c r="S476" s="383" t="str">
        <f>IF(Table3937[[#This Row],[PRIMARY CONTACT]]=Table3937[[#This Row],[WHATSAPP CONTACT]],"Same Contact","Different Contact")</f>
        <v>Same Contact</v>
      </c>
      <c r="T476" s="383" t="str">
        <f>IF(LEN(SUBSTITUTE(Table3937[[#This Row],[PRIMARY CONTACT]]," ",""))=10,SUBSTITUTE(Table3937[[#This Row],[PRIMARY CONTACT]]," ","") &amp; " - Proper","- Follow Up")</f>
        <v>8286810610 - Proper</v>
      </c>
      <c r="U476" s="383" t="s">
        <v>2953</v>
      </c>
      <c r="V476" s="393" t="s">
        <v>1927</v>
      </c>
      <c r="W476" s="383" t="s">
        <v>47</v>
      </c>
      <c r="X476" s="383" t="s">
        <v>44</v>
      </c>
      <c r="Y476" s="383" t="s">
        <v>44</v>
      </c>
      <c r="Z476" s="383" t="s">
        <v>44</v>
      </c>
      <c r="AA476" s="383" t="s">
        <v>44</v>
      </c>
      <c r="AB476" s="383"/>
    </row>
    <row r="477" spans="1:28" ht="13.8">
      <c r="A477" s="387">
        <v>476</v>
      </c>
      <c r="B477" s="286" t="s">
        <v>3842</v>
      </c>
      <c r="C477" s="383" t="s">
        <v>10709</v>
      </c>
      <c r="D477" s="383" t="s">
        <v>10988</v>
      </c>
      <c r="E477" s="383" t="s">
        <v>8995</v>
      </c>
      <c r="F477" s="383">
        <v>1167</v>
      </c>
      <c r="G477" s="383" t="s">
        <v>71</v>
      </c>
      <c r="H477" s="383" t="s">
        <v>3547</v>
      </c>
      <c r="I477" s="383" t="s">
        <v>3844</v>
      </c>
      <c r="J477" s="383" t="s">
        <v>3845</v>
      </c>
      <c r="K477" s="383" t="s">
        <v>507</v>
      </c>
      <c r="L477" s="383" t="s">
        <v>8341</v>
      </c>
      <c r="M477" s="383" t="s">
        <v>10298</v>
      </c>
      <c r="N477" s="383" t="s">
        <v>44</v>
      </c>
      <c r="O477" s="383" t="str">
        <f>IF(LEN(SUBSTITUTE(Table3937[[#This Row],[PRIMARY CONTACT]]," ",""))=10,SUBSTITUTE(Table3937[[#This Row],[PRIMARY CONTACT]]," ","") &amp; " - Proper","- Follow Up")</f>
        <v>9534114404 - Proper</v>
      </c>
      <c r="P477" s="383" t="s">
        <v>2780</v>
      </c>
      <c r="Q477" s="383">
        <v>9534114404</v>
      </c>
      <c r="R477" s="383" t="str">
        <f>SUBSTITUTE(Table3937[[#This Row],[whatsapp_number]]," ","")</f>
        <v>9534114404</v>
      </c>
      <c r="S477" s="383" t="str">
        <f>IF(Table3937[[#This Row],[PRIMARY CONTACT]]=Table3937[[#This Row],[WHATSAPP CONTACT]],"Same Contact","Different Contact")</f>
        <v>Same Contact</v>
      </c>
      <c r="T477" s="383" t="str">
        <f>IF(LEN(SUBSTITUTE(Table3937[[#This Row],[PRIMARY CONTACT]]," ",""))=10,SUBSTITUTE(Table3937[[#This Row],[PRIMARY CONTACT]]," ","") &amp; " - Proper","- Follow Up")</f>
        <v>9534114404 - Proper</v>
      </c>
      <c r="U477" s="383" t="s">
        <v>3301</v>
      </c>
      <c r="V477" s="393" t="s">
        <v>2786</v>
      </c>
      <c r="W477" s="383" t="s">
        <v>47</v>
      </c>
      <c r="X477" s="101" t="s">
        <v>49</v>
      </c>
      <c r="Y477" s="5" t="s">
        <v>2164</v>
      </c>
      <c r="Z477" s="5" t="s">
        <v>7773</v>
      </c>
      <c r="AA477" s="101" t="s">
        <v>7774</v>
      </c>
      <c r="AB477" s="383"/>
    </row>
    <row r="478" spans="1:28" ht="13.8">
      <c r="A478" s="387">
        <v>477</v>
      </c>
      <c r="B478" s="383" t="s">
        <v>10710</v>
      </c>
      <c r="C478" s="383" t="s">
        <v>10710</v>
      </c>
      <c r="D478" s="383" t="s">
        <v>10710</v>
      </c>
      <c r="E478" s="383" t="s">
        <v>8996</v>
      </c>
      <c r="F478" s="383">
        <v>1170</v>
      </c>
      <c r="G478" s="383" t="s">
        <v>71</v>
      </c>
      <c r="H478" s="383" t="s">
        <v>71</v>
      </c>
      <c r="I478" s="383" t="s">
        <v>1949</v>
      </c>
      <c r="J478" s="383" t="s">
        <v>1949</v>
      </c>
      <c r="K478" s="383" t="s">
        <v>1950</v>
      </c>
      <c r="L478" s="383" t="s">
        <v>8341</v>
      </c>
      <c r="M478" s="383" t="s">
        <v>10299</v>
      </c>
      <c r="N478" s="383" t="s">
        <v>44</v>
      </c>
      <c r="O478" s="383" t="str">
        <f>IF(LEN(SUBSTITUTE(Table3937[[#This Row],[PRIMARY CONTACT]]," ",""))=10,SUBSTITUTE(Table3937[[#This Row],[PRIMARY CONTACT]]," ","") &amp; " - Proper","- Follow Up")</f>
        <v>9167547808 - Proper</v>
      </c>
      <c r="P478" s="383" t="s">
        <v>1947</v>
      </c>
      <c r="Q478" s="383">
        <v>9167547808</v>
      </c>
      <c r="R478" s="383" t="str">
        <f>SUBSTITUTE(Table3937[[#This Row],[whatsapp_number]]," ","")</f>
        <v>9167547808</v>
      </c>
      <c r="S478" s="383" t="str">
        <f>IF(Table3937[[#This Row],[PRIMARY CONTACT]]=Table3937[[#This Row],[WHATSAPP CONTACT]],"Same Contact","Different Contact")</f>
        <v>Same Contact</v>
      </c>
      <c r="T478" s="383" t="str">
        <f>IF(LEN(SUBSTITUTE(Table3937[[#This Row],[PRIMARY CONTACT]]," ",""))=10,SUBSTITUTE(Table3937[[#This Row],[PRIMARY CONTACT]]," ","") &amp; " - Proper","- Follow Up")</f>
        <v>9167547808 - Proper</v>
      </c>
      <c r="U478" s="383" t="s">
        <v>2953</v>
      </c>
      <c r="V478" s="383" t="s">
        <v>71</v>
      </c>
      <c r="W478" s="383" t="s">
        <v>47</v>
      </c>
      <c r="X478" s="383" t="s">
        <v>44</v>
      </c>
      <c r="Y478" s="383" t="s">
        <v>44</v>
      </c>
      <c r="Z478" s="383" t="s">
        <v>44</v>
      </c>
      <c r="AA478" s="383" t="s">
        <v>44</v>
      </c>
      <c r="AB478" s="383"/>
    </row>
    <row r="479" spans="1:28" ht="13.8">
      <c r="A479" s="387">
        <v>478</v>
      </c>
      <c r="B479" s="383" t="s">
        <v>10710</v>
      </c>
      <c r="C479" s="383" t="s">
        <v>10710</v>
      </c>
      <c r="D479" s="383" t="s">
        <v>10710</v>
      </c>
      <c r="E479" s="383" t="s">
        <v>8997</v>
      </c>
      <c r="F479" s="383">
        <v>1171</v>
      </c>
      <c r="G479" s="383" t="s">
        <v>71</v>
      </c>
      <c r="H479" s="383" t="s">
        <v>1958</v>
      </c>
      <c r="I479" s="383" t="s">
        <v>1954</v>
      </c>
      <c r="J479" s="383" t="s">
        <v>1955</v>
      </c>
      <c r="K479" s="383" t="s">
        <v>42</v>
      </c>
      <c r="L479" s="383" t="s">
        <v>9721</v>
      </c>
      <c r="M479" s="383" t="s">
        <v>10300</v>
      </c>
      <c r="N479" s="383" t="s">
        <v>44</v>
      </c>
      <c r="O479" s="383" t="str">
        <f>IF(LEN(SUBSTITUTE(Table3937[[#This Row],[PRIMARY CONTACT]]," ",""))=10,SUBSTITUTE(Table3937[[#This Row],[PRIMARY CONTACT]]," ","") &amp; " - Proper","- Follow Up")</f>
        <v>9967119121 - Proper</v>
      </c>
      <c r="P479" s="383" t="s">
        <v>1952</v>
      </c>
      <c r="Q479" s="383">
        <v>9967119121</v>
      </c>
      <c r="R479" s="383" t="str">
        <f>SUBSTITUTE(Table3937[[#This Row],[whatsapp_number]]," ","")</f>
        <v>9967119121</v>
      </c>
      <c r="S479" s="383" t="str">
        <f>IF(Table3937[[#This Row],[PRIMARY CONTACT]]=Table3937[[#This Row],[WHATSAPP CONTACT]],"Same Contact","Different Contact")</f>
        <v>Same Contact</v>
      </c>
      <c r="T479" s="383" t="str">
        <f>IF(LEN(SUBSTITUTE(Table3937[[#This Row],[PRIMARY CONTACT]]," ",""))=10,SUBSTITUTE(Table3937[[#This Row],[PRIMARY CONTACT]]," ","") &amp; " - Proper","- Follow Up")</f>
        <v>9967119121 - Proper</v>
      </c>
      <c r="U479" s="383" t="s">
        <v>2953</v>
      </c>
      <c r="V479" s="383" t="s">
        <v>71</v>
      </c>
      <c r="W479" s="383" t="s">
        <v>47</v>
      </c>
      <c r="X479" s="383" t="s">
        <v>44</v>
      </c>
      <c r="Y479" s="383" t="s">
        <v>44</v>
      </c>
      <c r="Z479" s="383" t="s">
        <v>44</v>
      </c>
      <c r="AA479" s="383" t="s">
        <v>44</v>
      </c>
      <c r="AB479" s="383"/>
    </row>
    <row r="480" spans="1:28" ht="13.8">
      <c r="A480" s="387">
        <v>479</v>
      </c>
      <c r="B480" s="383" t="s">
        <v>10710</v>
      </c>
      <c r="C480" s="383" t="s">
        <v>10710</v>
      </c>
      <c r="D480" s="383" t="s">
        <v>10710</v>
      </c>
      <c r="E480" s="383" t="s">
        <v>8998</v>
      </c>
      <c r="F480" s="383">
        <v>1173</v>
      </c>
      <c r="G480" s="383" t="s">
        <v>71</v>
      </c>
      <c r="H480" s="383" t="s">
        <v>1979</v>
      </c>
      <c r="I480" s="383" t="s">
        <v>8491</v>
      </c>
      <c r="J480" s="383" t="s">
        <v>1977</v>
      </c>
      <c r="K480" s="383" t="s">
        <v>42</v>
      </c>
      <c r="L480" s="383" t="s">
        <v>8341</v>
      </c>
      <c r="M480" s="383" t="s">
        <v>10301</v>
      </c>
      <c r="N480" s="383" t="s">
        <v>44</v>
      </c>
      <c r="O480" s="383" t="str">
        <f>IF(LEN(SUBSTITUTE(Table3937[[#This Row],[PRIMARY CONTACT]]," ",""))=10,SUBSTITUTE(Table3937[[#This Row],[PRIMARY CONTACT]]," ","") &amp; " - Proper","- Follow Up")</f>
        <v>9831788868 - Proper</v>
      </c>
      <c r="P480" s="383" t="s">
        <v>1974</v>
      </c>
      <c r="Q480" s="383">
        <v>9831788868</v>
      </c>
      <c r="R480" s="383" t="str">
        <f>SUBSTITUTE(Table3937[[#This Row],[whatsapp_number]]," ","")</f>
        <v>9831788868</v>
      </c>
      <c r="S480" s="383" t="str">
        <f>IF(Table3937[[#This Row],[PRIMARY CONTACT]]=Table3937[[#This Row],[WHATSAPP CONTACT]],"Same Contact","Different Contact")</f>
        <v>Same Contact</v>
      </c>
      <c r="T480" s="383" t="str">
        <f>IF(LEN(SUBSTITUTE(Table3937[[#This Row],[PRIMARY CONTACT]]," ",""))=10,SUBSTITUTE(Table3937[[#This Row],[PRIMARY CONTACT]]," ","") &amp; " - Proper","- Follow Up")</f>
        <v>9831788868 - Proper</v>
      </c>
      <c r="U480" s="383" t="s">
        <v>3369</v>
      </c>
      <c r="V480" s="383" t="s">
        <v>71</v>
      </c>
      <c r="W480" s="383" t="s">
        <v>47</v>
      </c>
      <c r="X480" s="383" t="s">
        <v>44</v>
      </c>
      <c r="Y480" s="383" t="s">
        <v>44</v>
      </c>
      <c r="Z480" s="383" t="s">
        <v>44</v>
      </c>
      <c r="AA480" s="383" t="s">
        <v>44</v>
      </c>
      <c r="AB480" s="383"/>
    </row>
    <row r="481" spans="1:28" ht="13.8">
      <c r="A481" s="387">
        <v>480</v>
      </c>
      <c r="B481" s="383" t="s">
        <v>10710</v>
      </c>
      <c r="C481" s="383" t="s">
        <v>10710</v>
      </c>
      <c r="D481" s="383" t="s">
        <v>10710</v>
      </c>
      <c r="E481" s="383" t="s">
        <v>8999</v>
      </c>
      <c r="F481" s="383">
        <v>1174</v>
      </c>
      <c r="G481" s="383" t="s">
        <v>71</v>
      </c>
      <c r="H481" s="383" t="s">
        <v>1986</v>
      </c>
      <c r="I481" s="383" t="s">
        <v>8491</v>
      </c>
      <c r="J481" s="383" t="s">
        <v>1984</v>
      </c>
      <c r="K481" s="383" t="s">
        <v>1985</v>
      </c>
      <c r="L481" s="383" t="s">
        <v>8341</v>
      </c>
      <c r="M481" s="383" t="s">
        <v>10302</v>
      </c>
      <c r="N481" s="383" t="s">
        <v>44</v>
      </c>
      <c r="O481" s="383" t="str">
        <f>IF(LEN(SUBSTITUTE(Table3937[[#This Row],[PRIMARY CONTACT]]," ",""))=10,SUBSTITUTE(Table3937[[#This Row],[PRIMARY CONTACT]]," ","") &amp; " - Proper","- Follow Up")</f>
        <v>8697046543 - Proper</v>
      </c>
      <c r="P481" s="383" t="s">
        <v>1982</v>
      </c>
      <c r="Q481" s="383">
        <v>8697046543</v>
      </c>
      <c r="R481" s="383" t="str">
        <f>SUBSTITUTE(Table3937[[#This Row],[whatsapp_number]]," ","")</f>
        <v>8697046543</v>
      </c>
      <c r="S481" s="383" t="str">
        <f>IF(Table3937[[#This Row],[PRIMARY CONTACT]]=Table3937[[#This Row],[WHATSAPP CONTACT]],"Same Contact","Different Contact")</f>
        <v>Same Contact</v>
      </c>
      <c r="T481" s="383" t="str">
        <f>IF(LEN(SUBSTITUTE(Table3937[[#This Row],[PRIMARY CONTACT]]," ",""))=10,SUBSTITUTE(Table3937[[#This Row],[PRIMARY CONTACT]]," ","") &amp; " - Proper","- Follow Up")</f>
        <v>8697046543 - Proper</v>
      </c>
      <c r="U481" s="383" t="s">
        <v>2953</v>
      </c>
      <c r="V481" s="383" t="s">
        <v>71</v>
      </c>
      <c r="W481" s="383" t="s">
        <v>47</v>
      </c>
      <c r="X481" s="383" t="s">
        <v>44</v>
      </c>
      <c r="Y481" s="383" t="s">
        <v>44</v>
      </c>
      <c r="Z481" s="383" t="s">
        <v>44</v>
      </c>
      <c r="AA481" s="383" t="s">
        <v>44</v>
      </c>
      <c r="AB481" s="383"/>
    </row>
    <row r="482" spans="1:28" ht="13.8">
      <c r="A482" s="387">
        <v>481</v>
      </c>
      <c r="B482" s="383" t="s">
        <v>10710</v>
      </c>
      <c r="C482" s="383" t="s">
        <v>10710</v>
      </c>
      <c r="D482" s="383" t="s">
        <v>10710</v>
      </c>
      <c r="E482" s="383" t="s">
        <v>9000</v>
      </c>
      <c r="F482" s="383">
        <v>1175</v>
      </c>
      <c r="G482" s="383" t="s">
        <v>71</v>
      </c>
      <c r="H482" s="383" t="s">
        <v>1998</v>
      </c>
      <c r="I482" s="383" t="s">
        <v>1991</v>
      </c>
      <c r="J482" s="383" t="s">
        <v>1992</v>
      </c>
      <c r="K482" s="383" t="s">
        <v>507</v>
      </c>
      <c r="L482" s="383" t="s">
        <v>9722</v>
      </c>
      <c r="M482" s="383" t="s">
        <v>10303</v>
      </c>
      <c r="N482" s="383" t="s">
        <v>44</v>
      </c>
      <c r="O482" s="383" t="str">
        <f>IF(LEN(SUBSTITUTE(Table3937[[#This Row],[PRIMARY CONTACT]]," ",""))=10,SUBSTITUTE(Table3937[[#This Row],[PRIMARY CONTACT]]," ","") &amp; " - Proper","- Follow Up")</f>
        <v>9921947820 - Proper</v>
      </c>
      <c r="P482" s="383" t="s">
        <v>1989</v>
      </c>
      <c r="Q482" s="383">
        <v>9921947820</v>
      </c>
      <c r="R482" s="383" t="str">
        <f>SUBSTITUTE(Table3937[[#This Row],[whatsapp_number]]," ","")</f>
        <v>9921947820</v>
      </c>
      <c r="S482" s="383" t="str">
        <f>IF(Table3937[[#This Row],[PRIMARY CONTACT]]=Table3937[[#This Row],[WHATSAPP CONTACT]],"Same Contact","Different Contact")</f>
        <v>Same Contact</v>
      </c>
      <c r="T482" s="383" t="str">
        <f>IF(LEN(SUBSTITUTE(Table3937[[#This Row],[PRIMARY CONTACT]]," ",""))=10,SUBSTITUTE(Table3937[[#This Row],[PRIMARY CONTACT]]," ","") &amp; " - Proper","- Follow Up")</f>
        <v>9921947820 - Proper</v>
      </c>
      <c r="U482" s="383" t="s">
        <v>3372</v>
      </c>
      <c r="V482" s="383" t="s">
        <v>71</v>
      </c>
      <c r="W482" s="383" t="s">
        <v>47</v>
      </c>
      <c r="X482" s="383" t="s">
        <v>44</v>
      </c>
      <c r="Y482" s="383" t="s">
        <v>44</v>
      </c>
      <c r="Z482" s="383" t="s">
        <v>44</v>
      </c>
      <c r="AA482" s="383" t="s">
        <v>44</v>
      </c>
      <c r="AB482" s="383"/>
    </row>
    <row r="483" spans="1:28" ht="13.8">
      <c r="A483" s="387">
        <v>482</v>
      </c>
      <c r="B483" s="383" t="s">
        <v>10710</v>
      </c>
      <c r="C483" s="383" t="s">
        <v>10710</v>
      </c>
      <c r="D483" s="383" t="s">
        <v>10710</v>
      </c>
      <c r="E483" s="383" t="s">
        <v>1999</v>
      </c>
      <c r="F483" s="383">
        <v>1176</v>
      </c>
      <c r="G483" s="383" t="s">
        <v>71</v>
      </c>
      <c r="H483" s="383" t="s">
        <v>2004</v>
      </c>
      <c r="I483" s="383" t="s">
        <v>2001</v>
      </c>
      <c r="J483" s="383" t="s">
        <v>2001</v>
      </c>
      <c r="K483" s="383" t="s">
        <v>8341</v>
      </c>
      <c r="L483" s="383" t="s">
        <v>8341</v>
      </c>
      <c r="M483" s="383" t="s">
        <v>10304</v>
      </c>
      <c r="N483" s="383" t="s">
        <v>44</v>
      </c>
      <c r="O483" s="383" t="str">
        <f>IF(LEN(SUBSTITUTE(Table3937[[#This Row],[PRIMARY CONTACT]]," ",""))=10,SUBSTITUTE(Table3937[[#This Row],[PRIMARY CONTACT]]," ","") &amp; " - Proper","- Follow Up")</f>
        <v>8446053121 - Proper</v>
      </c>
      <c r="P483" s="383" t="s">
        <v>3374</v>
      </c>
      <c r="Q483" s="383">
        <v>8446053121</v>
      </c>
      <c r="R483" s="383" t="str">
        <f>SUBSTITUTE(Table3937[[#This Row],[whatsapp_number]]," ","")</f>
        <v>8446053121</v>
      </c>
      <c r="S483" s="383" t="str">
        <f>IF(Table3937[[#This Row],[PRIMARY CONTACT]]=Table3937[[#This Row],[WHATSAPP CONTACT]],"Same Contact","Different Contact")</f>
        <v>Same Contact</v>
      </c>
      <c r="T483" s="383" t="str">
        <f>IF(LEN(SUBSTITUTE(Table3937[[#This Row],[PRIMARY CONTACT]]," ",""))=10,SUBSTITUTE(Table3937[[#This Row],[PRIMARY CONTACT]]," ","") &amp; " - Proper","- Follow Up")</f>
        <v>8446053121 - Proper</v>
      </c>
      <c r="U483" s="383" t="s">
        <v>10598</v>
      </c>
      <c r="V483" s="383" t="s">
        <v>71</v>
      </c>
      <c r="W483" s="383" t="s">
        <v>47</v>
      </c>
      <c r="X483" s="383" t="s">
        <v>44</v>
      </c>
      <c r="Y483" s="383" t="s">
        <v>44</v>
      </c>
      <c r="Z483" s="383" t="s">
        <v>44</v>
      </c>
      <c r="AA483" s="383" t="s">
        <v>44</v>
      </c>
      <c r="AB483" s="383"/>
    </row>
    <row r="484" spans="1:28" ht="13.8">
      <c r="A484" s="387">
        <v>483</v>
      </c>
      <c r="B484" s="383" t="s">
        <v>10710</v>
      </c>
      <c r="C484" s="383" t="s">
        <v>10710</v>
      </c>
      <c r="D484" s="383" t="s">
        <v>10710</v>
      </c>
      <c r="E484" s="383" t="s">
        <v>9001</v>
      </c>
      <c r="F484" s="383">
        <v>1177</v>
      </c>
      <c r="G484" s="383" t="s">
        <v>2013</v>
      </c>
      <c r="H484" s="383" t="s">
        <v>2014</v>
      </c>
      <c r="I484" s="383" t="s">
        <v>3377</v>
      </c>
      <c r="J484" s="383" t="s">
        <v>2008</v>
      </c>
      <c r="K484" s="383" t="s">
        <v>2009</v>
      </c>
      <c r="L484" s="383" t="s">
        <v>8341</v>
      </c>
      <c r="M484" s="383" t="s">
        <v>10305</v>
      </c>
      <c r="N484" s="383" t="s">
        <v>44</v>
      </c>
      <c r="O484" s="383" t="str">
        <f>IF(LEN(SUBSTITUTE(Table3937[[#This Row],[PRIMARY CONTACT]]," ",""))=10,SUBSTITUTE(Table3937[[#This Row],[PRIMARY CONTACT]]," ","") &amp; " - Proper","- Follow Up")</f>
        <v>9987655062 - Proper</v>
      </c>
      <c r="P484" s="383" t="s">
        <v>3378</v>
      </c>
      <c r="Q484" s="383">
        <v>9987655062</v>
      </c>
      <c r="R484" s="383" t="str">
        <f>SUBSTITUTE(Table3937[[#This Row],[whatsapp_number]]," ","")</f>
        <v>9987655062</v>
      </c>
      <c r="S484" s="383" t="str">
        <f>IF(Table3937[[#This Row],[PRIMARY CONTACT]]=Table3937[[#This Row],[WHATSAPP CONTACT]],"Same Contact","Different Contact")</f>
        <v>Same Contact</v>
      </c>
      <c r="T484" s="383" t="str">
        <f>IF(LEN(SUBSTITUTE(Table3937[[#This Row],[PRIMARY CONTACT]]," ",""))=10,SUBSTITUTE(Table3937[[#This Row],[PRIMARY CONTACT]]," ","") &amp; " - Proper","- Follow Up")</f>
        <v>9987655062 - Proper</v>
      </c>
      <c r="U484" s="383" t="s">
        <v>2953</v>
      </c>
      <c r="V484" s="383" t="s">
        <v>71</v>
      </c>
      <c r="W484" s="383" t="s">
        <v>47</v>
      </c>
      <c r="X484" s="383" t="s">
        <v>44</v>
      </c>
      <c r="Y484" s="383" t="s">
        <v>44</v>
      </c>
      <c r="Z484" s="383" t="s">
        <v>44</v>
      </c>
      <c r="AA484" s="383" t="s">
        <v>44</v>
      </c>
      <c r="AB484" s="383"/>
    </row>
    <row r="485" spans="1:28" ht="13.8">
      <c r="A485" s="387">
        <v>484</v>
      </c>
      <c r="B485" s="383" t="s">
        <v>10710</v>
      </c>
      <c r="C485" s="383" t="s">
        <v>10710</v>
      </c>
      <c r="D485" s="383" t="s">
        <v>10710</v>
      </c>
      <c r="E485" s="383" t="s">
        <v>9002</v>
      </c>
      <c r="F485" s="383">
        <v>1180</v>
      </c>
      <c r="G485" s="383" t="s">
        <v>71</v>
      </c>
      <c r="H485" s="383" t="s">
        <v>2024</v>
      </c>
      <c r="I485" s="383" t="s">
        <v>8492</v>
      </c>
      <c r="J485" s="383" t="s">
        <v>2019</v>
      </c>
      <c r="K485" s="383" t="s">
        <v>191</v>
      </c>
      <c r="L485" s="383" t="s">
        <v>9723</v>
      </c>
      <c r="M485" s="383" t="s">
        <v>10306</v>
      </c>
      <c r="N485" s="383" t="s">
        <v>44</v>
      </c>
      <c r="O485" s="383" t="str">
        <f>IF(LEN(SUBSTITUTE(Table3937[[#This Row],[PRIMARY CONTACT]]," ",""))=10,SUBSTITUTE(Table3937[[#This Row],[PRIMARY CONTACT]]," ","") &amp; " - Proper","- Follow Up")</f>
        <v>8080877002 - Proper</v>
      </c>
      <c r="P485" s="383" t="s">
        <v>3380</v>
      </c>
      <c r="Q485" s="383">
        <v>8080877002</v>
      </c>
      <c r="R485" s="383" t="str">
        <f>SUBSTITUTE(Table3937[[#This Row],[whatsapp_number]]," ","")</f>
        <v>8080877002</v>
      </c>
      <c r="S485" s="383" t="str">
        <f>IF(Table3937[[#This Row],[PRIMARY CONTACT]]=Table3937[[#This Row],[WHATSAPP CONTACT]],"Same Contact","Different Contact")</f>
        <v>Same Contact</v>
      </c>
      <c r="T485" s="383" t="str">
        <f>IF(LEN(SUBSTITUTE(Table3937[[#This Row],[PRIMARY CONTACT]]," ",""))=10,SUBSTITUTE(Table3937[[#This Row],[PRIMARY CONTACT]]," ","") &amp; " - Proper","- Follow Up")</f>
        <v>8080877002 - Proper</v>
      </c>
      <c r="U485" s="383" t="s">
        <v>2953</v>
      </c>
      <c r="V485" s="393" t="s">
        <v>2021</v>
      </c>
      <c r="W485" s="383" t="s">
        <v>47</v>
      </c>
      <c r="X485" s="383" t="s">
        <v>44</v>
      </c>
      <c r="Y485" s="383" t="s">
        <v>44</v>
      </c>
      <c r="Z485" s="383" t="s">
        <v>44</v>
      </c>
      <c r="AA485" s="383" t="s">
        <v>44</v>
      </c>
      <c r="AB485" s="383"/>
    </row>
    <row r="486" spans="1:28" ht="13.8">
      <c r="A486" s="387">
        <v>485</v>
      </c>
      <c r="B486" s="383" t="s">
        <v>10710</v>
      </c>
      <c r="C486" s="383" t="s">
        <v>10710</v>
      </c>
      <c r="D486" s="383" t="s">
        <v>10710</v>
      </c>
      <c r="E486" s="383" t="s">
        <v>9003</v>
      </c>
      <c r="F486" s="383">
        <v>1181</v>
      </c>
      <c r="G486" s="383" t="s">
        <v>71</v>
      </c>
      <c r="H486" s="383" t="s">
        <v>71</v>
      </c>
      <c r="I486" s="383" t="s">
        <v>2033</v>
      </c>
      <c r="J486" s="383" t="s">
        <v>2034</v>
      </c>
      <c r="K486" s="383" t="s">
        <v>2035</v>
      </c>
      <c r="L486" s="383" t="s">
        <v>9724</v>
      </c>
      <c r="M486" s="383" t="s">
        <v>10307</v>
      </c>
      <c r="N486" s="383" t="s">
        <v>44</v>
      </c>
      <c r="O486" s="383" t="str">
        <f>IF(LEN(SUBSTITUTE(Table3937[[#This Row],[PRIMARY CONTACT]]," ",""))=10,SUBSTITUTE(Table3937[[#This Row],[PRIMARY CONTACT]]," ","") &amp; " - Proper","- Follow Up")</f>
        <v>7050657559 - Proper</v>
      </c>
      <c r="P486" s="383" t="s">
        <v>2031</v>
      </c>
      <c r="Q486" s="383">
        <v>7050657559</v>
      </c>
      <c r="R486" s="383" t="str">
        <f>SUBSTITUTE(Table3937[[#This Row],[whatsapp_number]]," ","")</f>
        <v>7050657559</v>
      </c>
      <c r="S486" s="383" t="str">
        <f>IF(Table3937[[#This Row],[PRIMARY CONTACT]]=Table3937[[#This Row],[WHATSAPP CONTACT]],"Same Contact","Different Contact")</f>
        <v>Same Contact</v>
      </c>
      <c r="T486" s="383" t="str">
        <f>IF(LEN(SUBSTITUTE(Table3937[[#This Row],[PRIMARY CONTACT]]," ",""))=10,SUBSTITUTE(Table3937[[#This Row],[PRIMARY CONTACT]]," ","") &amp; " - Proper","- Follow Up")</f>
        <v>7050657559 - Proper</v>
      </c>
      <c r="U486" s="383" t="s">
        <v>2953</v>
      </c>
      <c r="V486" s="383" t="s">
        <v>71</v>
      </c>
      <c r="W486" s="383" t="s">
        <v>47</v>
      </c>
      <c r="X486" s="383" t="s">
        <v>44</v>
      </c>
      <c r="Y486" s="383" t="s">
        <v>44</v>
      </c>
      <c r="Z486" s="383" t="s">
        <v>44</v>
      </c>
      <c r="AA486" s="383" t="s">
        <v>44</v>
      </c>
      <c r="AB486" s="383"/>
    </row>
    <row r="487" spans="1:28" ht="13.8">
      <c r="A487" s="387">
        <v>486</v>
      </c>
      <c r="B487" s="383" t="s">
        <v>10710</v>
      </c>
      <c r="C487" s="383" t="s">
        <v>10710</v>
      </c>
      <c r="D487" s="383" t="s">
        <v>10710</v>
      </c>
      <c r="E487" s="383" t="s">
        <v>9004</v>
      </c>
      <c r="F487" s="383">
        <v>1182</v>
      </c>
      <c r="G487" s="383" t="s">
        <v>71</v>
      </c>
      <c r="H487" s="383" t="s">
        <v>71</v>
      </c>
      <c r="I487" s="383" t="s">
        <v>8493</v>
      </c>
      <c r="J487" s="383" t="s">
        <v>2043</v>
      </c>
      <c r="K487" s="383" t="s">
        <v>2044</v>
      </c>
      <c r="L487" s="383" t="s">
        <v>9725</v>
      </c>
      <c r="M487" s="383" t="s">
        <v>10308</v>
      </c>
      <c r="N487" s="383" t="s">
        <v>44</v>
      </c>
      <c r="O487" s="383" t="str">
        <f>IF(LEN(SUBSTITUTE(Table3937[[#This Row],[PRIMARY CONTACT]]," ",""))=10,SUBSTITUTE(Table3937[[#This Row],[PRIMARY CONTACT]]," ","") &amp; " - Proper","- Follow Up")</f>
        <v>7987590946 - Proper</v>
      </c>
      <c r="P487" s="383" t="s">
        <v>3383</v>
      </c>
      <c r="Q487" s="383">
        <v>7987590946</v>
      </c>
      <c r="R487" s="383" t="str">
        <f>SUBSTITUTE(Table3937[[#This Row],[whatsapp_number]]," ","")</f>
        <v>7987590946</v>
      </c>
      <c r="S487" s="383" t="str">
        <f>IF(Table3937[[#This Row],[PRIMARY CONTACT]]=Table3937[[#This Row],[WHATSAPP CONTACT]],"Same Contact","Different Contact")</f>
        <v>Same Contact</v>
      </c>
      <c r="T487" s="383" t="str">
        <f>IF(LEN(SUBSTITUTE(Table3937[[#This Row],[PRIMARY CONTACT]]," ",""))=10,SUBSTITUTE(Table3937[[#This Row],[PRIMARY CONTACT]]," ","") &amp; " - Proper","- Follow Up")</f>
        <v>7987590946 - Proper</v>
      </c>
      <c r="U487" s="383" t="s">
        <v>2953</v>
      </c>
      <c r="V487" s="383" t="s">
        <v>71</v>
      </c>
      <c r="W487" s="383" t="s">
        <v>47</v>
      </c>
      <c r="X487" s="383" t="s">
        <v>44</v>
      </c>
      <c r="Y487" s="383" t="s">
        <v>44</v>
      </c>
      <c r="Z487" s="383" t="s">
        <v>44</v>
      </c>
      <c r="AA487" s="383" t="s">
        <v>44</v>
      </c>
      <c r="AB487" s="383"/>
    </row>
    <row r="488" spans="1:28" ht="13.8">
      <c r="A488" s="387">
        <v>487</v>
      </c>
      <c r="B488" s="383" t="s">
        <v>10710</v>
      </c>
      <c r="C488" s="383" t="s">
        <v>10710</v>
      </c>
      <c r="D488" s="383" t="s">
        <v>10710</v>
      </c>
      <c r="E488" s="383" t="s">
        <v>9005</v>
      </c>
      <c r="F488" s="383">
        <v>1184</v>
      </c>
      <c r="G488" s="383" t="s">
        <v>71</v>
      </c>
      <c r="H488" s="383" t="s">
        <v>2056</v>
      </c>
      <c r="I488" s="383" t="s">
        <v>2050</v>
      </c>
      <c r="J488" s="383" t="s">
        <v>2051</v>
      </c>
      <c r="K488" s="383" t="s">
        <v>42</v>
      </c>
      <c r="L488" s="383" t="s">
        <v>9726</v>
      </c>
      <c r="M488" s="383" t="s">
        <v>10309</v>
      </c>
      <c r="N488" s="383" t="s">
        <v>44</v>
      </c>
      <c r="O488" s="383" t="str">
        <f>IF(LEN(SUBSTITUTE(Table3937[[#This Row],[PRIMARY CONTACT]]," ",""))=10,SUBSTITUTE(Table3937[[#This Row],[PRIMARY CONTACT]]," ","") &amp; " - Proper","- Follow Up")</f>
        <v>9821050365 - Proper</v>
      </c>
      <c r="P488" s="383" t="s">
        <v>3385</v>
      </c>
      <c r="Q488" s="383">
        <v>9821050365</v>
      </c>
      <c r="R488" s="383" t="str">
        <f>SUBSTITUTE(Table3937[[#This Row],[whatsapp_number]]," ","")</f>
        <v>9821050365</v>
      </c>
      <c r="S488" s="383" t="str">
        <f>IF(Table3937[[#This Row],[PRIMARY CONTACT]]=Table3937[[#This Row],[WHATSAPP CONTACT]],"Same Contact","Different Contact")</f>
        <v>Same Contact</v>
      </c>
      <c r="T488" s="383" t="str">
        <f>IF(LEN(SUBSTITUTE(Table3937[[#This Row],[PRIMARY CONTACT]]," ",""))=10,SUBSTITUTE(Table3937[[#This Row],[PRIMARY CONTACT]]," ","") &amp; " - Proper","- Follow Up")</f>
        <v>9821050365 - Proper</v>
      </c>
      <c r="U488" s="383" t="s">
        <v>2953</v>
      </c>
      <c r="V488" s="393" t="s">
        <v>2053</v>
      </c>
      <c r="W488" s="383" t="s">
        <v>47</v>
      </c>
      <c r="X488" s="383" t="s">
        <v>44</v>
      </c>
      <c r="Y488" s="383" t="s">
        <v>44</v>
      </c>
      <c r="Z488" s="383" t="s">
        <v>44</v>
      </c>
      <c r="AA488" s="383" t="s">
        <v>44</v>
      </c>
      <c r="AB488" s="383"/>
    </row>
    <row r="489" spans="1:28" ht="13.8">
      <c r="A489" s="387">
        <v>488</v>
      </c>
      <c r="B489" s="383" t="s">
        <v>10710</v>
      </c>
      <c r="C489" s="383" t="s">
        <v>10710</v>
      </c>
      <c r="D489" s="383" t="s">
        <v>10710</v>
      </c>
      <c r="E489" s="383" t="s">
        <v>9006</v>
      </c>
      <c r="F489" s="383">
        <v>1185</v>
      </c>
      <c r="G489" s="383" t="s">
        <v>71</v>
      </c>
      <c r="H489" s="383" t="s">
        <v>71</v>
      </c>
      <c r="I489" s="383" t="s">
        <v>2060</v>
      </c>
      <c r="J489" s="383" t="s">
        <v>2061</v>
      </c>
      <c r="K489" s="383" t="s">
        <v>116</v>
      </c>
      <c r="L489" s="383" t="s">
        <v>8341</v>
      </c>
      <c r="M489" s="383" t="s">
        <v>10310</v>
      </c>
      <c r="N489" s="383" t="s">
        <v>44</v>
      </c>
      <c r="O489" s="383" t="str">
        <f>IF(LEN(SUBSTITUTE(Table3937[[#This Row],[PRIMARY CONTACT]]," ",""))=10,SUBSTITUTE(Table3937[[#This Row],[PRIMARY CONTACT]]," ","") &amp; " - Proper","- Follow Up")</f>
        <v>7045111355 - Proper</v>
      </c>
      <c r="P489" s="383" t="s">
        <v>3387</v>
      </c>
      <c r="Q489" s="383">
        <v>7045111355</v>
      </c>
      <c r="R489" s="383" t="str">
        <f>SUBSTITUTE(Table3937[[#This Row],[whatsapp_number]]," ","")</f>
        <v>7045111355</v>
      </c>
      <c r="S489" s="383" t="str">
        <f>IF(Table3937[[#This Row],[PRIMARY CONTACT]]=Table3937[[#This Row],[WHATSAPP CONTACT]],"Same Contact","Different Contact")</f>
        <v>Same Contact</v>
      </c>
      <c r="T489" s="383" t="str">
        <f>IF(LEN(SUBSTITUTE(Table3937[[#This Row],[PRIMARY CONTACT]]," ",""))=10,SUBSTITUTE(Table3937[[#This Row],[PRIMARY CONTACT]]," ","") &amp; " - Proper","- Follow Up")</f>
        <v>7045111355 - Proper</v>
      </c>
      <c r="U489" s="383" t="s">
        <v>2953</v>
      </c>
      <c r="V489" s="383" t="s">
        <v>71</v>
      </c>
      <c r="W489" s="383" t="s">
        <v>47</v>
      </c>
      <c r="X489" s="383" t="s">
        <v>44</v>
      </c>
      <c r="Y489" s="383" t="s">
        <v>44</v>
      </c>
      <c r="Z489" s="383" t="s">
        <v>44</v>
      </c>
      <c r="AA489" s="383" t="s">
        <v>44</v>
      </c>
      <c r="AB489" s="383"/>
    </row>
    <row r="490" spans="1:28" ht="13.8">
      <c r="A490" s="387">
        <v>489</v>
      </c>
      <c r="B490" s="383" t="s">
        <v>10710</v>
      </c>
      <c r="C490" s="383" t="s">
        <v>10710</v>
      </c>
      <c r="D490" s="383" t="s">
        <v>10710</v>
      </c>
      <c r="E490" s="383" t="s">
        <v>9007</v>
      </c>
      <c r="F490" s="383">
        <v>1186</v>
      </c>
      <c r="G490" s="383" t="s">
        <v>71</v>
      </c>
      <c r="H490" s="383" t="s">
        <v>71</v>
      </c>
      <c r="I490" s="383" t="s">
        <v>8494</v>
      </c>
      <c r="J490" s="383" t="s">
        <v>2067</v>
      </c>
      <c r="K490" s="383" t="s">
        <v>2068</v>
      </c>
      <c r="L490" s="383" t="s">
        <v>8341</v>
      </c>
      <c r="M490" s="383" t="s">
        <v>10311</v>
      </c>
      <c r="N490" s="383" t="s">
        <v>44</v>
      </c>
      <c r="O490" s="383" t="str">
        <f>IF(LEN(SUBSTITUTE(Table3937[[#This Row],[PRIMARY CONTACT]]," ",""))=10,SUBSTITUTE(Table3937[[#This Row],[PRIMARY CONTACT]]," ","") &amp; " - Proper","- Follow Up")</f>
        <v>9664086422 - Proper</v>
      </c>
      <c r="P490" s="383" t="s">
        <v>3389</v>
      </c>
      <c r="Q490" s="383">
        <v>9664086422</v>
      </c>
      <c r="R490" s="383" t="str">
        <f>SUBSTITUTE(Table3937[[#This Row],[whatsapp_number]]," ","")</f>
        <v>9664086422</v>
      </c>
      <c r="S490" s="383" t="str">
        <f>IF(Table3937[[#This Row],[PRIMARY CONTACT]]=Table3937[[#This Row],[WHATSAPP CONTACT]],"Same Contact","Different Contact")</f>
        <v>Same Contact</v>
      </c>
      <c r="T490" s="383" t="str">
        <f>IF(LEN(SUBSTITUTE(Table3937[[#This Row],[PRIMARY CONTACT]]," ",""))=10,SUBSTITUTE(Table3937[[#This Row],[PRIMARY CONTACT]]," ","") &amp; " - Proper","- Follow Up")</f>
        <v>9664086422 - Proper</v>
      </c>
      <c r="U490" s="383" t="s">
        <v>2953</v>
      </c>
      <c r="V490" s="383" t="s">
        <v>71</v>
      </c>
      <c r="W490" s="383" t="s">
        <v>47</v>
      </c>
      <c r="X490" s="383" t="s">
        <v>44</v>
      </c>
      <c r="Y490" s="383" t="s">
        <v>44</v>
      </c>
      <c r="Z490" s="383" t="s">
        <v>44</v>
      </c>
      <c r="AA490" s="383" t="s">
        <v>44</v>
      </c>
      <c r="AB490" s="383"/>
    </row>
    <row r="491" spans="1:28" ht="13.8">
      <c r="A491" s="387">
        <v>490</v>
      </c>
      <c r="B491" s="383" t="s">
        <v>10710</v>
      </c>
      <c r="C491" s="383" t="s">
        <v>10710</v>
      </c>
      <c r="D491" s="383" t="s">
        <v>10710</v>
      </c>
      <c r="E491" s="383" t="s">
        <v>9008</v>
      </c>
      <c r="F491" s="383">
        <v>1187</v>
      </c>
      <c r="G491" s="383" t="s">
        <v>71</v>
      </c>
      <c r="H491" s="383" t="s">
        <v>71</v>
      </c>
      <c r="I491" s="383" t="s">
        <v>8495</v>
      </c>
      <c r="J491" s="383" t="s">
        <v>9442</v>
      </c>
      <c r="K491" s="383" t="s">
        <v>3391</v>
      </c>
      <c r="L491" s="383" t="s">
        <v>9555</v>
      </c>
      <c r="M491" s="383" t="s">
        <v>10312</v>
      </c>
      <c r="N491" s="383" t="s">
        <v>44</v>
      </c>
      <c r="O491" s="383" t="str">
        <f>IF(LEN(SUBSTITUTE(Table3937[[#This Row],[PRIMARY CONTACT]]," ",""))=10,SUBSTITUTE(Table3937[[#This Row],[PRIMARY CONTACT]]," ","") &amp; " - Proper","- Follow Up")</f>
        <v>7219460020 - Proper</v>
      </c>
      <c r="P491" s="383" t="s">
        <v>3392</v>
      </c>
      <c r="Q491" s="383">
        <v>7219460020</v>
      </c>
      <c r="R491" s="383" t="str">
        <f>SUBSTITUTE(Table3937[[#This Row],[whatsapp_number]]," ","")</f>
        <v>7219460020</v>
      </c>
      <c r="S491" s="383" t="str">
        <f>IF(Table3937[[#This Row],[PRIMARY CONTACT]]=Table3937[[#This Row],[WHATSAPP CONTACT]],"Same Contact","Different Contact")</f>
        <v>Same Contact</v>
      </c>
      <c r="T491" s="383" t="str">
        <f>IF(LEN(SUBSTITUTE(Table3937[[#This Row],[PRIMARY CONTACT]]," ",""))=10,SUBSTITUTE(Table3937[[#This Row],[PRIMARY CONTACT]]," ","") &amp; " - Proper","- Follow Up")</f>
        <v>7219460020 - Proper</v>
      </c>
      <c r="U491" s="383" t="s">
        <v>8341</v>
      </c>
      <c r="V491" s="393" t="s">
        <v>2074</v>
      </c>
      <c r="W491" s="383" t="s">
        <v>47</v>
      </c>
      <c r="X491" s="383" t="s">
        <v>44</v>
      </c>
      <c r="Y491" s="383" t="s">
        <v>44</v>
      </c>
      <c r="Z491" s="383" t="s">
        <v>44</v>
      </c>
      <c r="AA491" s="383" t="s">
        <v>44</v>
      </c>
      <c r="AB491" s="383"/>
    </row>
    <row r="492" spans="1:28" ht="13.8">
      <c r="A492" s="387">
        <v>491</v>
      </c>
      <c r="B492" s="383" t="s">
        <v>10710</v>
      </c>
      <c r="C492" s="383" t="s">
        <v>10710</v>
      </c>
      <c r="D492" s="383" t="s">
        <v>10710</v>
      </c>
      <c r="E492" s="383" t="s">
        <v>9009</v>
      </c>
      <c r="F492" s="383">
        <v>1188</v>
      </c>
      <c r="G492" s="383" t="s">
        <v>71</v>
      </c>
      <c r="H492" s="383" t="s">
        <v>71</v>
      </c>
      <c r="I492" s="383" t="s">
        <v>8496</v>
      </c>
      <c r="J492" s="383" t="s">
        <v>8496</v>
      </c>
      <c r="K492" s="383" t="s">
        <v>2081</v>
      </c>
      <c r="L492" s="383" t="s">
        <v>8341</v>
      </c>
      <c r="M492" s="383" t="s">
        <v>10313</v>
      </c>
      <c r="N492" s="383" t="s">
        <v>44</v>
      </c>
      <c r="O492" s="383" t="str">
        <f>IF(LEN(SUBSTITUTE(Table3937[[#This Row],[PRIMARY CONTACT]]," ",""))=10,SUBSTITUTE(Table3937[[#This Row],[PRIMARY CONTACT]]," ","") &amp; " - Proper","- Follow Up")</f>
        <v>7715068245 - Proper</v>
      </c>
      <c r="P492" s="383" t="s">
        <v>3394</v>
      </c>
      <c r="Q492" s="383">
        <v>7715068245</v>
      </c>
      <c r="R492" s="383" t="str">
        <f>SUBSTITUTE(Table3937[[#This Row],[whatsapp_number]]," ","")</f>
        <v>7715068245</v>
      </c>
      <c r="S492" s="383" t="str">
        <f>IF(Table3937[[#This Row],[PRIMARY CONTACT]]=Table3937[[#This Row],[WHATSAPP CONTACT]],"Same Contact","Different Contact")</f>
        <v>Same Contact</v>
      </c>
      <c r="T492" s="383" t="str">
        <f>IF(LEN(SUBSTITUTE(Table3937[[#This Row],[PRIMARY CONTACT]]," ",""))=10,SUBSTITUTE(Table3937[[#This Row],[PRIMARY CONTACT]]," ","") &amp; " - Proper","- Follow Up")</f>
        <v>7715068245 - Proper</v>
      </c>
      <c r="U492" s="383" t="s">
        <v>10599</v>
      </c>
      <c r="V492" s="383" t="s">
        <v>71</v>
      </c>
      <c r="W492" s="383" t="s">
        <v>47</v>
      </c>
      <c r="X492" s="383" t="s">
        <v>44</v>
      </c>
      <c r="Y492" s="383" t="s">
        <v>44</v>
      </c>
      <c r="Z492" s="383" t="s">
        <v>44</v>
      </c>
      <c r="AA492" s="383" t="s">
        <v>44</v>
      </c>
      <c r="AB492" s="383"/>
    </row>
    <row r="493" spans="1:28" ht="13.8">
      <c r="A493" s="387">
        <v>492</v>
      </c>
      <c r="B493" s="383" t="s">
        <v>10710</v>
      </c>
      <c r="C493" s="383" t="s">
        <v>10710</v>
      </c>
      <c r="D493" s="383" t="s">
        <v>10710</v>
      </c>
      <c r="E493" s="383" t="s">
        <v>9010</v>
      </c>
      <c r="F493" s="383">
        <v>1189</v>
      </c>
      <c r="G493" s="383" t="s">
        <v>71</v>
      </c>
      <c r="H493" s="383" t="s">
        <v>2094</v>
      </c>
      <c r="I493" s="383" t="s">
        <v>2087</v>
      </c>
      <c r="J493" s="383" t="s">
        <v>2088</v>
      </c>
      <c r="K493" s="383" t="s">
        <v>9554</v>
      </c>
      <c r="L493" s="383" t="s">
        <v>9727</v>
      </c>
      <c r="M493" s="383" t="s">
        <v>10314</v>
      </c>
      <c r="N493" s="383" t="s">
        <v>44</v>
      </c>
      <c r="O493" s="383" t="str">
        <f>IF(LEN(SUBSTITUTE(Table3937[[#This Row],[PRIMARY CONTACT]]," ",""))=10,SUBSTITUTE(Table3937[[#This Row],[PRIMARY CONTACT]]," ","") &amp; " - Proper","- Follow Up")</f>
        <v>- Follow Up</v>
      </c>
      <c r="P493" s="383" t="s">
        <v>3397</v>
      </c>
      <c r="Q493" s="383">
        <v>777394435</v>
      </c>
      <c r="R493" s="383" t="str">
        <f>SUBSTITUTE(Table3937[[#This Row],[whatsapp_number]]," ","")</f>
        <v>777394435</v>
      </c>
      <c r="S493" s="383" t="str">
        <f>IF(Table3937[[#This Row],[PRIMARY CONTACT]]=Table3937[[#This Row],[WHATSAPP CONTACT]],"Same Contact","Different Contact")</f>
        <v>Same Contact</v>
      </c>
      <c r="T493" s="383" t="str">
        <f>IF(LEN(SUBSTITUTE(Table3937[[#This Row],[PRIMARY CONTACT]]," ",""))=10,SUBSTITUTE(Table3937[[#This Row],[PRIMARY CONTACT]]," ","") &amp; " - Proper","- Follow Up")</f>
        <v>- Follow Up</v>
      </c>
      <c r="U493" s="383" t="s">
        <v>3398</v>
      </c>
      <c r="V493" s="383" t="s">
        <v>71</v>
      </c>
      <c r="W493" s="383" t="s">
        <v>47</v>
      </c>
      <c r="X493" s="383" t="s">
        <v>44</v>
      </c>
      <c r="Y493" s="383" t="s">
        <v>44</v>
      </c>
      <c r="Z493" s="383" t="s">
        <v>44</v>
      </c>
      <c r="AA493" s="383" t="s">
        <v>44</v>
      </c>
      <c r="AB493" s="383"/>
    </row>
    <row r="494" spans="1:28" ht="13.8">
      <c r="A494" s="387">
        <v>493</v>
      </c>
      <c r="B494" s="383" t="s">
        <v>10710</v>
      </c>
      <c r="C494" s="383" t="s">
        <v>10710</v>
      </c>
      <c r="D494" s="383" t="s">
        <v>10710</v>
      </c>
      <c r="E494" s="383" t="s">
        <v>9011</v>
      </c>
      <c r="F494" s="383">
        <v>1190</v>
      </c>
      <c r="G494" s="383" t="s">
        <v>71</v>
      </c>
      <c r="H494" s="383" t="s">
        <v>71</v>
      </c>
      <c r="I494" s="383" t="s">
        <v>2098</v>
      </c>
      <c r="J494" s="383" t="s">
        <v>2099</v>
      </c>
      <c r="K494" s="383" t="s">
        <v>2100</v>
      </c>
      <c r="L494" s="383" t="s">
        <v>8341</v>
      </c>
      <c r="M494" s="383" t="s">
        <v>10315</v>
      </c>
      <c r="N494" s="383" t="s">
        <v>44</v>
      </c>
      <c r="O494" s="383" t="str">
        <f>IF(LEN(SUBSTITUTE(Table3937[[#This Row],[PRIMARY CONTACT]]," ",""))=10,SUBSTITUTE(Table3937[[#This Row],[PRIMARY CONTACT]]," ","") &amp; " - Proper","- Follow Up")</f>
        <v>9373290157 - Proper</v>
      </c>
      <c r="P494" s="383" t="s">
        <v>3400</v>
      </c>
      <c r="Q494" s="383">
        <v>9373290157</v>
      </c>
      <c r="R494" s="383" t="str">
        <f>SUBSTITUTE(Table3937[[#This Row],[whatsapp_number]]," ","")</f>
        <v>9373290157</v>
      </c>
      <c r="S494" s="383" t="str">
        <f>IF(Table3937[[#This Row],[PRIMARY CONTACT]]=Table3937[[#This Row],[WHATSAPP CONTACT]],"Same Contact","Different Contact")</f>
        <v>Same Contact</v>
      </c>
      <c r="T494" s="383" t="str">
        <f>IF(LEN(SUBSTITUTE(Table3937[[#This Row],[PRIMARY CONTACT]]," ",""))=10,SUBSTITUTE(Table3937[[#This Row],[PRIMARY CONTACT]]," ","") &amp; " - Proper","- Follow Up")</f>
        <v>9373290157 - Proper</v>
      </c>
      <c r="U494" s="383" t="s">
        <v>3401</v>
      </c>
      <c r="V494" s="383" t="s">
        <v>71</v>
      </c>
      <c r="W494" s="383" t="s">
        <v>47</v>
      </c>
      <c r="X494" s="383" t="s">
        <v>44</v>
      </c>
      <c r="Y494" s="383" t="s">
        <v>44</v>
      </c>
      <c r="Z494" s="383" t="s">
        <v>44</v>
      </c>
      <c r="AA494" s="383" t="s">
        <v>44</v>
      </c>
      <c r="AB494" s="383"/>
    </row>
    <row r="495" spans="1:28" ht="13.8">
      <c r="A495" s="387">
        <v>494</v>
      </c>
      <c r="B495" s="383" t="s">
        <v>10710</v>
      </c>
      <c r="C495" s="383" t="s">
        <v>10710</v>
      </c>
      <c r="D495" s="383" t="s">
        <v>10710</v>
      </c>
      <c r="E495" s="383" t="s">
        <v>9012</v>
      </c>
      <c r="F495" s="383">
        <v>1191</v>
      </c>
      <c r="G495" s="383" t="s">
        <v>71</v>
      </c>
      <c r="H495" s="383" t="s">
        <v>2111</v>
      </c>
      <c r="I495" s="383" t="s">
        <v>8497</v>
      </c>
      <c r="J495" s="383" t="s">
        <v>2106</v>
      </c>
      <c r="K495" s="383" t="s">
        <v>507</v>
      </c>
      <c r="L495" s="383" t="s">
        <v>9728</v>
      </c>
      <c r="M495" s="383" t="s">
        <v>10316</v>
      </c>
      <c r="N495" s="383" t="s">
        <v>44</v>
      </c>
      <c r="O495" s="383" t="str">
        <f>IF(LEN(SUBSTITUTE(Table3937[[#This Row],[PRIMARY CONTACT]]," ",""))=10,SUBSTITUTE(Table3937[[#This Row],[PRIMARY CONTACT]]," ","") &amp; " - Proper","- Follow Up")</f>
        <v>9967220115 - Proper</v>
      </c>
      <c r="P495" s="383" t="s">
        <v>3403</v>
      </c>
      <c r="Q495" s="383">
        <v>9967220115</v>
      </c>
      <c r="R495" s="383" t="str">
        <f>SUBSTITUTE(Table3937[[#This Row],[whatsapp_number]]," ","")</f>
        <v>9967220115</v>
      </c>
      <c r="S495" s="383" t="str">
        <f>IF(Table3937[[#This Row],[PRIMARY CONTACT]]=Table3937[[#This Row],[WHATSAPP CONTACT]],"Same Contact","Different Contact")</f>
        <v>Same Contact</v>
      </c>
      <c r="T495" s="383" t="str">
        <f>IF(LEN(SUBSTITUTE(Table3937[[#This Row],[PRIMARY CONTACT]]," ",""))=10,SUBSTITUTE(Table3937[[#This Row],[PRIMARY CONTACT]]," ","") &amp; " - Proper","- Follow Up")</f>
        <v>9967220115 - Proper</v>
      </c>
      <c r="U495" s="383" t="s">
        <v>2953</v>
      </c>
      <c r="V495" s="383" t="s">
        <v>71</v>
      </c>
      <c r="W495" s="383" t="s">
        <v>47</v>
      </c>
      <c r="X495" s="383" t="s">
        <v>44</v>
      </c>
      <c r="Y495" s="383" t="s">
        <v>44</v>
      </c>
      <c r="Z495" s="383" t="s">
        <v>44</v>
      </c>
      <c r="AA495" s="383" t="s">
        <v>44</v>
      </c>
      <c r="AB495" s="383"/>
    </row>
    <row r="496" spans="1:28" ht="13.8">
      <c r="A496" s="387">
        <v>495</v>
      </c>
      <c r="B496" s="383" t="s">
        <v>10710</v>
      </c>
      <c r="C496" s="383" t="s">
        <v>10710</v>
      </c>
      <c r="D496" s="383" t="s">
        <v>10710</v>
      </c>
      <c r="E496" s="383" t="s">
        <v>9013</v>
      </c>
      <c r="F496" s="383">
        <v>1192</v>
      </c>
      <c r="G496" s="383" t="s">
        <v>71</v>
      </c>
      <c r="H496" s="383" t="s">
        <v>2120</v>
      </c>
      <c r="I496" s="383" t="s">
        <v>8498</v>
      </c>
      <c r="J496" s="383" t="s">
        <v>2116</v>
      </c>
      <c r="K496" s="383" t="s">
        <v>42</v>
      </c>
      <c r="L496" s="383" t="s">
        <v>9729</v>
      </c>
      <c r="M496" s="383" t="s">
        <v>10317</v>
      </c>
      <c r="N496" s="383" t="s">
        <v>44</v>
      </c>
      <c r="O496" s="383" t="str">
        <f>IF(LEN(SUBSTITUTE(Table3937[[#This Row],[PRIMARY CONTACT]]," ",""))=10,SUBSTITUTE(Table3937[[#This Row],[PRIMARY CONTACT]]," ","") &amp; " - Proper","- Follow Up")</f>
        <v>7045671515 - Proper</v>
      </c>
      <c r="P496" s="383" t="s">
        <v>3406</v>
      </c>
      <c r="Q496" s="383">
        <v>7045671515</v>
      </c>
      <c r="R496" s="383" t="str">
        <f>SUBSTITUTE(Table3937[[#This Row],[whatsapp_number]]," ","")</f>
        <v>7045671515</v>
      </c>
      <c r="S496" s="383" t="str">
        <f>IF(Table3937[[#This Row],[PRIMARY CONTACT]]=Table3937[[#This Row],[WHATSAPP CONTACT]],"Same Contact","Different Contact")</f>
        <v>Same Contact</v>
      </c>
      <c r="T496" s="383" t="str">
        <f>IF(LEN(SUBSTITUTE(Table3937[[#This Row],[PRIMARY CONTACT]]," ",""))=10,SUBSTITUTE(Table3937[[#This Row],[PRIMARY CONTACT]]," ","") &amp; " - Proper","- Follow Up")</f>
        <v>7045671515 - Proper</v>
      </c>
      <c r="U496" s="383" t="s">
        <v>2953</v>
      </c>
      <c r="V496" s="393" t="s">
        <v>2117</v>
      </c>
      <c r="W496" s="383" t="s">
        <v>47</v>
      </c>
      <c r="X496" s="383" t="s">
        <v>44</v>
      </c>
      <c r="Y496" s="383" t="s">
        <v>44</v>
      </c>
      <c r="Z496" s="383" t="s">
        <v>44</v>
      </c>
      <c r="AA496" s="383" t="s">
        <v>44</v>
      </c>
      <c r="AB496" s="383"/>
    </row>
    <row r="497" spans="1:28" ht="13.8">
      <c r="A497" s="387">
        <v>496</v>
      </c>
      <c r="B497" s="383" t="s">
        <v>10710</v>
      </c>
      <c r="C497" s="383" t="s">
        <v>10710</v>
      </c>
      <c r="D497" s="383" t="s">
        <v>10710</v>
      </c>
      <c r="E497" s="383" t="s">
        <v>9014</v>
      </c>
      <c r="F497" s="383">
        <v>1193</v>
      </c>
      <c r="G497" s="383" t="s">
        <v>2129</v>
      </c>
      <c r="H497" s="383" t="s">
        <v>2130</v>
      </c>
      <c r="I497" s="383" t="s">
        <v>8499</v>
      </c>
      <c r="J497" s="383" t="s">
        <v>9443</v>
      </c>
      <c r="K497" s="383" t="s">
        <v>9533</v>
      </c>
      <c r="L497" s="383" t="s">
        <v>9730</v>
      </c>
      <c r="M497" s="383" t="s">
        <v>10318</v>
      </c>
      <c r="N497" s="383" t="s">
        <v>44</v>
      </c>
      <c r="O497" s="383" t="str">
        <f>IF(LEN(SUBSTITUTE(Table3937[[#This Row],[PRIMARY CONTACT]]," ",""))=10,SUBSTITUTE(Table3937[[#This Row],[PRIMARY CONTACT]]," ","") &amp; " - Proper","- Follow Up")</f>
        <v>7021112677 - Proper</v>
      </c>
      <c r="P497" s="383" t="s">
        <v>3410</v>
      </c>
      <c r="Q497" s="383">
        <v>7021112677</v>
      </c>
      <c r="R497" s="383" t="str">
        <f>SUBSTITUTE(Table3937[[#This Row],[whatsapp_number]]," ","")</f>
        <v>7021112677</v>
      </c>
      <c r="S497" s="383" t="str">
        <f>IF(Table3937[[#This Row],[PRIMARY CONTACT]]=Table3937[[#This Row],[WHATSAPP CONTACT]],"Same Contact","Different Contact")</f>
        <v>Same Contact</v>
      </c>
      <c r="T497" s="383" t="str">
        <f>IF(LEN(SUBSTITUTE(Table3937[[#This Row],[PRIMARY CONTACT]]," ",""))=10,SUBSTITUTE(Table3937[[#This Row],[PRIMARY CONTACT]]," ","") &amp; " - Proper","- Follow Up")</f>
        <v>7021112677 - Proper</v>
      </c>
      <c r="U497" s="383" t="s">
        <v>2953</v>
      </c>
      <c r="V497" s="383" t="s">
        <v>71</v>
      </c>
      <c r="W497" s="383" t="s">
        <v>47</v>
      </c>
      <c r="X497" s="383" t="s">
        <v>44</v>
      </c>
      <c r="Y497" s="383" t="s">
        <v>44</v>
      </c>
      <c r="Z497" s="383" t="s">
        <v>44</v>
      </c>
      <c r="AA497" s="383" t="s">
        <v>44</v>
      </c>
      <c r="AB497" s="383"/>
    </row>
    <row r="498" spans="1:28" ht="13.8">
      <c r="A498" s="387">
        <v>497</v>
      </c>
      <c r="B498" s="383" t="s">
        <v>10710</v>
      </c>
      <c r="C498" s="383" t="s">
        <v>10710</v>
      </c>
      <c r="D498" s="383" t="s">
        <v>10710</v>
      </c>
      <c r="E498" s="383" t="s">
        <v>9015</v>
      </c>
      <c r="F498" s="383">
        <v>1194</v>
      </c>
      <c r="G498" s="383" t="s">
        <v>71</v>
      </c>
      <c r="H498" s="383" t="s">
        <v>3547</v>
      </c>
      <c r="I498" s="383" t="s">
        <v>3848</v>
      </c>
      <c r="J498" s="383" t="s">
        <v>3849</v>
      </c>
      <c r="K498" s="383" t="s">
        <v>191</v>
      </c>
      <c r="L498" s="383" t="s">
        <v>8341</v>
      </c>
      <c r="M498" s="383" t="s">
        <v>10319</v>
      </c>
      <c r="N498" s="383" t="s">
        <v>44</v>
      </c>
      <c r="O498" s="383" t="str">
        <f>IF(LEN(SUBSTITUTE(Table3937[[#This Row],[PRIMARY CONTACT]]," ",""))=10,SUBSTITUTE(Table3937[[#This Row],[PRIMARY CONTACT]]," ","") &amp; " - Proper","- Follow Up")</f>
        <v>9123426199 - Proper</v>
      </c>
      <c r="P498" s="383" t="s">
        <v>2780</v>
      </c>
      <c r="Q498" s="383">
        <v>9123426199</v>
      </c>
      <c r="R498" s="383" t="str">
        <f>SUBSTITUTE(Table3937[[#This Row],[whatsapp_number]]," ","")</f>
        <v>9123426199</v>
      </c>
      <c r="S498" s="383" t="str">
        <f>IF(Table3937[[#This Row],[PRIMARY CONTACT]]=Table3937[[#This Row],[WHATSAPP CONTACT]],"Same Contact","Different Contact")</f>
        <v>Same Contact</v>
      </c>
      <c r="T498" s="383" t="str">
        <f>IF(LEN(SUBSTITUTE(Table3937[[#This Row],[PRIMARY CONTACT]]," ",""))=10,SUBSTITUTE(Table3937[[#This Row],[PRIMARY CONTACT]]," ","") &amp; " - Proper","- Follow Up")</f>
        <v>9123426199 - Proper</v>
      </c>
      <c r="U498" s="383" t="s">
        <v>3301</v>
      </c>
      <c r="V498" s="393" t="s">
        <v>2786</v>
      </c>
      <c r="W498" s="383" t="s">
        <v>47</v>
      </c>
      <c r="X498" s="383" t="s">
        <v>44</v>
      </c>
      <c r="Y498" s="383" t="s">
        <v>44</v>
      </c>
      <c r="Z498" s="383" t="s">
        <v>44</v>
      </c>
      <c r="AA498" s="383" t="s">
        <v>44</v>
      </c>
      <c r="AB498" s="383"/>
    </row>
    <row r="499" spans="1:28" ht="13.8">
      <c r="A499" s="387">
        <v>498</v>
      </c>
      <c r="B499" s="383" t="s">
        <v>10710</v>
      </c>
      <c r="C499" s="383" t="s">
        <v>10710</v>
      </c>
      <c r="D499" s="383" t="s">
        <v>10710</v>
      </c>
      <c r="E499" s="383" t="s">
        <v>9016</v>
      </c>
      <c r="F499" s="383">
        <v>1195</v>
      </c>
      <c r="G499" s="383" t="s">
        <v>71</v>
      </c>
      <c r="H499" s="383" t="s">
        <v>2139</v>
      </c>
      <c r="I499" s="383" t="s">
        <v>8500</v>
      </c>
      <c r="J499" s="383" t="s">
        <v>2135</v>
      </c>
      <c r="K499" s="383" t="s">
        <v>2136</v>
      </c>
      <c r="L499" s="383" t="s">
        <v>8341</v>
      </c>
      <c r="M499" s="383" t="s">
        <v>10320</v>
      </c>
      <c r="N499" s="383" t="s">
        <v>44</v>
      </c>
      <c r="O499" s="383" t="str">
        <f>IF(LEN(SUBSTITUTE(Table3937[[#This Row],[PRIMARY CONTACT]]," ",""))=10,SUBSTITUTE(Table3937[[#This Row],[PRIMARY CONTACT]]," ","") &amp; " - Proper","- Follow Up")</f>
        <v>9423443188 - Proper</v>
      </c>
      <c r="P499" s="383" t="s">
        <v>3412</v>
      </c>
      <c r="Q499" s="383">
        <v>9423443188</v>
      </c>
      <c r="R499" s="383" t="str">
        <f>SUBSTITUTE(Table3937[[#This Row],[whatsapp_number]]," ","")</f>
        <v>9423443188</v>
      </c>
      <c r="S499" s="383" t="str">
        <f>IF(Table3937[[#This Row],[PRIMARY CONTACT]]=Table3937[[#This Row],[WHATSAPP CONTACT]],"Same Contact","Different Contact")</f>
        <v>Same Contact</v>
      </c>
      <c r="T499" s="383" t="str">
        <f>IF(LEN(SUBSTITUTE(Table3937[[#This Row],[PRIMARY CONTACT]]," ",""))=10,SUBSTITUTE(Table3937[[#This Row],[PRIMARY CONTACT]]," ","") &amp; " - Proper","- Follow Up")</f>
        <v>9423443188 - Proper</v>
      </c>
      <c r="U499" s="383" t="s">
        <v>2953</v>
      </c>
      <c r="V499" s="393" t="s">
        <v>2137</v>
      </c>
      <c r="W499" s="383" t="s">
        <v>47</v>
      </c>
      <c r="X499" s="383" t="s">
        <v>44</v>
      </c>
      <c r="Y499" s="383" t="s">
        <v>44</v>
      </c>
      <c r="Z499" s="383" t="s">
        <v>44</v>
      </c>
      <c r="AA499" s="383" t="s">
        <v>44</v>
      </c>
      <c r="AB499" s="383"/>
    </row>
    <row r="500" spans="1:28" ht="13.8">
      <c r="A500" s="387">
        <v>499</v>
      </c>
      <c r="B500" s="383" t="s">
        <v>10710</v>
      </c>
      <c r="C500" s="383" t="s">
        <v>10710</v>
      </c>
      <c r="D500" s="383" t="s">
        <v>10710</v>
      </c>
      <c r="E500" s="383" t="s">
        <v>9017</v>
      </c>
      <c r="F500" s="383">
        <v>1196</v>
      </c>
      <c r="G500" s="383" t="s">
        <v>2145</v>
      </c>
      <c r="H500" s="383" t="s">
        <v>2146</v>
      </c>
      <c r="I500" s="383" t="s">
        <v>2142</v>
      </c>
      <c r="J500" s="383" t="s">
        <v>2141</v>
      </c>
      <c r="K500" s="383" t="s">
        <v>2143</v>
      </c>
      <c r="L500" s="383" t="s">
        <v>9731</v>
      </c>
      <c r="M500" s="383" t="s">
        <v>10321</v>
      </c>
      <c r="N500" s="383" t="s">
        <v>44</v>
      </c>
      <c r="O500" s="383" t="str">
        <f>IF(LEN(SUBSTITUTE(Table3937[[#This Row],[PRIMARY CONTACT]]," ",""))=10,SUBSTITUTE(Table3937[[#This Row],[PRIMARY CONTACT]]," ","") &amp; " - Proper","- Follow Up")</f>
        <v>9820488881 - Proper</v>
      </c>
      <c r="P500" s="383" t="s">
        <v>3414</v>
      </c>
      <c r="Q500" s="383">
        <v>9820488881</v>
      </c>
      <c r="R500" s="383" t="str">
        <f>SUBSTITUTE(Table3937[[#This Row],[whatsapp_number]]," ","")</f>
        <v>9820488881</v>
      </c>
      <c r="S500" s="383" t="str">
        <f>IF(Table3937[[#This Row],[PRIMARY CONTACT]]=Table3937[[#This Row],[WHATSAPP CONTACT]],"Same Contact","Different Contact")</f>
        <v>Same Contact</v>
      </c>
      <c r="T500" s="383" t="str">
        <f>IF(LEN(SUBSTITUTE(Table3937[[#This Row],[PRIMARY CONTACT]]," ",""))=10,SUBSTITUTE(Table3937[[#This Row],[PRIMARY CONTACT]]," ","") &amp; " - Proper","- Follow Up")</f>
        <v>9820488881 - Proper</v>
      </c>
      <c r="U500" s="383" t="s">
        <v>2953</v>
      </c>
      <c r="V500" s="383" t="s">
        <v>71</v>
      </c>
      <c r="W500" s="383" t="s">
        <v>47</v>
      </c>
      <c r="X500" s="383" t="s">
        <v>44</v>
      </c>
      <c r="Y500" s="383" t="s">
        <v>44</v>
      </c>
      <c r="Z500" s="383" t="s">
        <v>44</v>
      </c>
      <c r="AA500" s="383" t="s">
        <v>44</v>
      </c>
      <c r="AB500" s="383"/>
    </row>
    <row r="501" spans="1:28" ht="13.8">
      <c r="A501" s="387">
        <v>500</v>
      </c>
      <c r="B501" s="58" t="s">
        <v>2148</v>
      </c>
      <c r="C501" s="383" t="s">
        <v>10709</v>
      </c>
      <c r="D501" s="383" t="s">
        <v>10764</v>
      </c>
      <c r="E501" s="383" t="s">
        <v>2148</v>
      </c>
      <c r="F501" s="383">
        <v>1197</v>
      </c>
      <c r="G501" s="383" t="s">
        <v>71</v>
      </c>
      <c r="H501" s="383" t="s">
        <v>2157</v>
      </c>
      <c r="I501" s="383" t="s">
        <v>2151</v>
      </c>
      <c r="J501" s="383" t="s">
        <v>2152</v>
      </c>
      <c r="K501" s="383" t="s">
        <v>2153</v>
      </c>
      <c r="L501" s="383" t="s">
        <v>9732</v>
      </c>
      <c r="M501" s="383" t="s">
        <v>10322</v>
      </c>
      <c r="N501" s="123">
        <v>2235654270</v>
      </c>
      <c r="O501" s="383" t="str">
        <f>IF(LEN(SUBSTITUTE(Table3937[[#This Row],[PRIMARY CONTACT]]," ",""))=10,SUBSTITUTE(Table3937[[#This Row],[PRIMARY CONTACT]]," ","") &amp; " - Proper","- Follow Up")</f>
        <v>9819338777 - Proper</v>
      </c>
      <c r="P501" s="383" t="s">
        <v>3417</v>
      </c>
      <c r="Q501" s="383">
        <v>9819338777</v>
      </c>
      <c r="R501" s="383" t="str">
        <f>SUBSTITUTE(Table3937[[#This Row],[whatsapp_number]]," ","")</f>
        <v>9819338777</v>
      </c>
      <c r="S501" s="383" t="str">
        <f>IF(Table3937[[#This Row],[PRIMARY CONTACT]]=Table3937[[#This Row],[WHATSAPP CONTACT]],"Same Contact","Different Contact")</f>
        <v>Same Contact</v>
      </c>
      <c r="T501" s="383" t="str">
        <f>IF(LEN(SUBSTITUTE(Table3937[[#This Row],[PRIMARY CONTACT]]," ",""))=10,SUBSTITUTE(Table3937[[#This Row],[PRIMARY CONTACT]]," ","") &amp; " - Proper","- Follow Up")</f>
        <v>9819338777 - Proper</v>
      </c>
      <c r="U501" s="383" t="s">
        <v>3418</v>
      </c>
      <c r="V501" s="393" t="s">
        <v>2155</v>
      </c>
      <c r="W501" s="383" t="s">
        <v>47</v>
      </c>
      <c r="X501" s="51" t="s">
        <v>48</v>
      </c>
      <c r="Y501" s="51" t="s">
        <v>49</v>
      </c>
      <c r="Z501" s="51" t="s">
        <v>49</v>
      </c>
      <c r="AA501" s="51" t="s">
        <v>48</v>
      </c>
      <c r="AB501" s="383"/>
    </row>
    <row r="502" spans="1:28" ht="13.8">
      <c r="A502" s="387">
        <v>501</v>
      </c>
      <c r="B502" s="58" t="s">
        <v>2158</v>
      </c>
      <c r="C502" s="383" t="s">
        <v>10709</v>
      </c>
      <c r="D502" s="383" t="s">
        <v>10771</v>
      </c>
      <c r="E502" s="383" t="s">
        <v>9018</v>
      </c>
      <c r="F502" s="383">
        <v>1198</v>
      </c>
      <c r="G502" s="383" t="s">
        <v>71</v>
      </c>
      <c r="H502" s="383" t="s">
        <v>2165</v>
      </c>
      <c r="I502" s="383" t="s">
        <v>2161</v>
      </c>
      <c r="J502" s="383" t="s">
        <v>9444</v>
      </c>
      <c r="K502" s="383" t="s">
        <v>534</v>
      </c>
      <c r="L502" s="383" t="s">
        <v>8341</v>
      </c>
      <c r="M502" s="383" t="s">
        <v>10323</v>
      </c>
      <c r="N502" s="29" t="s">
        <v>44</v>
      </c>
      <c r="O502" s="383" t="str">
        <f>IF(LEN(SUBSTITUTE(Table3937[[#This Row],[PRIMARY CONTACT]]," ",""))=10,SUBSTITUTE(Table3937[[#This Row],[PRIMARY CONTACT]]," ","") &amp; " - Proper","- Follow Up")</f>
        <v>9867380759 - Proper</v>
      </c>
      <c r="P502" s="383" t="s">
        <v>3420</v>
      </c>
      <c r="Q502" s="383">
        <v>9867380759</v>
      </c>
      <c r="R502" s="383" t="str">
        <f>SUBSTITUTE(Table3937[[#This Row],[whatsapp_number]]," ","")</f>
        <v>9867380759</v>
      </c>
      <c r="S502" s="383" t="str">
        <f>IF(Table3937[[#This Row],[PRIMARY CONTACT]]=Table3937[[#This Row],[WHATSAPP CONTACT]],"Same Contact","Different Contact")</f>
        <v>Same Contact</v>
      </c>
      <c r="T502" s="383" t="str">
        <f>IF(LEN(SUBSTITUTE(Table3937[[#This Row],[PRIMARY CONTACT]]," ",""))=10,SUBSTITUTE(Table3937[[#This Row],[PRIMARY CONTACT]]," ","") &amp; " - Proper","- Follow Up")</f>
        <v>9867380759 - Proper</v>
      </c>
      <c r="U502" s="383" t="s">
        <v>2163</v>
      </c>
      <c r="V502" s="383" t="s">
        <v>71</v>
      </c>
      <c r="W502" s="383" t="s">
        <v>47</v>
      </c>
      <c r="X502" s="51" t="s">
        <v>1804</v>
      </c>
      <c r="Y502" s="51" t="s">
        <v>49</v>
      </c>
      <c r="Z502" s="51" t="s">
        <v>49</v>
      </c>
      <c r="AA502" s="51" t="s">
        <v>2164</v>
      </c>
      <c r="AB502" s="383"/>
    </row>
    <row r="503" spans="1:28" ht="13.8">
      <c r="A503" s="387">
        <v>502</v>
      </c>
      <c r="B503" s="58" t="s">
        <v>2166</v>
      </c>
      <c r="C503" s="383" t="s">
        <v>10709</v>
      </c>
      <c r="D503" s="383" t="s">
        <v>10765</v>
      </c>
      <c r="E503" s="383" t="s">
        <v>9019</v>
      </c>
      <c r="F503" s="383">
        <v>1199</v>
      </c>
      <c r="G503" s="383" t="s">
        <v>71</v>
      </c>
      <c r="H503" s="383" t="s">
        <v>2173</v>
      </c>
      <c r="I503" s="383" t="s">
        <v>8501</v>
      </c>
      <c r="J503" s="383" t="s">
        <v>9445</v>
      </c>
      <c r="K503" s="383" t="s">
        <v>507</v>
      </c>
      <c r="L503" s="383" t="s">
        <v>9733</v>
      </c>
      <c r="M503" s="383" t="s">
        <v>10324</v>
      </c>
      <c r="N503" s="123" t="s">
        <v>2171</v>
      </c>
      <c r="O503" s="383" t="str">
        <f>IF(LEN(SUBSTITUTE(Table3937[[#This Row],[PRIMARY CONTACT]]," ",""))=10,SUBSTITUTE(Table3937[[#This Row],[PRIMARY CONTACT]]," ","") &amp; " - Proper","- Follow Up")</f>
        <v>8369464157 - Proper</v>
      </c>
      <c r="P503" s="383" t="s">
        <v>3424</v>
      </c>
      <c r="Q503" s="383">
        <v>8369464157</v>
      </c>
      <c r="R503" s="383" t="str">
        <f>SUBSTITUTE(Table3937[[#This Row],[whatsapp_number]]," ","")</f>
        <v>8369464157</v>
      </c>
      <c r="S503" s="383" t="str">
        <f>IF(Table3937[[#This Row],[PRIMARY CONTACT]]=Table3937[[#This Row],[WHATSAPP CONTACT]],"Same Contact","Different Contact")</f>
        <v>Same Contact</v>
      </c>
      <c r="T503" s="383" t="str">
        <f>IF(LEN(SUBSTITUTE(Table3937[[#This Row],[PRIMARY CONTACT]]," ",""))=10,SUBSTITUTE(Table3937[[#This Row],[PRIMARY CONTACT]]," ","") &amp; " - Proper","- Follow Up")</f>
        <v>8369464157 - Proper</v>
      </c>
      <c r="U503" s="383" t="s">
        <v>3057</v>
      </c>
      <c r="V503" s="393" t="s">
        <v>2172</v>
      </c>
      <c r="W503" s="383" t="s">
        <v>47</v>
      </c>
      <c r="X503" s="51" t="s">
        <v>170</v>
      </c>
      <c r="Y503" s="51" t="s">
        <v>49</v>
      </c>
      <c r="Z503" s="51" t="s">
        <v>197</v>
      </c>
      <c r="AA503" s="51" t="s">
        <v>49</v>
      </c>
      <c r="AB503" s="383"/>
    </row>
    <row r="504" spans="1:28" ht="13.8">
      <c r="A504" s="387">
        <v>503</v>
      </c>
      <c r="B504" s="58" t="s">
        <v>2188</v>
      </c>
      <c r="C504" s="383" t="s">
        <v>10709</v>
      </c>
      <c r="D504" s="383" t="s">
        <v>10766</v>
      </c>
      <c r="E504" s="383" t="s">
        <v>9020</v>
      </c>
      <c r="F504" s="383">
        <v>1200</v>
      </c>
      <c r="G504" s="383" t="s">
        <v>71</v>
      </c>
      <c r="H504" s="383" t="s">
        <v>2193</v>
      </c>
      <c r="I504" s="383" t="s">
        <v>2191</v>
      </c>
      <c r="J504" s="383" t="s">
        <v>2192</v>
      </c>
      <c r="K504" s="383" t="s">
        <v>9533</v>
      </c>
      <c r="L504" s="383" t="s">
        <v>8341</v>
      </c>
      <c r="M504" s="383" t="s">
        <v>10325</v>
      </c>
      <c r="N504" s="29" t="s">
        <v>44</v>
      </c>
      <c r="O504" s="383" t="str">
        <f>IF(LEN(SUBSTITUTE(Table3937[[#This Row],[PRIMARY CONTACT]]," ",""))=10,SUBSTITUTE(Table3937[[#This Row],[PRIMARY CONTACT]]," ","") &amp; " - Proper","- Follow Up")</f>
        <v>9830056475 - Proper</v>
      </c>
      <c r="P504" s="383" t="s">
        <v>3426</v>
      </c>
      <c r="Q504" s="383">
        <v>9830056475</v>
      </c>
      <c r="R504" s="383" t="str">
        <f>SUBSTITUTE(Table3937[[#This Row],[whatsapp_number]]," ","")</f>
        <v>9830056475</v>
      </c>
      <c r="S504" s="383" t="str">
        <f>IF(Table3937[[#This Row],[PRIMARY CONTACT]]=Table3937[[#This Row],[WHATSAPP CONTACT]],"Same Contact","Different Contact")</f>
        <v>Same Contact</v>
      </c>
      <c r="T504" s="383" t="str">
        <f>IF(LEN(SUBSTITUTE(Table3937[[#This Row],[PRIMARY CONTACT]]," ",""))=10,SUBSTITUTE(Table3937[[#This Row],[PRIMARY CONTACT]]," ","") &amp; " - Proper","- Follow Up")</f>
        <v>9830056475 - Proper</v>
      </c>
      <c r="U504" s="383" t="s">
        <v>3427</v>
      </c>
      <c r="V504" s="383" t="s">
        <v>71</v>
      </c>
      <c r="W504" s="383" t="s">
        <v>47</v>
      </c>
      <c r="X504" s="29" t="s">
        <v>395</v>
      </c>
      <c r="Y504" s="29" t="s">
        <v>395</v>
      </c>
      <c r="Z504" s="29" t="s">
        <v>395</v>
      </c>
      <c r="AA504" s="29" t="s">
        <v>395</v>
      </c>
      <c r="AB504" s="383"/>
    </row>
    <row r="505" spans="1:28" ht="13.8">
      <c r="A505" s="387">
        <v>504</v>
      </c>
      <c r="B505" s="58" t="s">
        <v>2194</v>
      </c>
      <c r="C505" s="383" t="s">
        <v>10709</v>
      </c>
      <c r="D505" s="383" t="s">
        <v>10767</v>
      </c>
      <c r="E505" s="383" t="s">
        <v>9021</v>
      </c>
      <c r="F505" s="383">
        <v>1201</v>
      </c>
      <c r="G505" s="383" t="s">
        <v>71</v>
      </c>
      <c r="H505" s="383" t="s">
        <v>2202</v>
      </c>
      <c r="I505" s="383" t="s">
        <v>8502</v>
      </c>
      <c r="J505" s="383" t="s">
        <v>2198</v>
      </c>
      <c r="K505" s="383" t="s">
        <v>9531</v>
      </c>
      <c r="L505" s="383" t="s">
        <v>9734</v>
      </c>
      <c r="M505" s="383" t="s">
        <v>10326</v>
      </c>
      <c r="N505" s="29" t="s">
        <v>44</v>
      </c>
      <c r="O505" s="383" t="str">
        <f>IF(LEN(SUBSTITUTE(Table3937[[#This Row],[PRIMARY CONTACT]]," ",""))=10,SUBSTITUTE(Table3937[[#This Row],[PRIMARY CONTACT]]," ","") &amp; " - Proper","- Follow Up")</f>
        <v>9773304882 - Proper</v>
      </c>
      <c r="P505" s="383" t="s">
        <v>3429</v>
      </c>
      <c r="Q505" s="383">
        <v>9773304882</v>
      </c>
      <c r="R505" s="383" t="str">
        <f>SUBSTITUTE(Table3937[[#This Row],[whatsapp_number]]," ","")</f>
        <v>9773304882</v>
      </c>
      <c r="S505" s="383" t="str">
        <f>IF(Table3937[[#This Row],[PRIMARY CONTACT]]=Table3937[[#This Row],[WHATSAPP CONTACT]],"Same Contact","Different Contact")</f>
        <v>Same Contact</v>
      </c>
      <c r="T505" s="383" t="str">
        <f>IF(LEN(SUBSTITUTE(Table3937[[#This Row],[PRIMARY CONTACT]]," ",""))=10,SUBSTITUTE(Table3937[[#This Row],[PRIMARY CONTACT]]," ","") &amp; " - Proper","- Follow Up")</f>
        <v>9773304882 - Proper</v>
      </c>
      <c r="U505" s="383" t="s">
        <v>8341</v>
      </c>
      <c r="V505" s="383" t="s">
        <v>71</v>
      </c>
      <c r="W505" s="383" t="s">
        <v>47</v>
      </c>
      <c r="X505" s="51" t="s">
        <v>48</v>
      </c>
      <c r="Y505" s="51" t="s">
        <v>2200</v>
      </c>
      <c r="Z505" s="51" t="s">
        <v>2200</v>
      </c>
      <c r="AA505" s="51" t="s">
        <v>2201</v>
      </c>
      <c r="AB505" s="383"/>
    </row>
    <row r="506" spans="1:28" ht="13.8">
      <c r="A506" s="387">
        <v>505</v>
      </c>
      <c r="B506" s="58" t="s">
        <v>2203</v>
      </c>
      <c r="C506" s="383" t="s">
        <v>10709</v>
      </c>
      <c r="D506" s="383" t="s">
        <v>10768</v>
      </c>
      <c r="E506" s="383" t="s">
        <v>9022</v>
      </c>
      <c r="F506" s="383">
        <v>1202</v>
      </c>
      <c r="G506" s="383" t="s">
        <v>71</v>
      </c>
      <c r="H506" s="383" t="s">
        <v>2202</v>
      </c>
      <c r="I506" s="383" t="s">
        <v>8502</v>
      </c>
      <c r="J506" s="383" t="s">
        <v>2206</v>
      </c>
      <c r="K506" s="383" t="s">
        <v>9531</v>
      </c>
      <c r="L506" s="383" t="s">
        <v>9735</v>
      </c>
      <c r="M506" s="383" t="s">
        <v>10326</v>
      </c>
      <c r="N506" s="29" t="s">
        <v>44</v>
      </c>
      <c r="O506" s="383" t="str">
        <f>IF(LEN(SUBSTITUTE(Table3937[[#This Row],[PRIMARY CONTACT]]," ",""))=10,SUBSTITUTE(Table3937[[#This Row],[PRIMARY CONTACT]]," ","") &amp; " - Proper","- Follow Up")</f>
        <v>9773304882 - Proper</v>
      </c>
      <c r="P506" s="383" t="s">
        <v>3431</v>
      </c>
      <c r="Q506" s="383">
        <v>9773304882</v>
      </c>
      <c r="R506" s="383" t="str">
        <f>SUBSTITUTE(Table3937[[#This Row],[whatsapp_number]]," ","")</f>
        <v>9773304882</v>
      </c>
      <c r="S506" s="383" t="str">
        <f>IF(Table3937[[#This Row],[PRIMARY CONTACT]]=Table3937[[#This Row],[WHATSAPP CONTACT]],"Same Contact","Different Contact")</f>
        <v>Same Contact</v>
      </c>
      <c r="T506" s="383" t="str">
        <f>IF(LEN(SUBSTITUTE(Table3937[[#This Row],[PRIMARY CONTACT]]," ",""))=10,SUBSTITUTE(Table3937[[#This Row],[PRIMARY CONTACT]]," ","") &amp; " - Proper","- Follow Up")</f>
        <v>9773304882 - Proper</v>
      </c>
      <c r="U506" s="383" t="s">
        <v>8341</v>
      </c>
      <c r="V506" s="383" t="s">
        <v>71</v>
      </c>
      <c r="W506" s="383" t="s">
        <v>47</v>
      </c>
      <c r="X506" s="51" t="s">
        <v>48</v>
      </c>
      <c r="Y506" s="51" t="s">
        <v>2207</v>
      </c>
      <c r="Z506" s="51" t="s">
        <v>2207</v>
      </c>
      <c r="AA506" s="51" t="s">
        <v>2208</v>
      </c>
      <c r="AB506" s="383"/>
    </row>
    <row r="507" spans="1:28" ht="15">
      <c r="A507" s="387">
        <v>506</v>
      </c>
      <c r="B507" s="58" t="s">
        <v>2209</v>
      </c>
      <c r="C507" s="383" t="s">
        <v>10709</v>
      </c>
      <c r="D507" s="383" t="s">
        <v>10769</v>
      </c>
      <c r="E507" s="383" t="s">
        <v>9023</v>
      </c>
      <c r="F507" s="383">
        <v>1203</v>
      </c>
      <c r="G507" s="383" t="s">
        <v>71</v>
      </c>
      <c r="H507" s="383" t="s">
        <v>2218</v>
      </c>
      <c r="I507" s="383" t="s">
        <v>8503</v>
      </c>
      <c r="J507" s="383" t="s">
        <v>2213</v>
      </c>
      <c r="K507" s="383" t="s">
        <v>42</v>
      </c>
      <c r="L507" s="383" t="s">
        <v>9736</v>
      </c>
      <c r="M507" s="383" t="s">
        <v>10327</v>
      </c>
      <c r="N507" s="89">
        <v>9324285712</v>
      </c>
      <c r="O507" s="383" t="str">
        <f>IF(LEN(SUBSTITUTE(Table3937[[#This Row],[PRIMARY CONTACT]]," ",""))=10,SUBSTITUTE(Table3937[[#This Row],[PRIMARY CONTACT]]," ","") &amp; " - Proper","- Follow Up")</f>
        <v>9820065040 - Proper</v>
      </c>
      <c r="P507" s="383" t="s">
        <v>3433</v>
      </c>
      <c r="Q507" s="383">
        <v>9820065040</v>
      </c>
      <c r="R507" s="383" t="str">
        <f>SUBSTITUTE(Table3937[[#This Row],[whatsapp_number]]," ","")</f>
        <v>9820065040</v>
      </c>
      <c r="S507" s="383" t="str">
        <f>IF(Table3937[[#This Row],[PRIMARY CONTACT]]=Table3937[[#This Row],[WHATSAPP CONTACT]],"Same Contact","Different Contact")</f>
        <v>Same Contact</v>
      </c>
      <c r="T507" s="383" t="str">
        <f>IF(LEN(SUBSTITUTE(Table3937[[#This Row],[PRIMARY CONTACT]]," ",""))=10,SUBSTITUTE(Table3937[[#This Row],[PRIMARY CONTACT]]," ","") &amp; " - Proper","- Follow Up")</f>
        <v>9820065040 - Proper</v>
      </c>
      <c r="U507" s="383" t="s">
        <v>2216</v>
      </c>
      <c r="V507" s="393" t="s">
        <v>2215</v>
      </c>
      <c r="W507" s="383" t="s">
        <v>47</v>
      </c>
      <c r="X507" s="51" t="s">
        <v>2012</v>
      </c>
      <c r="Y507" s="51" t="s">
        <v>49</v>
      </c>
      <c r="Z507" s="51" t="s">
        <v>2217</v>
      </c>
      <c r="AA507" s="51" t="s">
        <v>48</v>
      </c>
      <c r="AB507" s="383"/>
    </row>
    <row r="508" spans="1:28" ht="15">
      <c r="A508" s="387">
        <v>507</v>
      </c>
      <c r="B508" s="58" t="s">
        <v>2233</v>
      </c>
      <c r="C508" s="383" t="s">
        <v>10709</v>
      </c>
      <c r="D508" s="383" t="s">
        <v>10770</v>
      </c>
      <c r="E508" s="383" t="s">
        <v>9024</v>
      </c>
      <c r="F508" s="383">
        <v>1204</v>
      </c>
      <c r="G508" s="383" t="s">
        <v>71</v>
      </c>
      <c r="H508" s="383" t="s">
        <v>2218</v>
      </c>
      <c r="I508" s="383" t="s">
        <v>8503</v>
      </c>
      <c r="J508" s="383" t="s">
        <v>2236</v>
      </c>
      <c r="K508" s="383" t="s">
        <v>42</v>
      </c>
      <c r="L508" s="383" t="s">
        <v>9736</v>
      </c>
      <c r="M508" s="383" t="s">
        <v>10328</v>
      </c>
      <c r="N508" s="89">
        <v>9820065040</v>
      </c>
      <c r="O508" s="383" t="str">
        <f>IF(LEN(SUBSTITUTE(Table3937[[#This Row],[PRIMARY CONTACT]]," ",""))=10,SUBSTITUTE(Table3937[[#This Row],[PRIMARY CONTACT]]," ","") &amp; " - Proper","- Follow Up")</f>
        <v>9324285712 - Proper</v>
      </c>
      <c r="P508" s="383" t="s">
        <v>3435</v>
      </c>
      <c r="Q508" s="383">
        <v>9324285712</v>
      </c>
      <c r="R508" s="383" t="str">
        <f>SUBSTITUTE(Table3937[[#This Row],[whatsapp_number]]," ","")</f>
        <v>9324285712</v>
      </c>
      <c r="S508" s="383" t="str">
        <f>IF(Table3937[[#This Row],[PRIMARY CONTACT]]=Table3937[[#This Row],[WHATSAPP CONTACT]],"Same Contact","Different Contact")</f>
        <v>Same Contact</v>
      </c>
      <c r="T508" s="383" t="str">
        <f>IF(LEN(SUBSTITUTE(Table3937[[#This Row],[PRIMARY CONTACT]]," ",""))=10,SUBSTITUTE(Table3937[[#This Row],[PRIMARY CONTACT]]," ","") &amp; " - Proper","- Follow Up")</f>
        <v>9324285712 - Proper</v>
      </c>
      <c r="U508" s="383" t="s">
        <v>2216</v>
      </c>
      <c r="V508" s="393" t="s">
        <v>2215</v>
      </c>
      <c r="W508" s="383" t="s">
        <v>47</v>
      </c>
      <c r="X508" s="51" t="s">
        <v>2237</v>
      </c>
      <c r="Y508" s="51" t="s">
        <v>301</v>
      </c>
      <c r="Z508" s="51" t="s">
        <v>2238</v>
      </c>
      <c r="AA508" s="51" t="s">
        <v>48</v>
      </c>
      <c r="AB508" s="383"/>
    </row>
    <row r="509" spans="1:28" ht="13.8">
      <c r="A509" s="387">
        <v>508</v>
      </c>
      <c r="B509" s="58" t="s">
        <v>2248</v>
      </c>
      <c r="C509" s="383" t="s">
        <v>10709</v>
      </c>
      <c r="D509" s="383" t="s">
        <v>10762</v>
      </c>
      <c r="E509" s="383" t="s">
        <v>9025</v>
      </c>
      <c r="F509" s="383">
        <v>1206</v>
      </c>
      <c r="G509" s="383" t="s">
        <v>71</v>
      </c>
      <c r="H509" s="383" t="s">
        <v>2247</v>
      </c>
      <c r="I509" s="383" t="s">
        <v>8504</v>
      </c>
      <c r="J509" s="383" t="s">
        <v>2252</v>
      </c>
      <c r="K509" s="383" t="s">
        <v>191</v>
      </c>
      <c r="L509" s="383" t="s">
        <v>9737</v>
      </c>
      <c r="M509" s="383" t="s">
        <v>10329</v>
      </c>
      <c r="N509" s="29" t="s">
        <v>44</v>
      </c>
      <c r="O509" s="383" t="str">
        <f>IF(LEN(SUBSTITUTE(Table3937[[#This Row],[PRIMARY CONTACT]]," ",""))=10,SUBSTITUTE(Table3937[[#This Row],[PRIMARY CONTACT]]," ","") &amp; " - Proper","- Follow Up")</f>
        <v>9820574070 - Proper</v>
      </c>
      <c r="P509" s="383" t="s">
        <v>3437</v>
      </c>
      <c r="Q509" s="383">
        <v>9820574070</v>
      </c>
      <c r="R509" s="383" t="str">
        <f>SUBSTITUTE(Table3937[[#This Row],[whatsapp_number]]," ","")</f>
        <v>9820574070</v>
      </c>
      <c r="S509" s="383" t="str">
        <f>IF(Table3937[[#This Row],[PRIMARY CONTACT]]=Table3937[[#This Row],[WHATSAPP CONTACT]],"Same Contact","Different Contact")</f>
        <v>Same Contact</v>
      </c>
      <c r="T509" s="383" t="str">
        <f>IF(LEN(SUBSTITUTE(Table3937[[#This Row],[PRIMARY CONTACT]]," ",""))=10,SUBSTITUTE(Table3937[[#This Row],[PRIMARY CONTACT]]," ","") &amp; " - Proper","- Follow Up")</f>
        <v>9820574070 - Proper</v>
      </c>
      <c r="U509" s="383" t="s">
        <v>10600</v>
      </c>
      <c r="V509" s="393" t="s">
        <v>2254</v>
      </c>
      <c r="W509" s="383" t="s">
        <v>47</v>
      </c>
      <c r="X509" s="51" t="s">
        <v>170</v>
      </c>
      <c r="Y509" s="51" t="s">
        <v>49</v>
      </c>
      <c r="Z509" s="51" t="s">
        <v>2255</v>
      </c>
      <c r="AA509" s="51" t="s">
        <v>794</v>
      </c>
      <c r="AB509" s="383"/>
    </row>
    <row r="510" spans="1:28" ht="13.8">
      <c r="A510" s="387">
        <v>509</v>
      </c>
      <c r="B510" s="58" t="s">
        <v>2269</v>
      </c>
      <c r="C510" s="383" t="s">
        <v>10709</v>
      </c>
      <c r="D510" s="383" t="s">
        <v>10762</v>
      </c>
      <c r="E510" s="383" t="s">
        <v>9026</v>
      </c>
      <c r="F510" s="383">
        <v>1207</v>
      </c>
      <c r="G510" s="383" t="s">
        <v>71</v>
      </c>
      <c r="H510" s="383" t="s">
        <v>2256</v>
      </c>
      <c r="I510" s="383" t="s">
        <v>8505</v>
      </c>
      <c r="J510" s="383" t="s">
        <v>2252</v>
      </c>
      <c r="K510" s="383" t="s">
        <v>8341</v>
      </c>
      <c r="L510" s="383" t="s">
        <v>8341</v>
      </c>
      <c r="M510" s="383" t="s">
        <v>10330</v>
      </c>
      <c r="N510" s="128">
        <v>9082084426</v>
      </c>
      <c r="O510" s="383" t="str">
        <f>IF(LEN(SUBSTITUTE(Table3937[[#This Row],[PRIMARY CONTACT]]," ",""))=10,SUBSTITUTE(Table3937[[#This Row],[PRIMARY CONTACT]]," ","") &amp; " - Proper","- Follow Up")</f>
        <v>9082084426 - Proper</v>
      </c>
      <c r="P510" s="383" t="s">
        <v>3437</v>
      </c>
      <c r="Q510" s="383">
        <v>9082084426</v>
      </c>
      <c r="R510" s="383" t="str">
        <f>SUBSTITUTE(Table3937[[#This Row],[whatsapp_number]]," ","")</f>
        <v>9082084426</v>
      </c>
      <c r="S510" s="383" t="str">
        <f>IF(Table3937[[#This Row],[PRIMARY CONTACT]]=Table3937[[#This Row],[WHATSAPP CONTACT]],"Same Contact","Different Contact")</f>
        <v>Same Contact</v>
      </c>
      <c r="T510" s="383" t="str">
        <f>IF(LEN(SUBSTITUTE(Table3937[[#This Row],[PRIMARY CONTACT]]," ",""))=10,SUBSTITUTE(Table3937[[#This Row],[PRIMARY CONTACT]]," ","") &amp; " - Proper","- Follow Up")</f>
        <v>9082084426 - Proper</v>
      </c>
      <c r="U510" s="383" t="s">
        <v>8341</v>
      </c>
      <c r="V510" s="393" t="s">
        <v>2273</v>
      </c>
      <c r="W510" s="383" t="s">
        <v>47</v>
      </c>
      <c r="X510" s="51" t="s">
        <v>170</v>
      </c>
      <c r="Y510" s="51" t="s">
        <v>49</v>
      </c>
      <c r="Z510" s="51" t="s">
        <v>2274</v>
      </c>
      <c r="AA510" s="51" t="s">
        <v>2275</v>
      </c>
      <c r="AB510" s="383"/>
    </row>
    <row r="511" spans="1:28" ht="13.8">
      <c r="A511" s="387">
        <v>510</v>
      </c>
      <c r="B511" s="58" t="s">
        <v>2281</v>
      </c>
      <c r="C511" s="383" t="s">
        <v>10709</v>
      </c>
      <c r="D511" s="383" t="s">
        <v>10763</v>
      </c>
      <c r="E511" s="383" t="s">
        <v>9027</v>
      </c>
      <c r="F511" s="383">
        <v>1208</v>
      </c>
      <c r="G511" s="383" t="s">
        <v>71</v>
      </c>
      <c r="H511" s="383" t="s">
        <v>71</v>
      </c>
      <c r="I511" s="383" t="s">
        <v>2284</v>
      </c>
      <c r="J511" s="383" t="s">
        <v>2285</v>
      </c>
      <c r="K511" s="383" t="s">
        <v>2286</v>
      </c>
      <c r="L511" s="383" t="s">
        <v>9738</v>
      </c>
      <c r="M511" s="383" t="s">
        <v>10331</v>
      </c>
      <c r="N511" s="123">
        <v>9820574070</v>
      </c>
      <c r="O511" s="383" t="str">
        <f>IF(LEN(SUBSTITUTE(Table3937[[#This Row],[PRIMARY CONTACT]]," ",""))=10,SUBSTITUTE(Table3937[[#This Row],[PRIMARY CONTACT]]," ","") &amp; " - Proper","- Follow Up")</f>
        <v>9930182255 - Proper</v>
      </c>
      <c r="P511" s="383" t="s">
        <v>3441</v>
      </c>
      <c r="Q511" s="383">
        <v>9930182255</v>
      </c>
      <c r="R511" s="383" t="str">
        <f>SUBSTITUTE(Table3937[[#This Row],[whatsapp_number]]," ","")</f>
        <v>9930182255</v>
      </c>
      <c r="S511" s="383" t="str">
        <f>IF(Table3937[[#This Row],[PRIMARY CONTACT]]=Table3937[[#This Row],[WHATSAPP CONTACT]],"Same Contact","Different Contact")</f>
        <v>Same Contact</v>
      </c>
      <c r="T511" s="383" t="str">
        <f>IF(LEN(SUBSTITUTE(Table3937[[#This Row],[PRIMARY CONTACT]]," ",""))=10,SUBSTITUTE(Table3937[[#This Row],[PRIMARY CONTACT]]," ","") &amp; " - Proper","- Follow Up")</f>
        <v>9930182255 - Proper</v>
      </c>
      <c r="U511" s="383" t="s">
        <v>2953</v>
      </c>
      <c r="V511" s="383" t="s">
        <v>71</v>
      </c>
      <c r="W511" s="383" t="s">
        <v>47</v>
      </c>
      <c r="X511" s="51" t="s">
        <v>170</v>
      </c>
      <c r="Y511" s="51" t="s">
        <v>49</v>
      </c>
      <c r="Z511" s="51" t="s">
        <v>2288</v>
      </c>
      <c r="AA511" s="51" t="s">
        <v>170</v>
      </c>
      <c r="AB511" s="383"/>
    </row>
    <row r="512" spans="1:28" ht="13.8">
      <c r="A512" s="387">
        <v>511</v>
      </c>
      <c r="B512" s="44" t="s">
        <v>2290</v>
      </c>
      <c r="C512" s="383" t="s">
        <v>10709</v>
      </c>
      <c r="D512" s="383" t="s">
        <v>10772</v>
      </c>
      <c r="E512" s="383" t="s">
        <v>9028</v>
      </c>
      <c r="F512" s="383">
        <v>1209</v>
      </c>
      <c r="G512" s="383" t="s">
        <v>71</v>
      </c>
      <c r="H512" s="383" t="s">
        <v>71</v>
      </c>
      <c r="I512" s="383" t="s">
        <v>2293</v>
      </c>
      <c r="J512" s="383" t="s">
        <v>2294</v>
      </c>
      <c r="K512" s="383" t="s">
        <v>507</v>
      </c>
      <c r="L512" s="383" t="s">
        <v>8341</v>
      </c>
      <c r="M512" s="383" t="s">
        <v>10332</v>
      </c>
      <c r="N512" s="29" t="s">
        <v>44</v>
      </c>
      <c r="O512" s="383" t="str">
        <f>IF(LEN(SUBSTITUTE(Table3937[[#This Row],[PRIMARY CONTACT]]," ",""))=10,SUBSTITUTE(Table3937[[#This Row],[PRIMARY CONTACT]]," ","") &amp; " - Proper","- Follow Up")</f>
        <v>9220778904 - Proper</v>
      </c>
      <c r="P512" s="383" t="s">
        <v>3443</v>
      </c>
      <c r="Q512" s="383">
        <v>9220778904</v>
      </c>
      <c r="R512" s="383" t="str">
        <f>SUBSTITUTE(Table3937[[#This Row],[whatsapp_number]]," ","")</f>
        <v>9220778904</v>
      </c>
      <c r="S512" s="383" t="str">
        <f>IF(Table3937[[#This Row],[PRIMARY CONTACT]]=Table3937[[#This Row],[WHATSAPP CONTACT]],"Same Contact","Different Contact")</f>
        <v>Same Contact</v>
      </c>
      <c r="T512" s="383" t="str">
        <f>IF(LEN(SUBSTITUTE(Table3937[[#This Row],[PRIMARY CONTACT]]," ",""))=10,SUBSTITUTE(Table3937[[#This Row],[PRIMARY CONTACT]]," ","") &amp; " - Proper","- Follow Up")</f>
        <v>9220778904 - Proper</v>
      </c>
      <c r="U512" s="383" t="s">
        <v>2953</v>
      </c>
      <c r="V512" s="383" t="s">
        <v>71</v>
      </c>
      <c r="W512" s="383" t="s">
        <v>47</v>
      </c>
      <c r="X512" s="421" t="s">
        <v>44</v>
      </c>
      <c r="Y512" s="421" t="s">
        <v>44</v>
      </c>
      <c r="Z512" s="421" t="s">
        <v>44</v>
      </c>
      <c r="AA512" s="421" t="s">
        <v>44</v>
      </c>
      <c r="AB512" s="383"/>
    </row>
    <row r="513" spans="1:28" ht="13.8">
      <c r="A513" s="387">
        <v>512</v>
      </c>
      <c r="B513" s="58" t="s">
        <v>2296</v>
      </c>
      <c r="C513" s="383" t="s">
        <v>10709</v>
      </c>
      <c r="D513" s="383" t="s">
        <v>9029</v>
      </c>
      <c r="E513" s="383" t="s">
        <v>9029</v>
      </c>
      <c r="F513" s="383">
        <v>1210</v>
      </c>
      <c r="G513" s="383" t="s">
        <v>71</v>
      </c>
      <c r="H513" s="383" t="s">
        <v>2295</v>
      </c>
      <c r="I513" s="383" t="s">
        <v>2299</v>
      </c>
      <c r="J513" s="383" t="s">
        <v>2300</v>
      </c>
      <c r="K513" s="383" t="s">
        <v>2301</v>
      </c>
      <c r="L513" s="383" t="s">
        <v>9739</v>
      </c>
      <c r="M513" s="383" t="s">
        <v>10333</v>
      </c>
      <c r="N513" s="144">
        <v>9702196056</v>
      </c>
      <c r="O513" s="383" t="str">
        <f>IF(LEN(SUBSTITUTE(Table3937[[#This Row],[PRIMARY CONTACT]]," ",""))=10,SUBSTITUTE(Table3937[[#This Row],[PRIMARY CONTACT]]," ","") &amp; " - Proper","- Follow Up")</f>
        <v>9819201521 - Proper</v>
      </c>
      <c r="P513" s="383" t="s">
        <v>3445</v>
      </c>
      <c r="Q513" s="383">
        <v>9819201521</v>
      </c>
      <c r="R513" s="383" t="str">
        <f>SUBSTITUTE(Table3937[[#This Row],[whatsapp_number]]," ","")</f>
        <v>9819201521</v>
      </c>
      <c r="S513" s="383" t="str">
        <f>IF(Table3937[[#This Row],[PRIMARY CONTACT]]=Table3937[[#This Row],[WHATSAPP CONTACT]],"Same Contact","Different Contact")</f>
        <v>Same Contact</v>
      </c>
      <c r="T513" s="383" t="str">
        <f>IF(LEN(SUBSTITUTE(Table3937[[#This Row],[PRIMARY CONTACT]]," ",""))=10,SUBSTITUTE(Table3937[[#This Row],[PRIMARY CONTACT]]," ","") &amp; " - Proper","- Follow Up")</f>
        <v>9819201521 - Proper</v>
      </c>
      <c r="U513" s="383" t="s">
        <v>3057</v>
      </c>
      <c r="V513" s="393" t="s">
        <v>3446</v>
      </c>
      <c r="W513" s="383" t="s">
        <v>47</v>
      </c>
      <c r="X513" s="51" t="s">
        <v>170</v>
      </c>
      <c r="Y513" s="51" t="s">
        <v>2303</v>
      </c>
      <c r="Z513" s="51" t="s">
        <v>2304</v>
      </c>
      <c r="AA513" s="51" t="s">
        <v>1911</v>
      </c>
      <c r="AB513" s="383"/>
    </row>
    <row r="514" spans="1:28" ht="13.8">
      <c r="A514" s="387">
        <v>513</v>
      </c>
      <c r="B514" s="58" t="s">
        <v>2307</v>
      </c>
      <c r="C514" s="383" t="s">
        <v>10709</v>
      </c>
      <c r="D514" s="383" t="s">
        <v>9030</v>
      </c>
      <c r="E514" s="383" t="s">
        <v>9030</v>
      </c>
      <c r="F514" s="383">
        <v>1211</v>
      </c>
      <c r="G514" s="383" t="s">
        <v>2305</v>
      </c>
      <c r="H514" s="383" t="s">
        <v>2306</v>
      </c>
      <c r="I514" s="383" t="s">
        <v>2310</v>
      </c>
      <c r="J514" s="383" t="s">
        <v>2311</v>
      </c>
      <c r="K514" s="383" t="s">
        <v>534</v>
      </c>
      <c r="L514" s="383" t="s">
        <v>9740</v>
      </c>
      <c r="M514" s="383" t="s">
        <v>10334</v>
      </c>
      <c r="N514" s="29" t="s">
        <v>44</v>
      </c>
      <c r="O514" s="383" t="str">
        <f>IF(LEN(SUBSTITUTE(Table3937[[#This Row],[PRIMARY CONTACT]]," ",""))=10,SUBSTITUTE(Table3937[[#This Row],[PRIMARY CONTACT]]," ","") &amp; " - Proper","- Follow Up")</f>
        <v>9819824233 - Proper</v>
      </c>
      <c r="P514" s="383" t="s">
        <v>3449</v>
      </c>
      <c r="Q514" s="383">
        <v>9819824233</v>
      </c>
      <c r="R514" s="383" t="str">
        <f>SUBSTITUTE(Table3937[[#This Row],[whatsapp_number]]," ","")</f>
        <v>9819824233</v>
      </c>
      <c r="S514" s="383" t="str">
        <f>IF(Table3937[[#This Row],[PRIMARY CONTACT]]=Table3937[[#This Row],[WHATSAPP CONTACT]],"Same Contact","Different Contact")</f>
        <v>Same Contact</v>
      </c>
      <c r="T514" s="383" t="str">
        <f>IF(LEN(SUBSTITUTE(Table3937[[#This Row],[PRIMARY CONTACT]]," ",""))=10,SUBSTITUTE(Table3937[[#This Row],[PRIMARY CONTACT]]," ","") &amp; " - Proper","- Follow Up")</f>
        <v>9819824233 - Proper</v>
      </c>
      <c r="U514" s="383" t="s">
        <v>2953</v>
      </c>
      <c r="V514" s="383" t="s">
        <v>71</v>
      </c>
      <c r="W514" s="383" t="s">
        <v>47</v>
      </c>
      <c r="X514" s="51" t="s">
        <v>170</v>
      </c>
      <c r="Y514" s="51" t="s">
        <v>2303</v>
      </c>
      <c r="Z514" s="51" t="s">
        <v>2304</v>
      </c>
      <c r="AA514" s="51" t="s">
        <v>1911</v>
      </c>
      <c r="AB514" s="383"/>
    </row>
    <row r="515" spans="1:28" ht="13.8">
      <c r="A515" s="387">
        <v>514</v>
      </c>
      <c r="B515" s="58" t="s">
        <v>2324</v>
      </c>
      <c r="C515" s="383" t="s">
        <v>10709</v>
      </c>
      <c r="D515" s="383" t="s">
        <v>9031</v>
      </c>
      <c r="E515" s="383" t="s">
        <v>9031</v>
      </c>
      <c r="F515" s="383">
        <v>1212</v>
      </c>
      <c r="G515" s="383" t="s">
        <v>71</v>
      </c>
      <c r="H515" s="383" t="s">
        <v>71</v>
      </c>
      <c r="I515" s="383" t="s">
        <v>8506</v>
      </c>
      <c r="J515" s="383" t="s">
        <v>2328</v>
      </c>
      <c r="K515" s="383" t="s">
        <v>9499</v>
      </c>
      <c r="L515" s="383" t="s">
        <v>8341</v>
      </c>
      <c r="M515" s="383" t="s">
        <v>10335</v>
      </c>
      <c r="N515" s="29" t="s">
        <v>44</v>
      </c>
      <c r="O515" s="383" t="str">
        <f>IF(LEN(SUBSTITUTE(Table3937[[#This Row],[PRIMARY CONTACT]]," ",""))=10,SUBSTITUTE(Table3937[[#This Row],[PRIMARY CONTACT]]," ","") &amp; " - Proper","- Follow Up")</f>
        <v>9323735972 - Proper</v>
      </c>
      <c r="P515" s="383" t="s">
        <v>3450</v>
      </c>
      <c r="Q515" s="383">
        <v>9323735972</v>
      </c>
      <c r="R515" s="383" t="str">
        <f>SUBSTITUTE(Table3937[[#This Row],[whatsapp_number]]," ","")</f>
        <v>9323735972</v>
      </c>
      <c r="S515" s="383" t="str">
        <f>IF(Table3937[[#This Row],[PRIMARY CONTACT]]=Table3937[[#This Row],[WHATSAPP CONTACT]],"Same Contact","Different Contact")</f>
        <v>Same Contact</v>
      </c>
      <c r="T515" s="383" t="str">
        <f>IF(LEN(SUBSTITUTE(Table3937[[#This Row],[PRIMARY CONTACT]]," ",""))=10,SUBSTITUTE(Table3937[[#This Row],[PRIMARY CONTACT]]," ","") &amp; " - Proper","- Follow Up")</f>
        <v>9323735972 - Proper</v>
      </c>
      <c r="U515" s="383" t="s">
        <v>8341</v>
      </c>
      <c r="V515" s="383" t="s">
        <v>71</v>
      </c>
      <c r="W515" s="383" t="s">
        <v>47</v>
      </c>
      <c r="X515" s="51" t="s">
        <v>2313</v>
      </c>
      <c r="Y515" s="51" t="s">
        <v>49</v>
      </c>
      <c r="Z515" s="51" t="s">
        <v>2314</v>
      </c>
      <c r="AA515" s="51" t="s">
        <v>2315</v>
      </c>
      <c r="AB515" s="383"/>
    </row>
    <row r="516" spans="1:28" ht="13.8">
      <c r="A516" s="387">
        <v>515</v>
      </c>
      <c r="B516" s="44" t="s">
        <v>2330</v>
      </c>
      <c r="C516" s="383" t="s">
        <v>10709</v>
      </c>
      <c r="D516" s="383" t="s">
        <v>9032</v>
      </c>
      <c r="E516" s="383" t="s">
        <v>9032</v>
      </c>
      <c r="F516" s="383">
        <v>1214</v>
      </c>
      <c r="G516" s="383" t="s">
        <v>71</v>
      </c>
      <c r="H516" s="383" t="s">
        <v>71</v>
      </c>
      <c r="I516" s="383" t="s">
        <v>8507</v>
      </c>
      <c r="J516" s="383" t="s">
        <v>9446</v>
      </c>
      <c r="K516" s="383" t="s">
        <v>9555</v>
      </c>
      <c r="L516" s="383" t="s">
        <v>8341</v>
      </c>
      <c r="M516" s="383" t="s">
        <v>10312</v>
      </c>
      <c r="N516" s="123">
        <v>9699077599</v>
      </c>
      <c r="O516" s="383" t="str">
        <f>IF(LEN(SUBSTITUTE(Table3937[[#This Row],[PRIMARY CONTACT]]," ",""))=10,SUBSTITUTE(Table3937[[#This Row],[PRIMARY CONTACT]]," ","") &amp; " - Proper","- Follow Up")</f>
        <v>7219460020 - Proper</v>
      </c>
      <c r="P516" s="383" t="s">
        <v>3451</v>
      </c>
      <c r="Q516" s="383">
        <v>7219460020</v>
      </c>
      <c r="R516" s="383" t="str">
        <f>SUBSTITUTE(Table3937[[#This Row],[whatsapp_number]]," ","")</f>
        <v>7219460020</v>
      </c>
      <c r="S516" s="383" t="str">
        <f>IF(Table3937[[#This Row],[PRIMARY CONTACT]]=Table3937[[#This Row],[WHATSAPP CONTACT]],"Same Contact","Different Contact")</f>
        <v>Same Contact</v>
      </c>
      <c r="T516" s="383" t="str">
        <f>IF(LEN(SUBSTITUTE(Table3937[[#This Row],[PRIMARY CONTACT]]," ",""))=10,SUBSTITUTE(Table3937[[#This Row],[PRIMARY CONTACT]]," ","") &amp; " - Proper","- Follow Up")</f>
        <v>7219460020 - Proper</v>
      </c>
      <c r="U516" s="383" t="s">
        <v>10601</v>
      </c>
      <c r="V516" s="383" t="s">
        <v>71</v>
      </c>
      <c r="W516" s="383" t="s">
        <v>47</v>
      </c>
      <c r="X516" s="51" t="s">
        <v>170</v>
      </c>
      <c r="Y516" s="51" t="s">
        <v>49</v>
      </c>
      <c r="Z516" s="51" t="s">
        <v>197</v>
      </c>
      <c r="AA516" s="51" t="s">
        <v>49</v>
      </c>
      <c r="AB516" s="383"/>
    </row>
    <row r="517" spans="1:28" ht="13.8">
      <c r="A517" s="387">
        <v>516</v>
      </c>
      <c r="B517" s="58" t="s">
        <v>2339</v>
      </c>
      <c r="C517" s="383" t="s">
        <v>10709</v>
      </c>
      <c r="D517" s="383" t="s">
        <v>9033</v>
      </c>
      <c r="E517" s="383" t="s">
        <v>9033</v>
      </c>
      <c r="F517" s="383">
        <v>1215</v>
      </c>
      <c r="G517" s="383" t="s">
        <v>71</v>
      </c>
      <c r="H517" s="383" t="s">
        <v>2338</v>
      </c>
      <c r="I517" s="383" t="s">
        <v>2342</v>
      </c>
      <c r="J517" s="383" t="s">
        <v>2343</v>
      </c>
      <c r="K517" s="383" t="s">
        <v>2344</v>
      </c>
      <c r="L517" s="383" t="s">
        <v>8341</v>
      </c>
      <c r="M517" s="383" t="s">
        <v>10336</v>
      </c>
      <c r="N517" s="128">
        <v>7738959333</v>
      </c>
      <c r="O517" s="383" t="str">
        <f>IF(LEN(SUBSTITUTE(Table3937[[#This Row],[PRIMARY CONTACT]]," ",""))=10,SUBSTITUTE(Table3937[[#This Row],[PRIMARY CONTACT]]," ","") &amp; " - Proper","- Follow Up")</f>
        <v>7666286662 - Proper</v>
      </c>
      <c r="P517" s="383" t="s">
        <v>3454</v>
      </c>
      <c r="Q517" s="383">
        <v>7666286662</v>
      </c>
      <c r="R517" s="383" t="str">
        <f>SUBSTITUTE(Table3937[[#This Row],[whatsapp_number]]," ","")</f>
        <v>7666286662</v>
      </c>
      <c r="S517" s="383" t="str">
        <f>IF(Table3937[[#This Row],[PRIMARY CONTACT]]=Table3937[[#This Row],[WHATSAPP CONTACT]],"Same Contact","Different Contact")</f>
        <v>Same Contact</v>
      </c>
      <c r="T517" s="383" t="str">
        <f>IF(LEN(SUBSTITUTE(Table3937[[#This Row],[PRIMARY CONTACT]]," ",""))=10,SUBSTITUTE(Table3937[[#This Row],[PRIMARY CONTACT]]," ","") &amp; " - Proper","- Follow Up")</f>
        <v>7666286662 - Proper</v>
      </c>
      <c r="U517" s="383" t="s">
        <v>2953</v>
      </c>
      <c r="V517" s="383" t="s">
        <v>71</v>
      </c>
      <c r="W517" s="383" t="s">
        <v>47</v>
      </c>
      <c r="X517" s="45" t="s">
        <v>2336</v>
      </c>
      <c r="Y517" s="45" t="s">
        <v>48</v>
      </c>
      <c r="Z517" s="45" t="s">
        <v>2337</v>
      </c>
      <c r="AA517" s="45" t="s">
        <v>2336</v>
      </c>
      <c r="AB517" s="383"/>
    </row>
    <row r="518" spans="1:28" ht="13.8">
      <c r="A518" s="387">
        <v>517</v>
      </c>
      <c r="B518" s="44" t="s">
        <v>2347</v>
      </c>
      <c r="C518" s="383" t="s">
        <v>10709</v>
      </c>
      <c r="D518" s="383" t="s">
        <v>9034</v>
      </c>
      <c r="E518" s="383" t="s">
        <v>9034</v>
      </c>
      <c r="F518" s="383">
        <v>1217</v>
      </c>
      <c r="G518" s="383" t="s">
        <v>71</v>
      </c>
      <c r="H518" s="383" t="s">
        <v>71</v>
      </c>
      <c r="I518" s="383" t="s">
        <v>8341</v>
      </c>
      <c r="J518" s="383" t="s">
        <v>2350</v>
      </c>
      <c r="K518" s="383" t="s">
        <v>2351</v>
      </c>
      <c r="L518" s="383" t="s">
        <v>8341</v>
      </c>
      <c r="M518" s="383" t="s">
        <v>10337</v>
      </c>
      <c r="N518" s="18" t="s">
        <v>44</v>
      </c>
      <c r="O518" s="383" t="str">
        <f>IF(LEN(SUBSTITUTE(Table3937[[#This Row],[PRIMARY CONTACT]]," ",""))=10,SUBSTITUTE(Table3937[[#This Row],[PRIMARY CONTACT]]," ","") &amp; " - Proper","- Follow Up")</f>
        <v>9819879642 - Proper</v>
      </c>
      <c r="P518" s="383" t="s">
        <v>3455</v>
      </c>
      <c r="Q518" s="383">
        <v>9819879642</v>
      </c>
      <c r="R518" s="383" t="str">
        <f>SUBSTITUTE(Table3937[[#This Row],[whatsapp_number]]," ","")</f>
        <v>9819879642</v>
      </c>
      <c r="S518" s="383" t="str">
        <f>IF(Table3937[[#This Row],[PRIMARY CONTACT]]=Table3937[[#This Row],[WHATSAPP CONTACT]],"Same Contact","Different Contact")</f>
        <v>Same Contact</v>
      </c>
      <c r="T518" s="383" t="str">
        <f>IF(LEN(SUBSTITUTE(Table3937[[#This Row],[PRIMARY CONTACT]]," ",""))=10,SUBSTITUTE(Table3937[[#This Row],[PRIMARY CONTACT]]," ","") &amp; " - Proper","- Follow Up")</f>
        <v>9819879642 - Proper</v>
      </c>
      <c r="U518" s="383" t="s">
        <v>8341</v>
      </c>
      <c r="V518" s="383" t="s">
        <v>71</v>
      </c>
      <c r="W518" s="383" t="s">
        <v>47</v>
      </c>
      <c r="X518" s="51" t="s">
        <v>2346</v>
      </c>
      <c r="Y518" s="51" t="s">
        <v>907</v>
      </c>
      <c r="Z518" s="51" t="s">
        <v>49</v>
      </c>
      <c r="AA518" s="51" t="s">
        <v>48</v>
      </c>
      <c r="AB518" s="383"/>
    </row>
    <row r="519" spans="1:28" ht="13.8">
      <c r="A519" s="387">
        <v>518</v>
      </c>
      <c r="B519" s="286" t="s">
        <v>3850</v>
      </c>
      <c r="C519" s="383" t="s">
        <v>10709</v>
      </c>
      <c r="D519" s="383" t="s">
        <v>10856</v>
      </c>
      <c r="E519" s="383" t="s">
        <v>9035</v>
      </c>
      <c r="F519" s="383">
        <v>1218</v>
      </c>
      <c r="G519" s="383" t="s">
        <v>71</v>
      </c>
      <c r="H519" s="383" t="s">
        <v>3547</v>
      </c>
      <c r="I519" s="383" t="s">
        <v>3852</v>
      </c>
      <c r="J519" s="383" t="s">
        <v>3853</v>
      </c>
      <c r="K519" s="383" t="s">
        <v>534</v>
      </c>
      <c r="L519" s="383" t="s">
        <v>8341</v>
      </c>
      <c r="M519" s="383" t="s">
        <v>10338</v>
      </c>
      <c r="N519" s="18" t="s">
        <v>44</v>
      </c>
      <c r="O519" s="383" t="str">
        <f>IF(LEN(SUBSTITUTE(Table3937[[#This Row],[PRIMARY CONTACT]]," ",""))=10,SUBSTITUTE(Table3937[[#This Row],[PRIMARY CONTACT]]," ","") &amp; " - Proper","- Follow Up")</f>
        <v>9903896480 - Proper</v>
      </c>
      <c r="P519" s="383" t="s">
        <v>2780</v>
      </c>
      <c r="Q519" s="383">
        <v>9903896480</v>
      </c>
      <c r="R519" s="383" t="str">
        <f>SUBSTITUTE(Table3937[[#This Row],[whatsapp_number]]," ","")</f>
        <v>9903896480</v>
      </c>
      <c r="S519" s="383" t="str">
        <f>IF(Table3937[[#This Row],[PRIMARY CONTACT]]=Table3937[[#This Row],[WHATSAPP CONTACT]],"Same Contact","Different Contact")</f>
        <v>Same Contact</v>
      </c>
      <c r="T519" s="383" t="str">
        <f>IF(LEN(SUBSTITUTE(Table3937[[#This Row],[PRIMARY CONTACT]]," ",""))=10,SUBSTITUTE(Table3937[[#This Row],[PRIMARY CONTACT]]," ","") &amp; " - Proper","- Follow Up")</f>
        <v>9903896480 - Proper</v>
      </c>
      <c r="U519" s="383" t="s">
        <v>3301</v>
      </c>
      <c r="V519" s="393" t="s">
        <v>2786</v>
      </c>
      <c r="W519" s="383" t="s">
        <v>47</v>
      </c>
      <c r="X519" s="101" t="s">
        <v>49</v>
      </c>
      <c r="Y519" s="5" t="s">
        <v>2164</v>
      </c>
      <c r="Z519" s="5" t="s">
        <v>7773</v>
      </c>
      <c r="AA519" s="101" t="s">
        <v>7774</v>
      </c>
      <c r="AB519" s="383"/>
    </row>
    <row r="520" spans="1:28" ht="13.8">
      <c r="A520" s="387">
        <v>519</v>
      </c>
      <c r="B520" s="286" t="s">
        <v>3854</v>
      </c>
      <c r="C520" s="383" t="s">
        <v>10709</v>
      </c>
      <c r="D520" s="383" t="s">
        <v>10857</v>
      </c>
      <c r="E520" s="383" t="s">
        <v>9036</v>
      </c>
      <c r="F520" s="383">
        <v>1219</v>
      </c>
      <c r="G520" s="383" t="s">
        <v>71</v>
      </c>
      <c r="H520" s="383" t="s">
        <v>3547</v>
      </c>
      <c r="I520" s="383" t="s">
        <v>3852</v>
      </c>
      <c r="J520" s="383" t="s">
        <v>3856</v>
      </c>
      <c r="K520" s="383" t="s">
        <v>534</v>
      </c>
      <c r="L520" s="383" t="s">
        <v>8341</v>
      </c>
      <c r="M520" s="383" t="s">
        <v>10339</v>
      </c>
      <c r="N520" s="18" t="s">
        <v>44</v>
      </c>
      <c r="O520" s="383" t="str">
        <f>IF(LEN(SUBSTITUTE(Table3937[[#This Row],[PRIMARY CONTACT]]," ",""))=10,SUBSTITUTE(Table3937[[#This Row],[PRIMARY CONTACT]]," ","") &amp; " - Proper","- Follow Up")</f>
        <v>9423681546 - Proper</v>
      </c>
      <c r="P520" s="383" t="s">
        <v>2780</v>
      </c>
      <c r="Q520" s="383">
        <v>9423681546</v>
      </c>
      <c r="R520" s="383" t="str">
        <f>SUBSTITUTE(Table3937[[#This Row],[whatsapp_number]]," ","")</f>
        <v>9423681546</v>
      </c>
      <c r="S520" s="383" t="str">
        <f>IF(Table3937[[#This Row],[PRIMARY CONTACT]]=Table3937[[#This Row],[WHATSAPP CONTACT]],"Same Contact","Different Contact")</f>
        <v>Same Contact</v>
      </c>
      <c r="T520" s="383" t="str">
        <f>IF(LEN(SUBSTITUTE(Table3937[[#This Row],[PRIMARY CONTACT]]," ",""))=10,SUBSTITUTE(Table3937[[#This Row],[PRIMARY CONTACT]]," ","") &amp; " - Proper","- Follow Up")</f>
        <v>9423681546 - Proper</v>
      </c>
      <c r="U520" s="383" t="s">
        <v>3301</v>
      </c>
      <c r="V520" s="393" t="s">
        <v>2786</v>
      </c>
      <c r="W520" s="383" t="s">
        <v>47</v>
      </c>
      <c r="X520" s="101" t="s">
        <v>49</v>
      </c>
      <c r="Y520" s="5" t="s">
        <v>2164</v>
      </c>
      <c r="Z520" s="5" t="s">
        <v>7773</v>
      </c>
      <c r="AA520" s="101" t="s">
        <v>7774</v>
      </c>
      <c r="AB520" s="383"/>
    </row>
    <row r="521" spans="1:28" ht="13.8">
      <c r="A521" s="387">
        <v>520</v>
      </c>
      <c r="B521" s="286" t="s">
        <v>3857</v>
      </c>
      <c r="C521" s="383" t="s">
        <v>10709</v>
      </c>
      <c r="D521" s="383" t="s">
        <v>10858</v>
      </c>
      <c r="E521" s="383" t="s">
        <v>9037</v>
      </c>
      <c r="F521" s="383">
        <v>1220</v>
      </c>
      <c r="G521" s="383" t="s">
        <v>71</v>
      </c>
      <c r="H521" s="383" t="s">
        <v>3547</v>
      </c>
      <c r="I521" s="383" t="s">
        <v>8508</v>
      </c>
      <c r="J521" s="383" t="s">
        <v>3860</v>
      </c>
      <c r="K521" s="383" t="s">
        <v>534</v>
      </c>
      <c r="L521" s="383" t="s">
        <v>8341</v>
      </c>
      <c r="M521" s="383" t="s">
        <v>10340</v>
      </c>
      <c r="N521" s="18" t="s">
        <v>44</v>
      </c>
      <c r="O521" s="383" t="str">
        <f>IF(LEN(SUBSTITUTE(Table3937[[#This Row],[PRIMARY CONTACT]]," ",""))=10,SUBSTITUTE(Table3937[[#This Row],[PRIMARY CONTACT]]," ","") &amp; " - Proper","- Follow Up")</f>
        <v>9825309838 - Proper</v>
      </c>
      <c r="P521" s="383" t="s">
        <v>2780</v>
      </c>
      <c r="Q521" s="383">
        <v>9825309838</v>
      </c>
      <c r="R521" s="383" t="str">
        <f>SUBSTITUTE(Table3937[[#This Row],[whatsapp_number]]," ","")</f>
        <v>9825309838</v>
      </c>
      <c r="S521" s="383" t="str">
        <f>IF(Table3937[[#This Row],[PRIMARY CONTACT]]=Table3937[[#This Row],[WHATSAPP CONTACT]],"Same Contact","Different Contact")</f>
        <v>Same Contact</v>
      </c>
      <c r="T521" s="383" t="str">
        <f>IF(LEN(SUBSTITUTE(Table3937[[#This Row],[PRIMARY CONTACT]]," ",""))=10,SUBSTITUTE(Table3937[[#This Row],[PRIMARY CONTACT]]," ","") &amp; " - Proper","- Follow Up")</f>
        <v>9825309838 - Proper</v>
      </c>
      <c r="U521" s="383" t="s">
        <v>3301</v>
      </c>
      <c r="V521" s="393" t="s">
        <v>2786</v>
      </c>
      <c r="W521" s="383" t="s">
        <v>47</v>
      </c>
      <c r="X521" s="101" t="s">
        <v>49</v>
      </c>
      <c r="Y521" s="5" t="s">
        <v>2164</v>
      </c>
      <c r="Z521" s="5" t="s">
        <v>7773</v>
      </c>
      <c r="AA521" s="101" t="s">
        <v>7774</v>
      </c>
      <c r="AB521" s="383"/>
    </row>
    <row r="522" spans="1:28" ht="15">
      <c r="A522" s="387">
        <v>521</v>
      </c>
      <c r="B522" s="58" t="s">
        <v>2355</v>
      </c>
      <c r="C522" s="383" t="s">
        <v>10709</v>
      </c>
      <c r="D522" s="383" t="s">
        <v>10750</v>
      </c>
      <c r="E522" s="383" t="s">
        <v>2355</v>
      </c>
      <c r="F522" s="383">
        <v>1221</v>
      </c>
      <c r="G522" s="383" t="s">
        <v>71</v>
      </c>
      <c r="H522" s="383" t="s">
        <v>2354</v>
      </c>
      <c r="I522" s="383" t="s">
        <v>2358</v>
      </c>
      <c r="J522" s="383" t="s">
        <v>2359</v>
      </c>
      <c r="K522" s="383" t="s">
        <v>191</v>
      </c>
      <c r="L522" s="383" t="s">
        <v>9741</v>
      </c>
      <c r="M522" s="383" t="s">
        <v>10341</v>
      </c>
      <c r="N522" s="89">
        <v>2245119258</v>
      </c>
      <c r="O522" s="383" t="str">
        <f>IF(LEN(SUBSTITUTE(Table3937[[#This Row],[PRIMARY CONTACT]]," ",""))=10,SUBSTITUTE(Table3937[[#This Row],[PRIMARY CONTACT]]," ","") &amp; " - Proper","- Follow Up")</f>
        <v>9821359662 - Proper</v>
      </c>
      <c r="P522" s="383" t="s">
        <v>3457</v>
      </c>
      <c r="Q522" s="383">
        <v>9821359662</v>
      </c>
      <c r="R522" s="383" t="str">
        <f>SUBSTITUTE(Table3937[[#This Row],[whatsapp_number]]," ","")</f>
        <v>9821359662</v>
      </c>
      <c r="S522" s="383" t="str">
        <f>IF(Table3937[[#This Row],[PRIMARY CONTACT]]=Table3937[[#This Row],[WHATSAPP CONTACT]],"Same Contact","Different Contact")</f>
        <v>Same Contact</v>
      </c>
      <c r="T522" s="383" t="str">
        <f>IF(LEN(SUBSTITUTE(Table3937[[#This Row],[PRIMARY CONTACT]]," ",""))=10,SUBSTITUTE(Table3937[[#This Row],[PRIMARY CONTACT]]," ","") &amp; " - Proper","- Follow Up")</f>
        <v>9821359662 - Proper</v>
      </c>
      <c r="U522" s="383" t="s">
        <v>2953</v>
      </c>
      <c r="V522" s="383" t="s">
        <v>71</v>
      </c>
      <c r="W522" s="383" t="s">
        <v>47</v>
      </c>
      <c r="X522" s="51" t="s">
        <v>2361</v>
      </c>
      <c r="Y522" s="51" t="s">
        <v>2362</v>
      </c>
      <c r="Z522" s="51" t="s">
        <v>2363</v>
      </c>
      <c r="AA522" s="51" t="s">
        <v>48</v>
      </c>
      <c r="AB522" s="383"/>
    </row>
    <row r="523" spans="1:28" ht="13.8">
      <c r="A523" s="387">
        <v>522</v>
      </c>
      <c r="B523" s="94" t="s">
        <v>2389</v>
      </c>
      <c r="C523" s="383" t="s">
        <v>10743</v>
      </c>
      <c r="D523" s="383" t="s">
        <v>10751</v>
      </c>
      <c r="E523" s="383" t="s">
        <v>2389</v>
      </c>
      <c r="F523" s="383">
        <v>1222</v>
      </c>
      <c r="G523" s="383" t="s">
        <v>71</v>
      </c>
      <c r="H523" s="383" t="s">
        <v>2364</v>
      </c>
      <c r="I523" s="383" t="s">
        <v>2368</v>
      </c>
      <c r="J523" s="383" t="s">
        <v>2391</v>
      </c>
      <c r="K523" s="383" t="s">
        <v>2392</v>
      </c>
      <c r="L523" s="383" t="s">
        <v>8341</v>
      </c>
      <c r="M523" s="383" t="s">
        <v>8341</v>
      </c>
      <c r="N523" s="9" t="s">
        <v>44</v>
      </c>
      <c r="O523" s="383" t="str">
        <f>IF(LEN(SUBSTITUTE(Table3937[[#This Row],[PRIMARY CONTACT]]," ",""))=10,SUBSTITUTE(Table3937[[#This Row],[PRIMARY CONTACT]]," ","") &amp; " - Proper","- Follow Up")</f>
        <v>- Follow Up</v>
      </c>
      <c r="P523" s="383" t="s">
        <v>3458</v>
      </c>
      <c r="Q523" s="383" t="s">
        <v>71</v>
      </c>
      <c r="R523" s="383" t="str">
        <f>SUBSTITUTE(Table3937[[#This Row],[whatsapp_number]]," ","")</f>
        <v>UNDEFINED</v>
      </c>
      <c r="S523" s="383" t="str">
        <f>IF(Table3937[[#This Row],[PRIMARY CONTACT]]=Table3937[[#This Row],[WHATSAPP CONTACT]],"Same Contact","Different Contact")</f>
        <v>Same Contact</v>
      </c>
      <c r="T523" s="383" t="str">
        <f>IF(LEN(SUBSTITUTE(Table3937[[#This Row],[PRIMARY CONTACT]]," ",""))=10,SUBSTITUTE(Table3937[[#This Row],[PRIMARY CONTACT]]," ","") &amp; " - Proper","- Follow Up")</f>
        <v>- Follow Up</v>
      </c>
      <c r="U523" s="383" t="s">
        <v>8341</v>
      </c>
      <c r="V523" s="383" t="s">
        <v>71</v>
      </c>
      <c r="W523" s="383" t="s">
        <v>47</v>
      </c>
      <c r="X523" s="105" t="s">
        <v>973</v>
      </c>
      <c r="Y523" s="105" t="s">
        <v>2393</v>
      </c>
      <c r="Z523" s="105" t="s">
        <v>2394</v>
      </c>
      <c r="AA523" s="105" t="s">
        <v>2373</v>
      </c>
      <c r="AB523" s="383"/>
    </row>
    <row r="524" spans="1:28" ht="13.8">
      <c r="A524" s="387">
        <v>523</v>
      </c>
      <c r="B524" s="94" t="s">
        <v>2384</v>
      </c>
      <c r="C524" s="383" t="s">
        <v>10743</v>
      </c>
      <c r="D524" s="383" t="s">
        <v>10752</v>
      </c>
      <c r="E524" s="383" t="s">
        <v>2384</v>
      </c>
      <c r="F524" s="383">
        <v>1223</v>
      </c>
      <c r="G524" s="383" t="s">
        <v>71</v>
      </c>
      <c r="H524" s="383" t="s">
        <v>2364</v>
      </c>
      <c r="I524" s="383" t="s">
        <v>2368</v>
      </c>
      <c r="J524" s="383" t="s">
        <v>2386</v>
      </c>
      <c r="K524" s="383" t="s">
        <v>191</v>
      </c>
      <c r="L524" s="383" t="s">
        <v>8341</v>
      </c>
      <c r="M524" s="383" t="s">
        <v>8341</v>
      </c>
      <c r="N524" s="9" t="s">
        <v>44</v>
      </c>
      <c r="O524" s="383" t="str">
        <f>IF(LEN(SUBSTITUTE(Table3937[[#This Row],[PRIMARY CONTACT]]," ",""))=10,SUBSTITUTE(Table3937[[#This Row],[PRIMARY CONTACT]]," ","") &amp; " - Proper","- Follow Up")</f>
        <v>- Follow Up</v>
      </c>
      <c r="P524" s="383" t="s">
        <v>3458</v>
      </c>
      <c r="Q524" s="383" t="s">
        <v>71</v>
      </c>
      <c r="R524" s="383" t="str">
        <f>SUBSTITUTE(Table3937[[#This Row],[whatsapp_number]]," ","")</f>
        <v>UNDEFINED</v>
      </c>
      <c r="S524" s="383" t="str">
        <f>IF(Table3937[[#This Row],[PRIMARY CONTACT]]=Table3937[[#This Row],[WHATSAPP CONTACT]],"Same Contact","Different Contact")</f>
        <v>Same Contact</v>
      </c>
      <c r="T524" s="383" t="str">
        <f>IF(LEN(SUBSTITUTE(Table3937[[#This Row],[PRIMARY CONTACT]]," ",""))=10,SUBSTITUTE(Table3937[[#This Row],[PRIMARY CONTACT]]," ","") &amp; " - Proper","- Follow Up")</f>
        <v>- Follow Up</v>
      </c>
      <c r="U524" s="383" t="s">
        <v>8341</v>
      </c>
      <c r="V524" s="383" t="s">
        <v>71</v>
      </c>
      <c r="W524" s="383" t="s">
        <v>47</v>
      </c>
      <c r="X524" s="105" t="s">
        <v>973</v>
      </c>
      <c r="Y524" s="105" t="s">
        <v>2387</v>
      </c>
      <c r="Z524" s="105" t="s">
        <v>2388</v>
      </c>
      <c r="AA524" s="105" t="s">
        <v>2373</v>
      </c>
      <c r="AB524" s="383"/>
    </row>
    <row r="525" spans="1:28" ht="13.8">
      <c r="A525" s="387">
        <v>524</v>
      </c>
      <c r="B525" s="94" t="s">
        <v>2379</v>
      </c>
      <c r="C525" s="383" t="s">
        <v>10743</v>
      </c>
      <c r="D525" s="383" t="s">
        <v>10753</v>
      </c>
      <c r="E525" s="383" t="s">
        <v>2379</v>
      </c>
      <c r="F525" s="383">
        <v>1224</v>
      </c>
      <c r="G525" s="383" t="s">
        <v>71</v>
      </c>
      <c r="H525" s="383" t="s">
        <v>2364</v>
      </c>
      <c r="I525" s="383" t="s">
        <v>2368</v>
      </c>
      <c r="J525" s="383" t="s">
        <v>2381</v>
      </c>
      <c r="K525" s="383" t="s">
        <v>78</v>
      </c>
      <c r="L525" s="383" t="s">
        <v>8341</v>
      </c>
      <c r="M525" s="383" t="s">
        <v>8341</v>
      </c>
      <c r="N525" s="9" t="s">
        <v>44</v>
      </c>
      <c r="O525" s="383" t="str">
        <f>IF(LEN(SUBSTITUTE(Table3937[[#This Row],[PRIMARY CONTACT]]," ",""))=10,SUBSTITUTE(Table3937[[#This Row],[PRIMARY CONTACT]]," ","") &amp; " - Proper","- Follow Up")</f>
        <v>- Follow Up</v>
      </c>
      <c r="P525" s="383" t="s">
        <v>3458</v>
      </c>
      <c r="Q525" s="383" t="s">
        <v>71</v>
      </c>
      <c r="R525" s="383" t="str">
        <f>SUBSTITUTE(Table3937[[#This Row],[whatsapp_number]]," ","")</f>
        <v>UNDEFINED</v>
      </c>
      <c r="S525" s="383" t="str">
        <f>IF(Table3937[[#This Row],[PRIMARY CONTACT]]=Table3937[[#This Row],[WHATSAPP CONTACT]],"Same Contact","Different Contact")</f>
        <v>Same Contact</v>
      </c>
      <c r="T525" s="383" t="str">
        <f>IF(LEN(SUBSTITUTE(Table3937[[#This Row],[PRIMARY CONTACT]]," ",""))=10,SUBSTITUTE(Table3937[[#This Row],[PRIMARY CONTACT]]," ","") &amp; " - Proper","- Follow Up")</f>
        <v>- Follow Up</v>
      </c>
      <c r="U525" s="383" t="s">
        <v>8341</v>
      </c>
      <c r="V525" s="383" t="s">
        <v>71</v>
      </c>
      <c r="W525" s="383" t="s">
        <v>47</v>
      </c>
      <c r="X525" s="105" t="s">
        <v>973</v>
      </c>
      <c r="Y525" s="105" t="s">
        <v>2382</v>
      </c>
      <c r="Z525" s="105" t="s">
        <v>2383</v>
      </c>
      <c r="AA525" s="105" t="s">
        <v>2373</v>
      </c>
      <c r="AB525" s="383"/>
    </row>
    <row r="526" spans="1:28" ht="13.8">
      <c r="A526" s="387">
        <v>525</v>
      </c>
      <c r="B526" s="94" t="s">
        <v>2374</v>
      </c>
      <c r="C526" s="383" t="s">
        <v>10743</v>
      </c>
      <c r="D526" s="383" t="s">
        <v>10754</v>
      </c>
      <c r="E526" s="383" t="s">
        <v>2374</v>
      </c>
      <c r="F526" s="383">
        <v>1225</v>
      </c>
      <c r="G526" s="383" t="s">
        <v>71</v>
      </c>
      <c r="H526" s="383" t="s">
        <v>2364</v>
      </c>
      <c r="I526" s="383" t="s">
        <v>2368</v>
      </c>
      <c r="J526" s="383" t="s">
        <v>2376</v>
      </c>
      <c r="K526" s="383" t="s">
        <v>78</v>
      </c>
      <c r="L526" s="383" t="s">
        <v>8341</v>
      </c>
      <c r="M526" s="383" t="s">
        <v>8341</v>
      </c>
      <c r="N526" s="9" t="s">
        <v>44</v>
      </c>
      <c r="O526" s="383" t="str">
        <f>IF(LEN(SUBSTITUTE(Table3937[[#This Row],[PRIMARY CONTACT]]," ",""))=10,SUBSTITUTE(Table3937[[#This Row],[PRIMARY CONTACT]]," ","") &amp; " - Proper","- Follow Up")</f>
        <v>- Follow Up</v>
      </c>
      <c r="P526" s="383" t="s">
        <v>3458</v>
      </c>
      <c r="Q526" s="383" t="s">
        <v>71</v>
      </c>
      <c r="R526" s="383" t="str">
        <f>SUBSTITUTE(Table3937[[#This Row],[whatsapp_number]]," ","")</f>
        <v>UNDEFINED</v>
      </c>
      <c r="S526" s="383" t="str">
        <f>IF(Table3937[[#This Row],[PRIMARY CONTACT]]=Table3937[[#This Row],[WHATSAPP CONTACT]],"Same Contact","Different Contact")</f>
        <v>Same Contact</v>
      </c>
      <c r="T526" s="383" t="str">
        <f>IF(LEN(SUBSTITUTE(Table3937[[#This Row],[PRIMARY CONTACT]]," ",""))=10,SUBSTITUTE(Table3937[[#This Row],[PRIMARY CONTACT]]," ","") &amp; " - Proper","- Follow Up")</f>
        <v>- Follow Up</v>
      </c>
      <c r="U526" s="383" t="s">
        <v>8341</v>
      </c>
      <c r="V526" s="383" t="s">
        <v>71</v>
      </c>
      <c r="W526" s="383" t="s">
        <v>47</v>
      </c>
      <c r="X526" s="105" t="s">
        <v>973</v>
      </c>
      <c r="Y526" s="105" t="s">
        <v>2377</v>
      </c>
      <c r="Z526" s="105" t="s">
        <v>2378</v>
      </c>
      <c r="AA526" s="105" t="s">
        <v>2373</v>
      </c>
      <c r="AB526" s="383"/>
    </row>
    <row r="527" spans="1:28" ht="13.8">
      <c r="A527" s="387">
        <v>526</v>
      </c>
      <c r="B527" s="383" t="s">
        <v>10716</v>
      </c>
      <c r="C527" s="383" t="s">
        <v>10743</v>
      </c>
      <c r="D527" s="383" t="s">
        <v>10716</v>
      </c>
      <c r="E527" s="383" t="s">
        <v>2365</v>
      </c>
      <c r="F527" s="383">
        <v>1226</v>
      </c>
      <c r="G527" s="383" t="s">
        <v>71</v>
      </c>
      <c r="H527" s="383" t="s">
        <v>2364</v>
      </c>
      <c r="I527" s="383" t="s">
        <v>2368</v>
      </c>
      <c r="J527" s="383" t="s">
        <v>2369</v>
      </c>
      <c r="K527" s="383" t="s">
        <v>9556</v>
      </c>
      <c r="L527" s="383" t="s">
        <v>8341</v>
      </c>
      <c r="M527" s="383" t="s">
        <v>8341</v>
      </c>
      <c r="N527" s="383" t="s">
        <v>44</v>
      </c>
      <c r="O527" s="383" t="str">
        <f>IF(LEN(SUBSTITUTE(Table3937[[#This Row],[PRIMARY CONTACT]]," ",""))=10,SUBSTITUTE(Table3937[[#This Row],[PRIMARY CONTACT]]," ","") &amp; " - Proper","- Follow Up")</f>
        <v>- Follow Up</v>
      </c>
      <c r="P527" s="383" t="s">
        <v>3458</v>
      </c>
      <c r="Q527" s="383" t="s">
        <v>71</v>
      </c>
      <c r="R527" s="383" t="str">
        <f>SUBSTITUTE(Table3937[[#This Row],[whatsapp_number]]," ","")</f>
        <v>UNDEFINED</v>
      </c>
      <c r="S527" s="383" t="str">
        <f>IF(Table3937[[#This Row],[PRIMARY CONTACT]]=Table3937[[#This Row],[WHATSAPP CONTACT]],"Same Contact","Different Contact")</f>
        <v>Same Contact</v>
      </c>
      <c r="T527" s="383" t="str">
        <f>IF(LEN(SUBSTITUTE(Table3937[[#This Row],[PRIMARY CONTACT]]," ",""))=10,SUBSTITUTE(Table3937[[#This Row],[PRIMARY CONTACT]]," ","") &amp; " - Proper","- Follow Up")</f>
        <v>- Follow Up</v>
      </c>
      <c r="U527" s="383" t="s">
        <v>8341</v>
      </c>
      <c r="V527" s="383" t="s">
        <v>71</v>
      </c>
      <c r="W527" s="383" t="s">
        <v>47</v>
      </c>
      <c r="X527" s="383" t="s">
        <v>44</v>
      </c>
      <c r="Y527" s="383" t="s">
        <v>44</v>
      </c>
      <c r="Z527" s="383" t="s">
        <v>44</v>
      </c>
      <c r="AA527" s="383" t="s">
        <v>44</v>
      </c>
      <c r="AB527" s="383"/>
    </row>
    <row r="528" spans="1:28" ht="13.8">
      <c r="A528" s="387">
        <v>527</v>
      </c>
      <c r="B528" s="44" t="s">
        <v>2396</v>
      </c>
      <c r="C528" s="383" t="s">
        <v>10709</v>
      </c>
      <c r="D528" s="383" t="s">
        <v>10755</v>
      </c>
      <c r="E528" s="383" t="s">
        <v>9038</v>
      </c>
      <c r="F528" s="383">
        <v>1228</v>
      </c>
      <c r="G528" s="383" t="s">
        <v>71</v>
      </c>
      <c r="H528" s="383" t="s">
        <v>2395</v>
      </c>
      <c r="I528" s="383" t="s">
        <v>2399</v>
      </c>
      <c r="J528" s="383" t="s">
        <v>2400</v>
      </c>
      <c r="K528" s="383" t="s">
        <v>191</v>
      </c>
      <c r="L528" s="383" t="s">
        <v>8341</v>
      </c>
      <c r="M528" s="383" t="s">
        <v>10342</v>
      </c>
      <c r="N528" s="18" t="s">
        <v>44</v>
      </c>
      <c r="O528" s="383" t="str">
        <f>IF(LEN(SUBSTITUTE(Table3937[[#This Row],[PRIMARY CONTACT]]," ",""))=10,SUBSTITUTE(Table3937[[#This Row],[PRIMARY CONTACT]]," ","") &amp; " - Proper","- Follow Up")</f>
        <v>9820561214 - Proper</v>
      </c>
      <c r="P528" s="383" t="s">
        <v>3460</v>
      </c>
      <c r="Q528" s="383">
        <v>9820561214</v>
      </c>
      <c r="R528" s="383" t="str">
        <f>SUBSTITUTE(Table3937[[#This Row],[whatsapp_number]]," ","")</f>
        <v>9820561214</v>
      </c>
      <c r="S528" s="383" t="str">
        <f>IF(Table3937[[#This Row],[PRIMARY CONTACT]]=Table3937[[#This Row],[WHATSAPP CONTACT]],"Same Contact","Different Contact")</f>
        <v>Same Contact</v>
      </c>
      <c r="T528" s="383" t="str">
        <f>IF(LEN(SUBSTITUTE(Table3937[[#This Row],[PRIMARY CONTACT]]," ",""))=10,SUBSTITUTE(Table3937[[#This Row],[PRIMARY CONTACT]]," ","") &amp; " - Proper","- Follow Up")</f>
        <v>9820561214 - Proper</v>
      </c>
      <c r="U528" s="383" t="s">
        <v>3057</v>
      </c>
      <c r="V528" s="383" t="s">
        <v>71</v>
      </c>
      <c r="W528" s="383" t="s">
        <v>47</v>
      </c>
      <c r="X528" s="45" t="s">
        <v>170</v>
      </c>
      <c r="Y528" s="45" t="s">
        <v>49</v>
      </c>
      <c r="Z528" s="45" t="s">
        <v>2402</v>
      </c>
      <c r="AA528" s="45" t="s">
        <v>48</v>
      </c>
      <c r="AB528" s="383"/>
    </row>
    <row r="529" spans="1:28" ht="13.8">
      <c r="A529" s="387">
        <v>528</v>
      </c>
      <c r="B529" s="44" t="s">
        <v>2404</v>
      </c>
      <c r="C529" s="383" t="s">
        <v>10709</v>
      </c>
      <c r="D529" s="383" t="s">
        <v>10756</v>
      </c>
      <c r="E529" s="383" t="s">
        <v>9039</v>
      </c>
      <c r="F529" s="383">
        <v>1229</v>
      </c>
      <c r="G529" s="383" t="s">
        <v>71</v>
      </c>
      <c r="H529" s="383" t="s">
        <v>2403</v>
      </c>
      <c r="I529" s="383" t="s">
        <v>2407</v>
      </c>
      <c r="J529" s="383" t="s">
        <v>2408</v>
      </c>
      <c r="K529" s="383" t="s">
        <v>534</v>
      </c>
      <c r="L529" s="383" t="s">
        <v>8341</v>
      </c>
      <c r="M529" s="383" t="s">
        <v>10343</v>
      </c>
      <c r="N529" s="18" t="s">
        <v>44</v>
      </c>
      <c r="O529" s="383" t="str">
        <f>IF(LEN(SUBSTITUTE(Table3937[[#This Row],[PRIMARY CONTACT]]," ",""))=10,SUBSTITUTE(Table3937[[#This Row],[PRIMARY CONTACT]]," ","") &amp; " - Proper","- Follow Up")</f>
        <v>9821324699 - Proper</v>
      </c>
      <c r="P529" s="383" t="s">
        <v>3462</v>
      </c>
      <c r="Q529" s="383">
        <v>9821324699</v>
      </c>
      <c r="R529" s="383" t="str">
        <f>SUBSTITUTE(Table3937[[#This Row],[whatsapp_number]]," ","")</f>
        <v>9821324699</v>
      </c>
      <c r="S529" s="383" t="str">
        <f>IF(Table3937[[#This Row],[PRIMARY CONTACT]]=Table3937[[#This Row],[WHATSAPP CONTACT]],"Same Contact","Different Contact")</f>
        <v>Same Contact</v>
      </c>
      <c r="T529" s="383" t="str">
        <f>IF(LEN(SUBSTITUTE(Table3937[[#This Row],[PRIMARY CONTACT]]," ",""))=10,SUBSTITUTE(Table3937[[#This Row],[PRIMARY CONTACT]]," ","") &amp; " - Proper","- Follow Up")</f>
        <v>9821324699 - Proper</v>
      </c>
      <c r="U529" s="383" t="s">
        <v>10602</v>
      </c>
      <c r="V529" s="383" t="s">
        <v>71</v>
      </c>
      <c r="W529" s="383" t="s">
        <v>47</v>
      </c>
      <c r="X529" s="45" t="s">
        <v>2410</v>
      </c>
      <c r="Y529" s="45" t="s">
        <v>49</v>
      </c>
      <c r="Z529" s="45" t="s">
        <v>2411</v>
      </c>
      <c r="AA529" s="45" t="s">
        <v>1995</v>
      </c>
      <c r="AB529" s="383"/>
    </row>
    <row r="530" spans="1:28" ht="13.8">
      <c r="A530" s="387">
        <v>529</v>
      </c>
      <c r="B530" s="44" t="s">
        <v>2413</v>
      </c>
      <c r="C530" s="383" t="s">
        <v>10709</v>
      </c>
      <c r="D530" s="383" t="s">
        <v>10757</v>
      </c>
      <c r="E530" s="383" t="s">
        <v>9040</v>
      </c>
      <c r="F530" s="383">
        <v>1230</v>
      </c>
      <c r="G530" s="383" t="s">
        <v>71</v>
      </c>
      <c r="H530" s="383" t="s">
        <v>2412</v>
      </c>
      <c r="I530" s="383" t="s">
        <v>8509</v>
      </c>
      <c r="J530" s="383" t="s">
        <v>2417</v>
      </c>
      <c r="K530" s="383" t="s">
        <v>1693</v>
      </c>
      <c r="L530" s="383" t="s">
        <v>9742</v>
      </c>
      <c r="M530" s="383" t="s">
        <v>10344</v>
      </c>
      <c r="N530" s="144">
        <v>9820439944</v>
      </c>
      <c r="O530" s="383" t="str">
        <f>IF(LEN(SUBSTITUTE(Table3937[[#This Row],[PRIMARY CONTACT]]," ",""))=10,SUBSTITUTE(Table3937[[#This Row],[PRIMARY CONTACT]]," ","") &amp; " - Proper","- Follow Up")</f>
        <v>9820149620 - Proper</v>
      </c>
      <c r="P530" s="383" t="s">
        <v>3465</v>
      </c>
      <c r="Q530" s="383">
        <v>9820149620</v>
      </c>
      <c r="R530" s="383" t="str">
        <f>SUBSTITUTE(Table3937[[#This Row],[whatsapp_number]]," ","")</f>
        <v>9820149620</v>
      </c>
      <c r="S530" s="383" t="str">
        <f>IF(Table3937[[#This Row],[PRIMARY CONTACT]]=Table3937[[#This Row],[WHATSAPP CONTACT]],"Same Contact","Different Contact")</f>
        <v>Same Contact</v>
      </c>
      <c r="T530" s="383" t="str">
        <f>IF(LEN(SUBSTITUTE(Table3937[[#This Row],[PRIMARY CONTACT]]," ",""))=10,SUBSTITUTE(Table3937[[#This Row],[PRIMARY CONTACT]]," ","") &amp; " - Proper","- Follow Up")</f>
        <v>9820149620 - Proper</v>
      </c>
      <c r="U530" s="383" t="s">
        <v>2953</v>
      </c>
      <c r="V530" s="383" t="s">
        <v>71</v>
      </c>
      <c r="W530" s="383" t="s">
        <v>47</v>
      </c>
      <c r="X530" s="45" t="s">
        <v>170</v>
      </c>
      <c r="Y530" s="45" t="s">
        <v>49</v>
      </c>
      <c r="Z530" s="45" t="s">
        <v>2419</v>
      </c>
      <c r="AA530" s="45" t="s">
        <v>2055</v>
      </c>
      <c r="AB530" s="383"/>
    </row>
    <row r="531" spans="1:28" ht="13.8">
      <c r="A531" s="387">
        <v>530</v>
      </c>
      <c r="B531" s="44" t="s">
        <v>2421</v>
      </c>
      <c r="C531" s="383" t="s">
        <v>10709</v>
      </c>
      <c r="D531" s="383" t="s">
        <v>10758</v>
      </c>
      <c r="E531" s="383" t="s">
        <v>9041</v>
      </c>
      <c r="F531" s="383">
        <v>1231</v>
      </c>
      <c r="G531" s="383" t="s">
        <v>71</v>
      </c>
      <c r="H531" s="383" t="s">
        <v>2420</v>
      </c>
      <c r="I531" s="383" t="s">
        <v>2424</v>
      </c>
      <c r="J531" s="383" t="s">
        <v>2425</v>
      </c>
      <c r="K531" s="383" t="s">
        <v>915</v>
      </c>
      <c r="L531" s="383" t="s">
        <v>8341</v>
      </c>
      <c r="M531" s="383" t="s">
        <v>10345</v>
      </c>
      <c r="N531" s="18" t="s">
        <v>44</v>
      </c>
      <c r="O531" s="383" t="str">
        <f>IF(LEN(SUBSTITUTE(Table3937[[#This Row],[PRIMARY CONTACT]]," ",""))=10,SUBSTITUTE(Table3937[[#This Row],[PRIMARY CONTACT]]," ","") &amp; " - Proper","- Follow Up")</f>
        <v>9370795843 - Proper</v>
      </c>
      <c r="P531" s="383" t="s">
        <v>3467</v>
      </c>
      <c r="Q531" s="383">
        <v>9370795843</v>
      </c>
      <c r="R531" s="383" t="str">
        <f>SUBSTITUTE(Table3937[[#This Row],[whatsapp_number]]," ","")</f>
        <v>9370795843</v>
      </c>
      <c r="S531" s="383" t="str">
        <f>IF(Table3937[[#This Row],[PRIMARY CONTACT]]=Table3937[[#This Row],[WHATSAPP CONTACT]],"Same Contact","Different Contact")</f>
        <v>Same Contact</v>
      </c>
      <c r="T531" s="383" t="str">
        <f>IF(LEN(SUBSTITUTE(Table3937[[#This Row],[PRIMARY CONTACT]]," ",""))=10,SUBSTITUTE(Table3937[[#This Row],[PRIMARY CONTACT]]," ","") &amp; " - Proper","- Follow Up")</f>
        <v>9370795843 - Proper</v>
      </c>
      <c r="U531" s="383" t="s">
        <v>2953</v>
      </c>
      <c r="V531" s="383" t="s">
        <v>71</v>
      </c>
      <c r="W531" s="383" t="s">
        <v>47</v>
      </c>
      <c r="X531" s="45" t="s">
        <v>2427</v>
      </c>
      <c r="Y531" s="45" t="s">
        <v>49</v>
      </c>
      <c r="Z531" s="45" t="s">
        <v>49</v>
      </c>
      <c r="AA531" s="45" t="s">
        <v>48</v>
      </c>
      <c r="AB531" s="383"/>
    </row>
    <row r="532" spans="1:28" ht="13.8">
      <c r="A532" s="387">
        <v>531</v>
      </c>
      <c r="B532" s="58" t="s">
        <v>2429</v>
      </c>
      <c r="C532" s="383" t="s">
        <v>10709</v>
      </c>
      <c r="D532" s="383" t="s">
        <v>10759</v>
      </c>
      <c r="E532" s="383" t="s">
        <v>9042</v>
      </c>
      <c r="F532" s="383">
        <v>1232</v>
      </c>
      <c r="G532" s="383" t="s">
        <v>71</v>
      </c>
      <c r="H532" s="383" t="s">
        <v>2428</v>
      </c>
      <c r="I532" s="383" t="s">
        <v>8510</v>
      </c>
      <c r="J532" s="383" t="s">
        <v>9447</v>
      </c>
      <c r="K532" s="383" t="s">
        <v>534</v>
      </c>
      <c r="L532" s="383" t="s">
        <v>9743</v>
      </c>
      <c r="M532" s="383" t="s">
        <v>10346</v>
      </c>
      <c r="N532" s="29" t="s">
        <v>44</v>
      </c>
      <c r="O532" s="383" t="str">
        <f>IF(LEN(SUBSTITUTE(Table3937[[#This Row],[PRIMARY CONTACT]]," ",""))=10,SUBSTITUTE(Table3937[[#This Row],[PRIMARY CONTACT]]," ","") &amp; " - Proper","- Follow Up")</f>
        <v>9321887125 - Proper</v>
      </c>
      <c r="P532" s="383" t="s">
        <v>2430</v>
      </c>
      <c r="Q532" s="383">
        <v>9321887125</v>
      </c>
      <c r="R532" s="383" t="str">
        <f>SUBSTITUTE(Table3937[[#This Row],[whatsapp_number]]," ","")</f>
        <v>9321887125</v>
      </c>
      <c r="S532" s="383" t="str">
        <f>IF(Table3937[[#This Row],[PRIMARY CONTACT]]=Table3937[[#This Row],[WHATSAPP CONTACT]],"Same Contact","Different Contact")</f>
        <v>Same Contact</v>
      </c>
      <c r="T532" s="383" t="str">
        <f>IF(LEN(SUBSTITUTE(Table3937[[#This Row],[PRIMARY CONTACT]]," ",""))=10,SUBSTITUTE(Table3937[[#This Row],[PRIMARY CONTACT]]," ","") &amp; " - Proper","- Follow Up")</f>
        <v>9321887125 - Proper</v>
      </c>
      <c r="U532" s="383" t="s">
        <v>2953</v>
      </c>
      <c r="V532" s="393" t="s">
        <v>2435</v>
      </c>
      <c r="W532" s="383" t="s">
        <v>47</v>
      </c>
      <c r="X532" s="51" t="s">
        <v>170</v>
      </c>
      <c r="Y532" s="51" t="s">
        <v>49</v>
      </c>
      <c r="Z532" s="51" t="s">
        <v>2436</v>
      </c>
      <c r="AA532" s="51" t="s">
        <v>170</v>
      </c>
      <c r="AB532" s="383"/>
    </row>
    <row r="533" spans="1:28" ht="13.8">
      <c r="A533" s="387">
        <v>532</v>
      </c>
      <c r="B533" s="58" t="s">
        <v>2438</v>
      </c>
      <c r="C533" s="383" t="s">
        <v>10709</v>
      </c>
      <c r="D533" s="383" t="s">
        <v>10777</v>
      </c>
      <c r="E533" s="383" t="s">
        <v>2438</v>
      </c>
      <c r="F533" s="383">
        <v>1233</v>
      </c>
      <c r="G533" s="383" t="s">
        <v>71</v>
      </c>
      <c r="H533" s="383" t="s">
        <v>2437</v>
      </c>
      <c r="I533" s="383" t="s">
        <v>2441</v>
      </c>
      <c r="J533" s="383" t="s">
        <v>2442</v>
      </c>
      <c r="K533" s="383" t="s">
        <v>116</v>
      </c>
      <c r="L533" s="383" t="s">
        <v>9744</v>
      </c>
      <c r="M533" s="383" t="s">
        <v>10347</v>
      </c>
      <c r="N533" s="157">
        <v>9821533996</v>
      </c>
      <c r="O533" s="383" t="str">
        <f>IF(LEN(SUBSTITUTE(Table3937[[#This Row],[PRIMARY CONTACT]]," ",""))=10,SUBSTITUTE(Table3937[[#This Row],[PRIMARY CONTACT]]," ","") &amp; " - Proper","- Follow Up")</f>
        <v>9930880788 - Proper</v>
      </c>
      <c r="P533" s="383" t="s">
        <v>3470</v>
      </c>
      <c r="Q533" s="383">
        <v>9930880788</v>
      </c>
      <c r="R533" s="383" t="str">
        <f>SUBSTITUTE(Table3937[[#This Row],[whatsapp_number]]," ","")</f>
        <v>9930880788</v>
      </c>
      <c r="S533" s="383" t="str">
        <f>IF(Table3937[[#This Row],[PRIMARY CONTACT]]=Table3937[[#This Row],[WHATSAPP CONTACT]],"Same Contact","Different Contact")</f>
        <v>Same Contact</v>
      </c>
      <c r="T533" s="383" t="str">
        <f>IF(LEN(SUBSTITUTE(Table3937[[#This Row],[PRIMARY CONTACT]]," ",""))=10,SUBSTITUTE(Table3937[[#This Row],[PRIMARY CONTACT]]," ","") &amp; " - Proper","- Follow Up")</f>
        <v>9930880788 - Proper</v>
      </c>
      <c r="U533" s="383" t="s">
        <v>10603</v>
      </c>
      <c r="V533" s="393" t="s">
        <v>2444</v>
      </c>
      <c r="W533" s="383" t="s">
        <v>47</v>
      </c>
      <c r="X533" s="51" t="s">
        <v>170</v>
      </c>
      <c r="Y533" s="51" t="s">
        <v>49</v>
      </c>
      <c r="Z533" s="51" t="s">
        <v>2446</v>
      </c>
      <c r="AA533" s="51" t="s">
        <v>1617</v>
      </c>
      <c r="AB533" s="383"/>
    </row>
    <row r="534" spans="1:28" ht="13.8">
      <c r="A534" s="387">
        <v>533</v>
      </c>
      <c r="B534" s="58" t="s">
        <v>2448</v>
      </c>
      <c r="C534" s="383" t="s">
        <v>10709</v>
      </c>
      <c r="D534" s="383" t="s">
        <v>10776</v>
      </c>
      <c r="E534" s="383" t="s">
        <v>2448</v>
      </c>
      <c r="F534" s="383">
        <v>1234</v>
      </c>
      <c r="G534" s="383" t="s">
        <v>71</v>
      </c>
      <c r="H534" s="383" t="s">
        <v>2447</v>
      </c>
      <c r="I534" s="383" t="s">
        <v>2451</v>
      </c>
      <c r="J534" s="383" t="s">
        <v>2452</v>
      </c>
      <c r="K534" s="383" t="s">
        <v>507</v>
      </c>
      <c r="L534" s="383" t="s">
        <v>8341</v>
      </c>
      <c r="M534" s="383" t="s">
        <v>10348</v>
      </c>
      <c r="N534" s="29" t="s">
        <v>44</v>
      </c>
      <c r="O534" s="383" t="str">
        <f>IF(LEN(SUBSTITUTE(Table3937[[#This Row],[PRIMARY CONTACT]]," ",""))=10,SUBSTITUTE(Table3937[[#This Row],[PRIMARY CONTACT]]," ","") &amp; " - Proper","- Follow Up")</f>
        <v>8668290535 - Proper</v>
      </c>
      <c r="P534" s="383" t="s">
        <v>3473</v>
      </c>
      <c r="Q534" s="383">
        <v>8668290535</v>
      </c>
      <c r="R534" s="383" t="str">
        <f>SUBSTITUTE(Table3937[[#This Row],[whatsapp_number]]," ","")</f>
        <v>8668290535</v>
      </c>
      <c r="S534" s="383" t="str">
        <f>IF(Table3937[[#This Row],[PRIMARY CONTACT]]=Table3937[[#This Row],[WHATSAPP CONTACT]],"Same Contact","Different Contact")</f>
        <v>Same Contact</v>
      </c>
      <c r="T534" s="383" t="str">
        <f>IF(LEN(SUBSTITUTE(Table3937[[#This Row],[PRIMARY CONTACT]]," ",""))=10,SUBSTITUTE(Table3937[[#This Row],[PRIMARY CONTACT]]," ","") &amp; " - Proper","- Follow Up")</f>
        <v>8668290535 - Proper</v>
      </c>
      <c r="U534" s="383" t="s">
        <v>3057</v>
      </c>
      <c r="V534" s="383" t="s">
        <v>71</v>
      </c>
      <c r="W534" s="383" t="s">
        <v>47</v>
      </c>
      <c r="X534" s="51" t="s">
        <v>48</v>
      </c>
      <c r="Y534" s="51" t="s">
        <v>49</v>
      </c>
      <c r="Z534" s="51" t="s">
        <v>49</v>
      </c>
      <c r="AA534" s="51" t="s">
        <v>2453</v>
      </c>
      <c r="AB534" s="383"/>
    </row>
    <row r="535" spans="1:28" ht="13.8">
      <c r="A535" s="387">
        <v>534</v>
      </c>
      <c r="B535" s="58" t="s">
        <v>2455</v>
      </c>
      <c r="C535" s="383" t="s">
        <v>10709</v>
      </c>
      <c r="D535" s="383" t="s">
        <v>10775</v>
      </c>
      <c r="E535" s="383" t="s">
        <v>2455</v>
      </c>
      <c r="F535" s="383">
        <v>1235</v>
      </c>
      <c r="G535" s="383" t="s">
        <v>71</v>
      </c>
      <c r="H535" s="383" t="s">
        <v>2454</v>
      </c>
      <c r="I535" s="383" t="s">
        <v>2458</v>
      </c>
      <c r="J535" s="383" t="s">
        <v>2459</v>
      </c>
      <c r="K535" s="383" t="s">
        <v>2460</v>
      </c>
      <c r="L535" s="383" t="s">
        <v>9745</v>
      </c>
      <c r="M535" s="383" t="s">
        <v>10349</v>
      </c>
      <c r="N535" s="29" t="s">
        <v>44</v>
      </c>
      <c r="O535" s="383" t="str">
        <f>IF(LEN(SUBSTITUTE(Table3937[[#This Row],[PRIMARY CONTACT]]," ",""))=10,SUBSTITUTE(Table3937[[#This Row],[PRIMARY CONTACT]]," ","") &amp; " - Proper","- Follow Up")</f>
        <v>8108055577 - Proper</v>
      </c>
      <c r="P535" s="383" t="s">
        <v>3475</v>
      </c>
      <c r="Q535" s="383">
        <v>8108055577</v>
      </c>
      <c r="R535" s="383" t="str">
        <f>SUBSTITUTE(Table3937[[#This Row],[whatsapp_number]]," ","")</f>
        <v>8108055577</v>
      </c>
      <c r="S535" s="383" t="str">
        <f>IF(Table3937[[#This Row],[PRIMARY CONTACT]]=Table3937[[#This Row],[WHATSAPP CONTACT]],"Same Contact","Different Contact")</f>
        <v>Same Contact</v>
      </c>
      <c r="T535" s="383" t="str">
        <f>IF(LEN(SUBSTITUTE(Table3937[[#This Row],[PRIMARY CONTACT]]," ",""))=10,SUBSTITUTE(Table3937[[#This Row],[PRIMARY CONTACT]]," ","") &amp; " - Proper","- Follow Up")</f>
        <v>8108055577 - Proper</v>
      </c>
      <c r="U535" s="383" t="s">
        <v>3057</v>
      </c>
      <c r="V535" s="383" t="s">
        <v>71</v>
      </c>
      <c r="W535" s="383" t="s">
        <v>47</v>
      </c>
      <c r="X535" s="51" t="s">
        <v>170</v>
      </c>
      <c r="Y535" s="51" t="s">
        <v>49</v>
      </c>
      <c r="Z535" s="51" t="s">
        <v>2462</v>
      </c>
      <c r="AA535" s="51" t="s">
        <v>2453</v>
      </c>
      <c r="AB535" s="383"/>
    </row>
    <row r="536" spans="1:28" ht="15">
      <c r="A536" s="387">
        <v>535</v>
      </c>
      <c r="B536" s="58" t="s">
        <v>2463</v>
      </c>
      <c r="C536" s="383" t="s">
        <v>10709</v>
      </c>
      <c r="D536" s="383" t="s">
        <v>10774</v>
      </c>
      <c r="E536" s="383" t="s">
        <v>2463</v>
      </c>
      <c r="F536" s="383">
        <v>1236</v>
      </c>
      <c r="G536" s="383" t="s">
        <v>71</v>
      </c>
      <c r="H536" s="383" t="s">
        <v>2454</v>
      </c>
      <c r="I536" s="383" t="s">
        <v>2458</v>
      </c>
      <c r="J536" s="383" t="s">
        <v>2466</v>
      </c>
      <c r="K536" s="383" t="s">
        <v>2460</v>
      </c>
      <c r="L536" s="383" t="s">
        <v>9745</v>
      </c>
      <c r="M536" s="383" t="s">
        <v>10350</v>
      </c>
      <c r="N536" s="89">
        <v>8108055577</v>
      </c>
      <c r="O536" s="383" t="str">
        <f>IF(LEN(SUBSTITUTE(Table3937[[#This Row],[PRIMARY CONTACT]]," ",""))=10,SUBSTITUTE(Table3937[[#This Row],[PRIMARY CONTACT]]," ","") &amp; " - Proper","- Follow Up")</f>
        <v>9833110483 - Proper</v>
      </c>
      <c r="P536" s="383" t="s">
        <v>3475</v>
      </c>
      <c r="Q536" s="383">
        <v>9833110483</v>
      </c>
      <c r="R536" s="383" t="str">
        <f>SUBSTITUTE(Table3937[[#This Row],[whatsapp_number]]," ","")</f>
        <v>9833110483</v>
      </c>
      <c r="S536" s="383" t="str">
        <f>IF(Table3937[[#This Row],[PRIMARY CONTACT]]=Table3937[[#This Row],[WHATSAPP CONTACT]],"Same Contact","Different Contact")</f>
        <v>Same Contact</v>
      </c>
      <c r="T536" s="383" t="str">
        <f>IF(LEN(SUBSTITUTE(Table3937[[#This Row],[PRIMARY CONTACT]]," ",""))=10,SUBSTITUTE(Table3937[[#This Row],[PRIMARY CONTACT]]," ","") &amp; " - Proper","- Follow Up")</f>
        <v>9833110483 - Proper</v>
      </c>
      <c r="U536" s="383" t="s">
        <v>2953</v>
      </c>
      <c r="V536" s="383" t="s">
        <v>71</v>
      </c>
      <c r="W536" s="383" t="s">
        <v>47</v>
      </c>
      <c r="X536" s="51" t="s">
        <v>300</v>
      </c>
      <c r="Y536" s="51" t="s">
        <v>301</v>
      </c>
      <c r="Z536" s="51" t="s">
        <v>2462</v>
      </c>
      <c r="AA536" s="51" t="s">
        <v>2467</v>
      </c>
      <c r="AB536" s="383"/>
    </row>
    <row r="537" spans="1:28" ht="13.8">
      <c r="A537" s="387">
        <v>536</v>
      </c>
      <c r="B537" s="349" t="s">
        <v>2468</v>
      </c>
      <c r="C537" s="383" t="s">
        <v>10709</v>
      </c>
      <c r="D537" s="383" t="s">
        <v>9043</v>
      </c>
      <c r="E537" s="383" t="s">
        <v>9043</v>
      </c>
      <c r="F537" s="383">
        <v>1237</v>
      </c>
      <c r="G537" s="383" t="s">
        <v>71</v>
      </c>
      <c r="H537" s="383" t="s">
        <v>71</v>
      </c>
      <c r="I537" s="383" t="s">
        <v>2471</v>
      </c>
      <c r="J537" s="383" t="s">
        <v>2472</v>
      </c>
      <c r="K537" s="383" t="s">
        <v>2473</v>
      </c>
      <c r="L537" s="383" t="s">
        <v>8341</v>
      </c>
      <c r="M537" s="383" t="s">
        <v>10351</v>
      </c>
      <c r="N537" s="18" t="s">
        <v>44</v>
      </c>
      <c r="O537" s="383" t="str">
        <f>IF(LEN(SUBSTITUTE(Table3937[[#This Row],[PRIMARY CONTACT]]," ",""))=10,SUBSTITUTE(Table3937[[#This Row],[PRIMARY CONTACT]]," ","") &amp; " - Proper","- Follow Up")</f>
        <v>9323115729 - Proper</v>
      </c>
      <c r="P537" s="383" t="s">
        <v>3477</v>
      </c>
      <c r="Q537" s="383">
        <v>9323115729</v>
      </c>
      <c r="R537" s="383" t="str">
        <f>SUBSTITUTE(Table3937[[#This Row],[whatsapp_number]]," ","")</f>
        <v>9323115729</v>
      </c>
      <c r="S537" s="383" t="str">
        <f>IF(Table3937[[#This Row],[PRIMARY CONTACT]]=Table3937[[#This Row],[WHATSAPP CONTACT]],"Same Contact","Different Contact")</f>
        <v>Same Contact</v>
      </c>
      <c r="T537" s="383" t="str">
        <f>IF(LEN(SUBSTITUTE(Table3937[[#This Row],[PRIMARY CONTACT]]," ",""))=10,SUBSTITUTE(Table3937[[#This Row],[PRIMARY CONTACT]]," ","") &amp; " - Proper","- Follow Up")</f>
        <v>9323115729 - Proper</v>
      </c>
      <c r="U537" s="383" t="s">
        <v>8341</v>
      </c>
      <c r="V537" s="383" t="s">
        <v>71</v>
      </c>
      <c r="W537" s="383" t="s">
        <v>47</v>
      </c>
      <c r="X537" s="421" t="s">
        <v>44</v>
      </c>
      <c r="Y537" s="421" t="s">
        <v>44</v>
      </c>
      <c r="Z537" s="421" t="s">
        <v>44</v>
      </c>
      <c r="AA537" s="421" t="s">
        <v>44</v>
      </c>
      <c r="AB537" s="383"/>
    </row>
    <row r="538" spans="1:28" ht="16.2">
      <c r="A538" s="387">
        <v>537</v>
      </c>
      <c r="B538" s="58" t="s">
        <v>2476</v>
      </c>
      <c r="C538" s="383" t="s">
        <v>10709</v>
      </c>
      <c r="D538" s="383" t="s">
        <v>9044</v>
      </c>
      <c r="E538" s="383" t="s">
        <v>9044</v>
      </c>
      <c r="F538" s="383">
        <v>1238</v>
      </c>
      <c r="G538" s="383" t="s">
        <v>71</v>
      </c>
      <c r="H538" s="383" t="s">
        <v>2475</v>
      </c>
      <c r="I538" s="383" t="s">
        <v>2479</v>
      </c>
      <c r="J538" s="383" t="s">
        <v>2479</v>
      </c>
      <c r="K538" s="383" t="s">
        <v>534</v>
      </c>
      <c r="L538" s="383" t="s">
        <v>9746</v>
      </c>
      <c r="M538" s="383" t="s">
        <v>10352</v>
      </c>
      <c r="N538" s="162">
        <v>9870279593</v>
      </c>
      <c r="O538" s="383" t="str">
        <f>IF(LEN(SUBSTITUTE(Table3937[[#This Row],[PRIMARY CONTACT]]," ",""))=10,SUBSTITUTE(Table3937[[#This Row],[PRIMARY CONTACT]]," ","") &amp; " - Proper","- Follow Up")</f>
        <v>9870279593 - Proper</v>
      </c>
      <c r="P538" s="383" t="s">
        <v>3479</v>
      </c>
      <c r="Q538" s="383">
        <v>9870279593</v>
      </c>
      <c r="R538" s="383" t="str">
        <f>SUBSTITUTE(Table3937[[#This Row],[whatsapp_number]]," ","")</f>
        <v>9870279593</v>
      </c>
      <c r="S538" s="383" t="str">
        <f>IF(Table3937[[#This Row],[PRIMARY CONTACT]]=Table3937[[#This Row],[WHATSAPP CONTACT]],"Same Contact","Different Contact")</f>
        <v>Same Contact</v>
      </c>
      <c r="T538" s="383" t="str">
        <f>IF(LEN(SUBSTITUTE(Table3937[[#This Row],[PRIMARY CONTACT]]," ",""))=10,SUBSTITUTE(Table3937[[#This Row],[PRIMARY CONTACT]]," ","") &amp; " - Proper","- Follow Up")</f>
        <v>9870279593 - Proper</v>
      </c>
      <c r="U538" s="383" t="s">
        <v>2953</v>
      </c>
      <c r="V538" s="383" t="s">
        <v>71</v>
      </c>
      <c r="W538" s="383" t="s">
        <v>47</v>
      </c>
      <c r="X538" s="51" t="s">
        <v>170</v>
      </c>
      <c r="Y538" s="51" t="s">
        <v>49</v>
      </c>
      <c r="Z538" s="51" t="s">
        <v>49</v>
      </c>
      <c r="AA538" s="51" t="s">
        <v>48</v>
      </c>
      <c r="AB538" s="383"/>
    </row>
    <row r="539" spans="1:28" ht="15">
      <c r="A539" s="387">
        <v>538</v>
      </c>
      <c r="B539" s="58" t="s">
        <v>2482</v>
      </c>
      <c r="C539" s="383" t="s">
        <v>10709</v>
      </c>
      <c r="D539" s="383" t="s">
        <v>10773</v>
      </c>
      <c r="E539" s="383" t="s">
        <v>9045</v>
      </c>
      <c r="F539" s="383">
        <v>1239</v>
      </c>
      <c r="G539" s="383" t="s">
        <v>71</v>
      </c>
      <c r="H539" s="383" t="s">
        <v>2481</v>
      </c>
      <c r="I539" s="383" t="s">
        <v>2485</v>
      </c>
      <c r="J539" s="383" t="s">
        <v>2486</v>
      </c>
      <c r="K539" s="383" t="s">
        <v>507</v>
      </c>
      <c r="L539" s="383" t="s">
        <v>8341</v>
      </c>
      <c r="M539" s="383" t="s">
        <v>10353</v>
      </c>
      <c r="N539" s="89">
        <v>8828484435</v>
      </c>
      <c r="O539" s="383" t="str">
        <f>IF(LEN(SUBSTITUTE(Table3937[[#This Row],[PRIMARY CONTACT]]," ",""))=10,SUBSTITUTE(Table3937[[#This Row],[PRIMARY CONTACT]]," ","") &amp; " - Proper","- Follow Up")</f>
        <v>9324433535 - Proper</v>
      </c>
      <c r="P539" s="383" t="s">
        <v>3481</v>
      </c>
      <c r="Q539" s="383">
        <v>9324433535</v>
      </c>
      <c r="R539" s="383" t="str">
        <f>SUBSTITUTE(Table3937[[#This Row],[whatsapp_number]]," ","")</f>
        <v>9324433535</v>
      </c>
      <c r="S539" s="383" t="str">
        <f>IF(Table3937[[#This Row],[PRIMARY CONTACT]]=Table3937[[#This Row],[WHATSAPP CONTACT]],"Same Contact","Different Contact")</f>
        <v>Same Contact</v>
      </c>
      <c r="T539" s="383" t="str">
        <f>IF(LEN(SUBSTITUTE(Table3937[[#This Row],[PRIMARY CONTACT]]," ",""))=10,SUBSTITUTE(Table3937[[#This Row],[PRIMARY CONTACT]]," ","") &amp; " - Proper","- Follow Up")</f>
        <v>9324433535 - Proper</v>
      </c>
      <c r="U539" s="383" t="s">
        <v>2953</v>
      </c>
      <c r="V539" s="383" t="s">
        <v>71</v>
      </c>
      <c r="W539" s="383" t="s">
        <v>47</v>
      </c>
      <c r="X539" s="51" t="s">
        <v>170</v>
      </c>
      <c r="Y539" s="51" t="s">
        <v>49</v>
      </c>
      <c r="Z539" s="51" t="s">
        <v>2487</v>
      </c>
      <c r="AA539" s="51" t="s">
        <v>48</v>
      </c>
      <c r="AB539" s="383"/>
    </row>
    <row r="540" spans="1:28" ht="13.8">
      <c r="A540" s="387">
        <v>539</v>
      </c>
      <c r="B540" s="58" t="s">
        <v>2489</v>
      </c>
      <c r="C540" s="383" t="s">
        <v>10709</v>
      </c>
      <c r="D540" s="383" t="s">
        <v>10760</v>
      </c>
      <c r="E540" s="383" t="s">
        <v>9046</v>
      </c>
      <c r="F540" s="383">
        <v>1240</v>
      </c>
      <c r="G540" s="383" t="s">
        <v>71</v>
      </c>
      <c r="H540" s="383" t="s">
        <v>2488</v>
      </c>
      <c r="I540" s="383" t="s">
        <v>2492</v>
      </c>
      <c r="J540" s="383" t="s">
        <v>2493</v>
      </c>
      <c r="K540" s="383" t="s">
        <v>116</v>
      </c>
      <c r="L540" s="383" t="s">
        <v>8341</v>
      </c>
      <c r="M540" s="383" t="s">
        <v>10354</v>
      </c>
      <c r="N540" s="29" t="s">
        <v>44</v>
      </c>
      <c r="O540" s="383" t="str">
        <f>IF(LEN(SUBSTITUTE(Table3937[[#This Row],[PRIMARY CONTACT]]," ",""))=10,SUBSTITUTE(Table3937[[#This Row],[PRIMARY CONTACT]]," ","") &amp; " - Proper","- Follow Up")</f>
        <v>9920366493 - Proper</v>
      </c>
      <c r="P540" s="383" t="s">
        <v>3483</v>
      </c>
      <c r="Q540" s="383">
        <v>9920366493</v>
      </c>
      <c r="R540" s="383" t="str">
        <f>SUBSTITUTE(Table3937[[#This Row],[whatsapp_number]]," ","")</f>
        <v>9920366493</v>
      </c>
      <c r="S540" s="383" t="str">
        <f>IF(Table3937[[#This Row],[PRIMARY CONTACT]]=Table3937[[#This Row],[WHATSAPP CONTACT]],"Same Contact","Different Contact")</f>
        <v>Same Contact</v>
      </c>
      <c r="T540" s="383" t="str">
        <f>IF(LEN(SUBSTITUTE(Table3937[[#This Row],[PRIMARY CONTACT]]," ",""))=10,SUBSTITUTE(Table3937[[#This Row],[PRIMARY CONTACT]]," ","") &amp; " - Proper","- Follow Up")</f>
        <v>9920366493 - Proper</v>
      </c>
      <c r="U540" s="383" t="s">
        <v>2953</v>
      </c>
      <c r="V540" s="383" t="s">
        <v>71</v>
      </c>
      <c r="W540" s="383" t="s">
        <v>47</v>
      </c>
      <c r="X540" s="51" t="s">
        <v>170</v>
      </c>
      <c r="Y540" s="51" t="s">
        <v>49</v>
      </c>
      <c r="Z540" s="51" t="s">
        <v>2494</v>
      </c>
      <c r="AA540" s="51" t="s">
        <v>2495</v>
      </c>
      <c r="AB540" s="383"/>
    </row>
    <row r="541" spans="1:28" ht="13.8">
      <c r="A541" s="387">
        <v>540</v>
      </c>
      <c r="B541" s="58" t="s">
        <v>2497</v>
      </c>
      <c r="C541" s="383" t="s">
        <v>10709</v>
      </c>
      <c r="D541" s="383" t="s">
        <v>9047</v>
      </c>
      <c r="E541" s="383" t="s">
        <v>9047</v>
      </c>
      <c r="F541" s="383">
        <v>1241</v>
      </c>
      <c r="G541" s="383" t="s">
        <v>71</v>
      </c>
      <c r="H541" s="383" t="s">
        <v>2496</v>
      </c>
      <c r="I541" s="383" t="s">
        <v>2500</v>
      </c>
      <c r="J541" s="383" t="s">
        <v>2501</v>
      </c>
      <c r="K541" s="383" t="s">
        <v>1009</v>
      </c>
      <c r="L541" s="383" t="s">
        <v>8341</v>
      </c>
      <c r="M541" s="383" t="s">
        <v>10355</v>
      </c>
      <c r="N541" s="29" t="s">
        <v>44</v>
      </c>
      <c r="O541" s="383" t="str">
        <f>IF(LEN(SUBSTITUTE(Table3937[[#This Row],[PRIMARY CONTACT]]," ",""))=10,SUBSTITUTE(Table3937[[#This Row],[PRIMARY CONTACT]]," ","") &amp; " - Proper","- Follow Up")</f>
        <v>7696719671 - Proper</v>
      </c>
      <c r="P541" s="383" t="s">
        <v>3485</v>
      </c>
      <c r="Q541" s="383">
        <v>7696719671</v>
      </c>
      <c r="R541" s="383" t="str">
        <f>SUBSTITUTE(Table3937[[#This Row],[whatsapp_number]]," ","")</f>
        <v>7696719671</v>
      </c>
      <c r="S541" s="383" t="str">
        <f>IF(Table3937[[#This Row],[PRIMARY CONTACT]]=Table3937[[#This Row],[WHATSAPP CONTACT]],"Same Contact","Different Contact")</f>
        <v>Same Contact</v>
      </c>
      <c r="T541" s="383" t="str">
        <f>IF(LEN(SUBSTITUTE(Table3937[[#This Row],[PRIMARY CONTACT]]," ",""))=10,SUBSTITUTE(Table3937[[#This Row],[PRIMARY CONTACT]]," ","") &amp; " - Proper","- Follow Up")</f>
        <v>7696719671 - Proper</v>
      </c>
      <c r="U541" s="383" t="s">
        <v>2953</v>
      </c>
      <c r="V541" s="383" t="s">
        <v>71</v>
      </c>
      <c r="W541" s="383" t="s">
        <v>47</v>
      </c>
      <c r="X541" s="51" t="s">
        <v>2502</v>
      </c>
      <c r="Y541" s="51" t="s">
        <v>1995</v>
      </c>
      <c r="Z541" s="51" t="s">
        <v>2503</v>
      </c>
      <c r="AA541" s="51" t="s">
        <v>2504</v>
      </c>
      <c r="AB541" s="383"/>
    </row>
    <row r="542" spans="1:28" ht="13.8">
      <c r="A542" s="387">
        <v>541</v>
      </c>
      <c r="B542" s="58" t="s">
        <v>2506</v>
      </c>
      <c r="C542" s="383" t="s">
        <v>10709</v>
      </c>
      <c r="D542" s="383" t="s">
        <v>2506</v>
      </c>
      <c r="E542" s="383" t="s">
        <v>2506</v>
      </c>
      <c r="F542" s="383">
        <v>1248</v>
      </c>
      <c r="G542" s="383" t="s">
        <v>71</v>
      </c>
      <c r="H542" s="383" t="s">
        <v>71</v>
      </c>
      <c r="I542" s="383" t="s">
        <v>8341</v>
      </c>
      <c r="J542" s="383" t="s">
        <v>2509</v>
      </c>
      <c r="K542" s="383" t="s">
        <v>8341</v>
      </c>
      <c r="L542" s="383" t="s">
        <v>8341</v>
      </c>
      <c r="M542" s="383" t="s">
        <v>10356</v>
      </c>
      <c r="N542" s="123">
        <v>7021189961</v>
      </c>
      <c r="O542" s="383" t="str">
        <f>IF(LEN(SUBSTITUTE(Table3937[[#This Row],[PRIMARY CONTACT]]," ",""))=10,SUBSTITUTE(Table3937[[#This Row],[PRIMARY CONTACT]]," ","") &amp; " - Proper","- Follow Up")</f>
        <v>8291139581 - Proper</v>
      </c>
      <c r="P542" s="383" t="s">
        <v>3486</v>
      </c>
      <c r="Q542" s="383">
        <v>8291139581</v>
      </c>
      <c r="R542" s="383" t="str">
        <f>SUBSTITUTE(Table3937[[#This Row],[whatsapp_number]]," ","")</f>
        <v>8291139581</v>
      </c>
      <c r="S542" s="383" t="str">
        <f>IF(Table3937[[#This Row],[PRIMARY CONTACT]]=Table3937[[#This Row],[WHATSAPP CONTACT]],"Same Contact","Different Contact")</f>
        <v>Same Contact</v>
      </c>
      <c r="T542" s="383" t="str">
        <f>IF(LEN(SUBSTITUTE(Table3937[[#This Row],[PRIMARY CONTACT]]," ",""))=10,SUBSTITUTE(Table3937[[#This Row],[PRIMARY CONTACT]]," ","") &amp; " - Proper","- Follow Up")</f>
        <v>8291139581 - Proper</v>
      </c>
      <c r="U542" s="383" t="s">
        <v>8341</v>
      </c>
      <c r="V542" s="383" t="s">
        <v>71</v>
      </c>
      <c r="W542" s="383" t="s">
        <v>47</v>
      </c>
      <c r="X542" s="29" t="s">
        <v>395</v>
      </c>
      <c r="Y542" s="29" t="s">
        <v>395</v>
      </c>
      <c r="Z542" s="29" t="s">
        <v>395</v>
      </c>
      <c r="AA542" s="29" t="s">
        <v>395</v>
      </c>
      <c r="AB542" s="383"/>
    </row>
    <row r="543" spans="1:28" ht="13.8">
      <c r="A543" s="387">
        <v>542</v>
      </c>
      <c r="B543" s="58" t="s">
        <v>2510</v>
      </c>
      <c r="C543" s="383" t="s">
        <v>10709</v>
      </c>
      <c r="D543" s="383" t="s">
        <v>10761</v>
      </c>
      <c r="E543" s="383" t="s">
        <v>9048</v>
      </c>
      <c r="F543" s="383">
        <v>1249</v>
      </c>
      <c r="G543" s="383" t="s">
        <v>71</v>
      </c>
      <c r="H543" s="383" t="s">
        <v>71</v>
      </c>
      <c r="I543" s="383" t="s">
        <v>2513</v>
      </c>
      <c r="J543" s="383" t="s">
        <v>2514</v>
      </c>
      <c r="K543" s="383" t="s">
        <v>2515</v>
      </c>
      <c r="L543" s="383" t="s">
        <v>8341</v>
      </c>
      <c r="M543" s="383" t="s">
        <v>10357</v>
      </c>
      <c r="N543" s="29" t="s">
        <v>44</v>
      </c>
      <c r="O543" s="383" t="str">
        <f>IF(LEN(SUBSTITUTE(Table3937[[#This Row],[PRIMARY CONTACT]]," ",""))=10,SUBSTITUTE(Table3937[[#This Row],[PRIMARY CONTACT]]," ","") &amp; " - Proper","- Follow Up")</f>
        <v>9769003397 - Proper</v>
      </c>
      <c r="P543" s="383" t="s">
        <v>3486</v>
      </c>
      <c r="Q543" s="383">
        <v>9769003397</v>
      </c>
      <c r="R543" s="383" t="str">
        <f>SUBSTITUTE(Table3937[[#This Row],[whatsapp_number]]," ","")</f>
        <v>9769003397</v>
      </c>
      <c r="S543" s="383" t="str">
        <f>IF(Table3937[[#This Row],[PRIMARY CONTACT]]=Table3937[[#This Row],[WHATSAPP CONTACT]],"Same Contact","Different Contact")</f>
        <v>Same Contact</v>
      </c>
      <c r="T543" s="383" t="str">
        <f>IF(LEN(SUBSTITUTE(Table3937[[#This Row],[PRIMARY CONTACT]]," ",""))=10,SUBSTITUTE(Table3937[[#This Row],[PRIMARY CONTACT]]," ","") &amp; " - Proper","- Follow Up")</f>
        <v>9769003397 - Proper</v>
      </c>
      <c r="U543" s="383" t="s">
        <v>8341</v>
      </c>
      <c r="V543" s="383" t="s">
        <v>71</v>
      </c>
      <c r="W543" s="383" t="s">
        <v>47</v>
      </c>
      <c r="X543" s="29" t="s">
        <v>395</v>
      </c>
      <c r="Y543" s="29" t="s">
        <v>395</v>
      </c>
      <c r="Z543" s="29" t="s">
        <v>395</v>
      </c>
      <c r="AA543" s="29" t="s">
        <v>395</v>
      </c>
      <c r="AB543" s="383"/>
    </row>
    <row r="544" spans="1:28" ht="13.8">
      <c r="A544" s="387">
        <v>543</v>
      </c>
      <c r="B544" s="383" t="s">
        <v>10716</v>
      </c>
      <c r="C544" s="383" t="s">
        <v>10743</v>
      </c>
      <c r="D544" s="383" t="s">
        <v>10716</v>
      </c>
      <c r="E544" s="383" t="s">
        <v>2517</v>
      </c>
      <c r="F544" s="383">
        <v>1250</v>
      </c>
      <c r="G544" s="383" t="s">
        <v>71</v>
      </c>
      <c r="H544" s="383" t="s">
        <v>2516</v>
      </c>
      <c r="I544" s="383" t="s">
        <v>2520</v>
      </c>
      <c r="J544" s="383" t="s">
        <v>2521</v>
      </c>
      <c r="K544" s="383" t="s">
        <v>2522</v>
      </c>
      <c r="L544" s="383" t="s">
        <v>9747</v>
      </c>
      <c r="M544" s="383" t="s">
        <v>10358</v>
      </c>
      <c r="N544" s="29" t="s">
        <v>44</v>
      </c>
      <c r="O544" s="383" t="str">
        <f>IF(LEN(SUBSTITUTE(Table3937[[#This Row],[PRIMARY CONTACT]]," ",""))=10,SUBSTITUTE(Table3937[[#This Row],[PRIMARY CONTACT]]," ","") &amp; " - Proper","- Follow Up")</f>
        <v>9323881334 - Proper</v>
      </c>
      <c r="P544" s="383" t="s">
        <v>3489</v>
      </c>
      <c r="Q544" s="383">
        <v>9323881334</v>
      </c>
      <c r="R544" s="383" t="str">
        <f>SUBSTITUTE(Table3937[[#This Row],[whatsapp_number]]," ","")</f>
        <v>9323881334</v>
      </c>
      <c r="S544" s="383" t="str">
        <f>IF(Table3937[[#This Row],[PRIMARY CONTACT]]=Table3937[[#This Row],[WHATSAPP CONTACT]],"Same Contact","Different Contact")</f>
        <v>Same Contact</v>
      </c>
      <c r="T544" s="383" t="str">
        <f>IF(LEN(SUBSTITUTE(Table3937[[#This Row],[PRIMARY CONTACT]]," ",""))=10,SUBSTITUTE(Table3937[[#This Row],[PRIMARY CONTACT]]," ","") &amp; " - Proper","- Follow Up")</f>
        <v>9323881334 - Proper</v>
      </c>
      <c r="U544" s="383" t="s">
        <v>2953</v>
      </c>
      <c r="V544" s="393" t="s">
        <v>2524</v>
      </c>
      <c r="W544" s="383" t="s">
        <v>47</v>
      </c>
      <c r="X544" s="29" t="s">
        <v>395</v>
      </c>
      <c r="Y544" s="29" t="s">
        <v>395</v>
      </c>
      <c r="Z544" s="29" t="s">
        <v>395</v>
      </c>
      <c r="AA544" s="29" t="s">
        <v>395</v>
      </c>
      <c r="AB544" s="383"/>
    </row>
    <row r="545" spans="1:28" ht="13.8">
      <c r="A545" s="387">
        <v>544</v>
      </c>
      <c r="B545" s="383" t="s">
        <v>10716</v>
      </c>
      <c r="C545" s="383" t="s">
        <v>10743</v>
      </c>
      <c r="D545" s="383" t="s">
        <v>10716</v>
      </c>
      <c r="E545" s="383" t="s">
        <v>9049</v>
      </c>
      <c r="F545" s="383">
        <v>1251</v>
      </c>
      <c r="G545" s="383" t="s">
        <v>71</v>
      </c>
      <c r="H545" s="383" t="s">
        <v>2730</v>
      </c>
      <c r="I545" s="383" t="s">
        <v>2725</v>
      </c>
      <c r="J545" s="383" t="s">
        <v>2726</v>
      </c>
      <c r="K545" s="383" t="s">
        <v>2727</v>
      </c>
      <c r="L545" s="383" t="s">
        <v>9748</v>
      </c>
      <c r="M545" s="383" t="s">
        <v>10359</v>
      </c>
      <c r="N545" s="29" t="s">
        <v>44</v>
      </c>
      <c r="O545" s="383" t="str">
        <f>IF(LEN(SUBSTITUTE(Table3937[[#This Row],[PRIMARY CONTACT]]," ",""))=10,SUBSTITUTE(Table3937[[#This Row],[PRIMARY CONTACT]]," ","") &amp; " - Proper","- Follow Up")</f>
        <v>- Follow Up</v>
      </c>
      <c r="P545" s="383" t="s">
        <v>2723</v>
      </c>
      <c r="Q545" s="383" t="s">
        <v>8279</v>
      </c>
      <c r="R545" s="383" t="str">
        <f>SUBSTITUTE(Table3937[[#This Row],[whatsapp_number]]," ","")</f>
        <v>#ERROR!</v>
      </c>
      <c r="S545" s="383" t="str">
        <f>IF(Table3937[[#This Row],[PRIMARY CONTACT]]=Table3937[[#This Row],[WHATSAPP CONTACT]],"Same Contact","Different Contact")</f>
        <v>Same Contact</v>
      </c>
      <c r="T545" s="383" t="str">
        <f>IF(LEN(SUBSTITUTE(Table3937[[#This Row],[PRIMARY CONTACT]]," ",""))=10,SUBSTITUTE(Table3937[[#This Row],[PRIMARY CONTACT]]," ","") &amp; " - Proper","- Follow Up")</f>
        <v>- Follow Up</v>
      </c>
      <c r="U545" s="383" t="s">
        <v>10604</v>
      </c>
      <c r="V545" s="393" t="s">
        <v>2729</v>
      </c>
      <c r="W545" s="383" t="s">
        <v>47</v>
      </c>
      <c r="X545" s="29" t="s">
        <v>395</v>
      </c>
      <c r="Y545" s="29" t="s">
        <v>395</v>
      </c>
      <c r="Z545" s="29" t="s">
        <v>395</v>
      </c>
      <c r="AA545" s="29" t="s">
        <v>395</v>
      </c>
      <c r="AB545" s="383"/>
    </row>
    <row r="546" spans="1:28" ht="13.8">
      <c r="A546" s="387">
        <v>545</v>
      </c>
      <c r="B546" s="383" t="s">
        <v>10716</v>
      </c>
      <c r="C546" s="383" t="s">
        <v>10743</v>
      </c>
      <c r="D546" s="383" t="s">
        <v>10716</v>
      </c>
      <c r="E546" s="383" t="s">
        <v>9050</v>
      </c>
      <c r="F546" s="383">
        <v>1252</v>
      </c>
      <c r="G546" s="383" t="s">
        <v>71</v>
      </c>
      <c r="H546" s="383" t="s">
        <v>3495</v>
      </c>
      <c r="I546" s="383" t="s">
        <v>8453</v>
      </c>
      <c r="J546" s="383" t="s">
        <v>2528</v>
      </c>
      <c r="K546" s="383" t="s">
        <v>42</v>
      </c>
      <c r="L546" s="383" t="s">
        <v>8341</v>
      </c>
      <c r="M546" s="383" t="s">
        <v>10360</v>
      </c>
      <c r="N546" s="29" t="s">
        <v>44</v>
      </c>
      <c r="O546" s="383" t="str">
        <f>IF(LEN(SUBSTITUTE(Table3937[[#This Row],[PRIMARY CONTACT]]," ",""))=10,SUBSTITUTE(Table3937[[#This Row],[PRIMARY CONTACT]]," ","") &amp; " - Proper","- Follow Up")</f>
        <v>9821073129 - Proper</v>
      </c>
      <c r="P546" s="383" t="s">
        <v>3496</v>
      </c>
      <c r="Q546" s="383">
        <v>9821073129</v>
      </c>
      <c r="R546" s="383" t="str">
        <f>SUBSTITUTE(Table3937[[#This Row],[whatsapp_number]]," ","")</f>
        <v>9821073129</v>
      </c>
      <c r="S546" s="383" t="str">
        <f>IF(Table3937[[#This Row],[PRIMARY CONTACT]]=Table3937[[#This Row],[WHATSAPP CONTACT]],"Same Contact","Different Contact")</f>
        <v>Same Contact</v>
      </c>
      <c r="T546" s="383" t="str">
        <f>IF(LEN(SUBSTITUTE(Table3937[[#This Row],[PRIMARY CONTACT]]," ",""))=10,SUBSTITUTE(Table3937[[#This Row],[PRIMARY CONTACT]]," ","") &amp; " - Proper","- Follow Up")</f>
        <v>9821073129 - Proper</v>
      </c>
      <c r="U546" s="383" t="s">
        <v>2953</v>
      </c>
      <c r="V546" s="383" t="s">
        <v>71</v>
      </c>
      <c r="W546" s="383" t="s">
        <v>47</v>
      </c>
      <c r="X546" s="29" t="s">
        <v>395</v>
      </c>
      <c r="Y546" s="29" t="s">
        <v>395</v>
      </c>
      <c r="Z546" s="29" t="s">
        <v>395</v>
      </c>
      <c r="AA546" s="29" t="s">
        <v>395</v>
      </c>
      <c r="AB546" s="383"/>
    </row>
    <row r="547" spans="1:28" ht="13.8">
      <c r="A547" s="387">
        <v>546</v>
      </c>
      <c r="B547" s="383" t="s">
        <v>10716</v>
      </c>
      <c r="C547" s="383" t="s">
        <v>10743</v>
      </c>
      <c r="D547" s="383" t="s">
        <v>10716</v>
      </c>
      <c r="E547" s="383" t="s">
        <v>9051</v>
      </c>
      <c r="F547" s="383">
        <v>1253</v>
      </c>
      <c r="G547" s="383" t="s">
        <v>2529</v>
      </c>
      <c r="H547" s="383" t="s">
        <v>2530</v>
      </c>
      <c r="I547" s="383" t="s">
        <v>8511</v>
      </c>
      <c r="J547" s="383" t="s">
        <v>2533</v>
      </c>
      <c r="K547" s="383" t="s">
        <v>3498</v>
      </c>
      <c r="L547" s="383" t="s">
        <v>8341</v>
      </c>
      <c r="M547" s="383" t="s">
        <v>10361</v>
      </c>
      <c r="N547" s="29" t="s">
        <v>44</v>
      </c>
      <c r="O547" s="383" t="str">
        <f>IF(LEN(SUBSTITUTE(Table3937[[#This Row],[PRIMARY CONTACT]]," ",""))=10,SUBSTITUTE(Table3937[[#This Row],[PRIMARY CONTACT]]," ","") &amp; " - Proper","- Follow Up")</f>
        <v>9022122046 - Proper</v>
      </c>
      <c r="P547" s="383" t="s">
        <v>3499</v>
      </c>
      <c r="Q547" s="383">
        <v>9022122046</v>
      </c>
      <c r="R547" s="383" t="str">
        <f>SUBSTITUTE(Table3937[[#This Row],[whatsapp_number]]," ","")</f>
        <v>9022122046</v>
      </c>
      <c r="S547" s="383" t="str">
        <f>IF(Table3937[[#This Row],[PRIMARY CONTACT]]=Table3937[[#This Row],[WHATSAPP CONTACT]],"Same Contact","Different Contact")</f>
        <v>Same Contact</v>
      </c>
      <c r="T547" s="383" t="str">
        <f>IF(LEN(SUBSTITUTE(Table3937[[#This Row],[PRIMARY CONTACT]]," ",""))=10,SUBSTITUTE(Table3937[[#This Row],[PRIMARY CONTACT]]," ","") &amp; " - Proper","- Follow Up")</f>
        <v>9022122046 - Proper</v>
      </c>
      <c r="U547" s="383" t="s">
        <v>10605</v>
      </c>
      <c r="V547" s="383" t="s">
        <v>71</v>
      </c>
      <c r="W547" s="383" t="s">
        <v>47</v>
      </c>
      <c r="X547" s="29" t="s">
        <v>395</v>
      </c>
      <c r="Y547" s="29" t="s">
        <v>395</v>
      </c>
      <c r="Z547" s="29" t="s">
        <v>395</v>
      </c>
      <c r="AA547" s="29" t="s">
        <v>395</v>
      </c>
      <c r="AB547" s="383"/>
    </row>
    <row r="548" spans="1:28" ht="13.8">
      <c r="A548" s="387">
        <v>547</v>
      </c>
      <c r="B548" s="383" t="s">
        <v>10716</v>
      </c>
      <c r="C548" s="383" t="s">
        <v>10743</v>
      </c>
      <c r="D548" s="383" t="s">
        <v>10716</v>
      </c>
      <c r="E548" s="383" t="s">
        <v>2546</v>
      </c>
      <c r="F548" s="383">
        <v>1254</v>
      </c>
      <c r="G548" s="383" t="s">
        <v>71</v>
      </c>
      <c r="H548" s="383" t="s">
        <v>71</v>
      </c>
      <c r="I548" s="383" t="s">
        <v>8512</v>
      </c>
      <c r="J548" s="383" t="s">
        <v>2550</v>
      </c>
      <c r="K548" s="383" t="s">
        <v>8341</v>
      </c>
      <c r="L548" s="383" t="s">
        <v>8341</v>
      </c>
      <c r="M548" s="383" t="s">
        <v>10362</v>
      </c>
      <c r="N548" s="29" t="s">
        <v>44</v>
      </c>
      <c r="O548" s="383" t="str">
        <f>IF(LEN(SUBSTITUTE(Table3937[[#This Row],[PRIMARY CONTACT]]," ",""))=10,SUBSTITUTE(Table3937[[#This Row],[PRIMARY CONTACT]]," ","") &amp; " - Proper","- Follow Up")</f>
        <v>8005912562 - Proper</v>
      </c>
      <c r="P548" s="383" t="s">
        <v>3501</v>
      </c>
      <c r="Q548" s="383">
        <v>8005912562</v>
      </c>
      <c r="R548" s="383" t="str">
        <f>SUBSTITUTE(Table3937[[#This Row],[whatsapp_number]]," ","")</f>
        <v>8005912562</v>
      </c>
      <c r="S548" s="383" t="str">
        <f>IF(Table3937[[#This Row],[PRIMARY CONTACT]]=Table3937[[#This Row],[WHATSAPP CONTACT]],"Same Contact","Different Contact")</f>
        <v>Same Contact</v>
      </c>
      <c r="T548" s="383" t="str">
        <f>IF(LEN(SUBSTITUTE(Table3937[[#This Row],[PRIMARY CONTACT]]," ",""))=10,SUBSTITUTE(Table3937[[#This Row],[PRIMARY CONTACT]]," ","") &amp; " - Proper","- Follow Up")</f>
        <v>8005912562 - Proper</v>
      </c>
      <c r="U548" s="383" t="s">
        <v>8341</v>
      </c>
      <c r="V548" s="383" t="s">
        <v>71</v>
      </c>
      <c r="W548" s="383" t="s">
        <v>47</v>
      </c>
      <c r="X548" s="29" t="s">
        <v>395</v>
      </c>
      <c r="Y548" s="29" t="s">
        <v>395</v>
      </c>
      <c r="Z548" s="29" t="s">
        <v>395</v>
      </c>
      <c r="AA548" s="29" t="s">
        <v>395</v>
      </c>
      <c r="AB548" s="383"/>
    </row>
    <row r="549" spans="1:28" ht="13.8">
      <c r="A549" s="387">
        <v>548</v>
      </c>
      <c r="B549" s="58" t="s">
        <v>2552</v>
      </c>
      <c r="C549" s="383" t="s">
        <v>10709</v>
      </c>
      <c r="D549" s="383" t="s">
        <v>10778</v>
      </c>
      <c r="E549" s="383" t="s">
        <v>2552</v>
      </c>
      <c r="F549" s="383">
        <v>1255</v>
      </c>
      <c r="G549" s="383" t="s">
        <v>2551</v>
      </c>
      <c r="H549" s="383" t="s">
        <v>467</v>
      </c>
      <c r="I549" s="383" t="s">
        <v>2555</v>
      </c>
      <c r="J549" s="383" t="s">
        <v>2556</v>
      </c>
      <c r="K549" s="383" t="s">
        <v>9557</v>
      </c>
      <c r="L549" s="383" t="s">
        <v>9651</v>
      </c>
      <c r="M549" s="383" t="s">
        <v>10363</v>
      </c>
      <c r="N549" s="123">
        <v>8104934764</v>
      </c>
      <c r="O549" s="383" t="str">
        <f>IF(LEN(SUBSTITUTE(Table3937[[#This Row],[PRIMARY CONTACT]]," ",""))=10,SUBSTITUTE(Table3937[[#This Row],[PRIMARY CONTACT]]," ","") &amp; " - Proper","- Follow Up")</f>
        <v>8591345050 - Proper</v>
      </c>
      <c r="P549" s="383" t="s">
        <v>3504</v>
      </c>
      <c r="Q549" s="383">
        <v>8591345050</v>
      </c>
      <c r="R549" s="383" t="str">
        <f>SUBSTITUTE(Table3937[[#This Row],[whatsapp_number]]," ","")</f>
        <v>8591345050</v>
      </c>
      <c r="S549" s="383" t="str">
        <f>IF(Table3937[[#This Row],[PRIMARY CONTACT]]=Table3937[[#This Row],[WHATSAPP CONTACT]],"Same Contact","Different Contact")</f>
        <v>Same Contact</v>
      </c>
      <c r="T549" s="383" t="str">
        <f>IF(LEN(SUBSTITUTE(Table3937[[#This Row],[PRIMARY CONTACT]]," ",""))=10,SUBSTITUTE(Table3937[[#This Row],[PRIMARY CONTACT]]," ","") &amp; " - Proper","- Follow Up")</f>
        <v>8591345050 - Proper</v>
      </c>
      <c r="U549" s="383" t="s">
        <v>10572</v>
      </c>
      <c r="V549" s="393" t="s">
        <v>3193</v>
      </c>
      <c r="W549" s="383" t="s">
        <v>47</v>
      </c>
      <c r="X549" s="29" t="s">
        <v>395</v>
      </c>
      <c r="Y549" s="29" t="s">
        <v>395</v>
      </c>
      <c r="Z549" s="29" t="s">
        <v>395</v>
      </c>
      <c r="AA549" s="29" t="s">
        <v>395</v>
      </c>
      <c r="AB549" s="383"/>
    </row>
    <row r="550" spans="1:28" ht="15">
      <c r="A550" s="387">
        <v>549</v>
      </c>
      <c r="B550" s="58" t="s">
        <v>2559</v>
      </c>
      <c r="C550" s="383" t="s">
        <v>10709</v>
      </c>
      <c r="D550" s="383" t="s">
        <v>10779</v>
      </c>
      <c r="E550" s="383" t="s">
        <v>2559</v>
      </c>
      <c r="F550" s="383">
        <v>1257</v>
      </c>
      <c r="G550" s="383" t="s">
        <v>71</v>
      </c>
      <c r="H550" s="383" t="s">
        <v>2558</v>
      </c>
      <c r="I550" s="383" t="s">
        <v>2562</v>
      </c>
      <c r="J550" s="383" t="s">
        <v>2563</v>
      </c>
      <c r="K550" s="383" t="s">
        <v>191</v>
      </c>
      <c r="L550" s="383" t="s">
        <v>9749</v>
      </c>
      <c r="M550" s="383" t="s">
        <v>10364</v>
      </c>
      <c r="N550" s="89">
        <v>9820726026</v>
      </c>
      <c r="O550" s="383" t="str">
        <f>IF(LEN(SUBSTITUTE(Table3937[[#This Row],[PRIMARY CONTACT]]," ",""))=10,SUBSTITUTE(Table3937[[#This Row],[PRIMARY CONTACT]]," ","") &amp; " - Proper","- Follow Up")</f>
        <v>9820726026 - Proper</v>
      </c>
      <c r="P550" s="383" t="s">
        <v>3506</v>
      </c>
      <c r="Q550" s="383">
        <v>9820726026</v>
      </c>
      <c r="R550" s="383" t="str">
        <f>SUBSTITUTE(Table3937[[#This Row],[whatsapp_number]]," ","")</f>
        <v>9820726026</v>
      </c>
      <c r="S550" s="383" t="str">
        <f>IF(Table3937[[#This Row],[PRIMARY CONTACT]]=Table3937[[#This Row],[WHATSAPP CONTACT]],"Same Contact","Different Contact")</f>
        <v>Same Contact</v>
      </c>
      <c r="T550" s="383" t="str">
        <f>IF(LEN(SUBSTITUTE(Table3937[[#This Row],[PRIMARY CONTACT]]," ",""))=10,SUBSTITUTE(Table3937[[#This Row],[PRIMARY CONTACT]]," ","") &amp; " - Proper","- Follow Up")</f>
        <v>9820726026 - Proper</v>
      </c>
      <c r="U550" s="383" t="s">
        <v>10606</v>
      </c>
      <c r="V550" s="393" t="s">
        <v>2565</v>
      </c>
      <c r="W550" s="383" t="s">
        <v>47</v>
      </c>
      <c r="X550" s="51" t="s">
        <v>170</v>
      </c>
      <c r="Y550" s="51" t="s">
        <v>2567</v>
      </c>
      <c r="Z550" s="51" t="s">
        <v>2568</v>
      </c>
      <c r="AA550" s="51" t="s">
        <v>718</v>
      </c>
      <c r="AB550" s="383"/>
    </row>
    <row r="551" spans="1:28" ht="15">
      <c r="A551" s="387">
        <v>550</v>
      </c>
      <c r="B551" s="58" t="s">
        <v>2569</v>
      </c>
      <c r="C551" s="383" t="s">
        <v>10709</v>
      </c>
      <c r="D551" s="383" t="s">
        <v>10780</v>
      </c>
      <c r="E551" s="383" t="s">
        <v>2569</v>
      </c>
      <c r="F551" s="383">
        <v>1258</v>
      </c>
      <c r="G551" s="383" t="s">
        <v>71</v>
      </c>
      <c r="H551" s="383" t="s">
        <v>2558</v>
      </c>
      <c r="I551" s="383" t="s">
        <v>2562</v>
      </c>
      <c r="J551" s="383" t="s">
        <v>2572</v>
      </c>
      <c r="K551" s="383" t="s">
        <v>191</v>
      </c>
      <c r="L551" s="383" t="s">
        <v>8341</v>
      </c>
      <c r="M551" s="383" t="s">
        <v>10365</v>
      </c>
      <c r="N551" s="89">
        <v>7021129700</v>
      </c>
      <c r="O551" s="383" t="str">
        <f>IF(LEN(SUBSTITUTE(Table3937[[#This Row],[PRIMARY CONTACT]]," ",""))=10,SUBSTITUTE(Table3937[[#This Row],[PRIMARY CONTACT]]," ","") &amp; " - Proper","- Follow Up")</f>
        <v>9893036888 - Proper</v>
      </c>
      <c r="P551" s="383" t="s">
        <v>3506</v>
      </c>
      <c r="Q551" s="383">
        <v>9893036888</v>
      </c>
      <c r="R551" s="383" t="str">
        <f>SUBSTITUTE(Table3937[[#This Row],[whatsapp_number]]," ","")</f>
        <v>9893036888</v>
      </c>
      <c r="S551" s="383" t="str">
        <f>IF(Table3937[[#This Row],[PRIMARY CONTACT]]=Table3937[[#This Row],[WHATSAPP CONTACT]],"Same Contact","Different Contact")</f>
        <v>Same Contact</v>
      </c>
      <c r="T551" s="383" t="str">
        <f>IF(LEN(SUBSTITUTE(Table3937[[#This Row],[PRIMARY CONTACT]]," ",""))=10,SUBSTITUTE(Table3937[[#This Row],[PRIMARY CONTACT]]," ","") &amp; " - Proper","- Follow Up")</f>
        <v>9893036888 - Proper</v>
      </c>
      <c r="U551" s="383" t="s">
        <v>10606</v>
      </c>
      <c r="V551" s="383" t="s">
        <v>71</v>
      </c>
      <c r="W551" s="383" t="s">
        <v>47</v>
      </c>
      <c r="X551" s="51" t="s">
        <v>300</v>
      </c>
      <c r="Y551" s="51" t="s">
        <v>2573</v>
      </c>
      <c r="Z551" s="51" t="s">
        <v>2568</v>
      </c>
      <c r="AA551" s="51" t="s">
        <v>2574</v>
      </c>
      <c r="AB551" s="383"/>
    </row>
    <row r="552" spans="1:28" ht="13.8">
      <c r="A552" s="387">
        <v>551</v>
      </c>
      <c r="B552" s="383" t="s">
        <v>10716</v>
      </c>
      <c r="C552" s="383" t="s">
        <v>10743</v>
      </c>
      <c r="D552" s="383" t="s">
        <v>10716</v>
      </c>
      <c r="E552" s="383" t="s">
        <v>9052</v>
      </c>
      <c r="F552" s="383">
        <v>1261</v>
      </c>
      <c r="G552" s="383" t="s">
        <v>4317</v>
      </c>
      <c r="H552" s="383" t="s">
        <v>4318</v>
      </c>
      <c r="I552" s="383" t="s">
        <v>4319</v>
      </c>
      <c r="J552" s="383" t="s">
        <v>4320</v>
      </c>
      <c r="K552" s="383" t="s">
        <v>4321</v>
      </c>
      <c r="L552" s="383" t="s">
        <v>9750</v>
      </c>
      <c r="M552" s="383" t="s">
        <v>10366</v>
      </c>
      <c r="N552" s="383"/>
      <c r="O552" s="383" t="str">
        <f>IF(LEN(SUBSTITUTE(Table3937[[#This Row],[PRIMARY CONTACT]]," ",""))=10,SUBSTITUTE(Table3937[[#This Row],[PRIMARY CONTACT]]," ","") &amp; " - Proper","- Follow Up")</f>
        <v>8850230627 - Proper</v>
      </c>
      <c r="P552" s="383" t="s">
        <v>4323</v>
      </c>
      <c r="Q552" s="383">
        <v>8850230627</v>
      </c>
      <c r="R552" s="383" t="str">
        <f>SUBSTITUTE(Table3937[[#This Row],[whatsapp_number]]," ","")</f>
        <v>8850230627</v>
      </c>
      <c r="S552" s="383" t="str">
        <f>IF(Table3937[[#This Row],[PRIMARY CONTACT]]=Table3937[[#This Row],[WHATSAPP CONTACT]],"Same Contact","Different Contact")</f>
        <v>Same Contact</v>
      </c>
      <c r="T552" s="383" t="str">
        <f>IF(LEN(SUBSTITUTE(Table3937[[#This Row],[PRIMARY CONTACT]]," ",""))=10,SUBSTITUTE(Table3937[[#This Row],[PRIMARY CONTACT]]," ","") &amp; " - Proper","- Follow Up")</f>
        <v>8850230627 - Proper</v>
      </c>
      <c r="U552" s="383" t="s">
        <v>10607</v>
      </c>
      <c r="V552" s="393" t="s">
        <v>4326</v>
      </c>
      <c r="W552" s="383" t="s">
        <v>47</v>
      </c>
      <c r="X552" s="383" t="s">
        <v>44</v>
      </c>
      <c r="Y552" s="383" t="s">
        <v>44</v>
      </c>
      <c r="Z552" s="383" t="s">
        <v>44</v>
      </c>
      <c r="AA552" s="383" t="s">
        <v>44</v>
      </c>
      <c r="AB552" s="383"/>
    </row>
    <row r="553" spans="1:28" ht="13.8">
      <c r="A553" s="387">
        <v>552</v>
      </c>
      <c r="B553" s="262" t="s">
        <v>8029</v>
      </c>
      <c r="C553" s="383" t="s">
        <v>10743</v>
      </c>
      <c r="D553" s="383" t="s">
        <v>10716</v>
      </c>
      <c r="E553" s="383" t="s">
        <v>9053</v>
      </c>
      <c r="F553" s="383">
        <v>1263</v>
      </c>
      <c r="G553" s="383" t="s">
        <v>3863</v>
      </c>
      <c r="H553" s="383" t="s">
        <v>3864</v>
      </c>
      <c r="I553" s="383" t="s">
        <v>8513</v>
      </c>
      <c r="J553" s="383" t="s">
        <v>3866</v>
      </c>
      <c r="K553" s="383" t="s">
        <v>3867</v>
      </c>
      <c r="L553" s="383" t="s">
        <v>9751</v>
      </c>
      <c r="M553" s="383" t="s">
        <v>10367</v>
      </c>
      <c r="N553" s="383"/>
      <c r="O553" s="383" t="str">
        <f>IF(LEN(SUBSTITUTE(Table3937[[#This Row],[PRIMARY CONTACT]]," ",""))=10,SUBSTITUTE(Table3937[[#This Row],[PRIMARY CONTACT]]," ","") &amp; " - Proper","- Follow Up")</f>
        <v>7977277626 - Proper</v>
      </c>
      <c r="P553" s="383" t="s">
        <v>3869</v>
      </c>
      <c r="Q553" s="383">
        <v>7977277626</v>
      </c>
      <c r="R553" s="383" t="str">
        <f>SUBSTITUTE(Table3937[[#This Row],[whatsapp_number]]," ","")</f>
        <v>7977277626</v>
      </c>
      <c r="S553" s="383" t="str">
        <f>IF(Table3937[[#This Row],[PRIMARY CONTACT]]=Table3937[[#This Row],[WHATSAPP CONTACT]],"Same Contact","Different Contact")</f>
        <v>Same Contact</v>
      </c>
      <c r="T553" s="383" t="str">
        <f>IF(LEN(SUBSTITUTE(Table3937[[#This Row],[PRIMARY CONTACT]]," ",""))=10,SUBSTITUTE(Table3937[[#This Row],[PRIMARY CONTACT]]," ","") &amp; " - Proper","- Follow Up")</f>
        <v>7977277626 - Proper</v>
      </c>
      <c r="U553" s="383" t="s">
        <v>3870</v>
      </c>
      <c r="V553" s="393" t="s">
        <v>3871</v>
      </c>
      <c r="W553" s="383" t="s">
        <v>47</v>
      </c>
      <c r="X553" s="383" t="s">
        <v>44</v>
      </c>
      <c r="Y553" s="383" t="s">
        <v>44</v>
      </c>
      <c r="Z553" s="383" t="s">
        <v>44</v>
      </c>
      <c r="AA553" s="383" t="s">
        <v>44</v>
      </c>
      <c r="AB553" s="383"/>
    </row>
    <row r="554" spans="1:28" ht="13.8">
      <c r="A554" s="387">
        <v>553</v>
      </c>
      <c r="B554" s="58" t="s">
        <v>2576</v>
      </c>
      <c r="C554" s="383" t="s">
        <v>10709</v>
      </c>
      <c r="D554" s="383" t="s">
        <v>10739</v>
      </c>
      <c r="E554" s="383" t="s">
        <v>9054</v>
      </c>
      <c r="F554" s="383">
        <v>1266</v>
      </c>
      <c r="G554" s="383" t="s">
        <v>71</v>
      </c>
      <c r="H554" s="383" t="s">
        <v>2575</v>
      </c>
      <c r="I554" s="383" t="s">
        <v>8514</v>
      </c>
      <c r="J554" s="383" t="s">
        <v>2580</v>
      </c>
      <c r="K554" s="383" t="s">
        <v>191</v>
      </c>
      <c r="L554" s="383" t="s">
        <v>9734</v>
      </c>
      <c r="M554" s="383" t="s">
        <v>10368</v>
      </c>
      <c r="N554" s="29" t="s">
        <v>44</v>
      </c>
      <c r="O554" s="383" t="str">
        <f>IF(LEN(SUBSTITUTE(Table3937[[#This Row],[PRIMARY CONTACT]]," ",""))=10,SUBSTITUTE(Table3937[[#This Row],[PRIMARY CONTACT]]," ","") &amp; " - Proper","- Follow Up")</f>
        <v>- Follow Up</v>
      </c>
      <c r="P554" s="383" t="s">
        <v>3509</v>
      </c>
      <c r="Q554" s="383">
        <v>85291327736</v>
      </c>
      <c r="R554" s="383" t="str">
        <f>SUBSTITUTE(Table3937[[#This Row],[whatsapp_number]]," ","")</f>
        <v>85291327736</v>
      </c>
      <c r="S554" s="383" t="str">
        <f>IF(Table3937[[#This Row],[PRIMARY CONTACT]]=Table3937[[#This Row],[WHATSAPP CONTACT]],"Same Contact","Different Contact")</f>
        <v>Same Contact</v>
      </c>
      <c r="T554" s="383" t="str">
        <f>IF(LEN(SUBSTITUTE(Table3937[[#This Row],[PRIMARY CONTACT]]," ",""))=10,SUBSTITUTE(Table3937[[#This Row],[PRIMARY CONTACT]]," ","") &amp; " - Proper","- Follow Up")</f>
        <v>- Follow Up</v>
      </c>
      <c r="U554" s="383" t="s">
        <v>3510</v>
      </c>
      <c r="V554" s="383" t="s">
        <v>71</v>
      </c>
      <c r="W554" s="383" t="s">
        <v>47</v>
      </c>
      <c r="X554" s="51" t="s">
        <v>170</v>
      </c>
      <c r="Y554" s="51" t="s">
        <v>49</v>
      </c>
      <c r="Z554" s="51" t="s">
        <v>2582</v>
      </c>
      <c r="AA554" s="51" t="s">
        <v>2583</v>
      </c>
      <c r="AB554" s="383"/>
    </row>
    <row r="555" spans="1:28" ht="13.8">
      <c r="A555" s="387">
        <v>554</v>
      </c>
      <c r="B555" s="58" t="s">
        <v>2585</v>
      </c>
      <c r="C555" s="383" t="s">
        <v>10709</v>
      </c>
      <c r="D555" s="383" t="s">
        <v>10781</v>
      </c>
      <c r="E555" s="383" t="s">
        <v>2585</v>
      </c>
      <c r="F555" s="383">
        <v>1269</v>
      </c>
      <c r="G555" s="383" t="s">
        <v>71</v>
      </c>
      <c r="H555" s="383" t="s">
        <v>2584</v>
      </c>
      <c r="I555" s="383" t="s">
        <v>2588</v>
      </c>
      <c r="J555" s="383" t="s">
        <v>2589</v>
      </c>
      <c r="K555" s="383" t="s">
        <v>534</v>
      </c>
      <c r="L555" s="383" t="s">
        <v>9735</v>
      </c>
      <c r="M555" s="383" t="s">
        <v>10369</v>
      </c>
      <c r="N555" s="29" t="s">
        <v>44</v>
      </c>
      <c r="O555" s="383" t="str">
        <f>IF(LEN(SUBSTITUTE(Table3937[[#This Row],[PRIMARY CONTACT]]," ",""))=10,SUBSTITUTE(Table3937[[#This Row],[PRIMARY CONTACT]]," ","") &amp; " - Proper","- Follow Up")</f>
        <v>9076399090 - Proper</v>
      </c>
      <c r="P555" s="383" t="s">
        <v>3512</v>
      </c>
      <c r="Q555" s="383">
        <v>9076399090</v>
      </c>
      <c r="R555" s="383" t="str">
        <f>SUBSTITUTE(Table3937[[#This Row],[whatsapp_number]]," ","")</f>
        <v>9076399090</v>
      </c>
      <c r="S555" s="383" t="str">
        <f>IF(Table3937[[#This Row],[PRIMARY CONTACT]]=Table3937[[#This Row],[WHATSAPP CONTACT]],"Same Contact","Different Contact")</f>
        <v>Same Contact</v>
      </c>
      <c r="T555" s="383" t="str">
        <f>IF(LEN(SUBSTITUTE(Table3937[[#This Row],[PRIMARY CONTACT]]," ",""))=10,SUBSTITUTE(Table3937[[#This Row],[PRIMARY CONTACT]]," ","") &amp; " - Proper","- Follow Up")</f>
        <v>9076399090 - Proper</v>
      </c>
      <c r="U555" s="383" t="s">
        <v>2953</v>
      </c>
      <c r="V555" s="383" t="s">
        <v>71</v>
      </c>
      <c r="W555" s="383" t="s">
        <v>47</v>
      </c>
      <c r="X555" s="29" t="s">
        <v>395</v>
      </c>
      <c r="Y555" s="29" t="s">
        <v>395</v>
      </c>
      <c r="Z555" s="29" t="s">
        <v>395</v>
      </c>
      <c r="AA555" s="29" t="s">
        <v>395</v>
      </c>
      <c r="AB555" s="383"/>
    </row>
    <row r="556" spans="1:28" ht="13.8">
      <c r="A556" s="387">
        <v>555</v>
      </c>
      <c r="B556" s="383" t="s">
        <v>10716</v>
      </c>
      <c r="C556" s="383" t="s">
        <v>10743</v>
      </c>
      <c r="D556" s="383" t="s">
        <v>10716</v>
      </c>
      <c r="E556" s="383" t="s">
        <v>9055</v>
      </c>
      <c r="F556" s="383">
        <v>1271</v>
      </c>
      <c r="G556" s="383" t="s">
        <v>71</v>
      </c>
      <c r="H556" s="383" t="s">
        <v>2591</v>
      </c>
      <c r="I556" s="383" t="s">
        <v>2595</v>
      </c>
      <c r="J556" s="383" t="s">
        <v>2596</v>
      </c>
      <c r="K556" s="383" t="s">
        <v>9558</v>
      </c>
      <c r="L556" s="383" t="s">
        <v>9752</v>
      </c>
      <c r="M556" s="383" t="s">
        <v>10370</v>
      </c>
      <c r="N556" s="383"/>
      <c r="O556" s="383" t="str">
        <f>IF(LEN(SUBSTITUTE(Table3937[[#This Row],[PRIMARY CONTACT]]," ",""))=10,SUBSTITUTE(Table3937[[#This Row],[PRIMARY CONTACT]]," ","") &amp; " - Proper","- Follow Up")</f>
        <v>9820400388 - Proper</v>
      </c>
      <c r="P556" s="383" t="s">
        <v>3514</v>
      </c>
      <c r="Q556" s="383">
        <v>9820400388</v>
      </c>
      <c r="R556" s="383" t="str">
        <f>SUBSTITUTE(Table3937[[#This Row],[whatsapp_number]]," ","")</f>
        <v>9820400388</v>
      </c>
      <c r="S556" s="383" t="str">
        <f>IF(Table3937[[#This Row],[PRIMARY CONTACT]]=Table3937[[#This Row],[WHATSAPP CONTACT]],"Same Contact","Different Contact")</f>
        <v>Same Contact</v>
      </c>
      <c r="T556" s="383" t="str">
        <f>IF(LEN(SUBSTITUTE(Table3937[[#This Row],[PRIMARY CONTACT]]," ",""))=10,SUBSTITUTE(Table3937[[#This Row],[PRIMARY CONTACT]]," ","") &amp; " - Proper","- Follow Up")</f>
        <v>9820400388 - Proper</v>
      </c>
      <c r="U556" s="383" t="s">
        <v>10608</v>
      </c>
      <c r="V556" s="383" t="s">
        <v>71</v>
      </c>
      <c r="W556" s="383" t="s">
        <v>47</v>
      </c>
      <c r="X556" s="383" t="s">
        <v>44</v>
      </c>
      <c r="Y556" s="383" t="s">
        <v>44</v>
      </c>
      <c r="Z556" s="383" t="s">
        <v>44</v>
      </c>
      <c r="AA556" s="383" t="s">
        <v>44</v>
      </c>
      <c r="AB556" s="383"/>
    </row>
    <row r="557" spans="1:28" ht="13.8">
      <c r="A557" s="387">
        <v>556</v>
      </c>
      <c r="B557" s="262" t="s">
        <v>8040</v>
      </c>
      <c r="C557" s="383" t="s">
        <v>10709</v>
      </c>
      <c r="D557" s="383" t="s">
        <v>10836</v>
      </c>
      <c r="E557" s="383" t="s">
        <v>9056</v>
      </c>
      <c r="F557" s="383">
        <v>1272</v>
      </c>
      <c r="G557" s="383" t="s">
        <v>3874</v>
      </c>
      <c r="H557" s="383" t="s">
        <v>3875</v>
      </c>
      <c r="I557" s="383" t="s">
        <v>8515</v>
      </c>
      <c r="J557" s="383" t="s">
        <v>3877</v>
      </c>
      <c r="K557" s="383" t="s">
        <v>9559</v>
      </c>
      <c r="L557" s="383" t="s">
        <v>9753</v>
      </c>
      <c r="M557" s="383" t="s">
        <v>10371</v>
      </c>
      <c r="N557" s="269">
        <v>7039030612</v>
      </c>
      <c r="O557" s="383" t="str">
        <f>IF(LEN(SUBSTITUTE(Table3937[[#This Row],[PRIMARY CONTACT]]," ",""))=10,SUBSTITUTE(Table3937[[#This Row],[PRIMARY CONTACT]]," ","") &amp; " - Proper","- Follow Up")</f>
        <v>8691998984 - Proper</v>
      </c>
      <c r="P557" s="383" t="s">
        <v>3869</v>
      </c>
      <c r="Q557" s="383">
        <v>8691998984</v>
      </c>
      <c r="R557" s="383" t="str">
        <f>SUBSTITUTE(Table3937[[#This Row],[whatsapp_number]]," ","")</f>
        <v>8691998984</v>
      </c>
      <c r="S557" s="383" t="str">
        <f>IF(Table3937[[#This Row],[PRIMARY CONTACT]]=Table3937[[#This Row],[WHATSAPP CONTACT]],"Same Contact","Different Contact")</f>
        <v>Same Contact</v>
      </c>
      <c r="T557" s="383" t="str">
        <f>IF(LEN(SUBSTITUTE(Table3937[[#This Row],[PRIMARY CONTACT]]," ",""))=10,SUBSTITUTE(Table3937[[#This Row],[PRIMARY CONTACT]]," ","") &amp; " - Proper","- Follow Up")</f>
        <v>8691998984 - Proper</v>
      </c>
      <c r="U557" s="383" t="s">
        <v>3880</v>
      </c>
      <c r="V557" s="393" t="s">
        <v>3881</v>
      </c>
      <c r="W557" s="383" t="s">
        <v>47</v>
      </c>
      <c r="X557" s="5" t="s">
        <v>1406</v>
      </c>
      <c r="Y557" s="5" t="s">
        <v>49</v>
      </c>
      <c r="Z557" s="5" t="s">
        <v>7444</v>
      </c>
      <c r="AA557" s="5" t="s">
        <v>7445</v>
      </c>
      <c r="AB557" s="383"/>
    </row>
    <row r="558" spans="1:28" ht="13.8">
      <c r="A558" s="387">
        <v>557</v>
      </c>
      <c r="B558" s="262" t="s">
        <v>8048</v>
      </c>
      <c r="C558" s="383" t="s">
        <v>10709</v>
      </c>
      <c r="D558" s="383" t="s">
        <v>10837</v>
      </c>
      <c r="E558" s="383" t="s">
        <v>9057</v>
      </c>
      <c r="F558" s="383">
        <v>1274</v>
      </c>
      <c r="G558" s="383" t="s">
        <v>71</v>
      </c>
      <c r="H558" s="383" t="s">
        <v>3884</v>
      </c>
      <c r="I558" s="383" t="s">
        <v>3885</v>
      </c>
      <c r="J558" s="383" t="s">
        <v>3886</v>
      </c>
      <c r="K558" s="383" t="s">
        <v>3887</v>
      </c>
      <c r="L558" s="383" t="s">
        <v>9754</v>
      </c>
      <c r="M558" s="383" t="s">
        <v>10372</v>
      </c>
      <c r="N558" s="9" t="s">
        <v>44</v>
      </c>
      <c r="O558" s="383" t="str">
        <f>IF(LEN(SUBSTITUTE(Table3937[[#This Row],[PRIMARY CONTACT]]," ",""))=10,SUBSTITUTE(Table3937[[#This Row],[PRIMARY CONTACT]]," ","") &amp; " - Proper","- Follow Up")</f>
        <v>9819530812 - Proper</v>
      </c>
      <c r="P558" s="383" t="s">
        <v>3869</v>
      </c>
      <c r="Q558" s="383">
        <v>9819530812</v>
      </c>
      <c r="R558" s="383" t="str">
        <f>SUBSTITUTE(Table3937[[#This Row],[whatsapp_number]]," ","")</f>
        <v>9819530812</v>
      </c>
      <c r="S558" s="383" t="str">
        <f>IF(Table3937[[#This Row],[PRIMARY CONTACT]]=Table3937[[#This Row],[WHATSAPP CONTACT]],"Same Contact","Different Contact")</f>
        <v>Same Contact</v>
      </c>
      <c r="T558" s="383" t="str">
        <f>IF(LEN(SUBSTITUTE(Table3937[[#This Row],[PRIMARY CONTACT]]," ",""))=10,SUBSTITUTE(Table3937[[#This Row],[PRIMARY CONTACT]]," ","") &amp; " - Proper","- Follow Up")</f>
        <v>9819530812 - Proper</v>
      </c>
      <c r="U558" s="383" t="s">
        <v>3889</v>
      </c>
      <c r="V558" s="393" t="s">
        <v>3890</v>
      </c>
      <c r="W558" s="383" t="s">
        <v>47</v>
      </c>
      <c r="X558" s="5" t="s">
        <v>1406</v>
      </c>
      <c r="Y558" s="5" t="s">
        <v>49</v>
      </c>
      <c r="Z558" s="5" t="s">
        <v>7444</v>
      </c>
      <c r="AA558" s="5" t="s">
        <v>7445</v>
      </c>
      <c r="AB558" s="383"/>
    </row>
    <row r="559" spans="1:28" ht="13.8">
      <c r="A559" s="387">
        <v>558</v>
      </c>
      <c r="B559" s="262" t="s">
        <v>8055</v>
      </c>
      <c r="C559" s="383" t="s">
        <v>10743</v>
      </c>
      <c r="D559" s="383" t="s">
        <v>10838</v>
      </c>
      <c r="E559" s="383" t="s">
        <v>9058</v>
      </c>
      <c r="F559" s="383">
        <v>1275</v>
      </c>
      <c r="G559" s="383" t="s">
        <v>3893</v>
      </c>
      <c r="H559" s="383" t="s">
        <v>3894</v>
      </c>
      <c r="I559" s="383" t="s">
        <v>3895</v>
      </c>
      <c r="J559" s="383" t="s">
        <v>3896</v>
      </c>
      <c r="K559" s="383" t="s">
        <v>3897</v>
      </c>
      <c r="L559" s="383" t="s">
        <v>9755</v>
      </c>
      <c r="M559" s="383" t="s">
        <v>10373</v>
      </c>
      <c r="N559" s="9" t="s">
        <v>44</v>
      </c>
      <c r="O559" s="383" t="str">
        <f>IF(LEN(SUBSTITUTE(Table3937[[#This Row],[PRIMARY CONTACT]]," ",""))=10,SUBSTITUTE(Table3937[[#This Row],[PRIMARY CONTACT]]," ","") &amp; " - Proper","- Follow Up")</f>
        <v>8082750689 - Proper</v>
      </c>
      <c r="P559" s="383" t="s">
        <v>3869</v>
      </c>
      <c r="Q559" s="383">
        <v>8082750689</v>
      </c>
      <c r="R559" s="383" t="str">
        <f>SUBSTITUTE(Table3937[[#This Row],[whatsapp_number]]," ","")</f>
        <v>8082750689</v>
      </c>
      <c r="S559" s="383" t="str">
        <f>IF(Table3937[[#This Row],[PRIMARY CONTACT]]=Table3937[[#This Row],[WHATSAPP CONTACT]],"Same Contact","Different Contact")</f>
        <v>Same Contact</v>
      </c>
      <c r="T559" s="383" t="str">
        <f>IF(LEN(SUBSTITUTE(Table3937[[#This Row],[PRIMARY CONTACT]]," ",""))=10,SUBSTITUTE(Table3937[[#This Row],[PRIMARY CONTACT]]," ","") &amp; " - Proper","- Follow Up")</f>
        <v>8082750689 - Proper</v>
      </c>
      <c r="U559" s="383" t="s">
        <v>10609</v>
      </c>
      <c r="V559" s="393" t="s">
        <v>3900</v>
      </c>
      <c r="W559" s="383" t="s">
        <v>47</v>
      </c>
      <c r="X559" s="5" t="s">
        <v>1406</v>
      </c>
      <c r="Y559" s="5" t="s">
        <v>49</v>
      </c>
      <c r="Z559" s="5" t="s">
        <v>7444</v>
      </c>
      <c r="AA559" s="5" t="s">
        <v>7445</v>
      </c>
      <c r="AB559" s="383"/>
    </row>
    <row r="560" spans="1:28" ht="13.8">
      <c r="A560" s="387">
        <v>559</v>
      </c>
      <c r="B560" s="262" t="s">
        <v>8061</v>
      </c>
      <c r="C560" s="383" t="s">
        <v>10709</v>
      </c>
      <c r="D560" s="383" t="s">
        <v>10839</v>
      </c>
      <c r="E560" s="383" t="s">
        <v>9059</v>
      </c>
      <c r="F560" s="383">
        <v>1276</v>
      </c>
      <c r="G560" s="383" t="s">
        <v>3903</v>
      </c>
      <c r="H560" s="383" t="s">
        <v>3904</v>
      </c>
      <c r="I560" s="383" t="s">
        <v>3905</v>
      </c>
      <c r="J560" s="383" t="s">
        <v>9448</v>
      </c>
      <c r="K560" s="383" t="s">
        <v>9560</v>
      </c>
      <c r="L560" s="383" t="s">
        <v>9756</v>
      </c>
      <c r="M560" s="383" t="s">
        <v>10374</v>
      </c>
      <c r="N560" s="9" t="s">
        <v>8066</v>
      </c>
      <c r="O560" s="383" t="str">
        <f>IF(LEN(SUBSTITUTE(Table3937[[#This Row],[PRIMARY CONTACT]]," ",""))=10,SUBSTITUTE(Table3937[[#This Row],[PRIMARY CONTACT]]," ","") &amp; " - Proper","- Follow Up")</f>
        <v>- Follow Up</v>
      </c>
      <c r="P560" s="383" t="s">
        <v>3869</v>
      </c>
      <c r="Q560" s="383">
        <v>821412900</v>
      </c>
      <c r="R560" s="383" t="str">
        <f>SUBSTITUTE(Table3937[[#This Row],[whatsapp_number]]," ","")</f>
        <v>821412900</v>
      </c>
      <c r="S560" s="383" t="str">
        <f>IF(Table3937[[#This Row],[PRIMARY CONTACT]]=Table3937[[#This Row],[WHATSAPP CONTACT]],"Same Contact","Different Contact")</f>
        <v>Same Contact</v>
      </c>
      <c r="T560" s="383" t="str">
        <f>IF(LEN(SUBSTITUTE(Table3937[[#This Row],[PRIMARY CONTACT]]," ",""))=10,SUBSTITUTE(Table3937[[#This Row],[PRIMARY CONTACT]]," ","") &amp; " - Proper","- Follow Up")</f>
        <v>- Follow Up</v>
      </c>
      <c r="U560" s="383" t="s">
        <v>10610</v>
      </c>
      <c r="V560" s="393" t="s">
        <v>3910</v>
      </c>
      <c r="W560" s="383" t="s">
        <v>47</v>
      </c>
      <c r="X560" s="5" t="s">
        <v>1406</v>
      </c>
      <c r="Y560" s="5" t="s">
        <v>49</v>
      </c>
      <c r="Z560" s="5" t="s">
        <v>7444</v>
      </c>
      <c r="AA560" s="5" t="s">
        <v>7445</v>
      </c>
      <c r="AB560" s="383"/>
    </row>
    <row r="561" spans="1:28" ht="13.8">
      <c r="A561" s="387">
        <v>560</v>
      </c>
      <c r="B561" s="262" t="s">
        <v>8074</v>
      </c>
      <c r="C561" s="383" t="s">
        <v>10709</v>
      </c>
      <c r="D561" s="383" t="s">
        <v>10840</v>
      </c>
      <c r="E561" s="383" t="s">
        <v>9060</v>
      </c>
      <c r="F561" s="383">
        <v>1277</v>
      </c>
      <c r="G561" s="383" t="s">
        <v>3913</v>
      </c>
      <c r="H561" s="383" t="s">
        <v>3914</v>
      </c>
      <c r="I561" s="383" t="s">
        <v>3915</v>
      </c>
      <c r="J561" s="383" t="s">
        <v>3916</v>
      </c>
      <c r="K561" s="383" t="s">
        <v>3917</v>
      </c>
      <c r="L561" s="383" t="s">
        <v>9757</v>
      </c>
      <c r="M561" s="383" t="s">
        <v>10375</v>
      </c>
      <c r="N561" s="9" t="s">
        <v>44</v>
      </c>
      <c r="O561" s="383" t="str">
        <f>IF(LEN(SUBSTITUTE(Table3937[[#This Row],[PRIMARY CONTACT]]," ",""))=10,SUBSTITUTE(Table3937[[#This Row],[PRIMARY CONTACT]]," ","") &amp; " - Proper","- Follow Up")</f>
        <v>9867362104 - Proper</v>
      </c>
      <c r="P561" s="383" t="s">
        <v>3869</v>
      </c>
      <c r="Q561" s="383">
        <v>9867362104</v>
      </c>
      <c r="R561" s="383" t="str">
        <f>SUBSTITUTE(Table3937[[#This Row],[whatsapp_number]]," ","")</f>
        <v>9867362104</v>
      </c>
      <c r="S561" s="383" t="str">
        <f>IF(Table3937[[#This Row],[PRIMARY CONTACT]]=Table3937[[#This Row],[WHATSAPP CONTACT]],"Same Contact","Different Contact")</f>
        <v>Same Contact</v>
      </c>
      <c r="T561" s="383" t="str">
        <f>IF(LEN(SUBSTITUTE(Table3937[[#This Row],[PRIMARY CONTACT]]," ",""))=10,SUBSTITUTE(Table3937[[#This Row],[PRIMARY CONTACT]]," ","") &amp; " - Proper","- Follow Up")</f>
        <v>9867362104 - Proper</v>
      </c>
      <c r="U561" s="383" t="s">
        <v>3919</v>
      </c>
      <c r="V561" s="393" t="s">
        <v>3920</v>
      </c>
      <c r="W561" s="383" t="s">
        <v>47</v>
      </c>
      <c r="X561" s="5" t="s">
        <v>1406</v>
      </c>
      <c r="Y561" s="5" t="s">
        <v>49</v>
      </c>
      <c r="Z561" s="5" t="s">
        <v>7444</v>
      </c>
      <c r="AA561" s="5" t="s">
        <v>7445</v>
      </c>
      <c r="AB561" s="383"/>
    </row>
    <row r="562" spans="1:28" ht="13.8">
      <c r="A562" s="387">
        <v>561</v>
      </c>
      <c r="B562" s="262" t="s">
        <v>8077</v>
      </c>
      <c r="C562" s="383" t="s">
        <v>10709</v>
      </c>
      <c r="D562" s="383" t="s">
        <v>10841</v>
      </c>
      <c r="E562" s="383" t="s">
        <v>9061</v>
      </c>
      <c r="F562" s="383">
        <v>1278</v>
      </c>
      <c r="G562" s="383" t="s">
        <v>3923</v>
      </c>
      <c r="H562" s="383" t="s">
        <v>3924</v>
      </c>
      <c r="I562" s="383" t="s">
        <v>3925</v>
      </c>
      <c r="J562" s="383" t="s">
        <v>3926</v>
      </c>
      <c r="K562" s="383" t="s">
        <v>3927</v>
      </c>
      <c r="L562" s="383" t="s">
        <v>9758</v>
      </c>
      <c r="M562" s="383" t="s">
        <v>10376</v>
      </c>
      <c r="N562" s="9">
        <v>9167495227</v>
      </c>
      <c r="O562" s="383" t="str">
        <f>IF(LEN(SUBSTITUTE(Table3937[[#This Row],[PRIMARY CONTACT]]," ",""))=10,SUBSTITUTE(Table3937[[#This Row],[PRIMARY CONTACT]]," ","") &amp; " - Proper","- Follow Up")</f>
        <v>8928988350 - Proper</v>
      </c>
      <c r="P562" s="383" t="s">
        <v>3869</v>
      </c>
      <c r="Q562" s="383">
        <v>8928988350</v>
      </c>
      <c r="R562" s="383" t="str">
        <f>SUBSTITUTE(Table3937[[#This Row],[whatsapp_number]]," ","")</f>
        <v>8928988350</v>
      </c>
      <c r="S562" s="383" t="str">
        <f>IF(Table3937[[#This Row],[PRIMARY CONTACT]]=Table3937[[#This Row],[WHATSAPP CONTACT]],"Same Contact","Different Contact")</f>
        <v>Same Contact</v>
      </c>
      <c r="T562" s="383" t="str">
        <f>IF(LEN(SUBSTITUTE(Table3937[[#This Row],[PRIMARY CONTACT]]," ",""))=10,SUBSTITUTE(Table3937[[#This Row],[PRIMARY CONTACT]]," ","") &amp; " - Proper","- Follow Up")</f>
        <v>8928988350 - Proper</v>
      </c>
      <c r="U562" s="383" t="s">
        <v>10611</v>
      </c>
      <c r="V562" s="393" t="s">
        <v>3930</v>
      </c>
      <c r="W562" s="383" t="s">
        <v>47</v>
      </c>
      <c r="X562" s="5" t="s">
        <v>1406</v>
      </c>
      <c r="Y562" s="5" t="s">
        <v>49</v>
      </c>
      <c r="Z562" s="5" t="s">
        <v>7444</v>
      </c>
      <c r="AA562" s="5" t="s">
        <v>7445</v>
      </c>
      <c r="AB562" s="383"/>
    </row>
    <row r="563" spans="1:28" ht="13.8">
      <c r="A563" s="387">
        <v>562</v>
      </c>
      <c r="B563" s="262" t="s">
        <v>8082</v>
      </c>
      <c r="C563" s="383" t="s">
        <v>10709</v>
      </c>
      <c r="D563" s="383" t="s">
        <v>10842</v>
      </c>
      <c r="E563" s="383" t="s">
        <v>9062</v>
      </c>
      <c r="F563" s="383">
        <v>1279</v>
      </c>
      <c r="G563" s="383" t="s">
        <v>71</v>
      </c>
      <c r="H563" s="383" t="s">
        <v>71</v>
      </c>
      <c r="I563" s="383" t="s">
        <v>3491</v>
      </c>
      <c r="J563" s="383" t="s">
        <v>3492</v>
      </c>
      <c r="K563" s="383" t="s">
        <v>8341</v>
      </c>
      <c r="L563" s="383" t="s">
        <v>8341</v>
      </c>
      <c r="M563" s="383" t="s">
        <v>10377</v>
      </c>
      <c r="N563" s="269">
        <v>7977963475</v>
      </c>
      <c r="O563" s="383" t="str">
        <f>IF(LEN(SUBSTITUTE(Table3937[[#This Row],[PRIMARY CONTACT]]," ",""))=10,SUBSTITUTE(Table3937[[#This Row],[PRIMARY CONTACT]]," ","") &amp; " - Proper","- Follow Up")</f>
        <v>9869080076 - Proper</v>
      </c>
      <c r="P563" s="383" t="s">
        <v>3493</v>
      </c>
      <c r="Q563" s="383">
        <v>9869080076</v>
      </c>
      <c r="R563" s="383" t="str">
        <f>SUBSTITUTE(Table3937[[#This Row],[whatsapp_number]]," ","")</f>
        <v>9869080076</v>
      </c>
      <c r="S563" s="383" t="str">
        <f>IF(Table3937[[#This Row],[PRIMARY CONTACT]]=Table3937[[#This Row],[WHATSAPP CONTACT]],"Same Contact","Different Contact")</f>
        <v>Same Contact</v>
      </c>
      <c r="T563" s="383" t="str">
        <f>IF(LEN(SUBSTITUTE(Table3937[[#This Row],[PRIMARY CONTACT]]," ",""))=10,SUBSTITUTE(Table3937[[#This Row],[PRIMARY CONTACT]]," ","") &amp; " - Proper","- Follow Up")</f>
        <v>9869080076 - Proper</v>
      </c>
      <c r="U563" s="383" t="s">
        <v>8341</v>
      </c>
      <c r="V563" s="383" t="s">
        <v>71</v>
      </c>
      <c r="W563" s="383" t="s">
        <v>47</v>
      </c>
      <c r="X563" s="5" t="s">
        <v>1406</v>
      </c>
      <c r="Y563" s="5" t="s">
        <v>49</v>
      </c>
      <c r="Z563" s="5" t="s">
        <v>7444</v>
      </c>
      <c r="AA563" s="5" t="s">
        <v>7445</v>
      </c>
      <c r="AB563" s="383"/>
    </row>
    <row r="564" spans="1:28" ht="13.8">
      <c r="A564" s="387">
        <v>563</v>
      </c>
      <c r="B564" s="383" t="s">
        <v>10716</v>
      </c>
      <c r="C564" s="383" t="s">
        <v>10743</v>
      </c>
      <c r="D564" s="383" t="s">
        <v>10716</v>
      </c>
      <c r="E564" s="383" t="s">
        <v>9062</v>
      </c>
      <c r="F564" s="383">
        <v>1279</v>
      </c>
      <c r="G564" s="383" t="s">
        <v>71</v>
      </c>
      <c r="H564" s="383" t="s">
        <v>3931</v>
      </c>
      <c r="I564" s="383" t="s">
        <v>3491</v>
      </c>
      <c r="J564" s="383" t="s">
        <v>3932</v>
      </c>
      <c r="K564" s="383" t="s">
        <v>8341</v>
      </c>
      <c r="L564" s="383" t="s">
        <v>8341</v>
      </c>
      <c r="M564" s="383" t="s">
        <v>10378</v>
      </c>
      <c r="N564" s="383"/>
      <c r="O564" s="383" t="str">
        <f>IF(LEN(SUBSTITUTE(Table3937[[#This Row],[PRIMARY CONTACT]]," ",""))=10,SUBSTITUTE(Table3937[[#This Row],[PRIMARY CONTACT]]," ","") &amp; " - Proper","- Follow Up")</f>
        <v>9819886266 - Proper</v>
      </c>
      <c r="P564" s="383" t="s">
        <v>3869</v>
      </c>
      <c r="Q564" s="383">
        <v>9819886266</v>
      </c>
      <c r="R564" s="383" t="str">
        <f>SUBSTITUTE(Table3937[[#This Row],[whatsapp_number]]," ","")</f>
        <v>9819886266</v>
      </c>
      <c r="S564" s="383" t="str">
        <f>IF(Table3937[[#This Row],[PRIMARY CONTACT]]=Table3937[[#This Row],[WHATSAPP CONTACT]],"Same Contact","Different Contact")</f>
        <v>Same Contact</v>
      </c>
      <c r="T564" s="383" t="str">
        <f>IF(LEN(SUBSTITUTE(Table3937[[#This Row],[PRIMARY CONTACT]]," ",""))=10,SUBSTITUTE(Table3937[[#This Row],[PRIMARY CONTACT]]," ","") &amp; " - Proper","- Follow Up")</f>
        <v>9819886266 - Proper</v>
      </c>
      <c r="U564" s="383" t="s">
        <v>10612</v>
      </c>
      <c r="V564" s="383" t="s">
        <v>71</v>
      </c>
      <c r="W564" s="383" t="s">
        <v>47</v>
      </c>
      <c r="X564" s="383" t="s">
        <v>44</v>
      </c>
      <c r="Y564" s="383" t="s">
        <v>44</v>
      </c>
      <c r="Z564" s="383" t="s">
        <v>44</v>
      </c>
      <c r="AA564" s="383" t="s">
        <v>44</v>
      </c>
      <c r="AB564" s="383"/>
    </row>
    <row r="565" spans="1:28" ht="13.8">
      <c r="A565" s="387">
        <v>564</v>
      </c>
      <c r="B565" s="416" t="s">
        <v>8084</v>
      </c>
      <c r="C565" s="383" t="s">
        <v>10709</v>
      </c>
      <c r="D565" s="383" t="s">
        <v>10792</v>
      </c>
      <c r="E565" s="383" t="s">
        <v>9063</v>
      </c>
      <c r="F565" s="383">
        <v>1280</v>
      </c>
      <c r="G565" s="383" t="s">
        <v>3936</v>
      </c>
      <c r="H565" s="383" t="s">
        <v>3937</v>
      </c>
      <c r="I565" s="383" t="s">
        <v>8516</v>
      </c>
      <c r="J565" s="383" t="s">
        <v>3939</v>
      </c>
      <c r="K565" s="383" t="s">
        <v>3940</v>
      </c>
      <c r="L565" s="383" t="s">
        <v>9759</v>
      </c>
      <c r="M565" s="383" t="s">
        <v>3942</v>
      </c>
      <c r="N565" s="9" t="s">
        <v>8089</v>
      </c>
      <c r="O565" s="383" t="str">
        <f>IF(LEN(SUBSTITUTE(Table3937[[#This Row],[PRIMARY CONTACT]]," ",""))=10,SUBSTITUTE(Table3937[[#This Row],[PRIMARY CONTACT]]," ","") &amp; " - Proper","- Follow Up")</f>
        <v>7977330377 - Proper</v>
      </c>
      <c r="P565" s="383" t="s">
        <v>3869</v>
      </c>
      <c r="Q565" s="383" t="s">
        <v>3942</v>
      </c>
      <c r="R565" s="383" t="str">
        <f>SUBSTITUTE(Table3937[[#This Row],[whatsapp_number]]," ","")</f>
        <v>7977330377</v>
      </c>
      <c r="S565" s="383" t="str">
        <f>IF(Table3937[[#This Row],[PRIMARY CONTACT]]=Table3937[[#This Row],[WHATSAPP CONTACT]],"Same Contact","Different Contact")</f>
        <v>Different Contact</v>
      </c>
      <c r="T565" s="383" t="str">
        <f>IF(LEN(SUBSTITUTE(Table3937[[#This Row],[PRIMARY CONTACT]]," ",""))=10,SUBSTITUTE(Table3937[[#This Row],[PRIMARY CONTACT]]," ","") &amp; " - Proper","- Follow Up")</f>
        <v>7977330377 - Proper</v>
      </c>
      <c r="U565" s="383" t="s">
        <v>3943</v>
      </c>
      <c r="V565" s="393" t="s">
        <v>3944</v>
      </c>
      <c r="W565" s="383" t="s">
        <v>47</v>
      </c>
      <c r="X565" s="5" t="s">
        <v>1406</v>
      </c>
      <c r="Y565" s="5" t="s">
        <v>49</v>
      </c>
      <c r="Z565" s="5" t="s">
        <v>7444</v>
      </c>
      <c r="AA565" s="5" t="s">
        <v>7445</v>
      </c>
      <c r="AB565" s="383"/>
    </row>
    <row r="566" spans="1:28" ht="13.8">
      <c r="A566" s="387">
        <v>565</v>
      </c>
      <c r="B566" s="416" t="s">
        <v>8094</v>
      </c>
      <c r="C566" s="383" t="s">
        <v>10709</v>
      </c>
      <c r="D566" s="383" t="s">
        <v>10793</v>
      </c>
      <c r="E566" s="383" t="s">
        <v>9064</v>
      </c>
      <c r="F566" s="383">
        <v>1281</v>
      </c>
      <c r="G566" s="383" t="s">
        <v>3947</v>
      </c>
      <c r="H566" s="383" t="s">
        <v>3948</v>
      </c>
      <c r="I566" s="383" t="s">
        <v>8517</v>
      </c>
      <c r="J566" s="383" t="s">
        <v>9449</v>
      </c>
      <c r="K566" s="383" t="s">
        <v>9561</v>
      </c>
      <c r="L566" s="383" t="s">
        <v>9760</v>
      </c>
      <c r="M566" s="383" t="s">
        <v>10379</v>
      </c>
      <c r="N566" s="269">
        <v>9819104916</v>
      </c>
      <c r="O566" s="383" t="str">
        <f>IF(LEN(SUBSTITUTE(Table3937[[#This Row],[PRIMARY CONTACT]]," ",""))=10,SUBSTITUTE(Table3937[[#This Row],[PRIMARY CONTACT]]," ","") &amp; " - Proper","- Follow Up")</f>
        <v>7021580050 - Proper</v>
      </c>
      <c r="P566" s="383" t="s">
        <v>3869</v>
      </c>
      <c r="Q566" s="383">
        <v>7021580050</v>
      </c>
      <c r="R566" s="383" t="str">
        <f>SUBSTITUTE(Table3937[[#This Row],[whatsapp_number]]," ","")</f>
        <v>7021580050</v>
      </c>
      <c r="S566" s="383" t="str">
        <f>IF(Table3937[[#This Row],[PRIMARY CONTACT]]=Table3937[[#This Row],[WHATSAPP CONTACT]],"Same Contact","Different Contact")</f>
        <v>Same Contact</v>
      </c>
      <c r="T566" s="383" t="str">
        <f>IF(LEN(SUBSTITUTE(Table3937[[#This Row],[PRIMARY CONTACT]]," ",""))=10,SUBSTITUTE(Table3937[[#This Row],[PRIMARY CONTACT]]," ","") &amp; " - Proper","- Follow Up")</f>
        <v>7021580050 - Proper</v>
      </c>
      <c r="U566" s="383" t="s">
        <v>10613</v>
      </c>
      <c r="V566" s="383" t="s">
        <v>71</v>
      </c>
      <c r="W566" s="383" t="s">
        <v>47</v>
      </c>
      <c r="X566" s="5" t="s">
        <v>1406</v>
      </c>
      <c r="Y566" s="5" t="s">
        <v>49</v>
      </c>
      <c r="Z566" s="5" t="s">
        <v>7444</v>
      </c>
      <c r="AA566" s="5" t="s">
        <v>7445</v>
      </c>
      <c r="AB566" s="383"/>
    </row>
    <row r="567" spans="1:28" ht="13.8">
      <c r="A567" s="387">
        <v>566</v>
      </c>
      <c r="B567" s="416" t="s">
        <v>8102</v>
      </c>
      <c r="C567" s="383" t="s">
        <v>10709</v>
      </c>
      <c r="D567" s="383" t="s">
        <v>10794</v>
      </c>
      <c r="E567" s="383" t="s">
        <v>9065</v>
      </c>
      <c r="F567" s="383">
        <v>1282</v>
      </c>
      <c r="G567" s="383" t="s">
        <v>3956</v>
      </c>
      <c r="H567" s="383" t="s">
        <v>3957</v>
      </c>
      <c r="I567" s="383" t="s">
        <v>8518</v>
      </c>
      <c r="J567" s="383" t="s">
        <v>3959</v>
      </c>
      <c r="K567" s="383" t="s">
        <v>3960</v>
      </c>
      <c r="L567" s="383" t="s">
        <v>9761</v>
      </c>
      <c r="M567" s="383" t="s">
        <v>10380</v>
      </c>
      <c r="N567" s="9">
        <v>7208436230</v>
      </c>
      <c r="O567" s="383" t="str">
        <f>IF(LEN(SUBSTITUTE(Table3937[[#This Row],[PRIMARY CONTACT]]," ",""))=10,SUBSTITUTE(Table3937[[#This Row],[PRIMARY CONTACT]]," ","") &amp; " - Proper","- Follow Up")</f>
        <v>8928100149 - Proper</v>
      </c>
      <c r="P567" s="383" t="s">
        <v>3869</v>
      </c>
      <c r="Q567" s="383">
        <v>8928100149</v>
      </c>
      <c r="R567" s="383" t="str">
        <f>SUBSTITUTE(Table3937[[#This Row],[whatsapp_number]]," ","")</f>
        <v>8928100149</v>
      </c>
      <c r="S567" s="383" t="str">
        <f>IF(Table3937[[#This Row],[PRIMARY CONTACT]]=Table3937[[#This Row],[WHATSAPP CONTACT]],"Same Contact","Different Contact")</f>
        <v>Same Contact</v>
      </c>
      <c r="T567" s="383" t="str">
        <f>IF(LEN(SUBSTITUTE(Table3937[[#This Row],[PRIMARY CONTACT]]," ",""))=10,SUBSTITUTE(Table3937[[#This Row],[PRIMARY CONTACT]]," ","") &amp; " - Proper","- Follow Up")</f>
        <v>8928100149 - Proper</v>
      </c>
      <c r="U567" s="383" t="s">
        <v>10614</v>
      </c>
      <c r="V567" s="393" t="s">
        <v>3963</v>
      </c>
      <c r="W567" s="383" t="s">
        <v>47</v>
      </c>
      <c r="X567" s="5" t="s">
        <v>1406</v>
      </c>
      <c r="Y567" s="5" t="s">
        <v>49</v>
      </c>
      <c r="Z567" s="5" t="s">
        <v>7444</v>
      </c>
      <c r="AA567" s="5" t="s">
        <v>7445</v>
      </c>
      <c r="AB567" s="383"/>
    </row>
    <row r="568" spans="1:28" ht="13.8">
      <c r="A568" s="387">
        <v>567</v>
      </c>
      <c r="B568" s="416" t="s">
        <v>8106</v>
      </c>
      <c r="C568" s="383" t="s">
        <v>10743</v>
      </c>
      <c r="D568" s="383" t="s">
        <v>10795</v>
      </c>
      <c r="E568" s="383" t="s">
        <v>9066</v>
      </c>
      <c r="F568" s="383">
        <v>1283</v>
      </c>
      <c r="G568" s="383" t="s">
        <v>3966</v>
      </c>
      <c r="H568" s="383" t="s">
        <v>3967</v>
      </c>
      <c r="I568" s="383" t="s">
        <v>8519</v>
      </c>
      <c r="J568" s="383" t="s">
        <v>3969</v>
      </c>
      <c r="K568" s="383" t="s">
        <v>9562</v>
      </c>
      <c r="L568" s="383" t="s">
        <v>9762</v>
      </c>
      <c r="M568" s="383" t="s">
        <v>10381</v>
      </c>
      <c r="N568" s="269">
        <v>9920444664</v>
      </c>
      <c r="O568" s="383" t="str">
        <f>IF(LEN(SUBSTITUTE(Table3937[[#This Row],[PRIMARY CONTACT]]," ",""))=10,SUBSTITUTE(Table3937[[#This Row],[PRIMARY CONTACT]]," ","") &amp; " - Proper","- Follow Up")</f>
        <v>9820097619 - Proper</v>
      </c>
      <c r="P568" s="383" t="s">
        <v>3869</v>
      </c>
      <c r="Q568" s="383">
        <v>9820097619</v>
      </c>
      <c r="R568" s="383" t="str">
        <f>SUBSTITUTE(Table3937[[#This Row],[whatsapp_number]]," ","")</f>
        <v>9820097619</v>
      </c>
      <c r="S568" s="383" t="str">
        <f>IF(Table3937[[#This Row],[PRIMARY CONTACT]]=Table3937[[#This Row],[WHATSAPP CONTACT]],"Same Contact","Different Contact")</f>
        <v>Same Contact</v>
      </c>
      <c r="T568" s="383" t="str">
        <f>IF(LEN(SUBSTITUTE(Table3937[[#This Row],[PRIMARY CONTACT]]," ",""))=10,SUBSTITUTE(Table3937[[#This Row],[PRIMARY CONTACT]]," ","") &amp; " - Proper","- Follow Up")</f>
        <v>9820097619 - Proper</v>
      </c>
      <c r="U568" s="383" t="s">
        <v>10615</v>
      </c>
      <c r="V568" s="393" t="s">
        <v>3973</v>
      </c>
      <c r="W568" s="383" t="s">
        <v>47</v>
      </c>
      <c r="X568" s="5" t="s">
        <v>1406</v>
      </c>
      <c r="Y568" s="5" t="s">
        <v>49</v>
      </c>
      <c r="Z568" s="5" t="s">
        <v>7444</v>
      </c>
      <c r="AA568" s="5" t="s">
        <v>7445</v>
      </c>
      <c r="AB568" s="383"/>
    </row>
    <row r="569" spans="1:28" ht="13.8">
      <c r="A569" s="387">
        <v>568</v>
      </c>
      <c r="B569" s="416" t="s">
        <v>8109</v>
      </c>
      <c r="C569" s="383" t="s">
        <v>10709</v>
      </c>
      <c r="D569" s="383" t="s">
        <v>10796</v>
      </c>
      <c r="E569" s="383" t="s">
        <v>9067</v>
      </c>
      <c r="F569" s="383">
        <v>1284</v>
      </c>
      <c r="G569" s="383" t="s">
        <v>3976</v>
      </c>
      <c r="H569" s="383" t="s">
        <v>3977</v>
      </c>
      <c r="I569" s="383" t="s">
        <v>3978</v>
      </c>
      <c r="J569" s="383" t="s">
        <v>3979</v>
      </c>
      <c r="K569" s="383" t="s">
        <v>3980</v>
      </c>
      <c r="L569" s="383" t="s">
        <v>9763</v>
      </c>
      <c r="M569" s="383" t="s">
        <v>10382</v>
      </c>
      <c r="N569" s="9">
        <v>8850164854</v>
      </c>
      <c r="O569" s="383" t="str">
        <f>IF(LEN(SUBSTITUTE(Table3937[[#This Row],[PRIMARY CONTACT]]," ",""))=10,SUBSTITUTE(Table3937[[#This Row],[PRIMARY CONTACT]]," ","") &amp; " - Proper","- Follow Up")</f>
        <v>9819536373 - Proper</v>
      </c>
      <c r="P569" s="383" t="s">
        <v>3869</v>
      </c>
      <c r="Q569" s="383">
        <v>9819536373</v>
      </c>
      <c r="R569" s="383" t="str">
        <f>SUBSTITUTE(Table3937[[#This Row],[whatsapp_number]]," ","")</f>
        <v>9819536373</v>
      </c>
      <c r="S569" s="383" t="str">
        <f>IF(Table3937[[#This Row],[PRIMARY CONTACT]]=Table3937[[#This Row],[WHATSAPP CONTACT]],"Same Contact","Different Contact")</f>
        <v>Same Contact</v>
      </c>
      <c r="T569" s="383" t="str">
        <f>IF(LEN(SUBSTITUTE(Table3937[[#This Row],[PRIMARY CONTACT]]," ",""))=10,SUBSTITUTE(Table3937[[#This Row],[PRIMARY CONTACT]]," ","") &amp; " - Proper","- Follow Up")</f>
        <v>9819536373 - Proper</v>
      </c>
      <c r="U569" s="383" t="s">
        <v>10616</v>
      </c>
      <c r="V569" s="393" t="s">
        <v>3983</v>
      </c>
      <c r="W569" s="383" t="s">
        <v>47</v>
      </c>
      <c r="X569" s="5" t="s">
        <v>1406</v>
      </c>
      <c r="Y569" s="5" t="s">
        <v>49</v>
      </c>
      <c r="Z569" s="5" t="s">
        <v>7444</v>
      </c>
      <c r="AA569" s="5" t="s">
        <v>7445</v>
      </c>
      <c r="AB569" s="383"/>
    </row>
    <row r="570" spans="1:28" ht="13.8">
      <c r="A570" s="387">
        <v>569</v>
      </c>
      <c r="B570" s="416" t="s">
        <v>8116</v>
      </c>
      <c r="C570" s="383" t="s">
        <v>10709</v>
      </c>
      <c r="D570" s="383" t="s">
        <v>10797</v>
      </c>
      <c r="E570" s="383" t="s">
        <v>9068</v>
      </c>
      <c r="F570" s="383">
        <v>1285</v>
      </c>
      <c r="G570" s="383" t="s">
        <v>3986</v>
      </c>
      <c r="H570" s="383" t="s">
        <v>3987</v>
      </c>
      <c r="I570" s="383" t="s">
        <v>3988</v>
      </c>
      <c r="J570" s="383" t="s">
        <v>3989</v>
      </c>
      <c r="K570" s="383" t="s">
        <v>9563</v>
      </c>
      <c r="L570" s="383" t="s">
        <v>9764</v>
      </c>
      <c r="M570" s="383" t="s">
        <v>10383</v>
      </c>
      <c r="N570" s="9" t="s">
        <v>44</v>
      </c>
      <c r="O570" s="383" t="str">
        <f>IF(LEN(SUBSTITUTE(Table3937[[#This Row],[PRIMARY CONTACT]]," ",""))=10,SUBSTITUTE(Table3937[[#This Row],[PRIMARY CONTACT]]," ","") &amp; " - Proper","- Follow Up")</f>
        <v>9619454049 - Proper</v>
      </c>
      <c r="P570" s="383" t="s">
        <v>3869</v>
      </c>
      <c r="Q570" s="383">
        <v>9619454049</v>
      </c>
      <c r="R570" s="383" t="str">
        <f>SUBSTITUTE(Table3937[[#This Row],[whatsapp_number]]," ","")</f>
        <v>9619454049</v>
      </c>
      <c r="S570" s="383" t="str">
        <f>IF(Table3937[[#This Row],[PRIMARY CONTACT]]=Table3937[[#This Row],[WHATSAPP CONTACT]],"Same Contact","Different Contact")</f>
        <v>Same Contact</v>
      </c>
      <c r="T570" s="383" t="str">
        <f>IF(LEN(SUBSTITUTE(Table3937[[#This Row],[PRIMARY CONTACT]]," ",""))=10,SUBSTITUTE(Table3937[[#This Row],[PRIMARY CONTACT]]," ","") &amp; " - Proper","- Follow Up")</f>
        <v>9619454049 - Proper</v>
      </c>
      <c r="U570" s="383" t="s">
        <v>10617</v>
      </c>
      <c r="V570" s="393" t="s">
        <v>3993</v>
      </c>
      <c r="W570" s="383" t="s">
        <v>47</v>
      </c>
      <c r="X570" s="5" t="s">
        <v>1406</v>
      </c>
      <c r="Y570" s="5" t="s">
        <v>49</v>
      </c>
      <c r="Z570" s="5" t="s">
        <v>7444</v>
      </c>
      <c r="AA570" s="5" t="s">
        <v>7445</v>
      </c>
      <c r="AB570" s="383"/>
    </row>
    <row r="571" spans="1:28" ht="13.8">
      <c r="A571" s="387">
        <v>570</v>
      </c>
      <c r="B571" s="416" t="s">
        <v>8122</v>
      </c>
      <c r="C571" s="383" t="s">
        <v>10709</v>
      </c>
      <c r="D571" s="383" t="s">
        <v>10798</v>
      </c>
      <c r="E571" s="383" t="s">
        <v>9069</v>
      </c>
      <c r="F571" s="383">
        <v>1286</v>
      </c>
      <c r="G571" s="383" t="s">
        <v>3996</v>
      </c>
      <c r="H571" s="383" t="s">
        <v>3997</v>
      </c>
      <c r="I571" s="383" t="s">
        <v>3998</v>
      </c>
      <c r="J571" s="383" t="s">
        <v>3999</v>
      </c>
      <c r="K571" s="383" t="s">
        <v>4000</v>
      </c>
      <c r="L571" s="383" t="s">
        <v>9765</v>
      </c>
      <c r="M571" s="383" t="s">
        <v>10384</v>
      </c>
      <c r="N571" s="9">
        <v>7977239342</v>
      </c>
      <c r="O571" s="383" t="str">
        <f>IF(LEN(SUBSTITUTE(Table3937[[#This Row],[PRIMARY CONTACT]]," ",""))=10,SUBSTITUTE(Table3937[[#This Row],[PRIMARY CONTACT]]," ","") &amp; " - Proper","- Follow Up")</f>
        <v>8369160229 - Proper</v>
      </c>
      <c r="P571" s="383" t="s">
        <v>3869</v>
      </c>
      <c r="Q571" s="383">
        <v>8369160229</v>
      </c>
      <c r="R571" s="383" t="str">
        <f>SUBSTITUTE(Table3937[[#This Row],[whatsapp_number]]," ","")</f>
        <v>8369160229</v>
      </c>
      <c r="S571" s="383" t="str">
        <f>IF(Table3937[[#This Row],[PRIMARY CONTACT]]=Table3937[[#This Row],[WHATSAPP CONTACT]],"Same Contact","Different Contact")</f>
        <v>Same Contact</v>
      </c>
      <c r="T571" s="383" t="str">
        <f>IF(LEN(SUBSTITUTE(Table3937[[#This Row],[PRIMARY CONTACT]]," ",""))=10,SUBSTITUTE(Table3937[[#This Row],[PRIMARY CONTACT]]," ","") &amp; " - Proper","- Follow Up")</f>
        <v>8369160229 - Proper</v>
      </c>
      <c r="U571" s="383" t="s">
        <v>10618</v>
      </c>
      <c r="V571" s="393" t="s">
        <v>4003</v>
      </c>
      <c r="W571" s="383" t="s">
        <v>47</v>
      </c>
      <c r="X571" s="5" t="s">
        <v>1406</v>
      </c>
      <c r="Y571" s="5" t="s">
        <v>49</v>
      </c>
      <c r="Z571" s="5" t="s">
        <v>7444</v>
      </c>
      <c r="AA571" s="5" t="s">
        <v>7445</v>
      </c>
      <c r="AB571" s="383"/>
    </row>
    <row r="572" spans="1:28" ht="13.8">
      <c r="A572" s="387">
        <v>571</v>
      </c>
      <c r="B572" s="416" t="s">
        <v>8127</v>
      </c>
      <c r="C572" s="383" t="s">
        <v>10709</v>
      </c>
      <c r="D572" s="383" t="s">
        <v>10799</v>
      </c>
      <c r="E572" s="383" t="s">
        <v>9070</v>
      </c>
      <c r="F572" s="383">
        <v>1287</v>
      </c>
      <c r="G572" s="383" t="s">
        <v>4006</v>
      </c>
      <c r="H572" s="383" t="s">
        <v>4007</v>
      </c>
      <c r="I572" s="383" t="s">
        <v>8520</v>
      </c>
      <c r="J572" s="383" t="s">
        <v>9450</v>
      </c>
      <c r="K572" s="383" t="s">
        <v>9564</v>
      </c>
      <c r="L572" s="383" t="s">
        <v>9766</v>
      </c>
      <c r="M572" s="383" t="s">
        <v>10385</v>
      </c>
      <c r="N572" s="269">
        <v>9892087990</v>
      </c>
      <c r="O572" s="383" t="str">
        <f>IF(LEN(SUBSTITUTE(Table3937[[#This Row],[PRIMARY CONTACT]]," ",""))=10,SUBSTITUTE(Table3937[[#This Row],[PRIMARY CONTACT]]," ","") &amp; " - Proper","- Follow Up")</f>
        <v>8655386188 - Proper</v>
      </c>
      <c r="P572" s="383" t="s">
        <v>3869</v>
      </c>
      <c r="Q572" s="383">
        <v>8655386188</v>
      </c>
      <c r="R572" s="383" t="str">
        <f>SUBSTITUTE(Table3937[[#This Row],[whatsapp_number]]," ","")</f>
        <v>8655386188</v>
      </c>
      <c r="S572" s="383" t="str">
        <f>IF(Table3937[[#This Row],[PRIMARY CONTACT]]=Table3937[[#This Row],[WHATSAPP CONTACT]],"Same Contact","Different Contact")</f>
        <v>Same Contact</v>
      </c>
      <c r="T572" s="383" t="str">
        <f>IF(LEN(SUBSTITUTE(Table3937[[#This Row],[PRIMARY CONTACT]]," ",""))=10,SUBSTITUTE(Table3937[[#This Row],[PRIMARY CONTACT]]," ","") &amp; " - Proper","- Follow Up")</f>
        <v>8655386188 - Proper</v>
      </c>
      <c r="U572" s="383" t="s">
        <v>10619</v>
      </c>
      <c r="V572" s="383" t="s">
        <v>71</v>
      </c>
      <c r="W572" s="383" t="s">
        <v>47</v>
      </c>
      <c r="X572" s="5" t="s">
        <v>1406</v>
      </c>
      <c r="Y572" s="5" t="s">
        <v>49</v>
      </c>
      <c r="Z572" s="5" t="s">
        <v>7444</v>
      </c>
      <c r="AA572" s="5" t="s">
        <v>7445</v>
      </c>
      <c r="AB572" s="383"/>
    </row>
    <row r="573" spans="1:28" ht="13.8">
      <c r="A573" s="387">
        <v>572</v>
      </c>
      <c r="B573" s="416" t="s">
        <v>8131</v>
      </c>
      <c r="C573" s="383" t="s">
        <v>10743</v>
      </c>
      <c r="D573" s="383" t="s">
        <v>10800</v>
      </c>
      <c r="E573" s="383" t="s">
        <v>9071</v>
      </c>
      <c r="F573" s="383">
        <v>1288</v>
      </c>
      <c r="G573" s="383" t="s">
        <v>4015</v>
      </c>
      <c r="H573" s="383" t="s">
        <v>4016</v>
      </c>
      <c r="I573" s="383" t="s">
        <v>8521</v>
      </c>
      <c r="J573" s="383" t="s">
        <v>4018</v>
      </c>
      <c r="K573" s="383" t="s">
        <v>9565</v>
      </c>
      <c r="L573" s="383" t="s">
        <v>9767</v>
      </c>
      <c r="M573" s="383" t="s">
        <v>10386</v>
      </c>
      <c r="N573" s="9">
        <v>9930105570</v>
      </c>
      <c r="O573" s="383" t="str">
        <f>IF(LEN(SUBSTITUTE(Table3937[[#This Row],[PRIMARY CONTACT]]," ",""))=10,SUBSTITUTE(Table3937[[#This Row],[PRIMARY CONTACT]]," ","") &amp; " - Proper","- Follow Up")</f>
        <v>9833815269 - Proper</v>
      </c>
      <c r="P573" s="383" t="s">
        <v>3869</v>
      </c>
      <c r="Q573" s="383">
        <v>9833815269</v>
      </c>
      <c r="R573" s="383" t="str">
        <f>SUBSTITUTE(Table3937[[#This Row],[whatsapp_number]]," ","")</f>
        <v>9833815269</v>
      </c>
      <c r="S573" s="383" t="str">
        <f>IF(Table3937[[#This Row],[PRIMARY CONTACT]]=Table3937[[#This Row],[WHATSAPP CONTACT]],"Same Contact","Different Contact")</f>
        <v>Same Contact</v>
      </c>
      <c r="T573" s="383" t="str">
        <f>IF(LEN(SUBSTITUTE(Table3937[[#This Row],[PRIMARY CONTACT]]," ",""))=10,SUBSTITUTE(Table3937[[#This Row],[PRIMARY CONTACT]]," ","") &amp; " - Proper","- Follow Up")</f>
        <v>9833815269 - Proper</v>
      </c>
      <c r="U573" s="383" t="s">
        <v>4021</v>
      </c>
      <c r="V573" s="393" t="s">
        <v>4022</v>
      </c>
      <c r="W573" s="383" t="s">
        <v>47</v>
      </c>
      <c r="X573" s="5" t="s">
        <v>1406</v>
      </c>
      <c r="Y573" s="5" t="s">
        <v>49</v>
      </c>
      <c r="Z573" s="5" t="s">
        <v>7444</v>
      </c>
      <c r="AA573" s="5" t="s">
        <v>7445</v>
      </c>
      <c r="AB573" s="383"/>
    </row>
    <row r="574" spans="1:28" ht="13.8">
      <c r="A574" s="387">
        <v>573</v>
      </c>
      <c r="B574" s="416" t="s">
        <v>8135</v>
      </c>
      <c r="C574" s="383" t="s">
        <v>10743</v>
      </c>
      <c r="D574" s="383" t="s">
        <v>10801</v>
      </c>
      <c r="E574" s="383" t="s">
        <v>9072</v>
      </c>
      <c r="F574" s="383">
        <v>1289</v>
      </c>
      <c r="G574" s="383" t="s">
        <v>4025</v>
      </c>
      <c r="H574" s="383" t="s">
        <v>4026</v>
      </c>
      <c r="I574" s="383" t="s">
        <v>4027</v>
      </c>
      <c r="J574" s="383" t="s">
        <v>4028</v>
      </c>
      <c r="K574" s="383" t="s">
        <v>4029</v>
      </c>
      <c r="L574" s="383" t="s">
        <v>9768</v>
      </c>
      <c r="M574" s="383" t="s">
        <v>10387</v>
      </c>
      <c r="N574" s="9" t="s">
        <v>44</v>
      </c>
      <c r="O574" s="383" t="str">
        <f>IF(LEN(SUBSTITUTE(Table3937[[#This Row],[PRIMARY CONTACT]]," ",""))=10,SUBSTITUTE(Table3937[[#This Row],[PRIMARY CONTACT]]," ","") &amp; " - Proper","- Follow Up")</f>
        <v>9987006880 - Proper</v>
      </c>
      <c r="P574" s="383" t="s">
        <v>3869</v>
      </c>
      <c r="Q574" s="383">
        <v>9987006880</v>
      </c>
      <c r="R574" s="383" t="str">
        <f>SUBSTITUTE(Table3937[[#This Row],[whatsapp_number]]," ","")</f>
        <v>9987006880</v>
      </c>
      <c r="S574" s="383" t="str">
        <f>IF(Table3937[[#This Row],[PRIMARY CONTACT]]=Table3937[[#This Row],[WHATSAPP CONTACT]],"Same Contact","Different Contact")</f>
        <v>Same Contact</v>
      </c>
      <c r="T574" s="383" t="str">
        <f>IF(LEN(SUBSTITUTE(Table3937[[#This Row],[PRIMARY CONTACT]]," ",""))=10,SUBSTITUTE(Table3937[[#This Row],[PRIMARY CONTACT]]," ","") &amp; " - Proper","- Follow Up")</f>
        <v>9987006880 - Proper</v>
      </c>
      <c r="U574" s="383" t="s">
        <v>10620</v>
      </c>
      <c r="V574" s="383" t="s">
        <v>71</v>
      </c>
      <c r="W574" s="383" t="s">
        <v>47</v>
      </c>
      <c r="X574" s="5" t="s">
        <v>1406</v>
      </c>
      <c r="Y574" s="5" t="s">
        <v>49</v>
      </c>
      <c r="Z574" s="5" t="s">
        <v>7444</v>
      </c>
      <c r="AA574" s="5" t="s">
        <v>7445</v>
      </c>
      <c r="AB574" s="383"/>
    </row>
    <row r="575" spans="1:28" ht="13.8">
      <c r="A575" s="387">
        <v>574</v>
      </c>
      <c r="B575" s="416" t="s">
        <v>8143</v>
      </c>
      <c r="C575" s="383" t="s">
        <v>10709</v>
      </c>
      <c r="D575" s="383" t="s">
        <v>10802</v>
      </c>
      <c r="E575" s="383" t="s">
        <v>9073</v>
      </c>
      <c r="F575" s="383">
        <v>1290</v>
      </c>
      <c r="G575" s="383" t="s">
        <v>4034</v>
      </c>
      <c r="H575" s="383" t="s">
        <v>4035</v>
      </c>
      <c r="I575" s="383" t="s">
        <v>8522</v>
      </c>
      <c r="J575" s="383" t="s">
        <v>4037</v>
      </c>
      <c r="K575" s="383" t="s">
        <v>1256</v>
      </c>
      <c r="L575" s="383" t="s">
        <v>9769</v>
      </c>
      <c r="M575" s="383" t="s">
        <v>10388</v>
      </c>
      <c r="N575" s="9" t="s">
        <v>44</v>
      </c>
      <c r="O575" s="383" t="str">
        <f>IF(LEN(SUBSTITUTE(Table3937[[#This Row],[PRIMARY CONTACT]]," ",""))=10,SUBSTITUTE(Table3937[[#This Row],[PRIMARY CONTACT]]," ","") &amp; " - Proper","- Follow Up")</f>
        <v>9869587327 - Proper</v>
      </c>
      <c r="P575" s="383" t="s">
        <v>3869</v>
      </c>
      <c r="Q575" s="383">
        <v>9869587327</v>
      </c>
      <c r="R575" s="383" t="str">
        <f>SUBSTITUTE(Table3937[[#This Row],[whatsapp_number]]," ","")</f>
        <v>9869587327</v>
      </c>
      <c r="S575" s="383" t="str">
        <f>IF(Table3937[[#This Row],[PRIMARY CONTACT]]=Table3937[[#This Row],[WHATSAPP CONTACT]],"Same Contact","Different Contact")</f>
        <v>Same Contact</v>
      </c>
      <c r="T575" s="383" t="str">
        <f>IF(LEN(SUBSTITUTE(Table3937[[#This Row],[PRIMARY CONTACT]]," ",""))=10,SUBSTITUTE(Table3937[[#This Row],[PRIMARY CONTACT]]," ","") &amp; " - Proper","- Follow Up")</f>
        <v>9869587327 - Proper</v>
      </c>
      <c r="U575" s="383" t="s">
        <v>10621</v>
      </c>
      <c r="V575" s="383" t="s">
        <v>71</v>
      </c>
      <c r="W575" s="383" t="s">
        <v>47</v>
      </c>
      <c r="X575" s="5" t="s">
        <v>1406</v>
      </c>
      <c r="Y575" s="5" t="s">
        <v>49</v>
      </c>
      <c r="Z575" s="5" t="s">
        <v>7444</v>
      </c>
      <c r="AA575" s="5" t="s">
        <v>7445</v>
      </c>
      <c r="AB575" s="383"/>
    </row>
    <row r="576" spans="1:28" ht="13.8">
      <c r="A576" s="387">
        <v>575</v>
      </c>
      <c r="B576" s="416" t="s">
        <v>8153</v>
      </c>
      <c r="C576" s="383" t="s">
        <v>10709</v>
      </c>
      <c r="D576" s="383" t="s">
        <v>10803</v>
      </c>
      <c r="E576" s="383" t="s">
        <v>9074</v>
      </c>
      <c r="F576" s="383">
        <v>1291</v>
      </c>
      <c r="G576" s="383" t="s">
        <v>4043</v>
      </c>
      <c r="H576" s="383" t="s">
        <v>4044</v>
      </c>
      <c r="I576" s="383" t="s">
        <v>8523</v>
      </c>
      <c r="J576" s="383" t="s">
        <v>4046</v>
      </c>
      <c r="K576" s="383" t="s">
        <v>4047</v>
      </c>
      <c r="L576" s="383" t="s">
        <v>9770</v>
      </c>
      <c r="M576" s="383" t="s">
        <v>10389</v>
      </c>
      <c r="N576" s="9" t="s">
        <v>44</v>
      </c>
      <c r="O576" s="383" t="str">
        <f>IF(LEN(SUBSTITUTE(Table3937[[#This Row],[PRIMARY CONTACT]]," ",""))=10,SUBSTITUTE(Table3937[[#This Row],[PRIMARY CONTACT]]," ","") &amp; " - Proper","- Follow Up")</f>
        <v>9029074739 - Proper</v>
      </c>
      <c r="P576" s="383" t="s">
        <v>3869</v>
      </c>
      <c r="Q576" s="383">
        <v>9029074739</v>
      </c>
      <c r="R576" s="383" t="str">
        <f>SUBSTITUTE(Table3937[[#This Row],[whatsapp_number]]," ","")</f>
        <v>9029074739</v>
      </c>
      <c r="S576" s="383" t="str">
        <f>IF(Table3937[[#This Row],[PRIMARY CONTACT]]=Table3937[[#This Row],[WHATSAPP CONTACT]],"Same Contact","Different Contact")</f>
        <v>Same Contact</v>
      </c>
      <c r="T576" s="383" t="str">
        <f>IF(LEN(SUBSTITUTE(Table3937[[#This Row],[PRIMARY CONTACT]]," ",""))=10,SUBSTITUTE(Table3937[[#This Row],[PRIMARY CONTACT]]," ","") &amp; " - Proper","- Follow Up")</f>
        <v>9029074739 - Proper</v>
      </c>
      <c r="U576" s="383" t="s">
        <v>4049</v>
      </c>
      <c r="V576" s="383" t="s">
        <v>71</v>
      </c>
      <c r="W576" s="383" t="s">
        <v>47</v>
      </c>
      <c r="X576" s="5" t="s">
        <v>1406</v>
      </c>
      <c r="Y576" s="5" t="s">
        <v>49</v>
      </c>
      <c r="Z576" s="5" t="s">
        <v>7444</v>
      </c>
      <c r="AA576" s="5" t="s">
        <v>7445</v>
      </c>
      <c r="AB576" s="383"/>
    </row>
    <row r="577" spans="1:28" ht="13.8">
      <c r="A577" s="387">
        <v>576</v>
      </c>
      <c r="B577" s="415" t="s">
        <v>8157</v>
      </c>
      <c r="C577" s="383" t="s">
        <v>10709</v>
      </c>
      <c r="D577" s="383" t="s">
        <v>10804</v>
      </c>
      <c r="E577" s="383" t="s">
        <v>9075</v>
      </c>
      <c r="F577" s="383">
        <v>1292</v>
      </c>
      <c r="G577" s="383" t="s">
        <v>4052</v>
      </c>
      <c r="H577" s="383" t="s">
        <v>4053</v>
      </c>
      <c r="I577" s="383" t="s">
        <v>4054</v>
      </c>
      <c r="J577" s="383" t="s">
        <v>4055</v>
      </c>
      <c r="K577" s="383" t="s">
        <v>4056</v>
      </c>
      <c r="L577" s="383" t="s">
        <v>9771</v>
      </c>
      <c r="M577" s="383" t="s">
        <v>10359</v>
      </c>
      <c r="N577" s="9" t="s">
        <v>44</v>
      </c>
      <c r="O577" s="383" t="str">
        <f>IF(LEN(SUBSTITUTE(Table3937[[#This Row],[PRIMARY CONTACT]]," ",""))=10,SUBSTITUTE(Table3937[[#This Row],[PRIMARY CONTACT]]," ","") &amp; " - Proper","- Follow Up")</f>
        <v>- Follow Up</v>
      </c>
      <c r="P577" s="383" t="s">
        <v>3869</v>
      </c>
      <c r="Q577" s="383" t="s">
        <v>8279</v>
      </c>
      <c r="R577" s="383" t="str">
        <f>SUBSTITUTE(Table3937[[#This Row],[whatsapp_number]]," ","")</f>
        <v>#ERROR!</v>
      </c>
      <c r="S577" s="383" t="str">
        <f>IF(Table3937[[#This Row],[PRIMARY CONTACT]]=Table3937[[#This Row],[WHATSAPP CONTACT]],"Same Contact","Different Contact")</f>
        <v>Same Contact</v>
      </c>
      <c r="T577" s="383" t="str">
        <f>IF(LEN(SUBSTITUTE(Table3937[[#This Row],[PRIMARY CONTACT]]," ",""))=10,SUBSTITUTE(Table3937[[#This Row],[PRIMARY CONTACT]]," ","") &amp; " - Proper","- Follow Up")</f>
        <v>- Follow Up</v>
      </c>
      <c r="U577" s="383" t="s">
        <v>4058</v>
      </c>
      <c r="V577" s="393" t="s">
        <v>4059</v>
      </c>
      <c r="W577" s="383" t="s">
        <v>47</v>
      </c>
      <c r="X577" s="5" t="s">
        <v>1406</v>
      </c>
      <c r="Y577" s="5" t="s">
        <v>49</v>
      </c>
      <c r="Z577" s="5" t="s">
        <v>7444</v>
      </c>
      <c r="AA577" s="5" t="s">
        <v>7445</v>
      </c>
      <c r="AB577" s="383"/>
    </row>
    <row r="578" spans="1:28" ht="13.8">
      <c r="A578" s="387">
        <v>577</v>
      </c>
      <c r="B578" s="416" t="s">
        <v>8164</v>
      </c>
      <c r="C578" s="383" t="s">
        <v>10709</v>
      </c>
      <c r="D578" s="383" t="s">
        <v>10805</v>
      </c>
      <c r="E578" s="383" t="s">
        <v>9076</v>
      </c>
      <c r="F578" s="383">
        <v>1293</v>
      </c>
      <c r="G578" s="383" t="s">
        <v>4062</v>
      </c>
      <c r="H578" s="383" t="s">
        <v>3957</v>
      </c>
      <c r="I578" s="383" t="s">
        <v>8524</v>
      </c>
      <c r="J578" s="383" t="s">
        <v>4064</v>
      </c>
      <c r="K578" s="383" t="s">
        <v>4065</v>
      </c>
      <c r="L578" s="383" t="s">
        <v>9772</v>
      </c>
      <c r="M578" s="383" t="s">
        <v>10390</v>
      </c>
      <c r="N578" s="9" t="s">
        <v>44</v>
      </c>
      <c r="O578" s="383" t="str">
        <f>IF(LEN(SUBSTITUTE(Table3937[[#This Row],[PRIMARY CONTACT]]," ",""))=10,SUBSTITUTE(Table3937[[#This Row],[PRIMARY CONTACT]]," ","") &amp; " - Proper","- Follow Up")</f>
        <v>9820176230 - Proper</v>
      </c>
      <c r="P578" s="383" t="s">
        <v>3869</v>
      </c>
      <c r="Q578" s="383">
        <v>9820176230</v>
      </c>
      <c r="R578" s="383" t="str">
        <f>SUBSTITUTE(Table3937[[#This Row],[whatsapp_number]]," ","")</f>
        <v>9820176230</v>
      </c>
      <c r="S578" s="383" t="str">
        <f>IF(Table3937[[#This Row],[PRIMARY CONTACT]]=Table3937[[#This Row],[WHATSAPP CONTACT]],"Same Contact","Different Contact")</f>
        <v>Same Contact</v>
      </c>
      <c r="T578" s="383" t="str">
        <f>IF(LEN(SUBSTITUTE(Table3937[[#This Row],[PRIMARY CONTACT]]," ",""))=10,SUBSTITUTE(Table3937[[#This Row],[PRIMARY CONTACT]]," ","") &amp; " - Proper","- Follow Up")</f>
        <v>9820176230 - Proper</v>
      </c>
      <c r="U578" s="383" t="s">
        <v>10622</v>
      </c>
      <c r="V578" s="393" t="s">
        <v>3963</v>
      </c>
      <c r="W578" s="383" t="s">
        <v>47</v>
      </c>
      <c r="X578" s="5" t="s">
        <v>1406</v>
      </c>
      <c r="Y578" s="5" t="s">
        <v>49</v>
      </c>
      <c r="Z578" s="5" t="s">
        <v>7444</v>
      </c>
      <c r="AA578" s="5" t="s">
        <v>7445</v>
      </c>
      <c r="AB578" s="383"/>
    </row>
    <row r="579" spans="1:28" ht="13.8">
      <c r="A579" s="387">
        <v>578</v>
      </c>
      <c r="B579" s="416" t="s">
        <v>8169</v>
      </c>
      <c r="C579" s="383" t="s">
        <v>10709</v>
      </c>
      <c r="D579" s="383" t="s">
        <v>10806</v>
      </c>
      <c r="E579" s="383" t="s">
        <v>9077</v>
      </c>
      <c r="F579" s="383">
        <v>1294</v>
      </c>
      <c r="G579" s="383" t="s">
        <v>71</v>
      </c>
      <c r="H579" s="383" t="s">
        <v>4070</v>
      </c>
      <c r="I579" s="383" t="s">
        <v>4071</v>
      </c>
      <c r="J579" s="383" t="s">
        <v>4072</v>
      </c>
      <c r="K579" s="383" t="s">
        <v>4073</v>
      </c>
      <c r="L579" s="383" t="s">
        <v>8341</v>
      </c>
      <c r="M579" s="383" t="s">
        <v>10391</v>
      </c>
      <c r="N579" s="9" t="s">
        <v>44</v>
      </c>
      <c r="O579" s="383" t="str">
        <f>IF(LEN(SUBSTITUTE(Table3937[[#This Row],[PRIMARY CONTACT]]," ",""))=10,SUBSTITUTE(Table3937[[#This Row],[PRIMARY CONTACT]]," ","") &amp; " - Proper","- Follow Up")</f>
        <v>9821260586 - Proper</v>
      </c>
      <c r="P579" s="383" t="s">
        <v>3869</v>
      </c>
      <c r="Q579" s="383">
        <v>9821260586</v>
      </c>
      <c r="R579" s="383" t="str">
        <f>SUBSTITUTE(Table3937[[#This Row],[whatsapp_number]]," ","")</f>
        <v>9821260586</v>
      </c>
      <c r="S579" s="383" t="str">
        <f>IF(Table3937[[#This Row],[PRIMARY CONTACT]]=Table3937[[#This Row],[WHATSAPP CONTACT]],"Same Contact","Different Contact")</f>
        <v>Same Contact</v>
      </c>
      <c r="T579" s="383" t="str">
        <f>IF(LEN(SUBSTITUTE(Table3937[[#This Row],[PRIMARY CONTACT]]," ",""))=10,SUBSTITUTE(Table3937[[#This Row],[PRIMARY CONTACT]]," ","") &amp; " - Proper","- Follow Up")</f>
        <v>9821260586 - Proper</v>
      </c>
      <c r="U579" s="383" t="s">
        <v>10623</v>
      </c>
      <c r="V579" s="383" t="s">
        <v>71</v>
      </c>
      <c r="W579" s="383" t="s">
        <v>47</v>
      </c>
      <c r="X579" s="5" t="s">
        <v>1406</v>
      </c>
      <c r="Y579" s="5" t="s">
        <v>49</v>
      </c>
      <c r="Z579" s="5" t="s">
        <v>7444</v>
      </c>
      <c r="AA579" s="5" t="s">
        <v>7445</v>
      </c>
      <c r="AB579" s="383"/>
    </row>
    <row r="580" spans="1:28" ht="13.8">
      <c r="A580" s="387">
        <v>579</v>
      </c>
      <c r="B580" s="416" t="s">
        <v>8172</v>
      </c>
      <c r="C580" s="383" t="s">
        <v>10843</v>
      </c>
      <c r="D580" s="383" t="s">
        <v>10807</v>
      </c>
      <c r="E580" s="383" t="s">
        <v>9078</v>
      </c>
      <c r="F580" s="383">
        <v>1295</v>
      </c>
      <c r="G580" s="383" t="s">
        <v>71</v>
      </c>
      <c r="H580" s="383" t="s">
        <v>4077</v>
      </c>
      <c r="I580" s="383" t="s">
        <v>4078</v>
      </c>
      <c r="J580" s="383" t="s">
        <v>4079</v>
      </c>
      <c r="K580" s="383" t="s">
        <v>1939</v>
      </c>
      <c r="L580" s="383" t="s">
        <v>8341</v>
      </c>
      <c r="M580" s="383" t="s">
        <v>10392</v>
      </c>
      <c r="N580" s="9" t="s">
        <v>44</v>
      </c>
      <c r="O580" s="383" t="str">
        <f>IF(LEN(SUBSTITUTE(Table3937[[#This Row],[PRIMARY CONTACT]]," ",""))=10,SUBSTITUTE(Table3937[[#This Row],[PRIMARY CONTACT]]," ","") &amp; " - Proper","- Follow Up")</f>
        <v>9320053632 - Proper</v>
      </c>
      <c r="P580" s="383" t="s">
        <v>3869</v>
      </c>
      <c r="Q580" s="383">
        <v>9320053632</v>
      </c>
      <c r="R580" s="383" t="str">
        <f>SUBSTITUTE(Table3937[[#This Row],[whatsapp_number]]," ","")</f>
        <v>9320053632</v>
      </c>
      <c r="S580" s="383" t="str">
        <f>IF(Table3937[[#This Row],[PRIMARY CONTACT]]=Table3937[[#This Row],[WHATSAPP CONTACT]],"Same Contact","Different Contact")</f>
        <v>Same Contact</v>
      </c>
      <c r="T580" s="383" t="str">
        <f>IF(LEN(SUBSTITUTE(Table3937[[#This Row],[PRIMARY CONTACT]]," ",""))=10,SUBSTITUTE(Table3937[[#This Row],[PRIMARY CONTACT]]," ","") &amp; " - Proper","- Follow Up")</f>
        <v>9320053632 - Proper</v>
      </c>
      <c r="U580" s="383" t="s">
        <v>10624</v>
      </c>
      <c r="V580" s="383" t="s">
        <v>71</v>
      </c>
      <c r="W580" s="383" t="s">
        <v>47</v>
      </c>
      <c r="X580" s="5" t="s">
        <v>1406</v>
      </c>
      <c r="Y580" s="5" t="s">
        <v>49</v>
      </c>
      <c r="Z580" s="5" t="s">
        <v>7444</v>
      </c>
      <c r="AA580" s="5" t="s">
        <v>7445</v>
      </c>
      <c r="AB580" s="383"/>
    </row>
    <row r="581" spans="1:28" ht="13.8">
      <c r="A581" s="387">
        <v>580</v>
      </c>
      <c r="B581" s="416" t="s">
        <v>8175</v>
      </c>
      <c r="C581" s="383" t="s">
        <v>10844</v>
      </c>
      <c r="D581" s="383" t="s">
        <v>10808</v>
      </c>
      <c r="E581" s="383" t="s">
        <v>9079</v>
      </c>
      <c r="F581" s="383">
        <v>1296</v>
      </c>
      <c r="G581" s="383" t="s">
        <v>71</v>
      </c>
      <c r="H581" s="383" t="s">
        <v>4084</v>
      </c>
      <c r="I581" s="383" t="s">
        <v>4085</v>
      </c>
      <c r="J581" s="383" t="s">
        <v>4086</v>
      </c>
      <c r="K581" s="383" t="s">
        <v>9566</v>
      </c>
      <c r="L581" s="383" t="s">
        <v>8341</v>
      </c>
      <c r="M581" s="383" t="s">
        <v>10393</v>
      </c>
      <c r="N581" s="9">
        <v>9653287841</v>
      </c>
      <c r="O581" s="383" t="str">
        <f>IF(LEN(SUBSTITUTE(Table3937[[#This Row],[PRIMARY CONTACT]]," ",""))=10,SUBSTITUTE(Table3937[[#This Row],[PRIMARY CONTACT]]," ","") &amp; " - Proper","- Follow Up")</f>
        <v>9322236151 - Proper</v>
      </c>
      <c r="P581" s="383" t="s">
        <v>3869</v>
      </c>
      <c r="Q581" s="383">
        <v>9322236151</v>
      </c>
      <c r="R581" s="383" t="str">
        <f>SUBSTITUTE(Table3937[[#This Row],[whatsapp_number]]," ","")</f>
        <v>9322236151</v>
      </c>
      <c r="S581" s="383" t="str">
        <f>IF(Table3937[[#This Row],[PRIMARY CONTACT]]=Table3937[[#This Row],[WHATSAPP CONTACT]],"Same Contact","Different Contact")</f>
        <v>Same Contact</v>
      </c>
      <c r="T581" s="383" t="str">
        <f>IF(LEN(SUBSTITUTE(Table3937[[#This Row],[PRIMARY CONTACT]]," ",""))=10,SUBSTITUTE(Table3937[[#This Row],[PRIMARY CONTACT]]," ","") &amp; " - Proper","- Follow Up")</f>
        <v>9322236151 - Proper</v>
      </c>
      <c r="U581" s="383" t="s">
        <v>10625</v>
      </c>
      <c r="V581" s="383" t="s">
        <v>71</v>
      </c>
      <c r="W581" s="383" t="s">
        <v>47</v>
      </c>
      <c r="X581" s="5" t="s">
        <v>1406</v>
      </c>
      <c r="Y581" s="5" t="s">
        <v>49</v>
      </c>
      <c r="Z581" s="5" t="s">
        <v>7444</v>
      </c>
      <c r="AA581" s="5" t="s">
        <v>7445</v>
      </c>
      <c r="AB581" s="383"/>
    </row>
    <row r="582" spans="1:28" ht="13.8">
      <c r="A582" s="387">
        <v>581</v>
      </c>
      <c r="B582" s="416" t="s">
        <v>8178</v>
      </c>
      <c r="C582" s="383" t="s">
        <v>10743</v>
      </c>
      <c r="D582" s="383" t="s">
        <v>10809</v>
      </c>
      <c r="E582" s="383" t="s">
        <v>9080</v>
      </c>
      <c r="F582" s="383">
        <v>1297</v>
      </c>
      <c r="G582" s="383" t="s">
        <v>71</v>
      </c>
      <c r="H582" s="383" t="s">
        <v>4091</v>
      </c>
      <c r="I582" s="383" t="s">
        <v>4092</v>
      </c>
      <c r="J582" s="383" t="s">
        <v>4093</v>
      </c>
      <c r="K582" s="383" t="s">
        <v>9567</v>
      </c>
      <c r="L582" s="383" t="s">
        <v>8341</v>
      </c>
      <c r="M582" s="383" t="s">
        <v>10394</v>
      </c>
      <c r="N582" s="9" t="s">
        <v>44</v>
      </c>
      <c r="O582" s="383" t="str">
        <f>IF(LEN(SUBSTITUTE(Table3937[[#This Row],[PRIMARY CONTACT]]," ",""))=10,SUBSTITUTE(Table3937[[#This Row],[PRIMARY CONTACT]]," ","") &amp; " - Proper","- Follow Up")</f>
        <v>9869061087 - Proper</v>
      </c>
      <c r="P582" s="383" t="s">
        <v>3869</v>
      </c>
      <c r="Q582" s="383">
        <v>9869061087</v>
      </c>
      <c r="R582" s="383" t="str">
        <f>SUBSTITUTE(Table3937[[#This Row],[whatsapp_number]]," ","")</f>
        <v>9869061087</v>
      </c>
      <c r="S582" s="383" t="str">
        <f>IF(Table3937[[#This Row],[PRIMARY CONTACT]]=Table3937[[#This Row],[WHATSAPP CONTACT]],"Same Contact","Different Contact")</f>
        <v>Same Contact</v>
      </c>
      <c r="T582" s="383" t="str">
        <f>IF(LEN(SUBSTITUTE(Table3937[[#This Row],[PRIMARY CONTACT]]," ",""))=10,SUBSTITUTE(Table3937[[#This Row],[PRIMARY CONTACT]]," ","") &amp; " - Proper","- Follow Up")</f>
        <v>9869061087 - Proper</v>
      </c>
      <c r="U582" s="383" t="s">
        <v>8341</v>
      </c>
      <c r="V582" s="383" t="s">
        <v>71</v>
      </c>
      <c r="W582" s="383" t="s">
        <v>47</v>
      </c>
      <c r="X582" s="5" t="s">
        <v>1406</v>
      </c>
      <c r="Y582" s="5" t="s">
        <v>49</v>
      </c>
      <c r="Z582" s="5" t="s">
        <v>7444</v>
      </c>
      <c r="AA582" s="5" t="s">
        <v>7445</v>
      </c>
      <c r="AB582" s="383"/>
    </row>
    <row r="583" spans="1:28" ht="13.8">
      <c r="A583" s="387">
        <v>582</v>
      </c>
      <c r="B583" s="416" t="s">
        <v>8181</v>
      </c>
      <c r="C583" s="383" t="s">
        <v>10743</v>
      </c>
      <c r="D583" s="383" t="s">
        <v>10810</v>
      </c>
      <c r="E583" s="383" t="s">
        <v>9081</v>
      </c>
      <c r="F583" s="383">
        <v>1299</v>
      </c>
      <c r="G583" s="383" t="s">
        <v>71</v>
      </c>
      <c r="H583" s="383" t="s">
        <v>4097</v>
      </c>
      <c r="I583" s="383" t="s">
        <v>4098</v>
      </c>
      <c r="J583" s="383" t="s">
        <v>4099</v>
      </c>
      <c r="K583" s="383" t="s">
        <v>9568</v>
      </c>
      <c r="L583" s="383" t="s">
        <v>8341</v>
      </c>
      <c r="M583" s="383" t="s">
        <v>10395</v>
      </c>
      <c r="N583" s="9" t="s">
        <v>44</v>
      </c>
      <c r="O583" s="383" t="str">
        <f>IF(LEN(SUBSTITUTE(Table3937[[#This Row],[PRIMARY CONTACT]]," ",""))=10,SUBSTITUTE(Table3937[[#This Row],[PRIMARY CONTACT]]," ","") &amp; " - Proper","- Follow Up")</f>
        <v>9869305269 - Proper</v>
      </c>
      <c r="P583" s="383" t="s">
        <v>3869</v>
      </c>
      <c r="Q583" s="383">
        <v>9869305269</v>
      </c>
      <c r="R583" s="383" t="str">
        <f>SUBSTITUTE(Table3937[[#This Row],[whatsapp_number]]," ","")</f>
        <v>9869305269</v>
      </c>
      <c r="S583" s="383" t="str">
        <f>IF(Table3937[[#This Row],[PRIMARY CONTACT]]=Table3937[[#This Row],[WHATSAPP CONTACT]],"Same Contact","Different Contact")</f>
        <v>Same Contact</v>
      </c>
      <c r="T583" s="383" t="str">
        <f>IF(LEN(SUBSTITUTE(Table3937[[#This Row],[PRIMARY CONTACT]]," ",""))=10,SUBSTITUTE(Table3937[[#This Row],[PRIMARY CONTACT]]," ","") &amp; " - Proper","- Follow Up")</f>
        <v>9869305269 - Proper</v>
      </c>
      <c r="U583" s="383" t="s">
        <v>10626</v>
      </c>
      <c r="V583" s="383" t="s">
        <v>71</v>
      </c>
      <c r="W583" s="383" t="s">
        <v>47</v>
      </c>
      <c r="X583" s="5" t="s">
        <v>1406</v>
      </c>
      <c r="Y583" s="5" t="s">
        <v>49</v>
      </c>
      <c r="Z583" s="5" t="s">
        <v>7444</v>
      </c>
      <c r="AA583" s="5" t="s">
        <v>7445</v>
      </c>
      <c r="AB583" s="383"/>
    </row>
    <row r="584" spans="1:28" ht="13.8">
      <c r="A584" s="387">
        <v>583</v>
      </c>
      <c r="B584" s="416" t="s">
        <v>8184</v>
      </c>
      <c r="C584" s="383" t="s">
        <v>10743</v>
      </c>
      <c r="D584" s="383" t="s">
        <v>10811</v>
      </c>
      <c r="E584" s="383" t="s">
        <v>9082</v>
      </c>
      <c r="F584" s="383">
        <v>1300</v>
      </c>
      <c r="G584" s="383" t="s">
        <v>71</v>
      </c>
      <c r="H584" s="383" t="s">
        <v>4104</v>
      </c>
      <c r="I584" s="383" t="s">
        <v>4105</v>
      </c>
      <c r="J584" s="383" t="s">
        <v>4106</v>
      </c>
      <c r="K584" s="383" t="s">
        <v>4107</v>
      </c>
      <c r="L584" s="383" t="s">
        <v>8341</v>
      </c>
      <c r="M584" s="383" t="s">
        <v>10396</v>
      </c>
      <c r="N584" s="9" t="s">
        <v>44</v>
      </c>
      <c r="O584" s="383" t="str">
        <f>IF(LEN(SUBSTITUTE(Table3937[[#This Row],[PRIMARY CONTACT]]," ",""))=10,SUBSTITUTE(Table3937[[#This Row],[PRIMARY CONTACT]]," ","") &amp; " - Proper","- Follow Up")</f>
        <v>9892441818 - Proper</v>
      </c>
      <c r="P584" s="383" t="s">
        <v>3869</v>
      </c>
      <c r="Q584" s="383">
        <v>9892441818</v>
      </c>
      <c r="R584" s="383" t="str">
        <f>SUBSTITUTE(Table3937[[#This Row],[whatsapp_number]]," ","")</f>
        <v>9892441818</v>
      </c>
      <c r="S584" s="383" t="str">
        <f>IF(Table3937[[#This Row],[PRIMARY CONTACT]]=Table3937[[#This Row],[WHATSAPP CONTACT]],"Same Contact","Different Contact")</f>
        <v>Same Contact</v>
      </c>
      <c r="T584" s="383" t="str">
        <f>IF(LEN(SUBSTITUTE(Table3937[[#This Row],[PRIMARY CONTACT]]," ",""))=10,SUBSTITUTE(Table3937[[#This Row],[PRIMARY CONTACT]]," ","") &amp; " - Proper","- Follow Up")</f>
        <v>9892441818 - Proper</v>
      </c>
      <c r="U584" s="383" t="s">
        <v>10627</v>
      </c>
      <c r="V584" s="383" t="s">
        <v>71</v>
      </c>
      <c r="W584" s="383" t="s">
        <v>47</v>
      </c>
      <c r="X584" s="5" t="s">
        <v>1406</v>
      </c>
      <c r="Y584" s="5" t="s">
        <v>49</v>
      </c>
      <c r="Z584" s="5" t="s">
        <v>7444</v>
      </c>
      <c r="AA584" s="5" t="s">
        <v>7445</v>
      </c>
      <c r="AB584" s="383"/>
    </row>
    <row r="585" spans="1:28" ht="13.8">
      <c r="A585" s="387">
        <v>584</v>
      </c>
      <c r="B585" s="416" t="s">
        <v>8187</v>
      </c>
      <c r="C585" s="383" t="s">
        <v>10844</v>
      </c>
      <c r="D585" s="383" t="s">
        <v>10812</v>
      </c>
      <c r="E585" s="383" t="s">
        <v>9083</v>
      </c>
      <c r="F585" s="383">
        <v>1301</v>
      </c>
      <c r="G585" s="383" t="s">
        <v>71</v>
      </c>
      <c r="H585" s="383" t="s">
        <v>4111</v>
      </c>
      <c r="I585" s="383" t="s">
        <v>8525</v>
      </c>
      <c r="J585" s="383" t="s">
        <v>4113</v>
      </c>
      <c r="K585" s="383" t="s">
        <v>4114</v>
      </c>
      <c r="L585" s="383" t="s">
        <v>8341</v>
      </c>
      <c r="M585" s="383" t="s">
        <v>10397</v>
      </c>
      <c r="N585" s="9" t="s">
        <v>44</v>
      </c>
      <c r="O585" s="383" t="str">
        <f>IF(LEN(SUBSTITUTE(Table3937[[#This Row],[PRIMARY CONTACT]]," ",""))=10,SUBSTITUTE(Table3937[[#This Row],[PRIMARY CONTACT]]," ","") &amp; " - Proper","- Follow Up")</f>
        <v>8169780935 - Proper</v>
      </c>
      <c r="P585" s="383" t="s">
        <v>3869</v>
      </c>
      <c r="Q585" s="383">
        <v>8169780935</v>
      </c>
      <c r="R585" s="383" t="str">
        <f>SUBSTITUTE(Table3937[[#This Row],[whatsapp_number]]," ","")</f>
        <v>8169780935</v>
      </c>
      <c r="S585" s="383" t="str">
        <f>IF(Table3937[[#This Row],[PRIMARY CONTACT]]=Table3937[[#This Row],[WHATSAPP CONTACT]],"Same Contact","Different Contact")</f>
        <v>Same Contact</v>
      </c>
      <c r="T585" s="383" t="str">
        <f>IF(LEN(SUBSTITUTE(Table3937[[#This Row],[PRIMARY CONTACT]]," ",""))=10,SUBSTITUTE(Table3937[[#This Row],[PRIMARY CONTACT]]," ","") &amp; " - Proper","- Follow Up")</f>
        <v>8169780935 - Proper</v>
      </c>
      <c r="U585" s="383" t="s">
        <v>10628</v>
      </c>
      <c r="V585" s="383" t="s">
        <v>71</v>
      </c>
      <c r="W585" s="383" t="s">
        <v>47</v>
      </c>
      <c r="X585" s="5" t="s">
        <v>1406</v>
      </c>
      <c r="Y585" s="5" t="s">
        <v>49</v>
      </c>
      <c r="Z585" s="5" t="s">
        <v>7444</v>
      </c>
      <c r="AA585" s="5" t="s">
        <v>7445</v>
      </c>
      <c r="AB585" s="383"/>
    </row>
    <row r="586" spans="1:28" ht="13.8">
      <c r="A586" s="387">
        <v>585</v>
      </c>
      <c r="B586" s="415" t="s">
        <v>8190</v>
      </c>
      <c r="C586" s="383" t="s">
        <v>10743</v>
      </c>
      <c r="D586" s="383" t="s">
        <v>10813</v>
      </c>
      <c r="E586" s="383" t="s">
        <v>9084</v>
      </c>
      <c r="F586" s="383">
        <v>1302</v>
      </c>
      <c r="G586" s="383" t="s">
        <v>71</v>
      </c>
      <c r="H586" s="383" t="s">
        <v>4118</v>
      </c>
      <c r="I586" s="383" t="s">
        <v>8526</v>
      </c>
      <c r="J586" s="383" t="s">
        <v>9451</v>
      </c>
      <c r="K586" s="383" t="s">
        <v>9569</v>
      </c>
      <c r="L586" s="383" t="s">
        <v>8341</v>
      </c>
      <c r="M586" s="383" t="s">
        <v>10398</v>
      </c>
      <c r="N586" s="9" t="s">
        <v>44</v>
      </c>
      <c r="O586" s="383" t="str">
        <f>IF(LEN(SUBSTITUTE(Table3937[[#This Row],[PRIMARY CONTACT]]," ",""))=10,SUBSTITUTE(Table3937[[#This Row],[PRIMARY CONTACT]]," ","") &amp; " - Proper","- Follow Up")</f>
        <v>9987171736 - Proper</v>
      </c>
      <c r="P586" s="383" t="s">
        <v>3869</v>
      </c>
      <c r="Q586" s="383">
        <v>9987171736</v>
      </c>
      <c r="R586" s="383" t="str">
        <f>SUBSTITUTE(Table3937[[#This Row],[whatsapp_number]]," ","")</f>
        <v>9987171736</v>
      </c>
      <c r="S586" s="383" t="str">
        <f>IF(Table3937[[#This Row],[PRIMARY CONTACT]]=Table3937[[#This Row],[WHATSAPP CONTACT]],"Same Contact","Different Contact")</f>
        <v>Same Contact</v>
      </c>
      <c r="T586" s="383" t="str">
        <f>IF(LEN(SUBSTITUTE(Table3937[[#This Row],[PRIMARY CONTACT]]," ",""))=10,SUBSTITUTE(Table3937[[#This Row],[PRIMARY CONTACT]]," ","") &amp; " - Proper","- Follow Up")</f>
        <v>9987171736 - Proper</v>
      </c>
      <c r="U586" s="383" t="s">
        <v>10629</v>
      </c>
      <c r="V586" s="383" t="s">
        <v>71</v>
      </c>
      <c r="W586" s="383" t="s">
        <v>47</v>
      </c>
      <c r="X586" s="5" t="s">
        <v>1406</v>
      </c>
      <c r="Y586" s="5" t="s">
        <v>49</v>
      </c>
      <c r="Z586" s="5" t="s">
        <v>7444</v>
      </c>
      <c r="AA586" s="5" t="s">
        <v>7445</v>
      </c>
      <c r="AB586" s="383"/>
    </row>
    <row r="587" spans="1:28" ht="13.8">
      <c r="A587" s="387">
        <v>586</v>
      </c>
      <c r="B587" s="262" t="s">
        <v>8193</v>
      </c>
      <c r="C587" s="383" t="s">
        <v>10743</v>
      </c>
      <c r="D587" s="383" t="s">
        <v>10814</v>
      </c>
      <c r="E587" s="383" t="s">
        <v>9085</v>
      </c>
      <c r="F587" s="383">
        <v>1303</v>
      </c>
      <c r="G587" s="383" t="s">
        <v>71</v>
      </c>
      <c r="H587" s="383" t="s">
        <v>4125</v>
      </c>
      <c r="I587" s="383" t="s">
        <v>8527</v>
      </c>
      <c r="J587" s="383" t="s">
        <v>4127</v>
      </c>
      <c r="K587" s="383" t="s">
        <v>4128</v>
      </c>
      <c r="L587" s="383" t="s">
        <v>8341</v>
      </c>
      <c r="M587" s="383" t="s">
        <v>10399</v>
      </c>
      <c r="N587" s="9" t="s">
        <v>44</v>
      </c>
      <c r="O587" s="383" t="str">
        <f>IF(LEN(SUBSTITUTE(Table3937[[#This Row],[PRIMARY CONTACT]]," ",""))=10,SUBSTITUTE(Table3937[[#This Row],[PRIMARY CONTACT]]," ","") &amp; " - Proper","- Follow Up")</f>
        <v>9892988369 - Proper</v>
      </c>
      <c r="P587" s="383" t="s">
        <v>3869</v>
      </c>
      <c r="Q587" s="383">
        <v>9892988369</v>
      </c>
      <c r="R587" s="383" t="str">
        <f>SUBSTITUTE(Table3937[[#This Row],[whatsapp_number]]," ","")</f>
        <v>9892988369</v>
      </c>
      <c r="S587" s="383" t="str">
        <f>IF(Table3937[[#This Row],[PRIMARY CONTACT]]=Table3937[[#This Row],[WHATSAPP CONTACT]],"Same Contact","Different Contact")</f>
        <v>Same Contact</v>
      </c>
      <c r="T587" s="383" t="str">
        <f>IF(LEN(SUBSTITUTE(Table3937[[#This Row],[PRIMARY CONTACT]]," ",""))=10,SUBSTITUTE(Table3937[[#This Row],[PRIMARY CONTACT]]," ","") &amp; " - Proper","- Follow Up")</f>
        <v>9892988369 - Proper</v>
      </c>
      <c r="U587" s="383" t="s">
        <v>10630</v>
      </c>
      <c r="V587" s="383" t="s">
        <v>71</v>
      </c>
      <c r="W587" s="383" t="s">
        <v>47</v>
      </c>
      <c r="X587" s="5" t="s">
        <v>1406</v>
      </c>
      <c r="Y587" s="5" t="s">
        <v>49</v>
      </c>
      <c r="Z587" s="5" t="s">
        <v>7444</v>
      </c>
      <c r="AA587" s="5" t="s">
        <v>7445</v>
      </c>
      <c r="AB587" s="383"/>
    </row>
    <row r="588" spans="1:28" ht="13.8">
      <c r="A588" s="387">
        <v>587</v>
      </c>
      <c r="B588" s="262" t="s">
        <v>8196</v>
      </c>
      <c r="C588" s="383" t="s">
        <v>10743</v>
      </c>
      <c r="D588" s="383" t="s">
        <v>10815</v>
      </c>
      <c r="E588" s="383" t="s">
        <v>9086</v>
      </c>
      <c r="F588" s="383">
        <v>1304</v>
      </c>
      <c r="G588" s="383" t="s">
        <v>4132</v>
      </c>
      <c r="H588" s="383" t="s">
        <v>4133</v>
      </c>
      <c r="I588" s="383" t="s">
        <v>4134</v>
      </c>
      <c r="J588" s="383" t="s">
        <v>4135</v>
      </c>
      <c r="K588" s="383" t="s">
        <v>4136</v>
      </c>
      <c r="L588" s="383" t="s">
        <v>9773</v>
      </c>
      <c r="M588" s="383" t="s">
        <v>10400</v>
      </c>
      <c r="N588" s="9" t="s">
        <v>44</v>
      </c>
      <c r="O588" s="383" t="str">
        <f>IF(LEN(SUBSTITUTE(Table3937[[#This Row],[PRIMARY CONTACT]]," ",""))=10,SUBSTITUTE(Table3937[[#This Row],[PRIMARY CONTACT]]," ","") &amp; " - Proper","- Follow Up")</f>
        <v>9913553605 - Proper</v>
      </c>
      <c r="P588" s="383" t="s">
        <v>3869</v>
      </c>
      <c r="Q588" s="383">
        <v>9913553605</v>
      </c>
      <c r="R588" s="383" t="str">
        <f>SUBSTITUTE(Table3937[[#This Row],[whatsapp_number]]," ","")</f>
        <v>9913553605</v>
      </c>
      <c r="S588" s="383" t="str">
        <f>IF(Table3937[[#This Row],[PRIMARY CONTACT]]=Table3937[[#This Row],[WHATSAPP CONTACT]],"Same Contact","Different Contact")</f>
        <v>Same Contact</v>
      </c>
      <c r="T588" s="383" t="str">
        <f>IF(LEN(SUBSTITUTE(Table3937[[#This Row],[PRIMARY CONTACT]]," ",""))=10,SUBSTITUTE(Table3937[[#This Row],[PRIMARY CONTACT]]," ","") &amp; " - Proper","- Follow Up")</f>
        <v>9913553605 - Proper</v>
      </c>
      <c r="U588" s="383" t="s">
        <v>4138</v>
      </c>
      <c r="V588" s="383" t="s">
        <v>71</v>
      </c>
      <c r="W588" s="383" t="s">
        <v>47</v>
      </c>
      <c r="X588" s="5" t="s">
        <v>1406</v>
      </c>
      <c r="Y588" s="5" t="s">
        <v>49</v>
      </c>
      <c r="Z588" s="5" t="s">
        <v>7444</v>
      </c>
      <c r="AA588" s="5" t="s">
        <v>7445</v>
      </c>
      <c r="AB588" s="383"/>
    </row>
    <row r="589" spans="1:28" ht="13.8">
      <c r="A589" s="387">
        <v>588</v>
      </c>
      <c r="B589" s="262" t="s">
        <v>8198</v>
      </c>
      <c r="C589" s="383" t="s">
        <v>10743</v>
      </c>
      <c r="D589" s="383" t="s">
        <v>10816</v>
      </c>
      <c r="E589" s="383" t="s">
        <v>9087</v>
      </c>
      <c r="F589" s="383">
        <v>1305</v>
      </c>
      <c r="G589" s="383" t="s">
        <v>71</v>
      </c>
      <c r="H589" s="383" t="s">
        <v>4141</v>
      </c>
      <c r="I589" s="383" t="s">
        <v>4142</v>
      </c>
      <c r="J589" s="383" t="s">
        <v>4143</v>
      </c>
      <c r="K589" s="383" t="s">
        <v>4144</v>
      </c>
      <c r="L589" s="383" t="s">
        <v>8341</v>
      </c>
      <c r="M589" s="383" t="s">
        <v>10401</v>
      </c>
      <c r="N589" s="9" t="s">
        <v>44</v>
      </c>
      <c r="O589" s="383" t="str">
        <f>IF(LEN(SUBSTITUTE(Table3937[[#This Row],[PRIMARY CONTACT]]," ",""))=10,SUBSTITUTE(Table3937[[#This Row],[PRIMARY CONTACT]]," ","") &amp; " - Proper","- Follow Up")</f>
        <v>9326065636 - Proper</v>
      </c>
      <c r="P589" s="383" t="s">
        <v>3869</v>
      </c>
      <c r="Q589" s="383">
        <v>9326065636</v>
      </c>
      <c r="R589" s="383" t="str">
        <f>SUBSTITUTE(Table3937[[#This Row],[whatsapp_number]]," ","")</f>
        <v>9326065636</v>
      </c>
      <c r="S589" s="383" t="str">
        <f>IF(Table3937[[#This Row],[PRIMARY CONTACT]]=Table3937[[#This Row],[WHATSAPP CONTACT]],"Same Contact","Different Contact")</f>
        <v>Same Contact</v>
      </c>
      <c r="T589" s="383" t="str">
        <f>IF(LEN(SUBSTITUTE(Table3937[[#This Row],[PRIMARY CONTACT]]," ",""))=10,SUBSTITUTE(Table3937[[#This Row],[PRIMARY CONTACT]]," ","") &amp; " - Proper","- Follow Up")</f>
        <v>9326065636 - Proper</v>
      </c>
      <c r="U589" s="383" t="s">
        <v>10631</v>
      </c>
      <c r="V589" s="383" t="s">
        <v>71</v>
      </c>
      <c r="W589" s="383" t="s">
        <v>47</v>
      </c>
      <c r="X589" s="5" t="s">
        <v>1406</v>
      </c>
      <c r="Y589" s="5" t="s">
        <v>49</v>
      </c>
      <c r="Z589" s="5" t="s">
        <v>7444</v>
      </c>
      <c r="AA589" s="5" t="s">
        <v>7445</v>
      </c>
      <c r="AB589" s="383"/>
    </row>
    <row r="590" spans="1:28" ht="13.8">
      <c r="A590" s="387">
        <v>589</v>
      </c>
      <c r="B590" s="262" t="s">
        <v>8202</v>
      </c>
      <c r="C590" s="383" t="s">
        <v>10743</v>
      </c>
      <c r="D590" s="383" t="s">
        <v>10817</v>
      </c>
      <c r="E590" s="383" t="s">
        <v>9088</v>
      </c>
      <c r="F590" s="383">
        <v>1306</v>
      </c>
      <c r="G590" s="383" t="s">
        <v>71</v>
      </c>
      <c r="H590" s="383" t="s">
        <v>4148</v>
      </c>
      <c r="I590" s="383" t="s">
        <v>8528</v>
      </c>
      <c r="J590" s="383" t="s">
        <v>4150</v>
      </c>
      <c r="K590" s="383" t="s">
        <v>9570</v>
      </c>
      <c r="L590" s="383" t="s">
        <v>8341</v>
      </c>
      <c r="M590" s="383" t="s">
        <v>10402</v>
      </c>
      <c r="N590" s="9" t="s">
        <v>44</v>
      </c>
      <c r="O590" s="383" t="str">
        <f>IF(LEN(SUBSTITUTE(Table3937[[#This Row],[PRIMARY CONTACT]]," ",""))=10,SUBSTITUTE(Table3937[[#This Row],[PRIMARY CONTACT]]," ","") &amp; " - Proper","- Follow Up")</f>
        <v>8928256074 - Proper</v>
      </c>
      <c r="P590" s="383" t="s">
        <v>3869</v>
      </c>
      <c r="Q590" s="383">
        <v>8928256074</v>
      </c>
      <c r="R590" s="383" t="str">
        <f>SUBSTITUTE(Table3937[[#This Row],[whatsapp_number]]," ","")</f>
        <v>8928256074</v>
      </c>
      <c r="S590" s="383" t="str">
        <f>IF(Table3937[[#This Row],[PRIMARY CONTACT]]=Table3937[[#This Row],[WHATSAPP CONTACT]],"Same Contact","Different Contact")</f>
        <v>Same Contact</v>
      </c>
      <c r="T590" s="383" t="str">
        <f>IF(LEN(SUBSTITUTE(Table3937[[#This Row],[PRIMARY CONTACT]]," ",""))=10,SUBSTITUTE(Table3937[[#This Row],[PRIMARY CONTACT]]," ","") &amp; " - Proper","- Follow Up")</f>
        <v>8928256074 - Proper</v>
      </c>
      <c r="U590" s="383" t="s">
        <v>4152</v>
      </c>
      <c r="V590" s="383" t="s">
        <v>71</v>
      </c>
      <c r="W590" s="383" t="s">
        <v>47</v>
      </c>
      <c r="X590" s="5" t="s">
        <v>1406</v>
      </c>
      <c r="Y590" s="5" t="s">
        <v>49</v>
      </c>
      <c r="Z590" s="5" t="s">
        <v>7444</v>
      </c>
      <c r="AA590" s="5" t="s">
        <v>7445</v>
      </c>
      <c r="AB590" s="383"/>
    </row>
    <row r="591" spans="1:28" ht="13.8">
      <c r="A591" s="387">
        <v>590</v>
      </c>
      <c r="B591" s="262" t="s">
        <v>8205</v>
      </c>
      <c r="C591" s="383" t="s">
        <v>10743</v>
      </c>
      <c r="D591" s="383" t="s">
        <v>10818</v>
      </c>
      <c r="E591" s="383" t="s">
        <v>9089</v>
      </c>
      <c r="F591" s="383">
        <v>1307</v>
      </c>
      <c r="G591" s="383" t="s">
        <v>71</v>
      </c>
      <c r="H591" s="383" t="s">
        <v>4155</v>
      </c>
      <c r="I591" s="383" t="s">
        <v>8529</v>
      </c>
      <c r="J591" s="383" t="s">
        <v>4157</v>
      </c>
      <c r="K591" s="383" t="s">
        <v>9571</v>
      </c>
      <c r="L591" s="383" t="s">
        <v>8341</v>
      </c>
      <c r="M591" s="383" t="s">
        <v>10403</v>
      </c>
      <c r="N591" s="9" t="s">
        <v>44</v>
      </c>
      <c r="O591" s="383" t="str">
        <f>IF(LEN(SUBSTITUTE(Table3937[[#This Row],[PRIMARY CONTACT]]," ",""))=10,SUBSTITUTE(Table3937[[#This Row],[PRIMARY CONTACT]]," ","") &amp; " - Proper","- Follow Up")</f>
        <v>8452825740 - Proper</v>
      </c>
      <c r="P591" s="383" t="s">
        <v>3869</v>
      </c>
      <c r="Q591" s="383">
        <v>8452825740</v>
      </c>
      <c r="R591" s="383" t="str">
        <f>SUBSTITUTE(Table3937[[#This Row],[whatsapp_number]]," ","")</f>
        <v>8452825740</v>
      </c>
      <c r="S591" s="383" t="str">
        <f>IF(Table3937[[#This Row],[PRIMARY CONTACT]]=Table3937[[#This Row],[WHATSAPP CONTACT]],"Same Contact","Different Contact")</f>
        <v>Same Contact</v>
      </c>
      <c r="T591" s="383" t="str">
        <f>IF(LEN(SUBSTITUTE(Table3937[[#This Row],[PRIMARY CONTACT]]," ",""))=10,SUBSTITUTE(Table3937[[#This Row],[PRIMARY CONTACT]]," ","") &amp; " - Proper","- Follow Up")</f>
        <v>8452825740 - Proper</v>
      </c>
      <c r="U591" s="383" t="s">
        <v>10632</v>
      </c>
      <c r="V591" s="383" t="s">
        <v>71</v>
      </c>
      <c r="W591" s="383" t="s">
        <v>47</v>
      </c>
      <c r="X591" s="5" t="s">
        <v>1406</v>
      </c>
      <c r="Y591" s="5" t="s">
        <v>49</v>
      </c>
      <c r="Z591" s="5" t="s">
        <v>7444</v>
      </c>
      <c r="AA591" s="5" t="s">
        <v>7445</v>
      </c>
      <c r="AB591" s="383"/>
    </row>
    <row r="592" spans="1:28" ht="13.8">
      <c r="A592" s="387">
        <v>591</v>
      </c>
      <c r="B592" s="262" t="s">
        <v>8208</v>
      </c>
      <c r="C592" s="383" t="s">
        <v>10743</v>
      </c>
      <c r="D592" s="383" t="s">
        <v>10819</v>
      </c>
      <c r="E592" s="383" t="s">
        <v>9090</v>
      </c>
      <c r="F592" s="383">
        <v>1308</v>
      </c>
      <c r="G592" s="383" t="s">
        <v>71</v>
      </c>
      <c r="H592" s="383" t="s">
        <v>4161</v>
      </c>
      <c r="I592" s="383" t="s">
        <v>4162</v>
      </c>
      <c r="J592" s="383" t="s">
        <v>4163</v>
      </c>
      <c r="K592" s="383" t="s">
        <v>4164</v>
      </c>
      <c r="L592" s="383" t="s">
        <v>8341</v>
      </c>
      <c r="M592" s="383" t="s">
        <v>10404</v>
      </c>
      <c r="N592" s="9" t="s">
        <v>44</v>
      </c>
      <c r="O592" s="383" t="str">
        <f>IF(LEN(SUBSTITUTE(Table3937[[#This Row],[PRIMARY CONTACT]]," ",""))=10,SUBSTITUTE(Table3937[[#This Row],[PRIMARY CONTACT]]," ","") &amp; " - Proper","- Follow Up")</f>
        <v>9920520211 - Proper</v>
      </c>
      <c r="P592" s="383" t="s">
        <v>3869</v>
      </c>
      <c r="Q592" s="383">
        <v>9920520211</v>
      </c>
      <c r="R592" s="383" t="str">
        <f>SUBSTITUTE(Table3937[[#This Row],[whatsapp_number]]," ","")</f>
        <v>9920520211</v>
      </c>
      <c r="S592" s="383" t="str">
        <f>IF(Table3937[[#This Row],[PRIMARY CONTACT]]=Table3937[[#This Row],[WHATSAPP CONTACT]],"Same Contact","Different Contact")</f>
        <v>Same Contact</v>
      </c>
      <c r="T592" s="383" t="str">
        <f>IF(LEN(SUBSTITUTE(Table3937[[#This Row],[PRIMARY CONTACT]]," ",""))=10,SUBSTITUTE(Table3937[[#This Row],[PRIMARY CONTACT]]," ","") &amp; " - Proper","- Follow Up")</f>
        <v>9920520211 - Proper</v>
      </c>
      <c r="U592" s="383" t="s">
        <v>10633</v>
      </c>
      <c r="V592" s="383" t="s">
        <v>71</v>
      </c>
      <c r="W592" s="383" t="s">
        <v>47</v>
      </c>
      <c r="X592" s="5" t="s">
        <v>1406</v>
      </c>
      <c r="Y592" s="5" t="s">
        <v>49</v>
      </c>
      <c r="Z592" s="5" t="s">
        <v>7444</v>
      </c>
      <c r="AA592" s="5" t="s">
        <v>7445</v>
      </c>
      <c r="AB592" s="383"/>
    </row>
    <row r="593" spans="1:28" ht="13.8">
      <c r="A593" s="387">
        <v>592</v>
      </c>
      <c r="B593" s="262" t="s">
        <v>8211</v>
      </c>
      <c r="C593" s="383" t="s">
        <v>10743</v>
      </c>
      <c r="D593" s="383" t="s">
        <v>10820</v>
      </c>
      <c r="E593" s="383" t="s">
        <v>9091</v>
      </c>
      <c r="F593" s="383">
        <v>1309</v>
      </c>
      <c r="G593" s="383" t="s">
        <v>4168</v>
      </c>
      <c r="H593" s="383" t="s">
        <v>4169</v>
      </c>
      <c r="I593" s="383" t="s">
        <v>8530</v>
      </c>
      <c r="J593" s="383" t="s">
        <v>4171</v>
      </c>
      <c r="K593" s="383" t="s">
        <v>9572</v>
      </c>
      <c r="L593" s="383" t="s">
        <v>9774</v>
      </c>
      <c r="M593" s="383" t="s">
        <v>10405</v>
      </c>
      <c r="N593" s="9" t="s">
        <v>44</v>
      </c>
      <c r="O593" s="383" t="str">
        <f>IF(LEN(SUBSTITUTE(Table3937[[#This Row],[PRIMARY CONTACT]]," ",""))=10,SUBSTITUTE(Table3937[[#This Row],[PRIMARY CONTACT]]," ","") &amp; " - Proper","- Follow Up")</f>
        <v>9987012368 - Proper</v>
      </c>
      <c r="P593" s="383" t="s">
        <v>3869</v>
      </c>
      <c r="Q593" s="383">
        <v>9987012368</v>
      </c>
      <c r="R593" s="383" t="str">
        <f>SUBSTITUTE(Table3937[[#This Row],[whatsapp_number]]," ","")</f>
        <v>9987012368</v>
      </c>
      <c r="S593" s="383" t="str">
        <f>IF(Table3937[[#This Row],[PRIMARY CONTACT]]=Table3937[[#This Row],[WHATSAPP CONTACT]],"Same Contact","Different Contact")</f>
        <v>Same Contact</v>
      </c>
      <c r="T593" s="383" t="str">
        <f>IF(LEN(SUBSTITUTE(Table3937[[#This Row],[PRIMARY CONTACT]]," ",""))=10,SUBSTITUTE(Table3937[[#This Row],[PRIMARY CONTACT]]," ","") &amp; " - Proper","- Follow Up")</f>
        <v>9987012368 - Proper</v>
      </c>
      <c r="U593" s="383" t="s">
        <v>10634</v>
      </c>
      <c r="V593" s="393" t="s">
        <v>4175</v>
      </c>
      <c r="W593" s="383" t="s">
        <v>47</v>
      </c>
      <c r="X593" s="5" t="s">
        <v>1406</v>
      </c>
      <c r="Y593" s="5" t="s">
        <v>49</v>
      </c>
      <c r="Z593" s="5" t="s">
        <v>7444</v>
      </c>
      <c r="AA593" s="5" t="s">
        <v>7445</v>
      </c>
      <c r="AB593" s="383"/>
    </row>
    <row r="594" spans="1:28" ht="13.8">
      <c r="A594" s="387">
        <v>593</v>
      </c>
      <c r="B594" s="262" t="s">
        <v>8218</v>
      </c>
      <c r="C594" s="383" t="s">
        <v>10743</v>
      </c>
      <c r="D594" s="383" t="s">
        <v>10821</v>
      </c>
      <c r="E594" s="383" t="s">
        <v>9092</v>
      </c>
      <c r="F594" s="383">
        <v>1310</v>
      </c>
      <c r="G594" s="383" t="s">
        <v>4178</v>
      </c>
      <c r="H594" s="383" t="s">
        <v>4179</v>
      </c>
      <c r="I594" s="383" t="s">
        <v>4180</v>
      </c>
      <c r="J594" s="383" t="s">
        <v>4181</v>
      </c>
      <c r="K594" s="383" t="s">
        <v>4182</v>
      </c>
      <c r="L594" s="383" t="s">
        <v>9775</v>
      </c>
      <c r="M594" s="383" t="s">
        <v>10406</v>
      </c>
      <c r="N594" s="9" t="s">
        <v>44</v>
      </c>
      <c r="O594" s="383" t="str">
        <f>IF(LEN(SUBSTITUTE(Table3937[[#This Row],[PRIMARY CONTACT]]," ",""))=10,SUBSTITUTE(Table3937[[#This Row],[PRIMARY CONTACT]]," ","") &amp; " - Proper","- Follow Up")</f>
        <v>9829621721 - Proper</v>
      </c>
      <c r="P594" s="383" t="s">
        <v>3869</v>
      </c>
      <c r="Q594" s="383">
        <v>9829621721</v>
      </c>
      <c r="R594" s="383" t="str">
        <f>SUBSTITUTE(Table3937[[#This Row],[whatsapp_number]]," ","")</f>
        <v>9829621721</v>
      </c>
      <c r="S594" s="383" t="str">
        <f>IF(Table3937[[#This Row],[PRIMARY CONTACT]]=Table3937[[#This Row],[WHATSAPP CONTACT]],"Same Contact","Different Contact")</f>
        <v>Same Contact</v>
      </c>
      <c r="T594" s="383" t="str">
        <f>IF(LEN(SUBSTITUTE(Table3937[[#This Row],[PRIMARY CONTACT]]," ",""))=10,SUBSTITUTE(Table3937[[#This Row],[PRIMARY CONTACT]]," ","") &amp; " - Proper","- Follow Up")</f>
        <v>9829621721 - Proper</v>
      </c>
      <c r="U594" s="383" t="s">
        <v>10635</v>
      </c>
      <c r="V594" s="393" t="s">
        <v>4185</v>
      </c>
      <c r="W594" s="383" t="s">
        <v>47</v>
      </c>
      <c r="X594" s="5" t="s">
        <v>1406</v>
      </c>
      <c r="Y594" s="5" t="s">
        <v>49</v>
      </c>
      <c r="Z594" s="5" t="s">
        <v>7444</v>
      </c>
      <c r="AA594" s="5" t="s">
        <v>7445</v>
      </c>
      <c r="AB594" s="383"/>
    </row>
    <row r="595" spans="1:28" ht="13.8">
      <c r="A595" s="387">
        <v>594</v>
      </c>
      <c r="B595" s="262" t="s">
        <v>8222</v>
      </c>
      <c r="C595" s="383" t="s">
        <v>10743</v>
      </c>
      <c r="D595" s="383" t="s">
        <v>10822</v>
      </c>
      <c r="E595" s="383" t="s">
        <v>9093</v>
      </c>
      <c r="F595" s="383">
        <v>1311</v>
      </c>
      <c r="G595" s="383" t="s">
        <v>71</v>
      </c>
      <c r="H595" s="383" t="s">
        <v>4188</v>
      </c>
      <c r="I595" s="383" t="s">
        <v>4189</v>
      </c>
      <c r="J595" s="383" t="s">
        <v>4190</v>
      </c>
      <c r="K595" s="383" t="s">
        <v>9573</v>
      </c>
      <c r="L595" s="383" t="s">
        <v>8341</v>
      </c>
      <c r="M595" s="383" t="s">
        <v>10407</v>
      </c>
      <c r="N595" s="9" t="s">
        <v>44</v>
      </c>
      <c r="O595" s="383" t="str">
        <f>IF(LEN(SUBSTITUTE(Table3937[[#This Row],[PRIMARY CONTACT]]," ",""))=10,SUBSTITUTE(Table3937[[#This Row],[PRIMARY CONTACT]]," ","") &amp; " - Proper","- Follow Up")</f>
        <v>8169833371 - Proper</v>
      </c>
      <c r="P595" s="383" t="s">
        <v>3869</v>
      </c>
      <c r="Q595" s="383">
        <v>8169833371</v>
      </c>
      <c r="R595" s="383" t="str">
        <f>SUBSTITUTE(Table3937[[#This Row],[whatsapp_number]]," ","")</f>
        <v>8169833371</v>
      </c>
      <c r="S595" s="383" t="str">
        <f>IF(Table3937[[#This Row],[PRIMARY CONTACT]]=Table3937[[#This Row],[WHATSAPP CONTACT]],"Same Contact","Different Contact")</f>
        <v>Same Contact</v>
      </c>
      <c r="T595" s="383" t="str">
        <f>IF(LEN(SUBSTITUTE(Table3937[[#This Row],[PRIMARY CONTACT]]," ",""))=10,SUBSTITUTE(Table3937[[#This Row],[PRIMARY CONTACT]]," ","") &amp; " - Proper","- Follow Up")</f>
        <v>8169833371 - Proper</v>
      </c>
      <c r="U595" s="383" t="s">
        <v>10636</v>
      </c>
      <c r="V595" s="383" t="s">
        <v>71</v>
      </c>
      <c r="W595" s="383" t="s">
        <v>47</v>
      </c>
      <c r="X595" s="5" t="s">
        <v>1406</v>
      </c>
      <c r="Y595" s="5" t="s">
        <v>49</v>
      </c>
      <c r="Z595" s="5" t="s">
        <v>7444</v>
      </c>
      <c r="AA595" s="5" t="s">
        <v>7445</v>
      </c>
      <c r="AB595" s="383"/>
    </row>
    <row r="596" spans="1:28" ht="13.8">
      <c r="A596" s="387">
        <v>595</v>
      </c>
      <c r="B596" s="262" t="s">
        <v>8225</v>
      </c>
      <c r="C596" s="383" t="s">
        <v>10743</v>
      </c>
      <c r="D596" s="383" t="s">
        <v>10823</v>
      </c>
      <c r="E596" s="383" t="s">
        <v>9094</v>
      </c>
      <c r="F596" s="383">
        <v>1312</v>
      </c>
      <c r="G596" s="383" t="s">
        <v>71</v>
      </c>
      <c r="H596" s="383" t="s">
        <v>4195</v>
      </c>
      <c r="I596" s="383" t="s">
        <v>8531</v>
      </c>
      <c r="J596" s="383" t="s">
        <v>4197</v>
      </c>
      <c r="K596" s="383" t="s">
        <v>4198</v>
      </c>
      <c r="L596" s="383" t="s">
        <v>8341</v>
      </c>
      <c r="M596" s="383" t="s">
        <v>10408</v>
      </c>
      <c r="N596" s="9" t="s">
        <v>44</v>
      </c>
      <c r="O596" s="383" t="str">
        <f>IF(LEN(SUBSTITUTE(Table3937[[#This Row],[PRIMARY CONTACT]]," ",""))=10,SUBSTITUTE(Table3937[[#This Row],[PRIMARY CONTACT]]," ","") &amp; " - Proper","- Follow Up")</f>
        <v>7977409471 - Proper</v>
      </c>
      <c r="P596" s="383" t="s">
        <v>3869</v>
      </c>
      <c r="Q596" s="383">
        <v>7977409471</v>
      </c>
      <c r="R596" s="383" t="str">
        <f>SUBSTITUTE(Table3937[[#This Row],[whatsapp_number]]," ","")</f>
        <v>7977409471</v>
      </c>
      <c r="S596" s="383" t="str">
        <f>IF(Table3937[[#This Row],[PRIMARY CONTACT]]=Table3937[[#This Row],[WHATSAPP CONTACT]],"Same Contact","Different Contact")</f>
        <v>Same Contact</v>
      </c>
      <c r="T596" s="383" t="str">
        <f>IF(LEN(SUBSTITUTE(Table3937[[#This Row],[PRIMARY CONTACT]]," ",""))=10,SUBSTITUTE(Table3937[[#This Row],[PRIMARY CONTACT]]," ","") &amp; " - Proper","- Follow Up")</f>
        <v>7977409471 - Proper</v>
      </c>
      <c r="U596" s="383" t="s">
        <v>8341</v>
      </c>
      <c r="V596" s="383" t="s">
        <v>71</v>
      </c>
      <c r="W596" s="383" t="s">
        <v>47</v>
      </c>
      <c r="X596" s="5" t="s">
        <v>1406</v>
      </c>
      <c r="Y596" s="5" t="s">
        <v>49</v>
      </c>
      <c r="Z596" s="5" t="s">
        <v>7444</v>
      </c>
      <c r="AA596" s="5" t="s">
        <v>7445</v>
      </c>
      <c r="AB596" s="383"/>
    </row>
    <row r="597" spans="1:28" ht="13.8">
      <c r="A597" s="387">
        <v>596</v>
      </c>
      <c r="B597" s="262" t="s">
        <v>8227</v>
      </c>
      <c r="C597" s="383" t="s">
        <v>10743</v>
      </c>
      <c r="D597" s="383" t="s">
        <v>10824</v>
      </c>
      <c r="E597" s="383" t="s">
        <v>9095</v>
      </c>
      <c r="F597" s="383">
        <v>1313</v>
      </c>
      <c r="G597" s="383" t="s">
        <v>71</v>
      </c>
      <c r="H597" s="383" t="s">
        <v>4201</v>
      </c>
      <c r="I597" s="383" t="s">
        <v>4202</v>
      </c>
      <c r="J597" s="383" t="s">
        <v>4203</v>
      </c>
      <c r="K597" s="383" t="s">
        <v>4204</v>
      </c>
      <c r="L597" s="383" t="s">
        <v>8341</v>
      </c>
      <c r="M597" s="383" t="s">
        <v>10409</v>
      </c>
      <c r="N597" s="9">
        <v>9096917776</v>
      </c>
      <c r="O597" s="383" t="str">
        <f>IF(LEN(SUBSTITUTE(Table3937[[#This Row],[PRIMARY CONTACT]]," ",""))=10,SUBSTITUTE(Table3937[[#This Row],[PRIMARY CONTACT]]," ","") &amp; " - Proper","- Follow Up")</f>
        <v>8104322402 - Proper</v>
      </c>
      <c r="P597" s="383" t="s">
        <v>3869</v>
      </c>
      <c r="Q597" s="383">
        <v>8104322402</v>
      </c>
      <c r="R597" s="383" t="str">
        <f>SUBSTITUTE(Table3937[[#This Row],[whatsapp_number]]," ","")</f>
        <v>8104322402</v>
      </c>
      <c r="S597" s="383" t="str">
        <f>IF(Table3937[[#This Row],[PRIMARY CONTACT]]=Table3937[[#This Row],[WHATSAPP CONTACT]],"Same Contact","Different Contact")</f>
        <v>Same Contact</v>
      </c>
      <c r="T597" s="383" t="str">
        <f>IF(LEN(SUBSTITUTE(Table3937[[#This Row],[PRIMARY CONTACT]]," ",""))=10,SUBSTITUTE(Table3937[[#This Row],[PRIMARY CONTACT]]," ","") &amp; " - Proper","- Follow Up")</f>
        <v>8104322402 - Proper</v>
      </c>
      <c r="U597" s="383" t="s">
        <v>8341</v>
      </c>
      <c r="V597" s="383" t="s">
        <v>71</v>
      </c>
      <c r="W597" s="383" t="s">
        <v>47</v>
      </c>
      <c r="X597" s="5" t="s">
        <v>1406</v>
      </c>
      <c r="Y597" s="5" t="s">
        <v>49</v>
      </c>
      <c r="Z597" s="5" t="s">
        <v>7444</v>
      </c>
      <c r="AA597" s="5" t="s">
        <v>7445</v>
      </c>
      <c r="AB597" s="383"/>
    </row>
    <row r="598" spans="1:28" ht="13.8">
      <c r="A598" s="387">
        <v>597</v>
      </c>
      <c r="B598" s="262" t="s">
        <v>8230</v>
      </c>
      <c r="C598" s="383" t="s">
        <v>10743</v>
      </c>
      <c r="D598" s="383" t="s">
        <v>10825</v>
      </c>
      <c r="E598" s="383" t="s">
        <v>9096</v>
      </c>
      <c r="F598" s="383">
        <v>1314</v>
      </c>
      <c r="G598" s="383" t="s">
        <v>71</v>
      </c>
      <c r="H598" s="383" t="s">
        <v>4207</v>
      </c>
      <c r="I598" s="383" t="s">
        <v>4208</v>
      </c>
      <c r="J598" s="383" t="s">
        <v>4209</v>
      </c>
      <c r="K598" s="383" t="s">
        <v>4210</v>
      </c>
      <c r="L598" s="383" t="s">
        <v>8341</v>
      </c>
      <c r="M598" s="383" t="s">
        <v>10410</v>
      </c>
      <c r="N598" s="9" t="s">
        <v>44</v>
      </c>
      <c r="O598" s="383" t="str">
        <f>IF(LEN(SUBSTITUTE(Table3937[[#This Row],[PRIMARY CONTACT]]," ",""))=10,SUBSTITUTE(Table3937[[#This Row],[PRIMARY CONTACT]]," ","") &amp; " - Proper","- Follow Up")</f>
        <v>9920053727 - Proper</v>
      </c>
      <c r="P598" s="383" t="s">
        <v>3869</v>
      </c>
      <c r="Q598" s="383">
        <v>9920053727</v>
      </c>
      <c r="R598" s="383" t="str">
        <f>SUBSTITUTE(Table3937[[#This Row],[whatsapp_number]]," ","")</f>
        <v>9920053727</v>
      </c>
      <c r="S598" s="383" t="str">
        <f>IF(Table3937[[#This Row],[PRIMARY CONTACT]]=Table3937[[#This Row],[WHATSAPP CONTACT]],"Same Contact","Different Contact")</f>
        <v>Same Contact</v>
      </c>
      <c r="T598" s="383" t="str">
        <f>IF(LEN(SUBSTITUTE(Table3937[[#This Row],[PRIMARY CONTACT]]," ",""))=10,SUBSTITUTE(Table3937[[#This Row],[PRIMARY CONTACT]]," ","") &amp; " - Proper","- Follow Up")</f>
        <v>9920053727 - Proper</v>
      </c>
      <c r="U598" s="383" t="s">
        <v>10637</v>
      </c>
      <c r="V598" s="383" t="s">
        <v>71</v>
      </c>
      <c r="W598" s="383" t="s">
        <v>47</v>
      </c>
      <c r="X598" s="5" t="s">
        <v>1406</v>
      </c>
      <c r="Y598" s="5" t="s">
        <v>49</v>
      </c>
      <c r="Z598" s="5" t="s">
        <v>7444</v>
      </c>
      <c r="AA598" s="5" t="s">
        <v>7445</v>
      </c>
      <c r="AB598" s="383"/>
    </row>
    <row r="599" spans="1:28" ht="13.8">
      <c r="A599" s="387">
        <v>598</v>
      </c>
      <c r="B599" s="262" t="s">
        <v>8233</v>
      </c>
      <c r="C599" s="383" t="s">
        <v>10743</v>
      </c>
      <c r="D599" s="383" t="s">
        <v>10826</v>
      </c>
      <c r="E599" s="383" t="s">
        <v>9097</v>
      </c>
      <c r="F599" s="383">
        <v>1315</v>
      </c>
      <c r="G599" s="383" t="s">
        <v>71</v>
      </c>
      <c r="H599" s="383" t="s">
        <v>4214</v>
      </c>
      <c r="I599" s="383" t="s">
        <v>4215</v>
      </c>
      <c r="J599" s="383" t="s">
        <v>4216</v>
      </c>
      <c r="K599" s="383" t="s">
        <v>4217</v>
      </c>
      <c r="L599" s="383" t="s">
        <v>8341</v>
      </c>
      <c r="M599" s="383" t="s">
        <v>10411</v>
      </c>
      <c r="N599" s="9" t="s">
        <v>44</v>
      </c>
      <c r="O599" s="383" t="str">
        <f>IF(LEN(SUBSTITUTE(Table3937[[#This Row],[PRIMARY CONTACT]]," ",""))=10,SUBSTITUTE(Table3937[[#This Row],[PRIMARY CONTACT]]," ","") &amp; " - Proper","- Follow Up")</f>
        <v>8928697921 - Proper</v>
      </c>
      <c r="P599" s="383" t="s">
        <v>3869</v>
      </c>
      <c r="Q599" s="383">
        <v>8928697921</v>
      </c>
      <c r="R599" s="383" t="str">
        <f>SUBSTITUTE(Table3937[[#This Row],[whatsapp_number]]," ","")</f>
        <v>8928697921</v>
      </c>
      <c r="S599" s="383" t="str">
        <f>IF(Table3937[[#This Row],[PRIMARY CONTACT]]=Table3937[[#This Row],[WHATSAPP CONTACT]],"Same Contact","Different Contact")</f>
        <v>Same Contact</v>
      </c>
      <c r="T599" s="383" t="str">
        <f>IF(LEN(SUBSTITUTE(Table3937[[#This Row],[PRIMARY CONTACT]]," ",""))=10,SUBSTITUTE(Table3937[[#This Row],[PRIMARY CONTACT]]," ","") &amp; " - Proper","- Follow Up")</f>
        <v>8928697921 - Proper</v>
      </c>
      <c r="U599" s="383" t="s">
        <v>10638</v>
      </c>
      <c r="V599" s="383" t="s">
        <v>71</v>
      </c>
      <c r="W599" s="383" t="s">
        <v>47</v>
      </c>
      <c r="X599" s="5" t="s">
        <v>1406</v>
      </c>
      <c r="Y599" s="5" t="s">
        <v>49</v>
      </c>
      <c r="Z599" s="5" t="s">
        <v>7444</v>
      </c>
      <c r="AA599" s="5" t="s">
        <v>7445</v>
      </c>
      <c r="AB599" s="383"/>
    </row>
    <row r="600" spans="1:28" ht="13.8">
      <c r="A600" s="387">
        <v>599</v>
      </c>
      <c r="B600" s="262" t="s">
        <v>8237</v>
      </c>
      <c r="C600" s="383" t="s">
        <v>10743</v>
      </c>
      <c r="D600" s="383" t="s">
        <v>10827</v>
      </c>
      <c r="E600" s="383" t="s">
        <v>9098</v>
      </c>
      <c r="F600" s="383">
        <v>1316</v>
      </c>
      <c r="G600" s="383" t="s">
        <v>71</v>
      </c>
      <c r="H600" s="383" t="s">
        <v>4221</v>
      </c>
      <c r="I600" s="383" t="s">
        <v>8532</v>
      </c>
      <c r="J600" s="383" t="s">
        <v>4223</v>
      </c>
      <c r="K600" s="383" t="s">
        <v>4224</v>
      </c>
      <c r="L600" s="383" t="s">
        <v>8341</v>
      </c>
      <c r="M600" s="383" t="s">
        <v>10412</v>
      </c>
      <c r="N600" s="9" t="s">
        <v>44</v>
      </c>
      <c r="O600" s="383" t="str">
        <f>IF(LEN(SUBSTITUTE(Table3937[[#This Row],[PRIMARY CONTACT]]," ",""))=10,SUBSTITUTE(Table3937[[#This Row],[PRIMARY CONTACT]]," ","") &amp; " - Proper","- Follow Up")</f>
        <v>9820673302 - Proper</v>
      </c>
      <c r="P600" s="383" t="s">
        <v>3869</v>
      </c>
      <c r="Q600" s="383">
        <v>9820673302</v>
      </c>
      <c r="R600" s="383" t="str">
        <f>SUBSTITUTE(Table3937[[#This Row],[whatsapp_number]]," ","")</f>
        <v>9820673302</v>
      </c>
      <c r="S600" s="383" t="str">
        <f>IF(Table3937[[#This Row],[PRIMARY CONTACT]]=Table3937[[#This Row],[WHATSAPP CONTACT]],"Same Contact","Different Contact")</f>
        <v>Same Contact</v>
      </c>
      <c r="T600" s="383" t="str">
        <f>IF(LEN(SUBSTITUTE(Table3937[[#This Row],[PRIMARY CONTACT]]," ",""))=10,SUBSTITUTE(Table3937[[#This Row],[PRIMARY CONTACT]]," ","") &amp; " - Proper","- Follow Up")</f>
        <v>9820673302 - Proper</v>
      </c>
      <c r="U600" s="383" t="s">
        <v>10639</v>
      </c>
      <c r="V600" s="383" t="s">
        <v>71</v>
      </c>
      <c r="W600" s="383" t="s">
        <v>47</v>
      </c>
      <c r="X600" s="5" t="s">
        <v>1406</v>
      </c>
      <c r="Y600" s="5" t="s">
        <v>49</v>
      </c>
      <c r="Z600" s="5" t="s">
        <v>7444</v>
      </c>
      <c r="AA600" s="5" t="s">
        <v>7445</v>
      </c>
      <c r="AB600" s="383"/>
    </row>
    <row r="601" spans="1:28" ht="13.8">
      <c r="A601" s="387">
        <v>600</v>
      </c>
      <c r="B601" s="414" t="s">
        <v>8240</v>
      </c>
      <c r="C601" s="383" t="s">
        <v>10743</v>
      </c>
      <c r="D601" s="383" t="s">
        <v>10828</v>
      </c>
      <c r="E601" s="383" t="s">
        <v>9099</v>
      </c>
      <c r="F601" s="383">
        <v>1317</v>
      </c>
      <c r="G601" s="383" t="s">
        <v>71</v>
      </c>
      <c r="H601" s="383" t="s">
        <v>4228</v>
      </c>
      <c r="I601" s="383" t="s">
        <v>4229</v>
      </c>
      <c r="J601" s="383" t="s">
        <v>4230</v>
      </c>
      <c r="K601" s="383" t="s">
        <v>9574</v>
      </c>
      <c r="L601" s="383" t="s">
        <v>8341</v>
      </c>
      <c r="M601" s="383" t="s">
        <v>10413</v>
      </c>
      <c r="N601" s="9" t="s">
        <v>44</v>
      </c>
      <c r="O601" s="383" t="str">
        <f>IF(LEN(SUBSTITUTE(Table3937[[#This Row],[PRIMARY CONTACT]]," ",""))=10,SUBSTITUTE(Table3937[[#This Row],[PRIMARY CONTACT]]," ","") &amp; " - Proper","- Follow Up")</f>
        <v>9769906048 - Proper</v>
      </c>
      <c r="P601" s="383" t="s">
        <v>3869</v>
      </c>
      <c r="Q601" s="383">
        <v>9769906048</v>
      </c>
      <c r="R601" s="383" t="str">
        <f>SUBSTITUTE(Table3937[[#This Row],[whatsapp_number]]," ","")</f>
        <v>9769906048</v>
      </c>
      <c r="S601" s="383" t="str">
        <f>IF(Table3937[[#This Row],[PRIMARY CONTACT]]=Table3937[[#This Row],[WHATSAPP CONTACT]],"Same Contact","Different Contact")</f>
        <v>Same Contact</v>
      </c>
      <c r="T601" s="383" t="str">
        <f>IF(LEN(SUBSTITUTE(Table3937[[#This Row],[PRIMARY CONTACT]]," ",""))=10,SUBSTITUTE(Table3937[[#This Row],[PRIMARY CONTACT]]," ","") &amp; " - Proper","- Follow Up")</f>
        <v>9769906048 - Proper</v>
      </c>
      <c r="U601" s="383" t="s">
        <v>10640</v>
      </c>
      <c r="V601" s="383" t="s">
        <v>71</v>
      </c>
      <c r="W601" s="383" t="s">
        <v>47</v>
      </c>
      <c r="X601" s="5" t="s">
        <v>1406</v>
      </c>
      <c r="Y601" s="5" t="s">
        <v>49</v>
      </c>
      <c r="Z601" s="5" t="s">
        <v>7444</v>
      </c>
      <c r="AA601" s="5" t="s">
        <v>7445</v>
      </c>
      <c r="AB601" s="383"/>
    </row>
    <row r="602" spans="1:28" ht="13.8">
      <c r="A602" s="387">
        <v>601</v>
      </c>
      <c r="B602" s="414" t="s">
        <v>8243</v>
      </c>
      <c r="C602" s="383" t="s">
        <v>10743</v>
      </c>
      <c r="D602" s="383" t="s">
        <v>10829</v>
      </c>
      <c r="E602" s="383" t="s">
        <v>9100</v>
      </c>
      <c r="F602" s="383">
        <v>1318</v>
      </c>
      <c r="G602" s="383" t="s">
        <v>71</v>
      </c>
      <c r="H602" s="383" t="s">
        <v>4234</v>
      </c>
      <c r="I602" s="383" t="s">
        <v>4235</v>
      </c>
      <c r="J602" s="383" t="s">
        <v>4236</v>
      </c>
      <c r="K602" s="383" t="s">
        <v>4237</v>
      </c>
      <c r="L602" s="383" t="s">
        <v>8341</v>
      </c>
      <c r="M602" s="383" t="s">
        <v>10414</v>
      </c>
      <c r="N602" s="9" t="s">
        <v>44</v>
      </c>
      <c r="O602" s="383" t="str">
        <f>IF(LEN(SUBSTITUTE(Table3937[[#This Row],[PRIMARY CONTACT]]," ",""))=10,SUBSTITUTE(Table3937[[#This Row],[PRIMARY CONTACT]]," ","") &amp; " - Proper","- Follow Up")</f>
        <v>9224462625 - Proper</v>
      </c>
      <c r="P602" s="383" t="s">
        <v>3869</v>
      </c>
      <c r="Q602" s="383">
        <v>9224462625</v>
      </c>
      <c r="R602" s="383" t="str">
        <f>SUBSTITUTE(Table3937[[#This Row],[whatsapp_number]]," ","")</f>
        <v>9224462625</v>
      </c>
      <c r="S602" s="383" t="str">
        <f>IF(Table3937[[#This Row],[PRIMARY CONTACT]]=Table3937[[#This Row],[WHATSAPP CONTACT]],"Same Contact","Different Contact")</f>
        <v>Same Contact</v>
      </c>
      <c r="T602" s="383" t="str">
        <f>IF(LEN(SUBSTITUTE(Table3937[[#This Row],[PRIMARY CONTACT]]," ",""))=10,SUBSTITUTE(Table3937[[#This Row],[PRIMARY CONTACT]]," ","") &amp; " - Proper","- Follow Up")</f>
        <v>9224462625 - Proper</v>
      </c>
      <c r="U602" s="383" t="s">
        <v>4238</v>
      </c>
      <c r="V602" s="383" t="s">
        <v>71</v>
      </c>
      <c r="W602" s="383" t="s">
        <v>47</v>
      </c>
      <c r="X602" s="5" t="s">
        <v>1406</v>
      </c>
      <c r="Y602" s="5" t="s">
        <v>49</v>
      </c>
      <c r="Z602" s="5" t="s">
        <v>7444</v>
      </c>
      <c r="AA602" s="5" t="s">
        <v>7445</v>
      </c>
      <c r="AB602" s="383"/>
    </row>
    <row r="603" spans="1:28" ht="13.8">
      <c r="A603" s="387">
        <v>602</v>
      </c>
      <c r="B603" s="262" t="s">
        <v>8246</v>
      </c>
      <c r="C603" s="383" t="s">
        <v>10743</v>
      </c>
      <c r="D603" s="383" t="s">
        <v>10830</v>
      </c>
      <c r="E603" s="383" t="s">
        <v>9101</v>
      </c>
      <c r="F603" s="383">
        <v>1319</v>
      </c>
      <c r="G603" s="383" t="s">
        <v>71</v>
      </c>
      <c r="H603" s="383" t="s">
        <v>4241</v>
      </c>
      <c r="I603" s="383" t="s">
        <v>8533</v>
      </c>
      <c r="J603" s="383" t="s">
        <v>4243</v>
      </c>
      <c r="K603" s="383" t="s">
        <v>4244</v>
      </c>
      <c r="L603" s="383" t="s">
        <v>8341</v>
      </c>
      <c r="M603" s="383" t="s">
        <v>10415</v>
      </c>
      <c r="N603" s="9" t="s">
        <v>44</v>
      </c>
      <c r="O603" s="383" t="str">
        <f>IF(LEN(SUBSTITUTE(Table3937[[#This Row],[PRIMARY CONTACT]]," ",""))=10,SUBSTITUTE(Table3937[[#This Row],[PRIMARY CONTACT]]," ","") &amp; " - Proper","- Follow Up")</f>
        <v>9820074221 - Proper</v>
      </c>
      <c r="P603" s="383" t="s">
        <v>3869</v>
      </c>
      <c r="Q603" s="383">
        <v>9820074221</v>
      </c>
      <c r="R603" s="383" t="str">
        <f>SUBSTITUTE(Table3937[[#This Row],[whatsapp_number]]," ","")</f>
        <v>9820074221</v>
      </c>
      <c r="S603" s="383" t="str">
        <f>IF(Table3937[[#This Row],[PRIMARY CONTACT]]=Table3937[[#This Row],[WHATSAPP CONTACT]],"Same Contact","Different Contact")</f>
        <v>Same Contact</v>
      </c>
      <c r="T603" s="383" t="str">
        <f>IF(LEN(SUBSTITUTE(Table3937[[#This Row],[PRIMARY CONTACT]]," ",""))=10,SUBSTITUTE(Table3937[[#This Row],[PRIMARY CONTACT]]," ","") &amp; " - Proper","- Follow Up")</f>
        <v>9820074221 - Proper</v>
      </c>
      <c r="U603" s="383" t="s">
        <v>10641</v>
      </c>
      <c r="V603" s="383" t="s">
        <v>71</v>
      </c>
      <c r="W603" s="383" t="s">
        <v>47</v>
      </c>
      <c r="X603" s="5" t="s">
        <v>1406</v>
      </c>
      <c r="Y603" s="5" t="s">
        <v>49</v>
      </c>
      <c r="Z603" s="5" t="s">
        <v>7444</v>
      </c>
      <c r="AA603" s="5" t="s">
        <v>7445</v>
      </c>
      <c r="AB603" s="383"/>
    </row>
    <row r="604" spans="1:28" ht="13.8">
      <c r="A604" s="387">
        <v>603</v>
      </c>
      <c r="B604" s="262" t="s">
        <v>8249</v>
      </c>
      <c r="C604" s="383" t="s">
        <v>10743</v>
      </c>
      <c r="D604" s="383" t="s">
        <v>10831</v>
      </c>
      <c r="E604" s="383" t="s">
        <v>9102</v>
      </c>
      <c r="F604" s="383">
        <v>1320</v>
      </c>
      <c r="G604" s="383" t="s">
        <v>4248</v>
      </c>
      <c r="H604" s="383" t="s">
        <v>4249</v>
      </c>
      <c r="I604" s="383" t="s">
        <v>4250</v>
      </c>
      <c r="J604" s="383" t="s">
        <v>4251</v>
      </c>
      <c r="K604" s="383" t="s">
        <v>4252</v>
      </c>
      <c r="L604" s="383" t="s">
        <v>9776</v>
      </c>
      <c r="M604" s="383" t="s">
        <v>10416</v>
      </c>
      <c r="N604" s="9" t="s">
        <v>44</v>
      </c>
      <c r="O604" s="383" t="str">
        <f>IF(LEN(SUBSTITUTE(Table3937[[#This Row],[PRIMARY CONTACT]]," ",""))=10,SUBSTITUTE(Table3937[[#This Row],[PRIMARY CONTACT]]," ","") &amp; " - Proper","- Follow Up")</f>
        <v>9820291104 - Proper</v>
      </c>
      <c r="P604" s="383" t="s">
        <v>3869</v>
      </c>
      <c r="Q604" s="383">
        <v>9820291104</v>
      </c>
      <c r="R604" s="383" t="str">
        <f>SUBSTITUTE(Table3937[[#This Row],[whatsapp_number]]," ","")</f>
        <v>9820291104</v>
      </c>
      <c r="S604" s="383" t="str">
        <f>IF(Table3937[[#This Row],[PRIMARY CONTACT]]=Table3937[[#This Row],[WHATSAPP CONTACT]],"Same Contact","Different Contact")</f>
        <v>Same Contact</v>
      </c>
      <c r="T604" s="383" t="str">
        <f>IF(LEN(SUBSTITUTE(Table3937[[#This Row],[PRIMARY CONTACT]]," ",""))=10,SUBSTITUTE(Table3937[[#This Row],[PRIMARY CONTACT]]," ","") &amp; " - Proper","- Follow Up")</f>
        <v>9820291104 - Proper</v>
      </c>
      <c r="U604" s="383" t="s">
        <v>10642</v>
      </c>
      <c r="V604" s="393" t="s">
        <v>4255</v>
      </c>
      <c r="W604" s="383" t="s">
        <v>47</v>
      </c>
      <c r="X604" s="5" t="s">
        <v>1406</v>
      </c>
      <c r="Y604" s="5" t="s">
        <v>49</v>
      </c>
      <c r="Z604" s="5" t="s">
        <v>7444</v>
      </c>
      <c r="AA604" s="5" t="s">
        <v>7445</v>
      </c>
      <c r="AB604" s="383"/>
    </row>
    <row r="605" spans="1:28" ht="13.8">
      <c r="A605" s="387">
        <v>604</v>
      </c>
      <c r="B605" s="262" t="s">
        <v>8253</v>
      </c>
      <c r="C605" s="383" t="s">
        <v>10743</v>
      </c>
      <c r="D605" s="383" t="s">
        <v>10832</v>
      </c>
      <c r="E605" s="383" t="s">
        <v>9103</v>
      </c>
      <c r="F605" s="383">
        <v>1321</v>
      </c>
      <c r="G605" s="383" t="s">
        <v>71</v>
      </c>
      <c r="H605" s="383" t="s">
        <v>4258</v>
      </c>
      <c r="I605" s="383" t="s">
        <v>4259</v>
      </c>
      <c r="J605" s="383" t="s">
        <v>4260</v>
      </c>
      <c r="K605" s="383" t="s">
        <v>4261</v>
      </c>
      <c r="L605" s="383" t="s">
        <v>9777</v>
      </c>
      <c r="M605" s="383" t="s">
        <v>10417</v>
      </c>
      <c r="N605" s="9" t="s">
        <v>44</v>
      </c>
      <c r="O605" s="383" t="str">
        <f>IF(LEN(SUBSTITUTE(Table3937[[#This Row],[PRIMARY CONTACT]]," ",""))=10,SUBSTITUTE(Table3937[[#This Row],[PRIMARY CONTACT]]," ","") &amp; " - Proper","- Follow Up")</f>
        <v>9820222401 - Proper</v>
      </c>
      <c r="P605" s="383" t="s">
        <v>3869</v>
      </c>
      <c r="Q605" s="383">
        <v>9820222401</v>
      </c>
      <c r="R605" s="383" t="str">
        <f>SUBSTITUTE(Table3937[[#This Row],[whatsapp_number]]," ","")</f>
        <v>9820222401</v>
      </c>
      <c r="S605" s="383" t="str">
        <f>IF(Table3937[[#This Row],[PRIMARY CONTACT]]=Table3937[[#This Row],[WHATSAPP CONTACT]],"Same Contact","Different Contact")</f>
        <v>Same Contact</v>
      </c>
      <c r="T605" s="383" t="str">
        <f>IF(LEN(SUBSTITUTE(Table3937[[#This Row],[PRIMARY CONTACT]]," ",""))=10,SUBSTITUTE(Table3937[[#This Row],[PRIMARY CONTACT]]," ","") &amp; " - Proper","- Follow Up")</f>
        <v>9820222401 - Proper</v>
      </c>
      <c r="U605" s="383" t="s">
        <v>10643</v>
      </c>
      <c r="V605" s="383" t="s">
        <v>71</v>
      </c>
      <c r="W605" s="383" t="s">
        <v>47</v>
      </c>
      <c r="X605" s="5" t="s">
        <v>1406</v>
      </c>
      <c r="Y605" s="5" t="s">
        <v>49</v>
      </c>
      <c r="Z605" s="5" t="s">
        <v>7444</v>
      </c>
      <c r="AA605" s="5" t="s">
        <v>7445</v>
      </c>
      <c r="AB605" s="383"/>
    </row>
    <row r="606" spans="1:28" ht="13.8">
      <c r="A606" s="387">
        <v>605</v>
      </c>
      <c r="B606" s="262" t="s">
        <v>8256</v>
      </c>
      <c r="C606" s="383" t="s">
        <v>10743</v>
      </c>
      <c r="D606" s="383" t="s">
        <v>10833</v>
      </c>
      <c r="E606" s="383" t="s">
        <v>9104</v>
      </c>
      <c r="F606" s="383">
        <v>1322</v>
      </c>
      <c r="G606" s="383" t="s">
        <v>4266</v>
      </c>
      <c r="H606" s="383" t="s">
        <v>4267</v>
      </c>
      <c r="I606" s="383" t="s">
        <v>4268</v>
      </c>
      <c r="J606" s="383" t="s">
        <v>4269</v>
      </c>
      <c r="K606" s="383" t="s">
        <v>9565</v>
      </c>
      <c r="L606" s="383" t="s">
        <v>9778</v>
      </c>
      <c r="M606" s="383" t="s">
        <v>10418</v>
      </c>
      <c r="N606" s="9" t="s">
        <v>44</v>
      </c>
      <c r="O606" s="383" t="str">
        <f>IF(LEN(SUBSTITUTE(Table3937[[#This Row],[PRIMARY CONTACT]]," ",""))=10,SUBSTITUTE(Table3937[[#This Row],[PRIMARY CONTACT]]," ","") &amp; " - Proper","- Follow Up")</f>
        <v>9930699995 - Proper</v>
      </c>
      <c r="P606" s="383" t="s">
        <v>3869</v>
      </c>
      <c r="Q606" s="383">
        <v>9930699995</v>
      </c>
      <c r="R606" s="383" t="str">
        <f>SUBSTITUTE(Table3937[[#This Row],[whatsapp_number]]," ","")</f>
        <v>9930699995</v>
      </c>
      <c r="S606" s="383" t="str">
        <f>IF(Table3937[[#This Row],[PRIMARY CONTACT]]=Table3937[[#This Row],[WHATSAPP CONTACT]],"Same Contact","Different Contact")</f>
        <v>Same Contact</v>
      </c>
      <c r="T606" s="383" t="str">
        <f>IF(LEN(SUBSTITUTE(Table3937[[#This Row],[PRIMARY CONTACT]]," ",""))=10,SUBSTITUTE(Table3937[[#This Row],[PRIMARY CONTACT]]," ","") &amp; " - Proper","- Follow Up")</f>
        <v>9930699995 - Proper</v>
      </c>
      <c r="U606" s="383" t="s">
        <v>10644</v>
      </c>
      <c r="V606" s="383" t="s">
        <v>71</v>
      </c>
      <c r="W606" s="383" t="s">
        <v>47</v>
      </c>
      <c r="X606" s="5" t="s">
        <v>1406</v>
      </c>
      <c r="Y606" s="5" t="s">
        <v>49</v>
      </c>
      <c r="Z606" s="5" t="s">
        <v>7444</v>
      </c>
      <c r="AA606" s="5" t="s">
        <v>7445</v>
      </c>
      <c r="AB606" s="383"/>
    </row>
    <row r="607" spans="1:28" ht="13.8">
      <c r="A607" s="387">
        <v>606</v>
      </c>
      <c r="B607" s="262" t="s">
        <v>8260</v>
      </c>
      <c r="C607" s="383" t="s">
        <v>10743</v>
      </c>
      <c r="D607" s="383" t="s">
        <v>10834</v>
      </c>
      <c r="E607" s="383" t="s">
        <v>9105</v>
      </c>
      <c r="F607" s="383">
        <v>1323</v>
      </c>
      <c r="G607" s="383" t="s">
        <v>71</v>
      </c>
      <c r="H607" s="383" t="s">
        <v>4274</v>
      </c>
      <c r="I607" s="383" t="s">
        <v>4275</v>
      </c>
      <c r="J607" s="383" t="s">
        <v>4276</v>
      </c>
      <c r="K607" s="383" t="s">
        <v>4277</v>
      </c>
      <c r="L607" s="383" t="s">
        <v>8341</v>
      </c>
      <c r="M607" s="383" t="s">
        <v>10419</v>
      </c>
      <c r="N607" s="9" t="s">
        <v>44</v>
      </c>
      <c r="O607" s="383" t="str">
        <f>IF(LEN(SUBSTITUTE(Table3937[[#This Row],[PRIMARY CONTACT]]," ",""))=10,SUBSTITUTE(Table3937[[#This Row],[PRIMARY CONTACT]]," ","") &amp; " - Proper","- Follow Up")</f>
        <v>9619911226 - Proper</v>
      </c>
      <c r="P607" s="383" t="s">
        <v>3869</v>
      </c>
      <c r="Q607" s="383">
        <v>9619911226</v>
      </c>
      <c r="R607" s="383" t="str">
        <f>SUBSTITUTE(Table3937[[#This Row],[whatsapp_number]]," ","")</f>
        <v>9619911226</v>
      </c>
      <c r="S607" s="383" t="str">
        <f>IF(Table3937[[#This Row],[PRIMARY CONTACT]]=Table3937[[#This Row],[WHATSAPP CONTACT]],"Same Contact","Different Contact")</f>
        <v>Same Contact</v>
      </c>
      <c r="T607" s="383" t="str">
        <f>IF(LEN(SUBSTITUTE(Table3937[[#This Row],[PRIMARY CONTACT]]," ",""))=10,SUBSTITUTE(Table3937[[#This Row],[PRIMARY CONTACT]]," ","") &amp; " - Proper","- Follow Up")</f>
        <v>9619911226 - Proper</v>
      </c>
      <c r="U607" s="383" t="s">
        <v>10645</v>
      </c>
      <c r="V607" s="383" t="s">
        <v>71</v>
      </c>
      <c r="W607" s="383" t="s">
        <v>47</v>
      </c>
      <c r="X607" s="5" t="s">
        <v>1406</v>
      </c>
      <c r="Y607" s="5" t="s">
        <v>49</v>
      </c>
      <c r="Z607" s="5" t="s">
        <v>7444</v>
      </c>
      <c r="AA607" s="5" t="s">
        <v>7445</v>
      </c>
      <c r="AB607" s="383"/>
    </row>
    <row r="608" spans="1:28" ht="13.8">
      <c r="A608" s="387">
        <v>607</v>
      </c>
      <c r="B608" s="262" t="s">
        <v>8263</v>
      </c>
      <c r="C608" s="383" t="s">
        <v>10743</v>
      </c>
      <c r="D608" s="383" t="s">
        <v>10835</v>
      </c>
      <c r="E608" s="383" t="s">
        <v>9106</v>
      </c>
      <c r="F608" s="383">
        <v>1324</v>
      </c>
      <c r="G608" s="383" t="s">
        <v>71</v>
      </c>
      <c r="H608" s="383" t="s">
        <v>4281</v>
      </c>
      <c r="I608" s="383" t="s">
        <v>4282</v>
      </c>
      <c r="J608" s="383" t="s">
        <v>9452</v>
      </c>
      <c r="K608" s="383" t="s">
        <v>4284</v>
      </c>
      <c r="L608" s="383" t="s">
        <v>8341</v>
      </c>
      <c r="M608" s="383" t="s">
        <v>10420</v>
      </c>
      <c r="N608" s="9" t="s">
        <v>44</v>
      </c>
      <c r="O608" s="383" t="str">
        <f>IF(LEN(SUBSTITUTE(Table3937[[#This Row],[PRIMARY CONTACT]]," ",""))=10,SUBSTITUTE(Table3937[[#This Row],[PRIMARY CONTACT]]," ","") &amp; " - Proper","- Follow Up")</f>
        <v>9833222872 - Proper</v>
      </c>
      <c r="P608" s="383" t="s">
        <v>3869</v>
      </c>
      <c r="Q608" s="383">
        <v>9833222872</v>
      </c>
      <c r="R608" s="383" t="str">
        <f>SUBSTITUTE(Table3937[[#This Row],[whatsapp_number]]," ","")</f>
        <v>9833222872</v>
      </c>
      <c r="S608" s="383" t="str">
        <f>IF(Table3937[[#This Row],[PRIMARY CONTACT]]=Table3937[[#This Row],[WHATSAPP CONTACT]],"Same Contact","Different Contact")</f>
        <v>Same Contact</v>
      </c>
      <c r="T608" s="383" t="str">
        <f>IF(LEN(SUBSTITUTE(Table3937[[#This Row],[PRIMARY CONTACT]]," ",""))=10,SUBSTITUTE(Table3937[[#This Row],[PRIMARY CONTACT]]," ","") &amp; " - Proper","- Follow Up")</f>
        <v>9833222872 - Proper</v>
      </c>
      <c r="U608" s="383" t="s">
        <v>10646</v>
      </c>
      <c r="V608" s="383" t="s">
        <v>71</v>
      </c>
      <c r="W608" s="383" t="s">
        <v>47</v>
      </c>
      <c r="X608" s="5" t="s">
        <v>1406</v>
      </c>
      <c r="Y608" s="5" t="s">
        <v>49</v>
      </c>
      <c r="Z608" s="5" t="s">
        <v>7444</v>
      </c>
      <c r="AA608" s="5" t="s">
        <v>7445</v>
      </c>
      <c r="AB608" s="383"/>
    </row>
    <row r="609" spans="1:28" ht="13.8">
      <c r="A609" s="387">
        <v>608</v>
      </c>
      <c r="B609" s="383" t="s">
        <v>10716</v>
      </c>
      <c r="C609" s="383" t="s">
        <v>10716</v>
      </c>
      <c r="D609" s="383" t="s">
        <v>10716</v>
      </c>
      <c r="E609" s="383" t="s">
        <v>9107</v>
      </c>
      <c r="F609" s="383">
        <v>1325</v>
      </c>
      <c r="G609" s="383" t="s">
        <v>4329</v>
      </c>
      <c r="H609" s="383" t="s">
        <v>4330</v>
      </c>
      <c r="I609" s="383" t="s">
        <v>4331</v>
      </c>
      <c r="J609" s="383" t="s">
        <v>4332</v>
      </c>
      <c r="K609" s="383" t="s">
        <v>4333</v>
      </c>
      <c r="L609" s="383" t="s">
        <v>9779</v>
      </c>
      <c r="M609" s="383" t="s">
        <v>10421</v>
      </c>
      <c r="N609" s="9" t="s">
        <v>44</v>
      </c>
      <c r="O609" s="383" t="str">
        <f>IF(LEN(SUBSTITUTE(Table3937[[#This Row],[PRIMARY CONTACT]]," ",""))=10,SUBSTITUTE(Table3937[[#This Row],[PRIMARY CONTACT]]," ","") &amp; " - Proper","- Follow Up")</f>
        <v>9920470711 - Proper</v>
      </c>
      <c r="P609" s="383" t="s">
        <v>4323</v>
      </c>
      <c r="Q609" s="383">
        <v>9920470711</v>
      </c>
      <c r="R609" s="383" t="str">
        <f>SUBSTITUTE(Table3937[[#This Row],[whatsapp_number]]," ","")</f>
        <v>9920470711</v>
      </c>
      <c r="S609" s="383" t="str">
        <f>IF(Table3937[[#This Row],[PRIMARY CONTACT]]=Table3937[[#This Row],[WHATSAPP CONTACT]],"Same Contact","Different Contact")</f>
        <v>Same Contact</v>
      </c>
      <c r="T609" s="383" t="str">
        <f>IF(LEN(SUBSTITUTE(Table3937[[#This Row],[PRIMARY CONTACT]]," ",""))=10,SUBSTITUTE(Table3937[[#This Row],[PRIMARY CONTACT]]," ","") &amp; " - Proper","- Follow Up")</f>
        <v>9920470711 - Proper</v>
      </c>
      <c r="U609" s="383" t="s">
        <v>4335</v>
      </c>
      <c r="V609" s="393" t="s">
        <v>4336</v>
      </c>
      <c r="W609" s="383" t="s">
        <v>47</v>
      </c>
      <c r="X609" s="383" t="s">
        <v>44</v>
      </c>
      <c r="Y609" s="383" t="s">
        <v>44</v>
      </c>
      <c r="Z609" s="383" t="s">
        <v>44</v>
      </c>
      <c r="AA609" s="383" t="s">
        <v>44</v>
      </c>
      <c r="AB609" s="383"/>
    </row>
    <row r="610" spans="1:28" ht="13.8">
      <c r="A610" s="387">
        <v>609</v>
      </c>
      <c r="B610" s="383" t="s">
        <v>10716</v>
      </c>
      <c r="C610" s="383" t="s">
        <v>10716</v>
      </c>
      <c r="D610" s="383" t="s">
        <v>10716</v>
      </c>
      <c r="E610" s="383" t="s">
        <v>9108</v>
      </c>
      <c r="F610" s="383">
        <v>1326</v>
      </c>
      <c r="G610" s="383" t="s">
        <v>4339</v>
      </c>
      <c r="H610" s="383" t="s">
        <v>4340</v>
      </c>
      <c r="I610" s="383" t="s">
        <v>8534</v>
      </c>
      <c r="J610" s="383" t="s">
        <v>4342</v>
      </c>
      <c r="K610" s="383" t="s">
        <v>4343</v>
      </c>
      <c r="L610" s="383" t="s">
        <v>9780</v>
      </c>
      <c r="M610" s="383" t="s">
        <v>10422</v>
      </c>
      <c r="N610" s="9" t="s">
        <v>44</v>
      </c>
      <c r="O610" s="383" t="str">
        <f>IF(LEN(SUBSTITUTE(Table3937[[#This Row],[PRIMARY CONTACT]]," ",""))=10,SUBSTITUTE(Table3937[[#This Row],[PRIMARY CONTACT]]," ","") &amp; " - Proper","- Follow Up")</f>
        <v>9664433550 - Proper</v>
      </c>
      <c r="P610" s="383" t="s">
        <v>4323</v>
      </c>
      <c r="Q610" s="383">
        <v>9664433550</v>
      </c>
      <c r="R610" s="383" t="str">
        <f>SUBSTITUTE(Table3937[[#This Row],[whatsapp_number]]," ","")</f>
        <v>9664433550</v>
      </c>
      <c r="S610" s="383" t="str">
        <f>IF(Table3937[[#This Row],[PRIMARY CONTACT]]=Table3937[[#This Row],[WHATSAPP CONTACT]],"Same Contact","Different Contact")</f>
        <v>Same Contact</v>
      </c>
      <c r="T610" s="383" t="str">
        <f>IF(LEN(SUBSTITUTE(Table3937[[#This Row],[PRIMARY CONTACT]]," ",""))=10,SUBSTITUTE(Table3937[[#This Row],[PRIMARY CONTACT]]," ","") &amp; " - Proper","- Follow Up")</f>
        <v>9664433550 - Proper</v>
      </c>
      <c r="U610" s="383" t="s">
        <v>10647</v>
      </c>
      <c r="V610" s="393" t="s">
        <v>4346</v>
      </c>
      <c r="W610" s="383" t="s">
        <v>47</v>
      </c>
      <c r="X610" s="383" t="s">
        <v>44</v>
      </c>
      <c r="Y610" s="383" t="s">
        <v>44</v>
      </c>
      <c r="Z610" s="383" t="s">
        <v>44</v>
      </c>
      <c r="AA610" s="383" t="s">
        <v>44</v>
      </c>
      <c r="AB610" s="383"/>
    </row>
    <row r="611" spans="1:28" ht="13.8">
      <c r="A611" s="387">
        <v>610</v>
      </c>
      <c r="B611" s="383" t="s">
        <v>10716</v>
      </c>
      <c r="C611" s="383" t="s">
        <v>10716</v>
      </c>
      <c r="D611" s="383" t="s">
        <v>10716</v>
      </c>
      <c r="E611" s="383" t="s">
        <v>9109</v>
      </c>
      <c r="F611" s="383">
        <v>1327</v>
      </c>
      <c r="G611" s="383" t="s">
        <v>71</v>
      </c>
      <c r="H611" s="383" t="s">
        <v>4349</v>
      </c>
      <c r="I611" s="383" t="s">
        <v>4350</v>
      </c>
      <c r="J611" s="383" t="s">
        <v>4351</v>
      </c>
      <c r="K611" s="383" t="s">
        <v>4352</v>
      </c>
      <c r="L611" s="383" t="s">
        <v>8341</v>
      </c>
      <c r="M611" s="383" t="s">
        <v>10423</v>
      </c>
      <c r="N611" s="9" t="s">
        <v>44</v>
      </c>
      <c r="O611" s="383" t="str">
        <f>IF(LEN(SUBSTITUTE(Table3937[[#This Row],[PRIMARY CONTACT]]," ",""))=10,SUBSTITUTE(Table3937[[#This Row],[PRIMARY CONTACT]]," ","") &amp; " - Proper","- Follow Up")</f>
        <v>8779659057 - Proper</v>
      </c>
      <c r="P611" s="383" t="s">
        <v>4323</v>
      </c>
      <c r="Q611" s="383">
        <v>8779659057</v>
      </c>
      <c r="R611" s="383" t="str">
        <f>SUBSTITUTE(Table3937[[#This Row],[whatsapp_number]]," ","")</f>
        <v>8779659057</v>
      </c>
      <c r="S611" s="383" t="str">
        <f>IF(Table3937[[#This Row],[PRIMARY CONTACT]]=Table3937[[#This Row],[WHATSAPP CONTACT]],"Same Contact","Different Contact")</f>
        <v>Same Contact</v>
      </c>
      <c r="T611" s="383" t="str">
        <f>IF(LEN(SUBSTITUTE(Table3937[[#This Row],[PRIMARY CONTACT]]," ",""))=10,SUBSTITUTE(Table3937[[#This Row],[PRIMARY CONTACT]]," ","") &amp; " - Proper","- Follow Up")</f>
        <v>8779659057 - Proper</v>
      </c>
      <c r="U611" s="383" t="s">
        <v>10648</v>
      </c>
      <c r="V611" s="383" t="s">
        <v>71</v>
      </c>
      <c r="W611" s="383" t="s">
        <v>47</v>
      </c>
      <c r="X611" s="383" t="s">
        <v>44</v>
      </c>
      <c r="Y611" s="383" t="s">
        <v>44</v>
      </c>
      <c r="Z611" s="383" t="s">
        <v>44</v>
      </c>
      <c r="AA611" s="383" t="s">
        <v>44</v>
      </c>
      <c r="AB611" s="383"/>
    </row>
    <row r="612" spans="1:28" ht="13.8">
      <c r="A612" s="387">
        <v>611</v>
      </c>
      <c r="B612" s="414" t="s">
        <v>7627</v>
      </c>
      <c r="C612" s="383" t="s">
        <v>10709</v>
      </c>
      <c r="D612" s="2" t="str">
        <f>MID(Table3937[[#This Row],[URL]], FIND(".com/",Table3937[[#This Row],[URL]])+5, FIND("_BNI",Table3937[[#This Row],[URL]])-FIND(".com/",Table3937[[#This Row],[URL]])-5)</f>
        <v>DR.SACHIN-JAIN</v>
      </c>
      <c r="E612" s="383" t="s">
        <v>9110</v>
      </c>
      <c r="F612" s="383">
        <v>1328</v>
      </c>
      <c r="G612" s="383" t="s">
        <v>4356</v>
      </c>
      <c r="H612" s="383" t="s">
        <v>4357</v>
      </c>
      <c r="I612" s="383" t="s">
        <v>8535</v>
      </c>
      <c r="J612" s="383" t="s">
        <v>4359</v>
      </c>
      <c r="K612" s="383" t="s">
        <v>4360</v>
      </c>
      <c r="L612" s="383" t="s">
        <v>9781</v>
      </c>
      <c r="M612" s="383" t="s">
        <v>10424</v>
      </c>
      <c r="N612" s="9" t="s">
        <v>44</v>
      </c>
      <c r="O612" s="383" t="str">
        <f>IF(LEN(SUBSTITUTE(Table3937[[#This Row],[PRIMARY CONTACT]]," ",""))=10,SUBSTITUTE(Table3937[[#This Row],[PRIMARY CONTACT]]," ","") &amp; " - Proper","- Follow Up")</f>
        <v>9892201507 - Proper</v>
      </c>
      <c r="P612" s="383" t="s">
        <v>4323</v>
      </c>
      <c r="Q612" s="383">
        <v>9892201507</v>
      </c>
      <c r="R612" s="383" t="str">
        <f>SUBSTITUTE(Table3937[[#This Row],[whatsapp_number]]," ","")</f>
        <v>9892201507</v>
      </c>
      <c r="S612" s="383" t="str">
        <f>IF(Table3937[[#This Row],[PRIMARY CONTACT]]=Table3937[[#This Row],[WHATSAPP CONTACT]],"Same Contact","Different Contact")</f>
        <v>Same Contact</v>
      </c>
      <c r="T612" s="383" t="str">
        <f>IF(LEN(SUBSTITUTE(Table3937[[#This Row],[PRIMARY CONTACT]]," ",""))=10,SUBSTITUTE(Table3937[[#This Row],[PRIMARY CONTACT]]," ","") &amp; " - Proper","- Follow Up")</f>
        <v>9892201507 - Proper</v>
      </c>
      <c r="U612" s="383" t="s">
        <v>10649</v>
      </c>
      <c r="V612" s="383" t="s">
        <v>71</v>
      </c>
      <c r="W612" s="383" t="s">
        <v>47</v>
      </c>
      <c r="X612" s="5" t="s">
        <v>1406</v>
      </c>
      <c r="Y612" s="5" t="s">
        <v>49</v>
      </c>
      <c r="Z612" s="5" t="s">
        <v>7444</v>
      </c>
      <c r="AA612" s="5" t="s">
        <v>7445</v>
      </c>
      <c r="AB612" s="383"/>
    </row>
    <row r="613" spans="1:28" ht="13.8">
      <c r="A613" s="387">
        <v>612</v>
      </c>
      <c r="B613" s="383" t="s">
        <v>10716</v>
      </c>
      <c r="C613" s="383" t="s">
        <v>10743</v>
      </c>
      <c r="D613" s="2" t="s">
        <v>10716</v>
      </c>
      <c r="E613" s="383" t="s">
        <v>9111</v>
      </c>
      <c r="F613" s="383">
        <v>1329</v>
      </c>
      <c r="G613" s="383" t="s">
        <v>71</v>
      </c>
      <c r="H613" s="383" t="s">
        <v>4365</v>
      </c>
      <c r="I613" s="383" t="s">
        <v>8536</v>
      </c>
      <c r="J613" s="383" t="s">
        <v>4367</v>
      </c>
      <c r="K613" s="383" t="s">
        <v>4368</v>
      </c>
      <c r="L613" s="383" t="s">
        <v>8341</v>
      </c>
      <c r="M613" s="383" t="s">
        <v>10425</v>
      </c>
      <c r="N613" s="9" t="s">
        <v>44</v>
      </c>
      <c r="O613" s="383" t="str">
        <f>IF(LEN(SUBSTITUTE(Table3937[[#This Row],[PRIMARY CONTACT]]," ",""))=10,SUBSTITUTE(Table3937[[#This Row],[PRIMARY CONTACT]]," ","") &amp; " - Proper","- Follow Up")</f>
        <v>9833725455 - Proper</v>
      </c>
      <c r="P613" s="383" t="s">
        <v>4323</v>
      </c>
      <c r="Q613" s="383">
        <v>9833725455</v>
      </c>
      <c r="R613" s="383" t="str">
        <f>SUBSTITUTE(Table3937[[#This Row],[whatsapp_number]]," ","")</f>
        <v>9833725455</v>
      </c>
      <c r="S613" s="383" t="str">
        <f>IF(Table3937[[#This Row],[PRIMARY CONTACT]]=Table3937[[#This Row],[WHATSAPP CONTACT]],"Same Contact","Different Contact")</f>
        <v>Same Contact</v>
      </c>
      <c r="T613" s="383" t="str">
        <f>IF(LEN(SUBSTITUTE(Table3937[[#This Row],[PRIMARY CONTACT]]," ",""))=10,SUBSTITUTE(Table3937[[#This Row],[PRIMARY CONTACT]]," ","") &amp; " - Proper","- Follow Up")</f>
        <v>9833725455 - Proper</v>
      </c>
      <c r="U613" s="383" t="s">
        <v>10650</v>
      </c>
      <c r="V613" s="383" t="s">
        <v>71</v>
      </c>
      <c r="W613" s="383" t="s">
        <v>47</v>
      </c>
      <c r="X613" s="5" t="s">
        <v>1406</v>
      </c>
      <c r="Y613" s="5" t="s">
        <v>49</v>
      </c>
      <c r="Z613" s="5" t="s">
        <v>7444</v>
      </c>
      <c r="AA613" s="5" t="s">
        <v>7445</v>
      </c>
      <c r="AB613" s="383"/>
    </row>
    <row r="614" spans="1:28" ht="13.8">
      <c r="A614" s="387">
        <v>613</v>
      </c>
      <c r="B614" s="262" t="s">
        <v>7587</v>
      </c>
      <c r="C614" s="383" t="s">
        <v>10709</v>
      </c>
      <c r="D614" s="2" t="str">
        <f>MID(Table3937[[#This Row],[URL]], FIND(".com/",Table3937[[#This Row],[URL]])+5, FIND("_BNI",Table3937[[#This Row],[URL]])-FIND(".com/",Table3937[[#This Row],[URL]])-5)</f>
        <v>MANISH-JAIN</v>
      </c>
      <c r="E614" s="383" t="s">
        <v>9112</v>
      </c>
      <c r="F614" s="383">
        <v>1330</v>
      </c>
      <c r="G614" s="383" t="s">
        <v>4372</v>
      </c>
      <c r="H614" s="383" t="s">
        <v>4373</v>
      </c>
      <c r="I614" s="383" t="s">
        <v>4374</v>
      </c>
      <c r="J614" s="383" t="s">
        <v>4375</v>
      </c>
      <c r="K614" s="383" t="s">
        <v>4376</v>
      </c>
      <c r="L614" s="383" t="s">
        <v>9782</v>
      </c>
      <c r="M614" s="383" t="s">
        <v>10426</v>
      </c>
      <c r="N614" s="9" t="s">
        <v>44</v>
      </c>
      <c r="O614" s="383" t="str">
        <f>IF(LEN(SUBSTITUTE(Table3937[[#This Row],[PRIMARY CONTACT]]," ",""))=10,SUBSTITUTE(Table3937[[#This Row],[PRIMARY CONTACT]]," ","") &amp; " - Proper","- Follow Up")</f>
        <v>9833959607 - Proper</v>
      </c>
      <c r="P614" s="383" t="s">
        <v>4323</v>
      </c>
      <c r="Q614" s="383">
        <v>9833959607</v>
      </c>
      <c r="R614" s="383" t="str">
        <f>SUBSTITUTE(Table3937[[#This Row],[whatsapp_number]]," ","")</f>
        <v>9833959607</v>
      </c>
      <c r="S614" s="383" t="str">
        <f>IF(Table3937[[#This Row],[PRIMARY CONTACT]]=Table3937[[#This Row],[WHATSAPP CONTACT]],"Same Contact","Different Contact")</f>
        <v>Same Contact</v>
      </c>
      <c r="T614" s="383" t="str">
        <f>IF(LEN(SUBSTITUTE(Table3937[[#This Row],[PRIMARY CONTACT]]," ",""))=10,SUBSTITUTE(Table3937[[#This Row],[PRIMARY CONTACT]]," ","") &amp; " - Proper","- Follow Up")</f>
        <v>9833959607 - Proper</v>
      </c>
      <c r="U614" s="383" t="s">
        <v>10651</v>
      </c>
      <c r="V614" s="393" t="s">
        <v>4379</v>
      </c>
      <c r="W614" s="383" t="s">
        <v>47</v>
      </c>
      <c r="X614" s="5" t="s">
        <v>1406</v>
      </c>
      <c r="Y614" s="5" t="s">
        <v>49</v>
      </c>
      <c r="Z614" s="5" t="s">
        <v>7444</v>
      </c>
      <c r="AA614" s="5" t="s">
        <v>7445</v>
      </c>
      <c r="AB614" s="383"/>
    </row>
    <row r="615" spans="1:28" ht="13.8">
      <c r="A615" s="387">
        <v>614</v>
      </c>
      <c r="B615" s="262" t="s">
        <v>7610</v>
      </c>
      <c r="C615" s="383" t="s">
        <v>10709</v>
      </c>
      <c r="D615" s="2" t="str">
        <f>MID(Table3937[[#This Row],[URL]], FIND(".com/",Table3937[[#This Row],[URL]])+5, FIND("_BNI",Table3937[[#This Row],[URL]])-FIND(".com/",Table3937[[#This Row],[URL]])-5)</f>
        <v>AMI-DAMAANI</v>
      </c>
      <c r="E615" s="383" t="s">
        <v>9113</v>
      </c>
      <c r="F615" s="383">
        <v>1331</v>
      </c>
      <c r="G615" s="383" t="s">
        <v>4382</v>
      </c>
      <c r="H615" s="383" t="s">
        <v>4383</v>
      </c>
      <c r="I615" s="383" t="s">
        <v>8537</v>
      </c>
      <c r="J615" s="383" t="s">
        <v>4385</v>
      </c>
      <c r="K615" s="383" t="s">
        <v>4386</v>
      </c>
      <c r="L615" s="383" t="s">
        <v>9783</v>
      </c>
      <c r="M615" s="383" t="s">
        <v>10427</v>
      </c>
      <c r="N615" s="9" t="s">
        <v>44</v>
      </c>
      <c r="O615" s="383" t="str">
        <f>IF(LEN(SUBSTITUTE(Table3937[[#This Row],[PRIMARY CONTACT]]," ",""))=10,SUBSTITUTE(Table3937[[#This Row],[PRIMARY CONTACT]]," ","") &amp; " - Proper","- Follow Up")</f>
        <v>9987200510 - Proper</v>
      </c>
      <c r="P615" s="383" t="s">
        <v>4323</v>
      </c>
      <c r="Q615" s="383">
        <v>9987200510</v>
      </c>
      <c r="R615" s="383" t="str">
        <f>SUBSTITUTE(Table3937[[#This Row],[whatsapp_number]]," ","")</f>
        <v>9987200510</v>
      </c>
      <c r="S615" s="383" t="str">
        <f>IF(Table3937[[#This Row],[PRIMARY CONTACT]]=Table3937[[#This Row],[WHATSAPP CONTACT]],"Same Contact","Different Contact")</f>
        <v>Same Contact</v>
      </c>
      <c r="T615" s="383" t="str">
        <f>IF(LEN(SUBSTITUTE(Table3937[[#This Row],[PRIMARY CONTACT]]," ",""))=10,SUBSTITUTE(Table3937[[#This Row],[PRIMARY CONTACT]]," ","") &amp; " - Proper","- Follow Up")</f>
        <v>9987200510 - Proper</v>
      </c>
      <c r="U615" s="383" t="s">
        <v>10652</v>
      </c>
      <c r="V615" s="383" t="s">
        <v>71</v>
      </c>
      <c r="W615" s="383" t="s">
        <v>47</v>
      </c>
      <c r="X615" s="5" t="s">
        <v>1406</v>
      </c>
      <c r="Y615" s="5" t="s">
        <v>49</v>
      </c>
      <c r="Z615" s="5" t="s">
        <v>7444</v>
      </c>
      <c r="AA615" s="5" t="s">
        <v>7445</v>
      </c>
      <c r="AB615" s="383"/>
    </row>
    <row r="616" spans="1:28" ht="13.8">
      <c r="A616" s="387">
        <v>615</v>
      </c>
      <c r="B616" s="262" t="s">
        <v>7596</v>
      </c>
      <c r="C616" s="383" t="s">
        <v>10709</v>
      </c>
      <c r="D616" s="2" t="str">
        <f>MID(Table3937[[#This Row],[URL]], FIND(".com/",Table3937[[#This Row],[URL]])+5, FIND("_BNI",Table3937[[#This Row],[URL]])-FIND(".com/",Table3937[[#This Row],[URL]])-5)</f>
        <v>KETAN-JAIN</v>
      </c>
      <c r="E616" s="383" t="s">
        <v>9114</v>
      </c>
      <c r="F616" s="383">
        <v>1332</v>
      </c>
      <c r="G616" s="383" t="s">
        <v>4391</v>
      </c>
      <c r="H616" s="383" t="s">
        <v>4392</v>
      </c>
      <c r="I616" s="383" t="s">
        <v>8538</v>
      </c>
      <c r="J616" s="383" t="s">
        <v>4394</v>
      </c>
      <c r="K616" s="383" t="s">
        <v>4395</v>
      </c>
      <c r="L616" s="383" t="s">
        <v>9784</v>
      </c>
      <c r="M616" s="383" t="s">
        <v>10428</v>
      </c>
      <c r="N616" s="9" t="s">
        <v>44</v>
      </c>
      <c r="O616" s="383" t="str">
        <f>IF(LEN(SUBSTITUTE(Table3937[[#This Row],[PRIMARY CONTACT]]," ",""))=10,SUBSTITUTE(Table3937[[#This Row],[PRIMARY CONTACT]]," ","") &amp; " - Proper","- Follow Up")</f>
        <v>9820189554 - Proper</v>
      </c>
      <c r="P616" s="383" t="s">
        <v>4323</v>
      </c>
      <c r="Q616" s="383">
        <v>9820189554</v>
      </c>
      <c r="R616" s="383" t="str">
        <f>SUBSTITUTE(Table3937[[#This Row],[whatsapp_number]]," ","")</f>
        <v>9820189554</v>
      </c>
      <c r="S616" s="383" t="str">
        <f>IF(Table3937[[#This Row],[PRIMARY CONTACT]]=Table3937[[#This Row],[WHATSAPP CONTACT]],"Same Contact","Different Contact")</f>
        <v>Same Contact</v>
      </c>
      <c r="T616" s="383" t="str">
        <f>IF(LEN(SUBSTITUTE(Table3937[[#This Row],[PRIMARY CONTACT]]," ",""))=10,SUBSTITUTE(Table3937[[#This Row],[PRIMARY CONTACT]]," ","") &amp; " - Proper","- Follow Up")</f>
        <v>9820189554 - Proper</v>
      </c>
      <c r="U616" s="383" t="s">
        <v>10653</v>
      </c>
      <c r="V616" s="383" t="s">
        <v>4399</v>
      </c>
      <c r="W616" s="383" t="s">
        <v>47</v>
      </c>
      <c r="X616" s="5" t="s">
        <v>1406</v>
      </c>
      <c r="Y616" s="5" t="s">
        <v>49</v>
      </c>
      <c r="Z616" s="5" t="s">
        <v>7444</v>
      </c>
      <c r="AA616" s="5" t="s">
        <v>7445</v>
      </c>
      <c r="AB616" s="383"/>
    </row>
    <row r="617" spans="1:28" ht="13.8">
      <c r="A617" s="387">
        <v>616</v>
      </c>
      <c r="B617" s="262" t="s">
        <v>7659</v>
      </c>
      <c r="C617" s="383" t="s">
        <v>10709</v>
      </c>
      <c r="D617" s="2" t="str">
        <f>MID(Table3937[[#This Row],[URL]], FIND(".com/",Table3937[[#This Row],[URL]])+5, FIND("_BNI",Table3937[[#This Row],[URL]])-FIND(".com/",Table3937[[#This Row],[URL]])-5)</f>
        <v>DR.HATIM-MERCHANT</v>
      </c>
      <c r="E617" s="383" t="s">
        <v>9115</v>
      </c>
      <c r="F617" s="383">
        <v>1333</v>
      </c>
      <c r="G617" s="383" t="s">
        <v>4402</v>
      </c>
      <c r="H617" s="383" t="s">
        <v>4403</v>
      </c>
      <c r="I617" s="383" t="s">
        <v>4404</v>
      </c>
      <c r="J617" s="383" t="s">
        <v>4405</v>
      </c>
      <c r="K617" s="383" t="s">
        <v>4406</v>
      </c>
      <c r="L617" s="383" t="s">
        <v>9785</v>
      </c>
      <c r="M617" s="383" t="s">
        <v>10429</v>
      </c>
      <c r="N617" s="9" t="s">
        <v>44</v>
      </c>
      <c r="O617" s="383" t="str">
        <f>IF(LEN(SUBSTITUTE(Table3937[[#This Row],[PRIMARY CONTACT]]," ",""))=10,SUBSTITUTE(Table3937[[#This Row],[PRIMARY CONTACT]]," ","") &amp; " - Proper","- Follow Up")</f>
        <v>9702084679 - Proper</v>
      </c>
      <c r="P617" s="383" t="s">
        <v>4323</v>
      </c>
      <c r="Q617" s="383">
        <v>9702084679</v>
      </c>
      <c r="R617" s="383" t="str">
        <f>SUBSTITUTE(Table3937[[#This Row],[whatsapp_number]]," ","")</f>
        <v>9702084679</v>
      </c>
      <c r="S617" s="383" t="str">
        <f>IF(Table3937[[#This Row],[PRIMARY CONTACT]]=Table3937[[#This Row],[WHATSAPP CONTACT]],"Same Contact","Different Contact")</f>
        <v>Same Contact</v>
      </c>
      <c r="T617" s="383" t="str">
        <f>IF(LEN(SUBSTITUTE(Table3937[[#This Row],[PRIMARY CONTACT]]," ",""))=10,SUBSTITUTE(Table3937[[#This Row],[PRIMARY CONTACT]]," ","") &amp; " - Proper","- Follow Up")</f>
        <v>9702084679 - Proper</v>
      </c>
      <c r="U617" s="383" t="s">
        <v>10654</v>
      </c>
      <c r="V617" s="393" t="s">
        <v>4409</v>
      </c>
      <c r="W617" s="383" t="s">
        <v>47</v>
      </c>
      <c r="X617" s="5" t="s">
        <v>1406</v>
      </c>
      <c r="Y617" s="5" t="s">
        <v>49</v>
      </c>
      <c r="Z617" s="5" t="s">
        <v>7444</v>
      </c>
      <c r="AA617" s="5" t="s">
        <v>7445</v>
      </c>
      <c r="AB617" s="383"/>
    </row>
    <row r="618" spans="1:28" ht="13.8">
      <c r="A618" s="387">
        <v>617</v>
      </c>
      <c r="B618" s="414" t="s">
        <v>7619</v>
      </c>
      <c r="C618" s="383" t="s">
        <v>10743</v>
      </c>
      <c r="D618" s="2" t="str">
        <f>MID(Table3937[[#This Row],[URL]], FIND(".com/",Table3937[[#This Row],[URL]])+5, FIND("_BNI",Table3937[[#This Row],[URL]])-FIND(".com/",Table3937[[#This Row],[URL]])-5)</f>
        <v>SAUMYA-SANGHVI</v>
      </c>
      <c r="E618" s="383" t="s">
        <v>9116</v>
      </c>
      <c r="F618" s="383">
        <v>1334</v>
      </c>
      <c r="G618" s="383" t="s">
        <v>4412</v>
      </c>
      <c r="H618" s="383" t="s">
        <v>4413</v>
      </c>
      <c r="I618" s="383" t="s">
        <v>4414</v>
      </c>
      <c r="J618" s="383" t="s">
        <v>4415</v>
      </c>
      <c r="K618" s="383" t="s">
        <v>4416</v>
      </c>
      <c r="L618" s="383" t="s">
        <v>9786</v>
      </c>
      <c r="M618" s="383" t="s">
        <v>10430</v>
      </c>
      <c r="N618" s="9" t="s">
        <v>44</v>
      </c>
      <c r="O618" s="383" t="str">
        <f>IF(LEN(SUBSTITUTE(Table3937[[#This Row],[PRIMARY CONTACT]]," ",""))=10,SUBSTITUTE(Table3937[[#This Row],[PRIMARY CONTACT]]," ","") &amp; " - Proper","- Follow Up")</f>
        <v>7506061751 - Proper</v>
      </c>
      <c r="P618" s="383" t="s">
        <v>4323</v>
      </c>
      <c r="Q618" s="383">
        <v>7506061751</v>
      </c>
      <c r="R618" s="383" t="str">
        <f>SUBSTITUTE(Table3937[[#This Row],[whatsapp_number]]," ","")</f>
        <v>7506061751</v>
      </c>
      <c r="S618" s="383" t="str">
        <f>IF(Table3937[[#This Row],[PRIMARY CONTACT]]=Table3937[[#This Row],[WHATSAPP CONTACT]],"Same Contact","Different Contact")</f>
        <v>Same Contact</v>
      </c>
      <c r="T618" s="383" t="str">
        <f>IF(LEN(SUBSTITUTE(Table3937[[#This Row],[PRIMARY CONTACT]]," ",""))=10,SUBSTITUTE(Table3937[[#This Row],[PRIMARY CONTACT]]," ","") &amp; " - Proper","- Follow Up")</f>
        <v>7506061751 - Proper</v>
      </c>
      <c r="U618" s="383" t="s">
        <v>4418</v>
      </c>
      <c r="V618" s="393" t="s">
        <v>4420</v>
      </c>
      <c r="W618" s="383" t="s">
        <v>47</v>
      </c>
      <c r="X618" s="5" t="s">
        <v>1406</v>
      </c>
      <c r="Y618" s="5" t="s">
        <v>49</v>
      </c>
      <c r="Z618" s="5" t="s">
        <v>7444</v>
      </c>
      <c r="AA618" s="5" t="s">
        <v>7445</v>
      </c>
      <c r="AB618" s="383"/>
    </row>
    <row r="619" spans="1:28" ht="13.8">
      <c r="A619" s="387">
        <v>618</v>
      </c>
      <c r="B619" s="262" t="s">
        <v>7667</v>
      </c>
      <c r="C619" s="383" t="s">
        <v>10709</v>
      </c>
      <c r="D619" s="2" t="str">
        <f>MID(Table3937[[#This Row],[URL]], FIND(".com/",Table3937[[#This Row],[URL]])+5, FIND("_BNI",Table3937[[#This Row],[URL]])-FIND(".com/",Table3937[[#This Row],[URL]])-5)</f>
        <v>BHAVESH-JAIN</v>
      </c>
      <c r="E619" s="383" t="s">
        <v>9117</v>
      </c>
      <c r="F619" s="383">
        <v>1335</v>
      </c>
      <c r="G619" s="383" t="s">
        <v>71</v>
      </c>
      <c r="H619" s="383" t="s">
        <v>4423</v>
      </c>
      <c r="I619" s="383" t="s">
        <v>4424</v>
      </c>
      <c r="J619" s="383" t="s">
        <v>4425</v>
      </c>
      <c r="K619" s="383" t="s">
        <v>4426</v>
      </c>
      <c r="L619" s="383" t="s">
        <v>8341</v>
      </c>
      <c r="M619" s="383" t="s">
        <v>10431</v>
      </c>
      <c r="N619" s="9" t="s">
        <v>44</v>
      </c>
      <c r="O619" s="383" t="str">
        <f>IF(LEN(SUBSTITUTE(Table3937[[#This Row],[PRIMARY CONTACT]]," ",""))=10,SUBSTITUTE(Table3937[[#This Row],[PRIMARY CONTACT]]," ","") &amp; " - Proper","- Follow Up")</f>
        <v>9594430114 - Proper</v>
      </c>
      <c r="P619" s="383" t="s">
        <v>4323</v>
      </c>
      <c r="Q619" s="383">
        <v>9594430114</v>
      </c>
      <c r="R619" s="383" t="str">
        <f>SUBSTITUTE(Table3937[[#This Row],[whatsapp_number]]," ","")</f>
        <v>9594430114</v>
      </c>
      <c r="S619" s="383" t="str">
        <f>IF(Table3937[[#This Row],[PRIMARY CONTACT]]=Table3937[[#This Row],[WHATSAPP CONTACT]],"Same Contact","Different Contact")</f>
        <v>Same Contact</v>
      </c>
      <c r="T619" s="383" t="str">
        <f>IF(LEN(SUBSTITUTE(Table3937[[#This Row],[PRIMARY CONTACT]]," ",""))=10,SUBSTITUTE(Table3937[[#This Row],[PRIMARY CONTACT]]," ","") &amp; " - Proper","- Follow Up")</f>
        <v>9594430114 - Proper</v>
      </c>
      <c r="U619" s="383" t="s">
        <v>10655</v>
      </c>
      <c r="V619" s="383" t="s">
        <v>71</v>
      </c>
      <c r="W619" s="383" t="s">
        <v>47</v>
      </c>
      <c r="X619" s="5" t="s">
        <v>1406</v>
      </c>
      <c r="Y619" s="5" t="s">
        <v>49</v>
      </c>
      <c r="Z619" s="5" t="s">
        <v>7444</v>
      </c>
      <c r="AA619" s="5" t="s">
        <v>7445</v>
      </c>
      <c r="AB619" s="383"/>
    </row>
    <row r="620" spans="1:28" ht="13.8">
      <c r="A620" s="387">
        <v>619</v>
      </c>
      <c r="B620" s="262" t="s">
        <v>7670</v>
      </c>
      <c r="C620" s="383" t="s">
        <v>10709</v>
      </c>
      <c r="D620" s="2" t="str">
        <f>MID(Table3937[[#This Row],[URL]], FIND(".com/",Table3937[[#This Row],[URL]])+5, FIND("_BNI",Table3937[[#This Row],[URL]])-FIND(".com/",Table3937[[#This Row],[URL]])-5)</f>
        <v>AYUSH-LAHOTI</v>
      </c>
      <c r="E620" s="383" t="s">
        <v>9118</v>
      </c>
      <c r="F620" s="383">
        <v>1336</v>
      </c>
      <c r="G620" s="383" t="s">
        <v>71</v>
      </c>
      <c r="H620" s="383" t="s">
        <v>4430</v>
      </c>
      <c r="I620" s="383" t="s">
        <v>8539</v>
      </c>
      <c r="J620" s="383" t="s">
        <v>4432</v>
      </c>
      <c r="K620" s="383" t="s">
        <v>4433</v>
      </c>
      <c r="L620" s="383" t="s">
        <v>8341</v>
      </c>
      <c r="M620" s="383" t="s">
        <v>10432</v>
      </c>
      <c r="N620" s="9" t="s">
        <v>44</v>
      </c>
      <c r="O620" s="383" t="str">
        <f>IF(LEN(SUBSTITUTE(Table3937[[#This Row],[PRIMARY CONTACT]]," ",""))=10,SUBSTITUTE(Table3937[[#This Row],[PRIMARY CONTACT]]," ","") &amp; " - Proper","- Follow Up")</f>
        <v>9819157943 - Proper</v>
      </c>
      <c r="P620" s="383" t="s">
        <v>4323</v>
      </c>
      <c r="Q620" s="383">
        <v>9819157943</v>
      </c>
      <c r="R620" s="383" t="str">
        <f>SUBSTITUTE(Table3937[[#This Row],[whatsapp_number]]," ","")</f>
        <v>9819157943</v>
      </c>
      <c r="S620" s="383" t="str">
        <f>IF(Table3937[[#This Row],[PRIMARY CONTACT]]=Table3937[[#This Row],[WHATSAPP CONTACT]],"Same Contact","Different Contact")</f>
        <v>Same Contact</v>
      </c>
      <c r="T620" s="383" t="str">
        <f>IF(LEN(SUBSTITUTE(Table3937[[#This Row],[PRIMARY CONTACT]]," ",""))=10,SUBSTITUTE(Table3937[[#This Row],[PRIMARY CONTACT]]," ","") &amp; " - Proper","- Follow Up")</f>
        <v>9819157943 - Proper</v>
      </c>
      <c r="U620" s="383" t="s">
        <v>2953</v>
      </c>
      <c r="V620" s="383" t="s">
        <v>71</v>
      </c>
      <c r="W620" s="383" t="s">
        <v>47</v>
      </c>
      <c r="X620" s="5" t="s">
        <v>1406</v>
      </c>
      <c r="Y620" s="5" t="s">
        <v>49</v>
      </c>
      <c r="Z620" s="5" t="s">
        <v>7444</v>
      </c>
      <c r="AA620" s="5" t="s">
        <v>7445</v>
      </c>
      <c r="AB620" s="383"/>
    </row>
    <row r="621" spans="1:28" ht="13.8">
      <c r="A621" s="387">
        <v>620</v>
      </c>
      <c r="B621" s="262" t="s">
        <v>7642</v>
      </c>
      <c r="C621" s="383" t="s">
        <v>10743</v>
      </c>
      <c r="D621" s="2" t="str">
        <f>MID(Table3937[[#This Row],[URL]], FIND(".com/",Table3937[[#This Row],[URL]])+5, FIND("_BNI",Table3937[[#This Row],[URL]])-FIND(".com/",Table3937[[#This Row],[URL]])-5)</f>
        <v>KRISHNA-POPAT</v>
      </c>
      <c r="E621" s="383" t="s">
        <v>9119</v>
      </c>
      <c r="F621" s="383">
        <v>1337</v>
      </c>
      <c r="G621" s="383" t="s">
        <v>4436</v>
      </c>
      <c r="H621" s="383" t="s">
        <v>4437</v>
      </c>
      <c r="I621" s="383" t="s">
        <v>8540</v>
      </c>
      <c r="J621" s="383" t="s">
        <v>4439</v>
      </c>
      <c r="K621" s="383" t="s">
        <v>3897</v>
      </c>
      <c r="L621" s="383" t="s">
        <v>9787</v>
      </c>
      <c r="M621" s="383" t="s">
        <v>10433</v>
      </c>
      <c r="N621" s="9" t="s">
        <v>44</v>
      </c>
      <c r="O621" s="383" t="str">
        <f>IF(LEN(SUBSTITUTE(Table3937[[#This Row],[PRIMARY CONTACT]]," ",""))=10,SUBSTITUTE(Table3937[[#This Row],[PRIMARY CONTACT]]," ","") &amp; " - Proper","- Follow Up")</f>
        <v>8007193206 - Proper</v>
      </c>
      <c r="P621" s="383" t="s">
        <v>4323</v>
      </c>
      <c r="Q621" s="383">
        <v>8007193206</v>
      </c>
      <c r="R621" s="383" t="str">
        <f>SUBSTITUTE(Table3937[[#This Row],[whatsapp_number]]," ","")</f>
        <v>8007193206</v>
      </c>
      <c r="S621" s="383" t="str">
        <f>IF(Table3937[[#This Row],[PRIMARY CONTACT]]=Table3937[[#This Row],[WHATSAPP CONTACT]],"Same Contact","Different Contact")</f>
        <v>Same Contact</v>
      </c>
      <c r="T621" s="383" t="str">
        <f>IF(LEN(SUBSTITUTE(Table3937[[#This Row],[PRIMARY CONTACT]]," ",""))=10,SUBSTITUTE(Table3937[[#This Row],[PRIMARY CONTACT]]," ","") &amp; " - Proper","- Follow Up")</f>
        <v>8007193206 - Proper</v>
      </c>
      <c r="U621" s="383" t="s">
        <v>8341</v>
      </c>
      <c r="V621" s="393" t="s">
        <v>4441</v>
      </c>
      <c r="W621" s="383" t="s">
        <v>47</v>
      </c>
      <c r="X621" s="5" t="s">
        <v>1406</v>
      </c>
      <c r="Y621" s="5" t="s">
        <v>49</v>
      </c>
      <c r="Z621" s="5" t="s">
        <v>7444</v>
      </c>
      <c r="AA621" s="5" t="s">
        <v>7445</v>
      </c>
      <c r="AB621" s="383"/>
    </row>
    <row r="622" spans="1:28" ht="13.8">
      <c r="A622" s="387">
        <v>621</v>
      </c>
      <c r="B622" s="262" t="s">
        <v>7637</v>
      </c>
      <c r="C622" s="383" t="s">
        <v>10709</v>
      </c>
      <c r="D622" s="2" t="str">
        <f>MID(Table3937[[#This Row],[URL]], FIND(".com/",Table3937[[#This Row],[URL]])+5, FIND("_BNI",Table3937[[#This Row],[URL]])-FIND(".com/",Table3937[[#This Row],[URL]])-5)</f>
        <v>PULKIT-MARTWAL</v>
      </c>
      <c r="E622" s="383" t="s">
        <v>9120</v>
      </c>
      <c r="F622" s="383">
        <v>1338</v>
      </c>
      <c r="G622" s="383" t="s">
        <v>71</v>
      </c>
      <c r="H622" s="383" t="s">
        <v>4444</v>
      </c>
      <c r="I622" s="383" t="s">
        <v>4445</v>
      </c>
      <c r="J622" s="383" t="s">
        <v>4446</v>
      </c>
      <c r="K622" s="383" t="s">
        <v>4447</v>
      </c>
      <c r="L622" s="383" t="s">
        <v>9788</v>
      </c>
      <c r="M622" s="383" t="s">
        <v>10434</v>
      </c>
      <c r="N622" s="9" t="s">
        <v>44</v>
      </c>
      <c r="O622" s="383" t="str">
        <f>IF(LEN(SUBSTITUTE(Table3937[[#This Row],[PRIMARY CONTACT]]," ",""))=10,SUBSTITUTE(Table3937[[#This Row],[PRIMARY CONTACT]]," ","") &amp; " - Proper","- Follow Up")</f>
        <v>9920077286 - Proper</v>
      </c>
      <c r="P622" s="383" t="s">
        <v>4323</v>
      </c>
      <c r="Q622" s="383">
        <v>9920077286</v>
      </c>
      <c r="R622" s="383" t="str">
        <f>SUBSTITUTE(Table3937[[#This Row],[whatsapp_number]]," ","")</f>
        <v>9920077286</v>
      </c>
      <c r="S622" s="383" t="str">
        <f>IF(Table3937[[#This Row],[PRIMARY CONTACT]]=Table3937[[#This Row],[WHATSAPP CONTACT]],"Same Contact","Different Contact")</f>
        <v>Same Contact</v>
      </c>
      <c r="T622" s="383" t="str">
        <f>IF(LEN(SUBSTITUTE(Table3937[[#This Row],[PRIMARY CONTACT]]," ",""))=10,SUBSTITUTE(Table3937[[#This Row],[PRIMARY CONTACT]]," ","") &amp; " - Proper","- Follow Up")</f>
        <v>9920077286 - Proper</v>
      </c>
      <c r="U622" s="383" t="s">
        <v>10656</v>
      </c>
      <c r="V622" s="393" t="s">
        <v>4451</v>
      </c>
      <c r="W622" s="383" t="s">
        <v>47</v>
      </c>
      <c r="X622" s="5" t="s">
        <v>1406</v>
      </c>
      <c r="Y622" s="5" t="s">
        <v>49</v>
      </c>
      <c r="Z622" s="5" t="s">
        <v>7444</v>
      </c>
      <c r="AA622" s="5" t="s">
        <v>7445</v>
      </c>
      <c r="AB622" s="383"/>
    </row>
    <row r="623" spans="1:28" ht="13.8">
      <c r="A623" s="387">
        <v>622</v>
      </c>
      <c r="B623" s="262" t="s">
        <v>7654</v>
      </c>
      <c r="C623" s="383" t="s">
        <v>10709</v>
      </c>
      <c r="D623" s="2" t="str">
        <f>MID(Table3937[[#This Row],[URL]], FIND(".com/",Table3937[[#This Row],[URL]])+5, FIND("_BNI",Table3937[[#This Row],[URL]])-FIND(".com/",Table3937[[#This Row],[URL]])-5)</f>
        <v>MONALI-SANGHVI</v>
      </c>
      <c r="E623" s="383" t="s">
        <v>9121</v>
      </c>
      <c r="F623" s="383">
        <v>1340</v>
      </c>
      <c r="G623" s="383" t="s">
        <v>4454</v>
      </c>
      <c r="H623" s="383" t="s">
        <v>4455</v>
      </c>
      <c r="I623" s="383" t="s">
        <v>4456</v>
      </c>
      <c r="J623" s="383" t="s">
        <v>4457</v>
      </c>
      <c r="K623" s="383" t="s">
        <v>1009</v>
      </c>
      <c r="L623" s="383" t="s">
        <v>9789</v>
      </c>
      <c r="M623" s="383" t="s">
        <v>10435</v>
      </c>
      <c r="N623" s="9" t="s">
        <v>44</v>
      </c>
      <c r="O623" s="383" t="str">
        <f>IF(LEN(SUBSTITUTE(Table3937[[#This Row],[PRIMARY CONTACT]]," ",""))=10,SUBSTITUTE(Table3937[[#This Row],[PRIMARY CONTACT]]," ","") &amp; " - Proper","- Follow Up")</f>
        <v>9892050530 - Proper</v>
      </c>
      <c r="P623" s="383" t="s">
        <v>4323</v>
      </c>
      <c r="Q623" s="383">
        <v>9892050530</v>
      </c>
      <c r="R623" s="383" t="str">
        <f>SUBSTITUTE(Table3937[[#This Row],[whatsapp_number]]," ","")</f>
        <v>9892050530</v>
      </c>
      <c r="S623" s="383" t="str">
        <f>IF(Table3937[[#This Row],[PRIMARY CONTACT]]=Table3937[[#This Row],[WHATSAPP CONTACT]],"Same Contact","Different Contact")</f>
        <v>Same Contact</v>
      </c>
      <c r="T623" s="383" t="str">
        <f>IF(LEN(SUBSTITUTE(Table3937[[#This Row],[PRIMARY CONTACT]]," ",""))=10,SUBSTITUTE(Table3937[[#This Row],[PRIMARY CONTACT]]," ","") &amp; " - Proper","- Follow Up")</f>
        <v>9892050530 - Proper</v>
      </c>
      <c r="U623" s="383" t="s">
        <v>10657</v>
      </c>
      <c r="V623" s="393" t="s">
        <v>4461</v>
      </c>
      <c r="W623" s="383" t="s">
        <v>47</v>
      </c>
      <c r="X623" s="5" t="s">
        <v>1406</v>
      </c>
      <c r="Y623" s="5" t="s">
        <v>49</v>
      </c>
      <c r="Z623" s="5" t="s">
        <v>7444</v>
      </c>
      <c r="AA623" s="5" t="s">
        <v>7445</v>
      </c>
      <c r="AB623" s="383"/>
    </row>
    <row r="624" spans="1:28" ht="13.8">
      <c r="A624" s="387">
        <v>623</v>
      </c>
      <c r="B624" s="262" t="s">
        <v>7634</v>
      </c>
      <c r="C624" s="383" t="s">
        <v>10709</v>
      </c>
      <c r="D624" s="2" t="str">
        <f>MID(Table3937[[#This Row],[URL]], FIND(".com/",Table3937[[#This Row],[URL]])+5, FIND("_BNI",Table3937[[#This Row],[URL]])-FIND(".com/",Table3937[[#This Row],[URL]])-5)</f>
        <v>RAMESH-SAKPAL</v>
      </c>
      <c r="E624" s="383" t="s">
        <v>9122</v>
      </c>
      <c r="F624" s="383">
        <v>1341</v>
      </c>
      <c r="G624" s="383" t="s">
        <v>4464</v>
      </c>
      <c r="H624" s="383" t="s">
        <v>4465</v>
      </c>
      <c r="I624" s="383" t="s">
        <v>4466</v>
      </c>
      <c r="J624" s="383" t="s">
        <v>4467</v>
      </c>
      <c r="K624" s="383" t="s">
        <v>9575</v>
      </c>
      <c r="L624" s="383" t="s">
        <v>9790</v>
      </c>
      <c r="M624" s="383" t="s">
        <v>10436</v>
      </c>
      <c r="N624" s="9" t="s">
        <v>44</v>
      </c>
      <c r="O624" s="383" t="str">
        <f>IF(LEN(SUBSTITUTE(Table3937[[#This Row],[PRIMARY CONTACT]]," ",""))=10,SUBSTITUTE(Table3937[[#This Row],[PRIMARY CONTACT]]," ","") &amp; " - Proper","- Follow Up")</f>
        <v>9820842723 - Proper</v>
      </c>
      <c r="P624" s="383" t="s">
        <v>4323</v>
      </c>
      <c r="Q624" s="383">
        <v>9820842723</v>
      </c>
      <c r="R624" s="383" t="str">
        <f>SUBSTITUTE(Table3937[[#This Row],[whatsapp_number]]," ","")</f>
        <v>9820842723</v>
      </c>
      <c r="S624" s="383" t="str">
        <f>IF(Table3937[[#This Row],[PRIMARY CONTACT]]=Table3937[[#This Row],[WHATSAPP CONTACT]],"Same Contact","Different Contact")</f>
        <v>Same Contact</v>
      </c>
      <c r="T624" s="383" t="str">
        <f>IF(LEN(SUBSTITUTE(Table3937[[#This Row],[PRIMARY CONTACT]]," ",""))=10,SUBSTITUTE(Table3937[[#This Row],[PRIMARY CONTACT]]," ","") &amp; " - Proper","- Follow Up")</f>
        <v>9820842723 - Proper</v>
      </c>
      <c r="U624" s="383" t="s">
        <v>10658</v>
      </c>
      <c r="V624" s="393" t="s">
        <v>4471</v>
      </c>
      <c r="W624" s="383" t="s">
        <v>47</v>
      </c>
      <c r="X624" s="5" t="s">
        <v>1406</v>
      </c>
      <c r="Y624" s="5" t="s">
        <v>49</v>
      </c>
      <c r="Z624" s="5" t="s">
        <v>7444</v>
      </c>
      <c r="AA624" s="5" t="s">
        <v>7445</v>
      </c>
      <c r="AB624" s="383"/>
    </row>
    <row r="625" spans="1:28" ht="13.8">
      <c r="A625" s="387">
        <v>624</v>
      </c>
      <c r="B625" s="262" t="s">
        <v>7672</v>
      </c>
      <c r="C625" s="383" t="s">
        <v>10709</v>
      </c>
      <c r="D625" s="2" t="str">
        <f>MID(Table3937[[#This Row],[URL]], FIND(".com/",Table3937[[#This Row],[URL]])+5, FIND("_BNI",Table3937[[#This Row],[URL]])-FIND(".com/",Table3937[[#This Row],[URL]])-5)</f>
        <v>NAYAN-PATEL</v>
      </c>
      <c r="E625" s="383" t="s">
        <v>9123</v>
      </c>
      <c r="F625" s="383">
        <v>1342</v>
      </c>
      <c r="G625" s="383" t="s">
        <v>71</v>
      </c>
      <c r="H625" s="383" t="s">
        <v>4473</v>
      </c>
      <c r="I625" s="383" t="s">
        <v>4474</v>
      </c>
      <c r="J625" s="383" t="s">
        <v>4475</v>
      </c>
      <c r="K625" s="383" t="s">
        <v>4476</v>
      </c>
      <c r="L625" s="383" t="s">
        <v>8341</v>
      </c>
      <c r="M625" s="383" t="s">
        <v>10437</v>
      </c>
      <c r="N625" s="9" t="s">
        <v>44</v>
      </c>
      <c r="O625" s="383" t="str">
        <f>IF(LEN(SUBSTITUTE(Table3937[[#This Row],[PRIMARY CONTACT]]," ",""))=10,SUBSTITUTE(Table3937[[#This Row],[PRIMARY CONTACT]]," ","") &amp; " - Proper","- Follow Up")</f>
        <v>7299999459 - Proper</v>
      </c>
      <c r="P625" s="383" t="s">
        <v>4323</v>
      </c>
      <c r="Q625" s="383">
        <v>7299999459</v>
      </c>
      <c r="R625" s="383" t="str">
        <f>SUBSTITUTE(Table3937[[#This Row],[whatsapp_number]]," ","")</f>
        <v>7299999459</v>
      </c>
      <c r="S625" s="383" t="str">
        <f>IF(Table3937[[#This Row],[PRIMARY CONTACT]]=Table3937[[#This Row],[WHATSAPP CONTACT]],"Same Contact","Different Contact")</f>
        <v>Same Contact</v>
      </c>
      <c r="T625" s="383" t="str">
        <f>IF(LEN(SUBSTITUTE(Table3937[[#This Row],[PRIMARY CONTACT]]," ",""))=10,SUBSTITUTE(Table3937[[#This Row],[PRIMARY CONTACT]]," ","") &amp; " - Proper","- Follow Up")</f>
        <v>7299999459 - Proper</v>
      </c>
      <c r="U625" s="383" t="s">
        <v>2953</v>
      </c>
      <c r="V625" s="383" t="s">
        <v>71</v>
      </c>
      <c r="W625" s="383" t="s">
        <v>47</v>
      </c>
      <c r="X625" s="5" t="s">
        <v>1406</v>
      </c>
      <c r="Y625" s="5" t="s">
        <v>49</v>
      </c>
      <c r="Z625" s="5" t="s">
        <v>7444</v>
      </c>
      <c r="AA625" s="5" t="s">
        <v>7445</v>
      </c>
      <c r="AB625" s="383"/>
    </row>
    <row r="626" spans="1:28" ht="13.8">
      <c r="A626" s="387">
        <v>625</v>
      </c>
      <c r="B626" s="262" t="s">
        <v>7574</v>
      </c>
      <c r="C626" s="383" t="s">
        <v>10709</v>
      </c>
      <c r="D626" s="2" t="str">
        <f>MID(Table3937[[#This Row],[URL]], FIND(".com/",Table3937[[#This Row],[URL]])+5, FIND("_BNI",Table3937[[#This Row],[URL]])-FIND(".com/",Table3937[[#This Row],[URL]])-5)</f>
        <v>MAZIYA-CHANDIWALA</v>
      </c>
      <c r="E626" s="383" t="s">
        <v>9124</v>
      </c>
      <c r="F626" s="383">
        <v>1343</v>
      </c>
      <c r="G626" s="383" t="s">
        <v>4479</v>
      </c>
      <c r="H626" s="383" t="s">
        <v>4480</v>
      </c>
      <c r="I626" s="383" t="s">
        <v>4481</v>
      </c>
      <c r="J626" s="383" t="s">
        <v>4482</v>
      </c>
      <c r="K626" s="383" t="s">
        <v>8341</v>
      </c>
      <c r="L626" s="383" t="s">
        <v>9791</v>
      </c>
      <c r="M626" s="383" t="s">
        <v>10438</v>
      </c>
      <c r="N626" s="9" t="s">
        <v>44</v>
      </c>
      <c r="O626" s="383" t="str">
        <f>IF(LEN(SUBSTITUTE(Table3937[[#This Row],[PRIMARY CONTACT]]," ",""))=10,SUBSTITUTE(Table3937[[#This Row],[PRIMARY CONTACT]]," ","") &amp; " - Proper","- Follow Up")</f>
        <v>9930767460 - Proper</v>
      </c>
      <c r="P626" s="383" t="s">
        <v>4323</v>
      </c>
      <c r="Q626" s="383">
        <v>9930767460</v>
      </c>
      <c r="R626" s="383" t="str">
        <f>SUBSTITUTE(Table3937[[#This Row],[whatsapp_number]]," ","")</f>
        <v>9930767460</v>
      </c>
      <c r="S626" s="383" t="str">
        <f>IF(Table3937[[#This Row],[PRIMARY CONTACT]]=Table3937[[#This Row],[WHATSAPP CONTACT]],"Same Contact","Different Contact")</f>
        <v>Same Contact</v>
      </c>
      <c r="T626" s="383" t="str">
        <f>IF(LEN(SUBSTITUTE(Table3937[[#This Row],[PRIMARY CONTACT]]," ",""))=10,SUBSTITUTE(Table3937[[#This Row],[PRIMARY CONTACT]]," ","") &amp; " - Proper","- Follow Up")</f>
        <v>9930767460 - Proper</v>
      </c>
      <c r="U626" s="383" t="s">
        <v>10659</v>
      </c>
      <c r="V626" s="383" t="s">
        <v>71</v>
      </c>
      <c r="W626" s="383" t="s">
        <v>47</v>
      </c>
      <c r="X626" s="5" t="s">
        <v>1406</v>
      </c>
      <c r="Y626" s="5" t="s">
        <v>49</v>
      </c>
      <c r="Z626" s="5" t="s">
        <v>7444</v>
      </c>
      <c r="AA626" s="5" t="s">
        <v>7445</v>
      </c>
      <c r="AB626" s="383"/>
    </row>
    <row r="627" spans="1:28" ht="13.8">
      <c r="A627" s="387">
        <v>626</v>
      </c>
      <c r="B627" s="262" t="s">
        <v>7608</v>
      </c>
      <c r="C627" s="383" t="s">
        <v>10709</v>
      </c>
      <c r="D627" s="2" t="str">
        <f>MID(Table3937[[#This Row],[URL]], FIND(".com/",Table3937[[#This Row],[URL]])+5, FIND("_BNI",Table3937[[#This Row],[URL]])-FIND(".com/",Table3937[[#This Row],[URL]])-5)</f>
        <v>SOHIL-SHAH</v>
      </c>
      <c r="E627" s="383" t="s">
        <v>9125</v>
      </c>
      <c r="F627" s="383">
        <v>1344</v>
      </c>
      <c r="G627" s="383" t="s">
        <v>4487</v>
      </c>
      <c r="H627" s="383" t="s">
        <v>4488</v>
      </c>
      <c r="I627" s="383" t="s">
        <v>8541</v>
      </c>
      <c r="J627" s="383" t="s">
        <v>4490</v>
      </c>
      <c r="K627" s="383" t="s">
        <v>7328</v>
      </c>
      <c r="L627" s="383" t="s">
        <v>9792</v>
      </c>
      <c r="M627" s="383" t="s">
        <v>10439</v>
      </c>
      <c r="N627" s="9" t="s">
        <v>44</v>
      </c>
      <c r="O627" s="383" t="str">
        <f>IF(LEN(SUBSTITUTE(Table3937[[#This Row],[PRIMARY CONTACT]]," ",""))=10,SUBSTITUTE(Table3937[[#This Row],[PRIMARY CONTACT]]," ","") &amp; " - Proper","- Follow Up")</f>
        <v>9920378708 - Proper</v>
      </c>
      <c r="P627" s="383" t="s">
        <v>4323</v>
      </c>
      <c r="Q627" s="383">
        <v>9920378708</v>
      </c>
      <c r="R627" s="383" t="str">
        <f>SUBSTITUTE(Table3937[[#This Row],[whatsapp_number]]," ","")</f>
        <v>9920378708</v>
      </c>
      <c r="S627" s="383" t="str">
        <f>IF(Table3937[[#This Row],[PRIMARY CONTACT]]=Table3937[[#This Row],[WHATSAPP CONTACT]],"Same Contact","Different Contact")</f>
        <v>Same Contact</v>
      </c>
      <c r="T627" s="383" t="str">
        <f>IF(LEN(SUBSTITUTE(Table3937[[#This Row],[PRIMARY CONTACT]]," ",""))=10,SUBSTITUTE(Table3937[[#This Row],[PRIMARY CONTACT]]," ","") &amp; " - Proper","- Follow Up")</f>
        <v>9920378708 - Proper</v>
      </c>
      <c r="U627" s="383" t="s">
        <v>10660</v>
      </c>
      <c r="V627" s="383" t="s">
        <v>71</v>
      </c>
      <c r="W627" s="383" t="s">
        <v>47</v>
      </c>
      <c r="X627" s="5" t="s">
        <v>1406</v>
      </c>
      <c r="Y627" s="5" t="s">
        <v>49</v>
      </c>
      <c r="Z627" s="5" t="s">
        <v>7444</v>
      </c>
      <c r="AA627" s="5" t="s">
        <v>7445</v>
      </c>
      <c r="AB627" s="383"/>
    </row>
    <row r="628" spans="1:28" ht="13.8">
      <c r="A628" s="387">
        <v>627</v>
      </c>
      <c r="B628" s="262" t="s">
        <v>7558</v>
      </c>
      <c r="C628" s="383" t="s">
        <v>10709</v>
      </c>
      <c r="D628" s="2" t="str">
        <f>MID(Table3937[[#This Row],[URL]], FIND(".com/",Table3937[[#This Row],[URL]])+5, FIND("_BNI",Table3937[[#This Row],[URL]])-FIND(".com/",Table3937[[#This Row],[URL]])-5)</f>
        <v>NAYANA-OZA</v>
      </c>
      <c r="E628" s="383" t="s">
        <v>9126</v>
      </c>
      <c r="F628" s="383">
        <v>1345</v>
      </c>
      <c r="G628" s="383" t="s">
        <v>71</v>
      </c>
      <c r="H628" s="383" t="s">
        <v>4497</v>
      </c>
      <c r="I628" s="383" t="s">
        <v>8542</v>
      </c>
      <c r="J628" s="383" t="s">
        <v>4499</v>
      </c>
      <c r="K628" s="383" t="s">
        <v>3960</v>
      </c>
      <c r="L628" s="383" t="s">
        <v>8341</v>
      </c>
      <c r="M628" s="383" t="s">
        <v>10440</v>
      </c>
      <c r="N628" s="9" t="s">
        <v>44</v>
      </c>
      <c r="O628" s="383" t="str">
        <f>IF(LEN(SUBSTITUTE(Table3937[[#This Row],[PRIMARY CONTACT]]," ",""))=10,SUBSTITUTE(Table3937[[#This Row],[PRIMARY CONTACT]]," ","") &amp; " - Proper","- Follow Up")</f>
        <v>9320006365 - Proper</v>
      </c>
      <c r="P628" s="383" t="s">
        <v>4323</v>
      </c>
      <c r="Q628" s="383">
        <v>9320006365</v>
      </c>
      <c r="R628" s="383" t="str">
        <f>SUBSTITUTE(Table3937[[#This Row],[whatsapp_number]]," ","")</f>
        <v>9320006365</v>
      </c>
      <c r="S628" s="383" t="str">
        <f>IF(Table3937[[#This Row],[PRIMARY CONTACT]]=Table3937[[#This Row],[WHATSAPP CONTACT]],"Same Contact","Different Contact")</f>
        <v>Same Contact</v>
      </c>
      <c r="T628" s="383" t="str">
        <f>IF(LEN(SUBSTITUTE(Table3937[[#This Row],[PRIMARY CONTACT]]," ",""))=10,SUBSTITUTE(Table3937[[#This Row],[PRIMARY CONTACT]]," ","") &amp; " - Proper","- Follow Up")</f>
        <v>9320006365 - Proper</v>
      </c>
      <c r="U628" s="383" t="s">
        <v>10661</v>
      </c>
      <c r="V628" s="383" t="s">
        <v>71</v>
      </c>
      <c r="W628" s="383" t="s">
        <v>47</v>
      </c>
      <c r="X628" s="5" t="s">
        <v>1406</v>
      </c>
      <c r="Y628" s="5" t="s">
        <v>49</v>
      </c>
      <c r="Z628" s="5" t="s">
        <v>7444</v>
      </c>
      <c r="AA628" s="5" t="s">
        <v>7445</v>
      </c>
      <c r="AB628" s="383"/>
    </row>
    <row r="629" spans="1:28" ht="13.8">
      <c r="A629" s="387">
        <v>628</v>
      </c>
      <c r="B629" s="262" t="s">
        <v>7592</v>
      </c>
      <c r="C629" s="383" t="s">
        <v>10709</v>
      </c>
      <c r="D629" s="2" t="str">
        <f>MID(Table3937[[#This Row],[URL]], FIND(".com/",Table3937[[#This Row],[URL]])+5, FIND("_BNI",Table3937[[#This Row],[URL]])-FIND(".com/",Table3937[[#This Row],[URL]])-5)</f>
        <v>VARUN-GINODIA</v>
      </c>
      <c r="E629" s="383" t="s">
        <v>9127</v>
      </c>
      <c r="F629" s="383">
        <v>1346</v>
      </c>
      <c r="G629" s="383" t="s">
        <v>4503</v>
      </c>
      <c r="H629" s="383" t="s">
        <v>4504</v>
      </c>
      <c r="I629" s="383" t="s">
        <v>4505</v>
      </c>
      <c r="J629" s="383" t="s">
        <v>4506</v>
      </c>
      <c r="K629" s="383" t="s">
        <v>4507</v>
      </c>
      <c r="L629" s="383" t="s">
        <v>9793</v>
      </c>
      <c r="M629" s="383" t="s">
        <v>10441</v>
      </c>
      <c r="N629" s="9" t="s">
        <v>44</v>
      </c>
      <c r="O629" s="383" t="str">
        <f>IF(LEN(SUBSTITUTE(Table3937[[#This Row],[PRIMARY CONTACT]]," ",""))=10,SUBSTITUTE(Table3937[[#This Row],[PRIMARY CONTACT]]," ","") &amp; " - Proper","- Follow Up")</f>
        <v>9819711898 - Proper</v>
      </c>
      <c r="P629" s="383" t="s">
        <v>4323</v>
      </c>
      <c r="Q629" s="383">
        <v>9819711898</v>
      </c>
      <c r="R629" s="383" t="str">
        <f>SUBSTITUTE(Table3937[[#This Row],[whatsapp_number]]," ","")</f>
        <v>9819711898</v>
      </c>
      <c r="S629" s="383" t="str">
        <f>IF(Table3937[[#This Row],[PRIMARY CONTACT]]=Table3937[[#This Row],[WHATSAPP CONTACT]],"Same Contact","Different Contact")</f>
        <v>Same Contact</v>
      </c>
      <c r="T629" s="383" t="str">
        <f>IF(LEN(SUBSTITUTE(Table3937[[#This Row],[PRIMARY CONTACT]]," ",""))=10,SUBSTITUTE(Table3937[[#This Row],[PRIMARY CONTACT]]," ","") &amp; " - Proper","- Follow Up")</f>
        <v>9819711898 - Proper</v>
      </c>
      <c r="U629" s="383" t="s">
        <v>10662</v>
      </c>
      <c r="V629" s="383" t="s">
        <v>71</v>
      </c>
      <c r="W629" s="383" t="s">
        <v>47</v>
      </c>
      <c r="X629" s="5" t="s">
        <v>1406</v>
      </c>
      <c r="Y629" s="5" t="s">
        <v>49</v>
      </c>
      <c r="Z629" s="5" t="s">
        <v>7444</v>
      </c>
      <c r="AA629" s="5" t="s">
        <v>7445</v>
      </c>
      <c r="AB629" s="383"/>
    </row>
    <row r="630" spans="1:28" ht="13.8">
      <c r="A630" s="387">
        <v>629</v>
      </c>
      <c r="B630" s="262" t="s">
        <v>7674</v>
      </c>
      <c r="C630" s="383" t="s">
        <v>10709</v>
      </c>
      <c r="D630" s="2" t="str">
        <f>MID(Table3937[[#This Row],[URL]], FIND(".com/",Table3937[[#This Row],[URL]])+5, FIND("_BNI",Table3937[[#This Row],[URL]])-FIND(".com/",Table3937[[#This Row],[URL]])-5)</f>
        <v>YASH-JAIN</v>
      </c>
      <c r="E630" s="383" t="s">
        <v>9128</v>
      </c>
      <c r="F630" s="383">
        <v>1347</v>
      </c>
      <c r="G630" s="383" t="s">
        <v>71</v>
      </c>
      <c r="H630" s="383" t="s">
        <v>4513</v>
      </c>
      <c r="I630" s="383" t="s">
        <v>4514</v>
      </c>
      <c r="J630" s="383" t="s">
        <v>4515</v>
      </c>
      <c r="K630" s="383" t="s">
        <v>4516</v>
      </c>
      <c r="L630" s="383" t="s">
        <v>8341</v>
      </c>
      <c r="M630" s="383" t="s">
        <v>10442</v>
      </c>
      <c r="N630" s="9" t="s">
        <v>44</v>
      </c>
      <c r="O630" s="383" t="str">
        <f>IF(LEN(SUBSTITUTE(Table3937[[#This Row],[PRIMARY CONTACT]]," ",""))=10,SUBSTITUTE(Table3937[[#This Row],[PRIMARY CONTACT]]," ","") &amp; " - Proper","- Follow Up")</f>
        <v>7738744374 - Proper</v>
      </c>
      <c r="P630" s="383" t="s">
        <v>4323</v>
      </c>
      <c r="Q630" s="383">
        <v>7738744374</v>
      </c>
      <c r="R630" s="383" t="str">
        <f>SUBSTITUTE(Table3937[[#This Row],[whatsapp_number]]," ","")</f>
        <v>7738744374</v>
      </c>
      <c r="S630" s="383" t="str">
        <f>IF(Table3937[[#This Row],[PRIMARY CONTACT]]=Table3937[[#This Row],[WHATSAPP CONTACT]],"Same Contact","Different Contact")</f>
        <v>Same Contact</v>
      </c>
      <c r="T630" s="383" t="str">
        <f>IF(LEN(SUBSTITUTE(Table3937[[#This Row],[PRIMARY CONTACT]]," ",""))=10,SUBSTITUTE(Table3937[[#This Row],[PRIMARY CONTACT]]," ","") &amp; " - Proper","- Follow Up")</f>
        <v>7738744374 - Proper</v>
      </c>
      <c r="U630" s="383" t="s">
        <v>2953</v>
      </c>
      <c r="V630" s="383" t="s">
        <v>71</v>
      </c>
      <c r="W630" s="383" t="s">
        <v>47</v>
      </c>
      <c r="X630" s="5" t="s">
        <v>1406</v>
      </c>
      <c r="Y630" s="5" t="s">
        <v>49</v>
      </c>
      <c r="Z630" s="5" t="s">
        <v>7444</v>
      </c>
      <c r="AA630" s="5" t="s">
        <v>7445</v>
      </c>
      <c r="AB630" s="383"/>
    </row>
    <row r="631" spans="1:28" ht="13.8">
      <c r="A631" s="387">
        <v>630</v>
      </c>
      <c r="B631" s="262" t="s">
        <v>7676</v>
      </c>
      <c r="C631" s="383" t="s">
        <v>10743</v>
      </c>
      <c r="D631" s="2" t="str">
        <f>MID(Table3937[[#This Row],[URL]], FIND(".com/",Table3937[[#This Row],[URL]])+5, FIND("_BNI",Table3937[[#This Row],[URL]])-FIND(".com/",Table3937[[#This Row],[URL]])-5)</f>
        <v>TRAPTI-KARIA</v>
      </c>
      <c r="E631" s="383" t="s">
        <v>9129</v>
      </c>
      <c r="F631" s="383">
        <v>1348</v>
      </c>
      <c r="G631" s="383" t="s">
        <v>71</v>
      </c>
      <c r="H631" s="383" t="s">
        <v>4518</v>
      </c>
      <c r="I631" s="383" t="s">
        <v>4521</v>
      </c>
      <c r="J631" s="383" t="s">
        <v>4520</v>
      </c>
      <c r="K631" s="383" t="s">
        <v>4521</v>
      </c>
      <c r="L631" s="383" t="s">
        <v>8341</v>
      </c>
      <c r="M631" s="383" t="s">
        <v>10443</v>
      </c>
      <c r="N631" s="9" t="s">
        <v>44</v>
      </c>
      <c r="O631" s="383" t="str">
        <f>IF(LEN(SUBSTITUTE(Table3937[[#This Row],[PRIMARY CONTACT]]," ",""))=10,SUBSTITUTE(Table3937[[#This Row],[PRIMARY CONTACT]]," ","") &amp; " - Proper","- Follow Up")</f>
        <v>9320537219 - Proper</v>
      </c>
      <c r="P631" s="383" t="s">
        <v>4323</v>
      </c>
      <c r="Q631" s="383">
        <v>9320537219</v>
      </c>
      <c r="R631" s="383" t="str">
        <f>SUBSTITUTE(Table3937[[#This Row],[whatsapp_number]]," ","")</f>
        <v>9320537219</v>
      </c>
      <c r="S631" s="383" t="str">
        <f>IF(Table3937[[#This Row],[PRIMARY CONTACT]]=Table3937[[#This Row],[WHATSAPP CONTACT]],"Same Contact","Different Contact")</f>
        <v>Same Contact</v>
      </c>
      <c r="T631" s="383" t="str">
        <f>IF(LEN(SUBSTITUTE(Table3937[[#This Row],[PRIMARY CONTACT]]," ",""))=10,SUBSTITUTE(Table3937[[#This Row],[PRIMARY CONTACT]]," ","") &amp; " - Proper","- Follow Up")</f>
        <v>9320537219 - Proper</v>
      </c>
      <c r="U631" s="383" t="s">
        <v>10663</v>
      </c>
      <c r="V631" s="383" t="s">
        <v>71</v>
      </c>
      <c r="W631" s="383" t="s">
        <v>47</v>
      </c>
      <c r="X631" s="5" t="s">
        <v>1406</v>
      </c>
      <c r="Y631" s="5" t="s">
        <v>49</v>
      </c>
      <c r="Z631" s="5" t="s">
        <v>7444</v>
      </c>
      <c r="AA631" s="5" t="s">
        <v>7445</v>
      </c>
      <c r="AB631" s="383"/>
    </row>
    <row r="632" spans="1:28" ht="13.8">
      <c r="A632" s="387">
        <v>631</v>
      </c>
      <c r="B632" s="262" t="s">
        <v>7679</v>
      </c>
      <c r="C632" s="383" t="s">
        <v>10709</v>
      </c>
      <c r="D632" s="2" t="str">
        <f>MID(Table3937[[#This Row],[URL]], FIND(".com/",Table3937[[#This Row],[URL]])+5, FIND("_BNI",Table3937[[#This Row],[URL]])-FIND(".com/",Table3937[[#This Row],[URL]])-5)</f>
        <v>NITIN-BHANSALI</v>
      </c>
      <c r="E632" s="383" t="s">
        <v>9130</v>
      </c>
      <c r="F632" s="383">
        <v>1349</v>
      </c>
      <c r="G632" s="383" t="s">
        <v>71</v>
      </c>
      <c r="H632" s="383" t="s">
        <v>4524</v>
      </c>
      <c r="I632" s="383" t="s">
        <v>8543</v>
      </c>
      <c r="J632" s="383" t="s">
        <v>4526</v>
      </c>
      <c r="K632" s="383" t="s">
        <v>4527</v>
      </c>
      <c r="L632" s="383" t="s">
        <v>8341</v>
      </c>
      <c r="M632" s="383" t="s">
        <v>10444</v>
      </c>
      <c r="N632" s="9" t="s">
        <v>44</v>
      </c>
      <c r="O632" s="383" t="str">
        <f>IF(LEN(SUBSTITUTE(Table3937[[#This Row],[PRIMARY CONTACT]]," ",""))=10,SUBSTITUTE(Table3937[[#This Row],[PRIMARY CONTACT]]," ","") &amp; " - Proper","- Follow Up")</f>
        <v>9324559400 - Proper</v>
      </c>
      <c r="P632" s="383" t="s">
        <v>4323</v>
      </c>
      <c r="Q632" s="383">
        <v>9324559400</v>
      </c>
      <c r="R632" s="383" t="str">
        <f>SUBSTITUTE(Table3937[[#This Row],[whatsapp_number]]," ","")</f>
        <v>9324559400</v>
      </c>
      <c r="S632" s="383" t="str">
        <f>IF(Table3937[[#This Row],[PRIMARY CONTACT]]=Table3937[[#This Row],[WHATSAPP CONTACT]],"Same Contact","Different Contact")</f>
        <v>Same Contact</v>
      </c>
      <c r="T632" s="383" t="str">
        <f>IF(LEN(SUBSTITUTE(Table3937[[#This Row],[PRIMARY CONTACT]]," ",""))=10,SUBSTITUTE(Table3937[[#This Row],[PRIMARY CONTACT]]," ","") &amp; " - Proper","- Follow Up")</f>
        <v>9324559400 - Proper</v>
      </c>
      <c r="U632" s="383" t="s">
        <v>10664</v>
      </c>
      <c r="V632" s="383" t="s">
        <v>71</v>
      </c>
      <c r="W632" s="383" t="s">
        <v>47</v>
      </c>
      <c r="X632" s="5" t="s">
        <v>1406</v>
      </c>
      <c r="Y632" s="5" t="s">
        <v>49</v>
      </c>
      <c r="Z632" s="5" t="s">
        <v>7444</v>
      </c>
      <c r="AA632" s="5" t="s">
        <v>7445</v>
      </c>
      <c r="AB632" s="383"/>
    </row>
    <row r="633" spans="1:28" ht="13.8">
      <c r="A633" s="387">
        <v>632</v>
      </c>
      <c r="B633" s="262" t="s">
        <v>7681</v>
      </c>
      <c r="C633" s="383" t="s">
        <v>10709</v>
      </c>
      <c r="D633" s="2" t="str">
        <f>MID(Table3937[[#This Row],[URL]], FIND(".com/",Table3937[[#This Row],[URL]])+5, FIND("_BNI",Table3937[[#This Row],[URL]])-FIND(".com/",Table3937[[#This Row],[URL]])-5)</f>
        <v>VISHAL-CHANDRA</v>
      </c>
      <c r="E633" s="383" t="s">
        <v>9131</v>
      </c>
      <c r="F633" s="383">
        <v>1350</v>
      </c>
      <c r="G633" s="383" t="s">
        <v>4531</v>
      </c>
      <c r="H633" s="383" t="s">
        <v>4532</v>
      </c>
      <c r="I633" s="383" t="s">
        <v>4533</v>
      </c>
      <c r="J633" s="383" t="s">
        <v>4534</v>
      </c>
      <c r="K633" s="383" t="s">
        <v>4535</v>
      </c>
      <c r="L633" s="383" t="s">
        <v>9794</v>
      </c>
      <c r="M633" s="383" t="s">
        <v>10445</v>
      </c>
      <c r="N633" s="9" t="s">
        <v>44</v>
      </c>
      <c r="O633" s="383" t="str">
        <f>IF(LEN(SUBSTITUTE(Table3937[[#This Row],[PRIMARY CONTACT]]," ",""))=10,SUBSTITUTE(Table3937[[#This Row],[PRIMARY CONTACT]]," ","") &amp; " - Proper","- Follow Up")</f>
        <v>9322261279 - Proper</v>
      </c>
      <c r="P633" s="383" t="s">
        <v>4323</v>
      </c>
      <c r="Q633" s="383">
        <v>9322261279</v>
      </c>
      <c r="R633" s="383" t="str">
        <f>SUBSTITUTE(Table3937[[#This Row],[whatsapp_number]]," ","")</f>
        <v>9322261279</v>
      </c>
      <c r="S633" s="383" t="str">
        <f>IF(Table3937[[#This Row],[PRIMARY CONTACT]]=Table3937[[#This Row],[WHATSAPP CONTACT]],"Same Contact","Different Contact")</f>
        <v>Same Contact</v>
      </c>
      <c r="T633" s="383" t="str">
        <f>IF(LEN(SUBSTITUTE(Table3937[[#This Row],[PRIMARY CONTACT]]," ",""))=10,SUBSTITUTE(Table3937[[#This Row],[PRIMARY CONTACT]]," ","") &amp; " - Proper","- Follow Up")</f>
        <v>9322261279 - Proper</v>
      </c>
      <c r="U633" s="383" t="s">
        <v>10665</v>
      </c>
      <c r="V633" s="393" t="s">
        <v>4539</v>
      </c>
      <c r="W633" s="383" t="s">
        <v>47</v>
      </c>
      <c r="X633" s="5" t="s">
        <v>1406</v>
      </c>
      <c r="Y633" s="5" t="s">
        <v>49</v>
      </c>
      <c r="Z633" s="5" t="s">
        <v>7444</v>
      </c>
      <c r="AA633" s="5" t="s">
        <v>7445</v>
      </c>
      <c r="AB633" s="383"/>
    </row>
    <row r="634" spans="1:28" ht="13.8">
      <c r="A634" s="387">
        <v>633</v>
      </c>
      <c r="B634" s="262" t="s">
        <v>7685</v>
      </c>
      <c r="C634" s="383" t="s">
        <v>10709</v>
      </c>
      <c r="D634" s="2" t="str">
        <f>MID(Table3937[[#This Row],[URL]], FIND(".com/",Table3937[[#This Row],[URL]])+5, FIND("_BNI",Table3937[[#This Row],[URL]])-FIND(".com/",Table3937[[#This Row],[URL]])-5)</f>
        <v>MANISH-BALWANI</v>
      </c>
      <c r="E634" s="383" t="s">
        <v>9132</v>
      </c>
      <c r="F634" s="383">
        <v>1351</v>
      </c>
      <c r="G634" s="383" t="s">
        <v>71</v>
      </c>
      <c r="H634" s="383" t="s">
        <v>71</v>
      </c>
      <c r="I634" s="383" t="s">
        <v>8544</v>
      </c>
      <c r="J634" s="383" t="s">
        <v>4542</v>
      </c>
      <c r="K634" s="383" t="s">
        <v>8341</v>
      </c>
      <c r="L634" s="383" t="s">
        <v>9795</v>
      </c>
      <c r="M634" s="383" t="s">
        <v>10446</v>
      </c>
      <c r="N634" s="9" t="s">
        <v>44</v>
      </c>
      <c r="O634" s="383" t="str">
        <f>IF(LEN(SUBSTITUTE(Table3937[[#This Row],[PRIMARY CONTACT]]," ",""))=10,SUBSTITUTE(Table3937[[#This Row],[PRIMARY CONTACT]]," ","") &amp; " - Proper","- Follow Up")</f>
        <v>9820359079 - Proper</v>
      </c>
      <c r="P634" s="383" t="s">
        <v>4323</v>
      </c>
      <c r="Q634" s="383">
        <v>9820359079</v>
      </c>
      <c r="R634" s="383" t="str">
        <f>SUBSTITUTE(Table3937[[#This Row],[whatsapp_number]]," ","")</f>
        <v>9820359079</v>
      </c>
      <c r="S634" s="383" t="str">
        <f>IF(Table3937[[#This Row],[PRIMARY CONTACT]]=Table3937[[#This Row],[WHATSAPP CONTACT]],"Same Contact","Different Contact")</f>
        <v>Same Contact</v>
      </c>
      <c r="T634" s="383" t="str">
        <f>IF(LEN(SUBSTITUTE(Table3937[[#This Row],[PRIMARY CONTACT]]," ",""))=10,SUBSTITUTE(Table3937[[#This Row],[PRIMARY CONTACT]]," ","") &amp; " - Proper","- Follow Up")</f>
        <v>9820359079 - Proper</v>
      </c>
      <c r="U634" s="383" t="s">
        <v>4544</v>
      </c>
      <c r="V634" s="383" t="s">
        <v>71</v>
      </c>
      <c r="W634" s="383" t="s">
        <v>47</v>
      </c>
      <c r="X634" s="5" t="s">
        <v>1406</v>
      </c>
      <c r="Y634" s="5" t="s">
        <v>49</v>
      </c>
      <c r="Z634" s="5" t="s">
        <v>7444</v>
      </c>
      <c r="AA634" s="5" t="s">
        <v>7445</v>
      </c>
      <c r="AB634" s="383"/>
    </row>
    <row r="635" spans="1:28" ht="13.8">
      <c r="A635" s="387">
        <v>634</v>
      </c>
      <c r="B635" s="262" t="s">
        <v>7687</v>
      </c>
      <c r="C635" s="383" t="s">
        <v>10743</v>
      </c>
      <c r="D635" s="2" t="str">
        <f>MID(Table3937[[#This Row],[URL]], FIND(".com/",Table3937[[#This Row],[URL]])+5, FIND("_BNI",Table3937[[#This Row],[URL]])-FIND(".com/",Table3937[[#This Row],[URL]])-5)</f>
        <v>ADITIYA-BIRLA</v>
      </c>
      <c r="E635" s="383" t="s">
        <v>9133</v>
      </c>
      <c r="F635" s="383">
        <v>1352</v>
      </c>
      <c r="G635" s="383" t="s">
        <v>71</v>
      </c>
      <c r="H635" s="383" t="s">
        <v>4547</v>
      </c>
      <c r="I635" s="383" t="s">
        <v>4548</v>
      </c>
      <c r="J635" s="383" t="s">
        <v>4549</v>
      </c>
      <c r="K635" s="383" t="s">
        <v>4550</v>
      </c>
      <c r="L635" s="383" t="s">
        <v>8341</v>
      </c>
      <c r="M635" s="383" t="s">
        <v>10447</v>
      </c>
      <c r="N635" s="9" t="s">
        <v>44</v>
      </c>
      <c r="O635" s="383" t="str">
        <f>IF(LEN(SUBSTITUTE(Table3937[[#This Row],[PRIMARY CONTACT]]," ",""))=10,SUBSTITUTE(Table3937[[#This Row],[PRIMARY CONTACT]]," ","") &amp; " - Proper","- Follow Up")</f>
        <v>8824466187 - Proper</v>
      </c>
      <c r="P635" s="383" t="s">
        <v>4323</v>
      </c>
      <c r="Q635" s="383">
        <v>8824466187</v>
      </c>
      <c r="R635" s="383" t="str">
        <f>SUBSTITUTE(Table3937[[#This Row],[whatsapp_number]]," ","")</f>
        <v>8824466187</v>
      </c>
      <c r="S635" s="383" t="str">
        <f>IF(Table3937[[#This Row],[PRIMARY CONTACT]]=Table3937[[#This Row],[WHATSAPP CONTACT]],"Same Contact","Different Contact")</f>
        <v>Same Contact</v>
      </c>
      <c r="T635" s="383" t="str">
        <f>IF(LEN(SUBSTITUTE(Table3937[[#This Row],[PRIMARY CONTACT]]," ",""))=10,SUBSTITUTE(Table3937[[#This Row],[PRIMARY CONTACT]]," ","") &amp; " - Proper","- Follow Up")</f>
        <v>8824466187 - Proper</v>
      </c>
      <c r="U635" s="383" t="s">
        <v>10666</v>
      </c>
      <c r="V635" s="383" t="s">
        <v>71</v>
      </c>
      <c r="W635" s="383" t="s">
        <v>47</v>
      </c>
      <c r="X635" s="5" t="s">
        <v>1406</v>
      </c>
      <c r="Y635" s="5" t="s">
        <v>49</v>
      </c>
      <c r="Z635" s="5" t="s">
        <v>7444</v>
      </c>
      <c r="AA635" s="5" t="s">
        <v>7445</v>
      </c>
      <c r="AB635" s="383"/>
    </row>
    <row r="636" spans="1:28" ht="13.8">
      <c r="A636" s="387">
        <v>635</v>
      </c>
      <c r="B636" s="262" t="s">
        <v>7689</v>
      </c>
      <c r="C636" s="383" t="s">
        <v>10709</v>
      </c>
      <c r="D636" s="2" t="str">
        <f>MID(Table3937[[#This Row],[URL]], FIND(".com/",Table3937[[#This Row],[URL]])+5, FIND("_BNI",Table3937[[#This Row],[URL]])-FIND(".com/",Table3937[[#This Row],[URL]])-5)</f>
        <v>VISHAL-LAHOTI</v>
      </c>
      <c r="E636" s="383" t="s">
        <v>9134</v>
      </c>
      <c r="F636" s="383">
        <v>1353</v>
      </c>
      <c r="G636" s="383" t="s">
        <v>71</v>
      </c>
      <c r="H636" s="383" t="s">
        <v>4553</v>
      </c>
      <c r="I636" s="383" t="s">
        <v>8545</v>
      </c>
      <c r="J636" s="383" t="s">
        <v>4555</v>
      </c>
      <c r="K636" s="383" t="s">
        <v>9576</v>
      </c>
      <c r="L636" s="383" t="s">
        <v>8341</v>
      </c>
      <c r="M636" s="383" t="s">
        <v>10448</v>
      </c>
      <c r="N636" s="9" t="s">
        <v>44</v>
      </c>
      <c r="O636" s="383" t="str">
        <f>IF(LEN(SUBSTITUTE(Table3937[[#This Row],[PRIMARY CONTACT]]," ",""))=10,SUBSTITUTE(Table3937[[#This Row],[PRIMARY CONTACT]]," ","") &amp; " - Proper","- Follow Up")</f>
        <v>9920399723 - Proper</v>
      </c>
      <c r="P636" s="383" t="s">
        <v>4323</v>
      </c>
      <c r="Q636" s="383">
        <v>9920399723</v>
      </c>
      <c r="R636" s="383" t="str">
        <f>SUBSTITUTE(Table3937[[#This Row],[whatsapp_number]]," ","")</f>
        <v>9920399723</v>
      </c>
      <c r="S636" s="383" t="str">
        <f>IF(Table3937[[#This Row],[PRIMARY CONTACT]]=Table3937[[#This Row],[WHATSAPP CONTACT]],"Same Contact","Different Contact")</f>
        <v>Same Contact</v>
      </c>
      <c r="T636" s="383" t="str">
        <f>IF(LEN(SUBSTITUTE(Table3937[[#This Row],[PRIMARY CONTACT]]," ",""))=10,SUBSTITUTE(Table3937[[#This Row],[PRIMARY CONTACT]]," ","") &amp; " - Proper","- Follow Up")</f>
        <v>9920399723 - Proper</v>
      </c>
      <c r="U636" s="383" t="s">
        <v>4557</v>
      </c>
      <c r="V636" s="383" t="s">
        <v>71</v>
      </c>
      <c r="W636" s="383" t="s">
        <v>47</v>
      </c>
      <c r="X636" s="5" t="s">
        <v>1406</v>
      </c>
      <c r="Y636" s="5" t="s">
        <v>49</v>
      </c>
      <c r="Z636" s="5" t="s">
        <v>7444</v>
      </c>
      <c r="AA636" s="5" t="s">
        <v>7445</v>
      </c>
      <c r="AB636" s="383"/>
    </row>
    <row r="637" spans="1:28" ht="13.8">
      <c r="A637" s="387">
        <v>636</v>
      </c>
      <c r="B637" s="262" t="s">
        <v>7691</v>
      </c>
      <c r="C637" s="383" t="s">
        <v>10709</v>
      </c>
      <c r="D637" s="2" t="str">
        <f>MID(Table3937[[#This Row],[URL]], FIND(".com/",Table3937[[#This Row],[URL]])+5, FIND("_BNI",Table3937[[#This Row],[URL]])-FIND(".com/",Table3937[[#This Row],[URL]])-5)</f>
        <v>NUPEN-GANDHI</v>
      </c>
      <c r="E637" s="383" t="s">
        <v>9135</v>
      </c>
      <c r="F637" s="383">
        <v>1354</v>
      </c>
      <c r="G637" s="383" t="s">
        <v>71</v>
      </c>
      <c r="H637" s="383" t="s">
        <v>4560</v>
      </c>
      <c r="I637" s="383" t="s">
        <v>4561</v>
      </c>
      <c r="J637" s="383" t="s">
        <v>4562</v>
      </c>
      <c r="K637" s="383" t="s">
        <v>4563</v>
      </c>
      <c r="L637" s="383" t="s">
        <v>8341</v>
      </c>
      <c r="M637" s="383" t="s">
        <v>10449</v>
      </c>
      <c r="N637" s="9" t="s">
        <v>44</v>
      </c>
      <c r="O637" s="383" t="str">
        <f>IF(LEN(SUBSTITUTE(Table3937[[#This Row],[PRIMARY CONTACT]]," ",""))=10,SUBSTITUTE(Table3937[[#This Row],[PRIMARY CONTACT]]," ","") &amp; " - Proper","- Follow Up")</f>
        <v>7738106055 - Proper</v>
      </c>
      <c r="P637" s="383" t="s">
        <v>4323</v>
      </c>
      <c r="Q637" s="383">
        <v>7738106055</v>
      </c>
      <c r="R637" s="383" t="str">
        <f>SUBSTITUTE(Table3937[[#This Row],[whatsapp_number]]," ","")</f>
        <v>7738106055</v>
      </c>
      <c r="S637" s="383" t="str">
        <f>IF(Table3937[[#This Row],[PRIMARY CONTACT]]=Table3937[[#This Row],[WHATSAPP CONTACT]],"Same Contact","Different Contact")</f>
        <v>Same Contact</v>
      </c>
      <c r="T637" s="383" t="str">
        <f>IF(LEN(SUBSTITUTE(Table3937[[#This Row],[PRIMARY CONTACT]]," ",""))=10,SUBSTITUTE(Table3937[[#This Row],[PRIMARY CONTACT]]," ","") &amp; " - Proper","- Follow Up")</f>
        <v>7738106055 - Proper</v>
      </c>
      <c r="U637" s="383" t="s">
        <v>4564</v>
      </c>
      <c r="V637" s="383" t="s">
        <v>71</v>
      </c>
      <c r="W637" s="383" t="s">
        <v>47</v>
      </c>
      <c r="X637" s="5" t="s">
        <v>1406</v>
      </c>
      <c r="Y637" s="5" t="s">
        <v>49</v>
      </c>
      <c r="Z637" s="5" t="s">
        <v>7444</v>
      </c>
      <c r="AA637" s="5" t="s">
        <v>7445</v>
      </c>
      <c r="AB637" s="383"/>
    </row>
    <row r="638" spans="1:28" ht="13.8">
      <c r="A638" s="387">
        <v>637</v>
      </c>
      <c r="B638" s="262" t="s">
        <v>7651</v>
      </c>
      <c r="C638" s="383" t="s">
        <v>10709</v>
      </c>
      <c r="D638" s="2" t="str">
        <f>MID(Table3937[[#This Row],[URL]], FIND(".com/",Table3937[[#This Row],[URL]])+5, FIND("_BNI",Table3937[[#This Row],[URL]])-FIND(".com/",Table3937[[#This Row],[URL]])-5)</f>
        <v>RUCHI-JAIN</v>
      </c>
      <c r="E638" s="383" t="s">
        <v>9136</v>
      </c>
      <c r="F638" s="383">
        <v>1355</v>
      </c>
      <c r="G638" s="383" t="s">
        <v>4567</v>
      </c>
      <c r="H638" s="383" t="s">
        <v>4568</v>
      </c>
      <c r="I638" s="383" t="s">
        <v>8546</v>
      </c>
      <c r="J638" s="383" t="s">
        <v>4570</v>
      </c>
      <c r="K638" s="383" t="s">
        <v>4571</v>
      </c>
      <c r="L638" s="383" t="s">
        <v>9796</v>
      </c>
      <c r="M638" s="383" t="s">
        <v>10450</v>
      </c>
      <c r="N638" s="9" t="s">
        <v>44</v>
      </c>
      <c r="O638" s="383" t="str">
        <f>IF(LEN(SUBSTITUTE(Table3937[[#This Row],[PRIMARY CONTACT]]," ",""))=10,SUBSTITUTE(Table3937[[#This Row],[PRIMARY CONTACT]]," ","") &amp; " - Proper","- Follow Up")</f>
        <v>- Follow Up</v>
      </c>
      <c r="P638" s="383" t="s">
        <v>4323</v>
      </c>
      <c r="Q638" s="383">
        <v>769956468</v>
      </c>
      <c r="R638" s="383" t="str">
        <f>SUBSTITUTE(Table3937[[#This Row],[whatsapp_number]]," ","")</f>
        <v>769956468</v>
      </c>
      <c r="S638" s="383" t="str">
        <f>IF(Table3937[[#This Row],[PRIMARY CONTACT]]=Table3937[[#This Row],[WHATSAPP CONTACT]],"Same Contact","Different Contact")</f>
        <v>Same Contact</v>
      </c>
      <c r="T638" s="383" t="str">
        <f>IF(LEN(SUBSTITUTE(Table3937[[#This Row],[PRIMARY CONTACT]]," ",""))=10,SUBSTITUTE(Table3937[[#This Row],[PRIMARY CONTACT]]," ","") &amp; " - Proper","- Follow Up")</f>
        <v>- Follow Up</v>
      </c>
      <c r="U638" s="383" t="s">
        <v>10667</v>
      </c>
      <c r="V638" s="383" t="s">
        <v>71</v>
      </c>
      <c r="W638" s="383" t="s">
        <v>47</v>
      </c>
      <c r="X638" s="383" t="s">
        <v>44</v>
      </c>
      <c r="Y638" s="383" t="s">
        <v>44</v>
      </c>
      <c r="Z638" s="383" t="s">
        <v>44</v>
      </c>
      <c r="AA638" s="383" t="s">
        <v>44</v>
      </c>
      <c r="AB638" s="383"/>
    </row>
    <row r="639" spans="1:28" ht="13.8">
      <c r="A639" s="387">
        <v>638</v>
      </c>
      <c r="B639" s="262" t="s">
        <v>7623</v>
      </c>
      <c r="C639" s="383" t="s">
        <v>10709</v>
      </c>
      <c r="D639" s="2" t="str">
        <f>MID(Table3937[[#This Row],[URL]], FIND(".com/",Table3937[[#This Row],[URL]])+5, FIND("_BNI",Table3937[[#This Row],[URL]])-FIND(".com/",Table3937[[#This Row],[URL]])-5)</f>
        <v>DHRUVI-SHAH</v>
      </c>
      <c r="E639" s="383" t="s">
        <v>9137</v>
      </c>
      <c r="F639" s="383">
        <v>1356</v>
      </c>
      <c r="G639" s="383" t="s">
        <v>4576</v>
      </c>
      <c r="H639" s="383" t="s">
        <v>4577</v>
      </c>
      <c r="I639" s="383" t="s">
        <v>4578</v>
      </c>
      <c r="J639" s="383" t="s">
        <v>4579</v>
      </c>
      <c r="K639" s="383" t="s">
        <v>4516</v>
      </c>
      <c r="L639" s="383" t="s">
        <v>9797</v>
      </c>
      <c r="M639" s="383" t="s">
        <v>10451</v>
      </c>
      <c r="N639" s="9" t="s">
        <v>44</v>
      </c>
      <c r="O639" s="383" t="str">
        <f>IF(LEN(SUBSTITUTE(Table3937[[#This Row],[PRIMARY CONTACT]]," ",""))=10,SUBSTITUTE(Table3937[[#This Row],[PRIMARY CONTACT]]," ","") &amp; " - Proper","- Follow Up")</f>
        <v>- Follow Up</v>
      </c>
      <c r="P639" s="383" t="s">
        <v>4323</v>
      </c>
      <c r="Q639" s="383">
        <f>917021749472</f>
        <v>917021749472</v>
      </c>
      <c r="R639" s="383" t="str">
        <f>SUBSTITUTE(Table3937[[#This Row],[whatsapp_number]]," ","")</f>
        <v>917021749472</v>
      </c>
      <c r="S639" s="383" t="str">
        <f>IF(Table3937[[#This Row],[PRIMARY CONTACT]]=Table3937[[#This Row],[WHATSAPP CONTACT]],"Same Contact","Different Contact")</f>
        <v>Same Contact</v>
      </c>
      <c r="T639" s="383" t="str">
        <f>IF(LEN(SUBSTITUTE(Table3937[[#This Row],[PRIMARY CONTACT]]," ",""))=10,SUBSTITUTE(Table3937[[#This Row],[PRIMARY CONTACT]]," ","") &amp; " - Proper","- Follow Up")</f>
        <v>- Follow Up</v>
      </c>
      <c r="U639" s="383" t="s">
        <v>10668</v>
      </c>
      <c r="V639" s="393" t="s">
        <v>4583</v>
      </c>
      <c r="W639" s="383" t="s">
        <v>47</v>
      </c>
      <c r="X639" s="383" t="s">
        <v>44</v>
      </c>
      <c r="Y639" s="383" t="s">
        <v>44</v>
      </c>
      <c r="Z639" s="383" t="s">
        <v>44</v>
      </c>
      <c r="AA639" s="383" t="s">
        <v>44</v>
      </c>
      <c r="AB639" s="383"/>
    </row>
    <row r="640" spans="1:28" ht="13.8">
      <c r="A640" s="387">
        <v>639</v>
      </c>
      <c r="B640" s="262" t="s">
        <v>7601</v>
      </c>
      <c r="C640" s="383" t="s">
        <v>10709</v>
      </c>
      <c r="D640" s="2" t="str">
        <f>MID(Table3937[[#This Row],[URL]], FIND(".com/",Table3937[[#This Row],[URL]])+5, FIND("_BNI",Table3937[[#This Row],[URL]])-FIND(".com/",Table3937[[#This Row],[URL]])-5)</f>
        <v>PRAKASH-KONAR</v>
      </c>
      <c r="E640" s="383" t="s">
        <v>9138</v>
      </c>
      <c r="F640" s="383">
        <v>1357</v>
      </c>
      <c r="G640" s="383" t="s">
        <v>71</v>
      </c>
      <c r="H640" s="383" t="s">
        <v>4585</v>
      </c>
      <c r="I640" s="383" t="s">
        <v>8547</v>
      </c>
      <c r="J640" s="383" t="s">
        <v>4587</v>
      </c>
      <c r="K640" s="383" t="s">
        <v>4204</v>
      </c>
      <c r="L640" s="383" t="s">
        <v>9798</v>
      </c>
      <c r="M640" s="383" t="s">
        <v>10330</v>
      </c>
      <c r="N640" s="9" t="s">
        <v>44</v>
      </c>
      <c r="O640" s="383" t="str">
        <f>IF(LEN(SUBSTITUTE(Table3937[[#This Row],[PRIMARY CONTACT]]," ",""))=10,SUBSTITUTE(Table3937[[#This Row],[PRIMARY CONTACT]]," ","") &amp; " - Proper","- Follow Up")</f>
        <v>9082084426 - Proper</v>
      </c>
      <c r="P640" s="383" t="s">
        <v>4323</v>
      </c>
      <c r="Q640" s="383">
        <v>9820574070</v>
      </c>
      <c r="R640" s="383" t="str">
        <f>SUBSTITUTE(Table3937[[#This Row],[whatsapp_number]]," ","")</f>
        <v>9820574070</v>
      </c>
      <c r="S640" s="383" t="str">
        <f>IF(Table3937[[#This Row],[PRIMARY CONTACT]]=Table3937[[#This Row],[WHATSAPP CONTACT]],"Same Contact","Different Contact")</f>
        <v>Different Contact</v>
      </c>
      <c r="T640" s="383" t="str">
        <f>IF(LEN(SUBSTITUTE(Table3937[[#This Row],[PRIMARY CONTACT]]," ",""))=10,SUBSTITUTE(Table3937[[#This Row],[PRIMARY CONTACT]]," ","") &amp; " - Proper","- Follow Up")</f>
        <v>9082084426 - Proper</v>
      </c>
      <c r="U640" s="383" t="s">
        <v>10669</v>
      </c>
      <c r="V640" s="393" t="s">
        <v>4591</v>
      </c>
      <c r="W640" s="383" t="s">
        <v>47</v>
      </c>
      <c r="X640" s="383" t="s">
        <v>44</v>
      </c>
      <c r="Y640" s="383" t="s">
        <v>44</v>
      </c>
      <c r="Z640" s="383" t="s">
        <v>44</v>
      </c>
      <c r="AA640" s="383" t="s">
        <v>44</v>
      </c>
      <c r="AB640" s="383"/>
    </row>
    <row r="641" spans="1:28" ht="13.8">
      <c r="A641" s="387">
        <v>640</v>
      </c>
      <c r="B641" s="262" t="s">
        <v>7693</v>
      </c>
      <c r="C641" s="383" t="s">
        <v>10709</v>
      </c>
      <c r="D641" s="2" t="str">
        <f>MID(Table3937[[#This Row],[URL]], FIND(".com/",Table3937[[#This Row],[URL]])+5, FIND("_BNI",Table3937[[#This Row],[URL]])-FIND(".com/",Table3937[[#This Row],[URL]])-5)</f>
        <v>NAGESH-MORE</v>
      </c>
      <c r="E641" s="383" t="s">
        <v>9139</v>
      </c>
      <c r="F641" s="383">
        <v>1358</v>
      </c>
      <c r="G641" s="383" t="s">
        <v>71</v>
      </c>
      <c r="H641" s="383" t="s">
        <v>4594</v>
      </c>
      <c r="I641" s="383" t="s">
        <v>8548</v>
      </c>
      <c r="J641" s="383" t="s">
        <v>4596</v>
      </c>
      <c r="K641" s="383" t="s">
        <v>9577</v>
      </c>
      <c r="L641" s="383" t="s">
        <v>8341</v>
      </c>
      <c r="M641" s="383" t="s">
        <v>10452</v>
      </c>
      <c r="N641" s="9" t="s">
        <v>44</v>
      </c>
      <c r="O641" s="383" t="str">
        <f>IF(LEN(SUBSTITUTE(Table3937[[#This Row],[PRIMARY CONTACT]]," ",""))=10,SUBSTITUTE(Table3937[[#This Row],[PRIMARY CONTACT]]," ","") &amp; " - Proper","- Follow Up")</f>
        <v>8828053118 - Proper</v>
      </c>
      <c r="P641" s="383" t="s">
        <v>4323</v>
      </c>
      <c r="Q641" s="383">
        <v>8828053118</v>
      </c>
      <c r="R641" s="383" t="str">
        <f>SUBSTITUTE(Table3937[[#This Row],[whatsapp_number]]," ","")</f>
        <v>8828053118</v>
      </c>
      <c r="S641" s="383" t="str">
        <f>IF(Table3937[[#This Row],[PRIMARY CONTACT]]=Table3937[[#This Row],[WHATSAPP CONTACT]],"Same Contact","Different Contact")</f>
        <v>Same Contact</v>
      </c>
      <c r="T641" s="383" t="str">
        <f>IF(LEN(SUBSTITUTE(Table3937[[#This Row],[PRIMARY CONTACT]]," ",""))=10,SUBSTITUTE(Table3937[[#This Row],[PRIMARY CONTACT]]," ","") &amp; " - Proper","- Follow Up")</f>
        <v>8828053118 - Proper</v>
      </c>
      <c r="U641" s="383" t="s">
        <v>4598</v>
      </c>
      <c r="V641" s="383" t="s">
        <v>71</v>
      </c>
      <c r="W641" s="383" t="s">
        <v>47</v>
      </c>
      <c r="X641" s="383" t="s">
        <v>44</v>
      </c>
      <c r="Y641" s="383" t="s">
        <v>44</v>
      </c>
      <c r="Z641" s="383" t="s">
        <v>44</v>
      </c>
      <c r="AA641" s="383" t="s">
        <v>44</v>
      </c>
      <c r="AB641" s="383"/>
    </row>
    <row r="642" spans="1:28" ht="13.8">
      <c r="A642" s="387">
        <v>641</v>
      </c>
      <c r="B642" s="262" t="s">
        <v>7695</v>
      </c>
      <c r="C642" s="383" t="s">
        <v>10709</v>
      </c>
      <c r="D642" s="2" t="str">
        <f>MID(Table3937[[#This Row],[URL]], FIND(".com/",Table3937[[#This Row],[URL]])+5, FIND("_BNI",Table3937[[#This Row],[URL]])-FIND(".com/",Table3937[[#This Row],[URL]])-5)</f>
        <v>ABDEALI-CONTRACTOR</v>
      </c>
      <c r="E642" s="383" t="s">
        <v>9140</v>
      </c>
      <c r="F642" s="383">
        <v>1359</v>
      </c>
      <c r="G642" s="383" t="s">
        <v>71</v>
      </c>
      <c r="H642" s="383" t="s">
        <v>71</v>
      </c>
      <c r="I642" s="383" t="s">
        <v>4600</v>
      </c>
      <c r="J642" s="383" t="s">
        <v>4601</v>
      </c>
      <c r="K642" s="383" t="s">
        <v>4144</v>
      </c>
      <c r="L642" s="383" t="s">
        <v>9799</v>
      </c>
      <c r="M642" s="383" t="s">
        <v>10453</v>
      </c>
      <c r="N642" s="9" t="s">
        <v>44</v>
      </c>
      <c r="O642" s="383" t="str">
        <f>IF(LEN(SUBSTITUTE(Table3937[[#This Row],[PRIMARY CONTACT]]," ",""))=10,SUBSTITUTE(Table3937[[#This Row],[PRIMARY CONTACT]]," ","") &amp; " - Proper","- Follow Up")</f>
        <v>9820862583 - Proper</v>
      </c>
      <c r="P642" s="383" t="s">
        <v>4323</v>
      </c>
      <c r="Q642" s="383">
        <v>9820862583</v>
      </c>
      <c r="R642" s="383" t="str">
        <f>SUBSTITUTE(Table3937[[#This Row],[whatsapp_number]]," ","")</f>
        <v>9820862583</v>
      </c>
      <c r="S642" s="383" t="str">
        <f>IF(Table3937[[#This Row],[PRIMARY CONTACT]]=Table3937[[#This Row],[WHATSAPP CONTACT]],"Same Contact","Different Contact")</f>
        <v>Same Contact</v>
      </c>
      <c r="T642" s="383" t="str">
        <f>IF(LEN(SUBSTITUTE(Table3937[[#This Row],[PRIMARY CONTACT]]," ",""))=10,SUBSTITUTE(Table3937[[#This Row],[PRIMARY CONTACT]]," ","") &amp; " - Proper","- Follow Up")</f>
        <v>9820862583 - Proper</v>
      </c>
      <c r="U642" s="383" t="s">
        <v>10670</v>
      </c>
      <c r="V642" s="383" t="s">
        <v>71</v>
      </c>
      <c r="W642" s="383" t="s">
        <v>47</v>
      </c>
      <c r="X642" s="383" t="s">
        <v>44</v>
      </c>
      <c r="Y642" s="383" t="s">
        <v>44</v>
      </c>
      <c r="Z642" s="383" t="s">
        <v>44</v>
      </c>
      <c r="AA642" s="383" t="s">
        <v>44</v>
      </c>
      <c r="AB642" s="383"/>
    </row>
    <row r="643" spans="1:28" ht="13.8">
      <c r="A643" s="387">
        <v>642</v>
      </c>
      <c r="B643" s="262" t="s">
        <v>7697</v>
      </c>
      <c r="C643" s="383" t="s">
        <v>10709</v>
      </c>
      <c r="D643" s="2" t="str">
        <f>MID(Table3937[[#This Row],[URL]], FIND(".com/",Table3937[[#This Row],[URL]])+5, FIND("_BNI",Table3937[[#This Row],[URL]])-FIND(".com/",Table3937[[#This Row],[URL]])-5)</f>
        <v>AKASH-SHAH</v>
      </c>
      <c r="E643" s="383" t="s">
        <v>9141</v>
      </c>
      <c r="F643" s="383">
        <v>1360</v>
      </c>
      <c r="G643" s="383" t="s">
        <v>71</v>
      </c>
      <c r="H643" s="383" t="s">
        <v>4606</v>
      </c>
      <c r="I643" s="383" t="s">
        <v>8549</v>
      </c>
      <c r="J643" s="383" t="s">
        <v>4608</v>
      </c>
      <c r="K643" s="383" t="s">
        <v>9578</v>
      </c>
      <c r="L643" s="383" t="s">
        <v>8341</v>
      </c>
      <c r="M643" s="383" t="s">
        <v>10454</v>
      </c>
      <c r="N643" s="9" t="s">
        <v>44</v>
      </c>
      <c r="O643" s="383" t="str">
        <f>IF(LEN(SUBSTITUTE(Table3937[[#This Row],[PRIMARY CONTACT]]," ",""))=10,SUBSTITUTE(Table3937[[#This Row],[PRIMARY CONTACT]]," ","") &amp; " - Proper","- Follow Up")</f>
        <v>9619040158 - Proper</v>
      </c>
      <c r="P643" s="383" t="s">
        <v>4323</v>
      </c>
      <c r="Q643" s="383">
        <v>9619040158</v>
      </c>
      <c r="R643" s="383" t="str">
        <f>SUBSTITUTE(Table3937[[#This Row],[whatsapp_number]]," ","")</f>
        <v>9619040158</v>
      </c>
      <c r="S643" s="383" t="str">
        <f>IF(Table3937[[#This Row],[PRIMARY CONTACT]]=Table3937[[#This Row],[WHATSAPP CONTACT]],"Same Contact","Different Contact")</f>
        <v>Same Contact</v>
      </c>
      <c r="T643" s="383" t="str">
        <f>IF(LEN(SUBSTITUTE(Table3937[[#This Row],[PRIMARY CONTACT]]," ",""))=10,SUBSTITUTE(Table3937[[#This Row],[PRIMARY CONTACT]]," ","") &amp; " - Proper","- Follow Up")</f>
        <v>9619040158 - Proper</v>
      </c>
      <c r="U643" s="383" t="s">
        <v>10671</v>
      </c>
      <c r="V643" s="383" t="s">
        <v>71</v>
      </c>
      <c r="W643" s="383" t="s">
        <v>47</v>
      </c>
      <c r="X643" s="383" t="s">
        <v>44</v>
      </c>
      <c r="Y643" s="383" t="s">
        <v>44</v>
      </c>
      <c r="Z643" s="383" t="s">
        <v>44</v>
      </c>
      <c r="AA643" s="383" t="s">
        <v>44</v>
      </c>
      <c r="AB643" s="383"/>
    </row>
    <row r="644" spans="1:28" ht="13.8">
      <c r="A644" s="387">
        <v>643</v>
      </c>
      <c r="B644" s="262" t="s">
        <v>7700</v>
      </c>
      <c r="C644" s="383" t="s">
        <v>10709</v>
      </c>
      <c r="D644" s="2" t="str">
        <f>MID(Table3937[[#This Row],[URL]], FIND(".com/",Table3937[[#This Row],[URL]])+5, FIND("_BNI",Table3937[[#This Row],[URL]])-FIND(".com/",Table3937[[#This Row],[URL]])-5)</f>
        <v>RAHUL-SHARMA</v>
      </c>
      <c r="E644" s="383" t="s">
        <v>9142</v>
      </c>
      <c r="F644" s="383">
        <v>1361</v>
      </c>
      <c r="G644" s="383" t="s">
        <v>71</v>
      </c>
      <c r="H644" s="383" t="s">
        <v>4612</v>
      </c>
      <c r="I644" s="383" t="s">
        <v>770</v>
      </c>
      <c r="J644" s="383" t="s">
        <v>4614</v>
      </c>
      <c r="K644" s="383" t="s">
        <v>787</v>
      </c>
      <c r="L644" s="383" t="s">
        <v>8341</v>
      </c>
      <c r="M644" s="383" t="s">
        <v>10157</v>
      </c>
      <c r="N644" s="9" t="s">
        <v>44</v>
      </c>
      <c r="O644" s="383" t="str">
        <f>IF(LEN(SUBSTITUTE(Table3937[[#This Row],[PRIMARY CONTACT]]," ",""))=10,SUBSTITUTE(Table3937[[#This Row],[PRIMARY CONTACT]]," ","") &amp; " - Proper","- Follow Up")</f>
        <v>9892841461 - Proper</v>
      </c>
      <c r="P644" s="383" t="s">
        <v>4323</v>
      </c>
      <c r="Q644" s="383">
        <v>9892841461</v>
      </c>
      <c r="R644" s="383" t="str">
        <f>SUBSTITUTE(Table3937[[#This Row],[whatsapp_number]]," ","")</f>
        <v>9892841461</v>
      </c>
      <c r="S644" s="383" t="str">
        <f>IF(Table3937[[#This Row],[PRIMARY CONTACT]]=Table3937[[#This Row],[WHATSAPP CONTACT]],"Same Contact","Different Contact")</f>
        <v>Same Contact</v>
      </c>
      <c r="T644" s="383" t="str">
        <f>IF(LEN(SUBSTITUTE(Table3937[[#This Row],[PRIMARY CONTACT]]," ",""))=10,SUBSTITUTE(Table3937[[#This Row],[PRIMARY CONTACT]]," ","") &amp; " - Proper","- Follow Up")</f>
        <v>9892841461 - Proper</v>
      </c>
      <c r="U644" s="383" t="s">
        <v>10672</v>
      </c>
      <c r="V644" s="383" t="s">
        <v>71</v>
      </c>
      <c r="W644" s="383" t="s">
        <v>47</v>
      </c>
      <c r="X644" s="383" t="s">
        <v>44</v>
      </c>
      <c r="Y644" s="383" t="s">
        <v>44</v>
      </c>
      <c r="Z644" s="383" t="s">
        <v>44</v>
      </c>
      <c r="AA644" s="383" t="s">
        <v>44</v>
      </c>
      <c r="AB644" s="383"/>
    </row>
    <row r="645" spans="1:28" ht="13.8">
      <c r="A645" s="387">
        <v>644</v>
      </c>
      <c r="B645" s="286" t="s">
        <v>7702</v>
      </c>
      <c r="C645" s="383" t="s">
        <v>10743</v>
      </c>
      <c r="D645" s="2" t="str">
        <f>MID(Table3937[[#This Row],[URL]], FIND(".com/",Table3937[[#This Row],[URL]])+5, FIND("_BNI",Table3937[[#This Row],[URL]])-FIND(".com/",Table3937[[#This Row],[URL]])-5)</f>
        <v>CHAITALI-THAKKAR</v>
      </c>
      <c r="E645" s="383" t="s">
        <v>9143</v>
      </c>
      <c r="F645" s="383">
        <v>1362</v>
      </c>
      <c r="G645" s="383" t="s">
        <v>71</v>
      </c>
      <c r="H645" s="383" t="s">
        <v>4618</v>
      </c>
      <c r="I645" s="383" t="s">
        <v>4619</v>
      </c>
      <c r="J645" s="383" t="s">
        <v>4620</v>
      </c>
      <c r="K645" s="383" t="s">
        <v>4621</v>
      </c>
      <c r="L645" s="383" t="s">
        <v>8341</v>
      </c>
      <c r="M645" s="383" t="s">
        <v>10455</v>
      </c>
      <c r="N645" s="9" t="s">
        <v>44</v>
      </c>
      <c r="O645" s="383" t="str">
        <f>IF(LEN(SUBSTITUTE(Table3937[[#This Row],[PRIMARY CONTACT]]," ",""))=10,SUBSTITUTE(Table3937[[#This Row],[PRIMARY CONTACT]]," ","") &amp; " - Proper","- Follow Up")</f>
        <v>9920421202 - Proper</v>
      </c>
      <c r="P645" s="383" t="s">
        <v>4323</v>
      </c>
      <c r="Q645" s="383">
        <v>9920421202</v>
      </c>
      <c r="R645" s="383" t="str">
        <f>SUBSTITUTE(Table3937[[#This Row],[whatsapp_number]]," ","")</f>
        <v>9920421202</v>
      </c>
      <c r="S645" s="383" t="str">
        <f>IF(Table3937[[#This Row],[PRIMARY CONTACT]]=Table3937[[#This Row],[WHATSAPP CONTACT]],"Same Contact","Different Contact")</f>
        <v>Same Contact</v>
      </c>
      <c r="T645" s="383" t="str">
        <f>IF(LEN(SUBSTITUTE(Table3937[[#This Row],[PRIMARY CONTACT]]," ",""))=10,SUBSTITUTE(Table3937[[#This Row],[PRIMARY CONTACT]]," ","") &amp; " - Proper","- Follow Up")</f>
        <v>9920421202 - Proper</v>
      </c>
      <c r="U645" s="383" t="s">
        <v>2953</v>
      </c>
      <c r="V645" s="383" t="s">
        <v>71</v>
      </c>
      <c r="W645" s="383" t="s">
        <v>47</v>
      </c>
      <c r="X645" s="383" t="s">
        <v>44</v>
      </c>
      <c r="Y645" s="383" t="s">
        <v>44</v>
      </c>
      <c r="Z645" s="383" t="s">
        <v>44</v>
      </c>
      <c r="AA645" s="383" t="s">
        <v>44</v>
      </c>
      <c r="AB645" s="383"/>
    </row>
    <row r="646" spans="1:28" ht="13.8">
      <c r="A646" s="387">
        <v>645</v>
      </c>
      <c r="B646" s="224" t="s">
        <v>7441</v>
      </c>
      <c r="C646" s="383" t="s">
        <v>10709</v>
      </c>
      <c r="D646" s="2" t="str">
        <f>MID(Table3937[[#This Row],[URL]], FIND(".com/",Table3937[[#This Row],[URL]])+5, FIND("_BNI",Table3937[[#This Row],[URL]])-FIND(".com/",Table3937[[#This Row],[URL]])-5)</f>
        <v>JAI-PANGAONKAR</v>
      </c>
      <c r="E646" s="383" t="s">
        <v>9144</v>
      </c>
      <c r="F646" s="383">
        <v>1363</v>
      </c>
      <c r="G646" s="383" t="s">
        <v>4631</v>
      </c>
      <c r="H646" s="383" t="s">
        <v>4632</v>
      </c>
      <c r="I646" s="383" t="s">
        <v>4633</v>
      </c>
      <c r="J646" s="383" t="s">
        <v>4634</v>
      </c>
      <c r="K646" s="383" t="s">
        <v>4635</v>
      </c>
      <c r="L646" s="383" t="s">
        <v>9800</v>
      </c>
      <c r="M646" s="383" t="s">
        <v>10167</v>
      </c>
      <c r="N646" s="9" t="s">
        <v>44</v>
      </c>
      <c r="O646" s="383" t="str">
        <f>IF(LEN(SUBSTITUTE(Table3937[[#This Row],[PRIMARY CONTACT]]," ",""))=10,SUBSTITUTE(Table3937[[#This Row],[PRIMARY CONTACT]]," ","") &amp; " - Proper","- Follow Up")</f>
        <v>9137509343 - Proper</v>
      </c>
      <c r="P646" s="383" t="s">
        <v>4637</v>
      </c>
      <c r="Q646" s="383">
        <v>9137509343</v>
      </c>
      <c r="R646" s="383" t="str">
        <f>SUBSTITUTE(Table3937[[#This Row],[whatsapp_number]]," ","")</f>
        <v>9137509343</v>
      </c>
      <c r="S646" s="383" t="str">
        <f>IF(Table3937[[#This Row],[PRIMARY CONTACT]]=Table3937[[#This Row],[WHATSAPP CONTACT]],"Same Contact","Different Contact")</f>
        <v>Same Contact</v>
      </c>
      <c r="T646" s="383" t="str">
        <f>IF(LEN(SUBSTITUTE(Table3937[[#This Row],[PRIMARY CONTACT]]," ",""))=10,SUBSTITUTE(Table3937[[#This Row],[PRIMARY CONTACT]]," ","") &amp; " - Proper","- Follow Up")</f>
        <v>9137509343 - Proper</v>
      </c>
      <c r="U646" s="383" t="s">
        <v>10673</v>
      </c>
      <c r="V646" s="393" t="s">
        <v>4640</v>
      </c>
      <c r="W646" s="383" t="s">
        <v>47</v>
      </c>
      <c r="X646" s="228" t="s">
        <v>1406</v>
      </c>
      <c r="Y646" s="228" t="s">
        <v>49</v>
      </c>
      <c r="Z646" s="228" t="s">
        <v>7444</v>
      </c>
      <c r="AA646" s="228" t="s">
        <v>7445</v>
      </c>
      <c r="AB646" s="383"/>
    </row>
    <row r="647" spans="1:28" ht="13.8">
      <c r="A647" s="387">
        <v>646</v>
      </c>
      <c r="B647" s="383" t="s">
        <v>10716</v>
      </c>
      <c r="C647" s="383" t="s">
        <v>10743</v>
      </c>
      <c r="D647" s="383" t="s">
        <v>10716</v>
      </c>
      <c r="E647" s="383" t="s">
        <v>9145</v>
      </c>
      <c r="F647" s="383">
        <v>1364</v>
      </c>
      <c r="G647" s="383" t="s">
        <v>2907</v>
      </c>
      <c r="H647" s="383" t="s">
        <v>2908</v>
      </c>
      <c r="I647" s="383" t="s">
        <v>8550</v>
      </c>
      <c r="J647" s="383" t="s">
        <v>2903</v>
      </c>
      <c r="K647" s="383" t="s">
        <v>9499</v>
      </c>
      <c r="L647" s="383" t="s">
        <v>2904</v>
      </c>
      <c r="M647" s="383" t="s">
        <v>10456</v>
      </c>
      <c r="N647" s="9" t="s">
        <v>44</v>
      </c>
      <c r="O647" s="383" t="str">
        <f>IF(LEN(SUBSTITUTE(Table3937[[#This Row],[PRIMARY CONTACT]]," ",""))=10,SUBSTITUTE(Table3937[[#This Row],[PRIMARY CONTACT]]," ","") &amp; " - Proper","- Follow Up")</f>
        <v>9619035525 - Proper</v>
      </c>
      <c r="P647" s="383" t="s">
        <v>6057</v>
      </c>
      <c r="Q647" s="383">
        <v>9372286649</v>
      </c>
      <c r="R647" s="383" t="str">
        <f>SUBSTITUTE(Table3937[[#This Row],[whatsapp_number]]," ","")</f>
        <v>9372286649</v>
      </c>
      <c r="S647" s="383" t="str">
        <f>IF(Table3937[[#This Row],[PRIMARY CONTACT]]=Table3937[[#This Row],[WHATSAPP CONTACT]],"Same Contact","Different Contact")</f>
        <v>Different Contact</v>
      </c>
      <c r="T647" s="383" t="str">
        <f>IF(LEN(SUBSTITUTE(Table3937[[#This Row],[PRIMARY CONTACT]]," ",""))=10,SUBSTITUTE(Table3937[[#This Row],[PRIMARY CONTACT]]," ","") &amp; " - Proper","- Follow Up")</f>
        <v>9619035525 - Proper</v>
      </c>
      <c r="U647" s="383" t="s">
        <v>3510</v>
      </c>
      <c r="V647" s="393" t="s">
        <v>2905</v>
      </c>
      <c r="W647" s="383" t="s">
        <v>47</v>
      </c>
      <c r="X647" s="383" t="s">
        <v>44</v>
      </c>
      <c r="Y647" s="383" t="s">
        <v>44</v>
      </c>
      <c r="Z647" s="383" t="s">
        <v>44</v>
      </c>
      <c r="AA647" s="383" t="s">
        <v>44</v>
      </c>
      <c r="AB647" s="383"/>
    </row>
    <row r="648" spans="1:28" ht="13.8">
      <c r="A648" s="387">
        <v>647</v>
      </c>
      <c r="B648" s="44" t="s">
        <v>2618</v>
      </c>
      <c r="C648" s="383" t="s">
        <v>10743</v>
      </c>
      <c r="D648" s="383" t="s">
        <v>10744</v>
      </c>
      <c r="E648" s="383" t="s">
        <v>9146</v>
      </c>
      <c r="F648" s="383">
        <v>1366</v>
      </c>
      <c r="G648" s="383" t="s">
        <v>71</v>
      </c>
      <c r="H648" s="383" t="s">
        <v>2603</v>
      </c>
      <c r="I648" s="383" t="s">
        <v>2621</v>
      </c>
      <c r="J648" s="383" t="s">
        <v>2622</v>
      </c>
      <c r="K648" s="383" t="s">
        <v>8341</v>
      </c>
      <c r="L648" s="383" t="s">
        <v>8341</v>
      </c>
      <c r="M648" s="383" t="s">
        <v>10457</v>
      </c>
      <c r="N648" s="144">
        <v>8433929564</v>
      </c>
      <c r="O648" s="383" t="str">
        <f>IF(LEN(SUBSTITUTE(Table3937[[#This Row],[PRIMARY CONTACT]]," ",""))=10,SUBSTITUTE(Table3937[[#This Row],[PRIMARY CONTACT]]," ","") &amp; " - Proper","- Follow Up")</f>
        <v>7506045864 - Proper</v>
      </c>
      <c r="P648" s="383" t="s">
        <v>3517</v>
      </c>
      <c r="Q648" s="383">
        <v>7506045864</v>
      </c>
      <c r="R648" s="383" t="str">
        <f>SUBSTITUTE(Table3937[[#This Row],[whatsapp_number]]," ","")</f>
        <v>7506045864</v>
      </c>
      <c r="S648" s="383" t="str">
        <f>IF(Table3937[[#This Row],[PRIMARY CONTACT]]=Table3937[[#This Row],[WHATSAPP CONTACT]],"Same Contact","Different Contact")</f>
        <v>Same Contact</v>
      </c>
      <c r="T648" s="383" t="str">
        <f>IF(LEN(SUBSTITUTE(Table3937[[#This Row],[PRIMARY CONTACT]]," ",""))=10,SUBSTITUTE(Table3937[[#This Row],[PRIMARY CONTACT]]," ","") &amp; " - Proper","- Follow Up")</f>
        <v>7506045864 - Proper</v>
      </c>
      <c r="U648" s="383" t="s">
        <v>2953</v>
      </c>
      <c r="V648" s="383" t="s">
        <v>71</v>
      </c>
      <c r="W648" s="383" t="s">
        <v>47</v>
      </c>
      <c r="X648" s="45" t="s">
        <v>170</v>
      </c>
      <c r="Y648" s="45" t="s">
        <v>49</v>
      </c>
      <c r="Z648" s="45" t="s">
        <v>2623</v>
      </c>
      <c r="AA648" s="45" t="s">
        <v>48</v>
      </c>
      <c r="AB648" s="383"/>
    </row>
    <row r="649" spans="1:28" ht="13.8">
      <c r="A649" s="387">
        <v>648</v>
      </c>
      <c r="B649" s="58" t="s">
        <v>2626</v>
      </c>
      <c r="C649" s="383" t="s">
        <v>10709</v>
      </c>
      <c r="D649" s="383" t="s">
        <v>10787</v>
      </c>
      <c r="E649" s="383" t="s">
        <v>9147</v>
      </c>
      <c r="F649" s="383">
        <v>1367</v>
      </c>
      <c r="G649" s="411" t="s">
        <v>2624</v>
      </c>
      <c r="H649" s="383" t="s">
        <v>2625</v>
      </c>
      <c r="I649" s="383" t="s">
        <v>8551</v>
      </c>
      <c r="J649" s="383" t="s">
        <v>2630</v>
      </c>
      <c r="K649" s="383" t="s">
        <v>9579</v>
      </c>
      <c r="L649" s="383" t="s">
        <v>9801</v>
      </c>
      <c r="M649" s="383" t="s">
        <v>10458</v>
      </c>
      <c r="N649" s="29" t="s">
        <v>44</v>
      </c>
      <c r="O649" s="383" t="str">
        <f>IF(LEN(SUBSTITUTE(Table3937[[#This Row],[PRIMARY CONTACT]]," ",""))=10,SUBSTITUTE(Table3937[[#This Row],[PRIMARY CONTACT]]," ","") &amp; " - Proper","- Follow Up")</f>
        <v>9172247382 - Proper</v>
      </c>
      <c r="P649" s="383" t="s">
        <v>3521</v>
      </c>
      <c r="Q649" s="383">
        <v>9172247382</v>
      </c>
      <c r="R649" s="383" t="str">
        <f>SUBSTITUTE(Table3937[[#This Row],[whatsapp_number]]," ","")</f>
        <v>9172247382</v>
      </c>
      <c r="S649" s="383" t="str">
        <f>IF(Table3937[[#This Row],[PRIMARY CONTACT]]=Table3937[[#This Row],[WHATSAPP CONTACT]],"Same Contact","Different Contact")</f>
        <v>Same Contact</v>
      </c>
      <c r="T649" s="383" t="str">
        <f>IF(LEN(SUBSTITUTE(Table3937[[#This Row],[PRIMARY CONTACT]]," ",""))=10,SUBSTITUTE(Table3937[[#This Row],[PRIMARY CONTACT]]," ","") &amp; " - Proper","- Follow Up")</f>
        <v>9172247382 - Proper</v>
      </c>
      <c r="U649" s="383" t="s">
        <v>10674</v>
      </c>
      <c r="V649" s="393" t="s">
        <v>2631</v>
      </c>
      <c r="W649" s="383" t="s">
        <v>47</v>
      </c>
      <c r="X649" s="51" t="s">
        <v>170</v>
      </c>
      <c r="Y649" s="51" t="s">
        <v>49</v>
      </c>
      <c r="Z649" s="51" t="s">
        <v>2633</v>
      </c>
      <c r="AA649" s="51" t="s">
        <v>48</v>
      </c>
      <c r="AB649" s="383"/>
    </row>
    <row r="650" spans="1:28" ht="13.8">
      <c r="A650" s="387">
        <v>649</v>
      </c>
      <c r="B650" s="58" t="s">
        <v>2634</v>
      </c>
      <c r="C650" s="383" t="s">
        <v>10709</v>
      </c>
      <c r="D650" s="383" t="s">
        <v>10746</v>
      </c>
      <c r="E650" s="383" t="s">
        <v>9148</v>
      </c>
      <c r="F650" s="383">
        <v>1368</v>
      </c>
      <c r="G650" s="383" t="s">
        <v>71</v>
      </c>
      <c r="H650" s="383" t="s">
        <v>2354</v>
      </c>
      <c r="I650" s="383" t="s">
        <v>2358</v>
      </c>
      <c r="J650" s="383" t="s">
        <v>2637</v>
      </c>
      <c r="K650" s="383" t="s">
        <v>2638</v>
      </c>
      <c r="L650" s="383" t="s">
        <v>9802</v>
      </c>
      <c r="M650" s="383" t="s">
        <v>10459</v>
      </c>
      <c r="N650" s="29">
        <v>9664616610</v>
      </c>
      <c r="O650" s="383" t="str">
        <f>IF(LEN(SUBSTITUTE(Table3937[[#This Row],[PRIMARY CONTACT]]," ",""))=10,SUBSTITUTE(Table3937[[#This Row],[PRIMARY CONTACT]]," ","") &amp; " - Proper","- Follow Up")</f>
        <v>9662580912 - Proper</v>
      </c>
      <c r="P650" s="383" t="s">
        <v>3457</v>
      </c>
      <c r="Q650" s="383">
        <v>9662580912</v>
      </c>
      <c r="R650" s="383" t="str">
        <f>SUBSTITUTE(Table3937[[#This Row],[whatsapp_number]]," ","")</f>
        <v>9662580912</v>
      </c>
      <c r="S650" s="383" t="str">
        <f>IF(Table3937[[#This Row],[PRIMARY CONTACT]]=Table3937[[#This Row],[WHATSAPP CONTACT]],"Same Contact","Different Contact")</f>
        <v>Same Contact</v>
      </c>
      <c r="T650" s="383" t="str">
        <f>IF(LEN(SUBSTITUTE(Table3937[[#This Row],[PRIMARY CONTACT]]," ",""))=10,SUBSTITUTE(Table3937[[#This Row],[PRIMARY CONTACT]]," ","") &amp; " - Proper","- Follow Up")</f>
        <v>9662580912 - Proper</v>
      </c>
      <c r="U650" s="383" t="s">
        <v>2953</v>
      </c>
      <c r="V650" s="383" t="s">
        <v>71</v>
      </c>
      <c r="W650" s="383" t="s">
        <v>47</v>
      </c>
      <c r="X650" s="51" t="s">
        <v>2361</v>
      </c>
      <c r="Y650" s="51" t="s">
        <v>2362</v>
      </c>
      <c r="Z650" s="51" t="s">
        <v>2363</v>
      </c>
      <c r="AA650" s="51" t="s">
        <v>48</v>
      </c>
      <c r="AB650" s="383"/>
    </row>
    <row r="651" spans="1:28" ht="13.8">
      <c r="A651" s="387">
        <v>650</v>
      </c>
      <c r="B651" s="58" t="s">
        <v>2639</v>
      </c>
      <c r="C651" s="383" t="s">
        <v>10709</v>
      </c>
      <c r="D651" s="383" t="s">
        <v>10747</v>
      </c>
      <c r="E651" s="383" t="s">
        <v>9149</v>
      </c>
      <c r="F651" s="383">
        <v>1371</v>
      </c>
      <c r="G651" s="383" t="s">
        <v>71</v>
      </c>
      <c r="H651" s="383" t="s">
        <v>71</v>
      </c>
      <c r="I651" s="383" t="s">
        <v>8552</v>
      </c>
      <c r="J651" s="383" t="s">
        <v>9453</v>
      </c>
      <c r="K651" s="383" t="s">
        <v>507</v>
      </c>
      <c r="L651" s="383" t="s">
        <v>8341</v>
      </c>
      <c r="M651" s="383" t="s">
        <v>10460</v>
      </c>
      <c r="N651" s="29" t="s">
        <v>44</v>
      </c>
      <c r="O651" s="383" t="str">
        <f>IF(LEN(SUBSTITUTE(Table3937[[#This Row],[PRIMARY CONTACT]]," ",""))=10,SUBSTITUTE(Table3937[[#This Row],[PRIMARY CONTACT]]," ","") &amp; " - Proper","- Follow Up")</f>
        <v>9619406081 - Proper</v>
      </c>
      <c r="P651" s="383" t="s">
        <v>3527</v>
      </c>
      <c r="Q651" s="383">
        <v>9619406081</v>
      </c>
      <c r="R651" s="383" t="str">
        <f>SUBSTITUTE(Table3937[[#This Row],[whatsapp_number]]," ","")</f>
        <v>9619406081</v>
      </c>
      <c r="S651" s="383" t="str">
        <f>IF(Table3937[[#This Row],[PRIMARY CONTACT]]=Table3937[[#This Row],[WHATSAPP CONTACT]],"Same Contact","Different Contact")</f>
        <v>Same Contact</v>
      </c>
      <c r="T651" s="383" t="str">
        <f>IF(LEN(SUBSTITUTE(Table3937[[#This Row],[PRIMARY CONTACT]]," ",""))=10,SUBSTITUTE(Table3937[[#This Row],[PRIMARY CONTACT]]," ","") &amp; " - Proper","- Follow Up")</f>
        <v>9619406081 - Proper</v>
      </c>
      <c r="U651" s="383" t="s">
        <v>8341</v>
      </c>
      <c r="V651" s="383" t="s">
        <v>71</v>
      </c>
      <c r="W651" s="383" t="s">
        <v>47</v>
      </c>
      <c r="X651" s="29" t="s">
        <v>395</v>
      </c>
      <c r="Y651" s="29" t="s">
        <v>395</v>
      </c>
      <c r="Z651" s="29" t="s">
        <v>395</v>
      </c>
      <c r="AA651" s="29" t="s">
        <v>395</v>
      </c>
      <c r="AB651" s="383"/>
    </row>
    <row r="652" spans="1:28" ht="13.8">
      <c r="A652" s="387">
        <v>651</v>
      </c>
      <c r="B652" s="58" t="s">
        <v>2645</v>
      </c>
      <c r="C652" s="383" t="s">
        <v>10709</v>
      </c>
      <c r="D652" s="383" t="s">
        <v>10782</v>
      </c>
      <c r="E652" s="383" t="s">
        <v>9150</v>
      </c>
      <c r="F652" s="383">
        <v>1372</v>
      </c>
      <c r="G652" s="383" t="s">
        <v>71</v>
      </c>
      <c r="H652" s="383" t="s">
        <v>71</v>
      </c>
      <c r="I652" s="383" t="s">
        <v>8553</v>
      </c>
      <c r="J652" s="383" t="s">
        <v>9454</v>
      </c>
      <c r="K652" s="383" t="s">
        <v>507</v>
      </c>
      <c r="L652" s="383" t="s">
        <v>8341</v>
      </c>
      <c r="M652" s="383" t="s">
        <v>10461</v>
      </c>
      <c r="N652" s="29" t="s">
        <v>44</v>
      </c>
      <c r="O652" s="383" t="str">
        <f>IF(LEN(SUBSTITUTE(Table3937[[#This Row],[PRIMARY CONTACT]]," ",""))=10,SUBSTITUTE(Table3937[[#This Row],[PRIMARY CONTACT]]," ","") &amp; " - Proper","- Follow Up")</f>
        <v>9820384621 - Proper</v>
      </c>
      <c r="P652" s="383" t="s">
        <v>3528</v>
      </c>
      <c r="Q652" s="383">
        <v>9820384621</v>
      </c>
      <c r="R652" s="383" t="str">
        <f>SUBSTITUTE(Table3937[[#This Row],[whatsapp_number]]," ","")</f>
        <v>9820384621</v>
      </c>
      <c r="S652" s="383" t="str">
        <f>IF(Table3937[[#This Row],[PRIMARY CONTACT]]=Table3937[[#This Row],[WHATSAPP CONTACT]],"Same Contact","Different Contact")</f>
        <v>Same Contact</v>
      </c>
      <c r="T652" s="383" t="str">
        <f>IF(LEN(SUBSTITUTE(Table3937[[#This Row],[PRIMARY CONTACT]]," ",""))=10,SUBSTITUTE(Table3937[[#This Row],[PRIMARY CONTACT]]," ","") &amp; " - Proper","- Follow Up")</f>
        <v>9820384621 - Proper</v>
      </c>
      <c r="U652" s="383" t="s">
        <v>8341</v>
      </c>
      <c r="V652" s="383" t="s">
        <v>71</v>
      </c>
      <c r="W652" s="383" t="s">
        <v>47</v>
      </c>
      <c r="X652" s="29" t="s">
        <v>395</v>
      </c>
      <c r="Y652" s="29" t="s">
        <v>395</v>
      </c>
      <c r="Z652" s="29" t="s">
        <v>395</v>
      </c>
      <c r="AA652" s="29" t="s">
        <v>395</v>
      </c>
      <c r="AB652" s="383"/>
    </row>
    <row r="653" spans="1:28" ht="13.8">
      <c r="A653" s="387">
        <v>652</v>
      </c>
      <c r="B653" s="262" t="s">
        <v>7578</v>
      </c>
      <c r="C653" s="383" t="s">
        <v>10709</v>
      </c>
      <c r="D653" s="383" t="s">
        <v>10783</v>
      </c>
      <c r="E653" s="383" t="s">
        <v>9151</v>
      </c>
      <c r="F653" s="383">
        <v>1374</v>
      </c>
      <c r="G653" s="383" t="s">
        <v>4624</v>
      </c>
      <c r="H653" s="383" t="s">
        <v>4625</v>
      </c>
      <c r="I653" s="383" t="s">
        <v>4619</v>
      </c>
      <c r="J653" s="383" t="s">
        <v>7704</v>
      </c>
      <c r="K653" s="383" t="s">
        <v>4621</v>
      </c>
      <c r="L653" s="383" t="s">
        <v>9803</v>
      </c>
      <c r="M653" s="383" t="s">
        <v>10455</v>
      </c>
      <c r="N653" t="s">
        <v>44</v>
      </c>
      <c r="O653" s="383" t="str">
        <f>IF(LEN(SUBSTITUTE(Table3937[[#This Row],[PRIMARY CONTACT]]," ",""))=10,SUBSTITUTE(Table3937[[#This Row],[PRIMARY CONTACT]]," ","") &amp; " - Proper","- Follow Up")</f>
        <v>9920421202 - Proper</v>
      </c>
      <c r="P653" s="383" t="s">
        <v>4323</v>
      </c>
      <c r="Q653" s="383">
        <v>9920421202</v>
      </c>
      <c r="R653" s="383" t="str">
        <f>SUBSTITUTE(Table3937[[#This Row],[whatsapp_number]]," ","")</f>
        <v>9920421202</v>
      </c>
      <c r="S653" s="383" t="str">
        <f>IF(Table3937[[#This Row],[PRIMARY CONTACT]]=Table3937[[#This Row],[WHATSAPP CONTACT]],"Same Contact","Different Contact")</f>
        <v>Same Contact</v>
      </c>
      <c r="T653" s="383" t="str">
        <f>IF(LEN(SUBSTITUTE(Table3937[[#This Row],[PRIMARY CONTACT]]," ",""))=10,SUBSTITUTE(Table3937[[#This Row],[PRIMARY CONTACT]]," ","") &amp; " - Proper","- Follow Up")</f>
        <v>9920421202 - Proper</v>
      </c>
      <c r="U653" s="383" t="s">
        <v>4628</v>
      </c>
      <c r="V653" s="383" t="s">
        <v>71</v>
      </c>
      <c r="W653" s="383" t="s">
        <v>47</v>
      </c>
      <c r="X653" s="45" t="s">
        <v>395</v>
      </c>
      <c r="Y653" s="45" t="s">
        <v>44</v>
      </c>
      <c r="Z653" s="45" t="s">
        <v>44</v>
      </c>
      <c r="AA653" s="45" t="s">
        <v>44</v>
      </c>
      <c r="AB653" s="383"/>
    </row>
    <row r="654" spans="1:28" ht="13.8">
      <c r="A654" s="387">
        <v>653</v>
      </c>
      <c r="B654" s="44" t="s">
        <v>2651</v>
      </c>
      <c r="C654" s="383" t="s">
        <v>10709</v>
      </c>
      <c r="D654" s="383" t="s">
        <v>10748</v>
      </c>
      <c r="E654" s="383" t="s">
        <v>9152</v>
      </c>
      <c r="F654" s="383">
        <v>1376</v>
      </c>
      <c r="G654" s="383" t="s">
        <v>71</v>
      </c>
      <c r="H654" s="383" t="s">
        <v>2650</v>
      </c>
      <c r="I654" s="383" t="s">
        <v>8554</v>
      </c>
      <c r="J654" s="383" t="s">
        <v>9455</v>
      </c>
      <c r="K654" s="383" t="s">
        <v>534</v>
      </c>
      <c r="L654" s="383" t="s">
        <v>9804</v>
      </c>
      <c r="M654" s="383" t="s">
        <v>10462</v>
      </c>
      <c r="N654" s="19" t="s">
        <v>44</v>
      </c>
      <c r="O654" s="383" t="str">
        <f>IF(LEN(SUBSTITUTE(Table3937[[#This Row],[PRIMARY CONTACT]]," ",""))=10,SUBSTITUTE(Table3937[[#This Row],[PRIMARY CONTACT]]," ","") &amp; " - Proper","- Follow Up")</f>
        <v>9167736388 - Proper</v>
      </c>
      <c r="P654" s="383" t="s">
        <v>3530</v>
      </c>
      <c r="Q654" s="383">
        <v>9167736388</v>
      </c>
      <c r="R654" s="383" t="str">
        <f>SUBSTITUTE(Table3937[[#This Row],[whatsapp_number]]," ","")</f>
        <v>9167736388</v>
      </c>
      <c r="S654" s="383" t="str">
        <f>IF(Table3937[[#This Row],[PRIMARY CONTACT]]=Table3937[[#This Row],[WHATSAPP CONTACT]],"Same Contact","Different Contact")</f>
        <v>Same Contact</v>
      </c>
      <c r="T654" s="383" t="str">
        <f>IF(LEN(SUBSTITUTE(Table3937[[#This Row],[PRIMARY CONTACT]]," ",""))=10,SUBSTITUTE(Table3937[[#This Row],[PRIMARY CONTACT]]," ","") &amp; " - Proper","- Follow Up")</f>
        <v>9167736388 - Proper</v>
      </c>
      <c r="U654" s="383" t="s">
        <v>2953</v>
      </c>
      <c r="V654" s="393" t="s">
        <v>3531</v>
      </c>
      <c r="W654" s="383" t="s">
        <v>47</v>
      </c>
      <c r="X654" s="45" t="s">
        <v>630</v>
      </c>
      <c r="Y654" s="45" t="s">
        <v>2657</v>
      </c>
      <c r="Z654" s="45" t="s">
        <v>197</v>
      </c>
      <c r="AA654" s="45" t="s">
        <v>49</v>
      </c>
      <c r="AB654" s="383"/>
    </row>
    <row r="655" spans="1:28" ht="13.8">
      <c r="A655" s="387">
        <v>654</v>
      </c>
      <c r="B655" s="58" t="s">
        <v>2659</v>
      </c>
      <c r="C655" s="383" t="s">
        <v>10709</v>
      </c>
      <c r="D655" s="383" t="s">
        <v>9153</v>
      </c>
      <c r="E655" s="383" t="s">
        <v>9153</v>
      </c>
      <c r="F655" s="383">
        <v>1379</v>
      </c>
      <c r="G655" s="383" t="s">
        <v>71</v>
      </c>
      <c r="H655" s="383" t="s">
        <v>2658</v>
      </c>
      <c r="I655" s="383" t="s">
        <v>8555</v>
      </c>
      <c r="J655" s="383" t="s">
        <v>9456</v>
      </c>
      <c r="K655" s="383" t="s">
        <v>915</v>
      </c>
      <c r="L655" s="383" t="s">
        <v>9805</v>
      </c>
      <c r="M655" s="383" t="s">
        <v>10463</v>
      </c>
      <c r="N655" s="29" t="s">
        <v>44</v>
      </c>
      <c r="O655" s="383" t="str">
        <f>IF(LEN(SUBSTITUTE(Table3937[[#This Row],[PRIMARY CONTACT]]," ",""))=10,SUBSTITUTE(Table3937[[#This Row],[PRIMARY CONTACT]]," ","") &amp; " - Proper","- Follow Up")</f>
        <v>9099073074 - Proper</v>
      </c>
      <c r="P655" s="383" t="s">
        <v>3534</v>
      </c>
      <c r="Q655" s="383">
        <v>9099073074</v>
      </c>
      <c r="R655" s="383" t="str">
        <f>SUBSTITUTE(Table3937[[#This Row],[whatsapp_number]]," ","")</f>
        <v>9099073074</v>
      </c>
      <c r="S655" s="383" t="str">
        <f>IF(Table3937[[#This Row],[PRIMARY CONTACT]]=Table3937[[#This Row],[WHATSAPP CONTACT]],"Same Contact","Different Contact")</f>
        <v>Same Contact</v>
      </c>
      <c r="T655" s="383" t="str">
        <f>IF(LEN(SUBSTITUTE(Table3937[[#This Row],[PRIMARY CONTACT]]," ",""))=10,SUBSTITUTE(Table3937[[#This Row],[PRIMARY CONTACT]]," ","") &amp; " - Proper","- Follow Up")</f>
        <v>9099073074 - Proper</v>
      </c>
      <c r="U655" s="383" t="s">
        <v>10675</v>
      </c>
      <c r="V655" s="393" t="s">
        <v>3536</v>
      </c>
      <c r="W655" s="383" t="s">
        <v>47</v>
      </c>
      <c r="X655" s="51" t="s">
        <v>170</v>
      </c>
      <c r="Y655" s="51" t="s">
        <v>49</v>
      </c>
      <c r="Z655" s="51" t="s">
        <v>2665</v>
      </c>
      <c r="AA655" s="51" t="s">
        <v>48</v>
      </c>
      <c r="AB655" s="383"/>
    </row>
    <row r="656" spans="1:28" ht="13.8">
      <c r="A656" s="387">
        <v>655</v>
      </c>
      <c r="B656" s="44" t="s">
        <v>2673</v>
      </c>
      <c r="C656" s="383" t="s">
        <v>10709</v>
      </c>
      <c r="D656" s="383" t="s">
        <v>10745</v>
      </c>
      <c r="E656" s="383" t="s">
        <v>9154</v>
      </c>
      <c r="F656" s="383">
        <v>1380</v>
      </c>
      <c r="G656" s="383" t="s">
        <v>71</v>
      </c>
      <c r="H656" s="383" t="s">
        <v>2666</v>
      </c>
      <c r="I656" s="383" t="s">
        <v>2676</v>
      </c>
      <c r="J656" s="383" t="s">
        <v>2677</v>
      </c>
      <c r="K656" s="383" t="s">
        <v>42</v>
      </c>
      <c r="L656" s="383" t="s">
        <v>9806</v>
      </c>
      <c r="M656" s="383" t="s">
        <v>10464</v>
      </c>
      <c r="N656" s="18">
        <v>9833940343</v>
      </c>
      <c r="O656" s="383" t="str">
        <f>IF(LEN(SUBSTITUTE(Table3937[[#This Row],[PRIMARY CONTACT]]," ",""))=10,SUBSTITUTE(Table3937[[#This Row],[PRIMARY CONTACT]]," ","") &amp; " - Proper","- Follow Up")</f>
        <v>9870465678 - Proper</v>
      </c>
      <c r="P656" s="383" t="s">
        <v>3539</v>
      </c>
      <c r="Q656" s="383">
        <v>9870465678</v>
      </c>
      <c r="R656" s="383" t="str">
        <f>SUBSTITUTE(Table3937[[#This Row],[whatsapp_number]]," ","")</f>
        <v>9870465678</v>
      </c>
      <c r="S656" s="383" t="str">
        <f>IF(Table3937[[#This Row],[PRIMARY CONTACT]]=Table3937[[#This Row],[WHATSAPP CONTACT]],"Same Contact","Different Contact")</f>
        <v>Same Contact</v>
      </c>
      <c r="T656" s="383" t="str">
        <f>IF(LEN(SUBSTITUTE(Table3937[[#This Row],[PRIMARY CONTACT]]," ",""))=10,SUBSTITUTE(Table3937[[#This Row],[PRIMARY CONTACT]]," ","") &amp; " - Proper","- Follow Up")</f>
        <v>9870465678 - Proper</v>
      </c>
      <c r="U656" s="383" t="s">
        <v>2953</v>
      </c>
      <c r="V656" s="393" t="s">
        <v>2679</v>
      </c>
      <c r="W656" s="383" t="s">
        <v>47</v>
      </c>
      <c r="X656" s="45" t="s">
        <v>170</v>
      </c>
      <c r="Y656" s="45" t="s">
        <v>49</v>
      </c>
      <c r="Z656" s="45" t="s">
        <v>2680</v>
      </c>
      <c r="AA656" s="45" t="s">
        <v>93</v>
      </c>
      <c r="AB656" s="383"/>
    </row>
    <row r="657" spans="1:28" ht="13.8">
      <c r="A657" s="387">
        <v>656</v>
      </c>
      <c r="B657" s="383" t="s">
        <v>10716</v>
      </c>
      <c r="C657" s="383" t="s">
        <v>10743</v>
      </c>
      <c r="D657" s="383" t="s">
        <v>10716</v>
      </c>
      <c r="E657" s="383" t="s">
        <v>9155</v>
      </c>
      <c r="F657" s="383">
        <v>1383</v>
      </c>
      <c r="G657" s="383" t="s">
        <v>71</v>
      </c>
      <c r="H657" s="383" t="s">
        <v>71</v>
      </c>
      <c r="I657" s="383" t="s">
        <v>8556</v>
      </c>
      <c r="J657" s="383" t="s">
        <v>9457</v>
      </c>
      <c r="K657" s="383" t="s">
        <v>534</v>
      </c>
      <c r="L657" s="383" t="s">
        <v>8341</v>
      </c>
      <c r="M657" s="383" t="s">
        <v>10465</v>
      </c>
      <c r="N657" s="383" t="s">
        <v>44</v>
      </c>
      <c r="O657" s="383" t="str">
        <f>IF(LEN(SUBSTITUTE(Table3937[[#This Row],[PRIMARY CONTACT]]," ",""))=10,SUBSTITUTE(Table3937[[#This Row],[PRIMARY CONTACT]]," ","") &amp; " - Proper","- Follow Up")</f>
        <v>8591016313 - Proper</v>
      </c>
      <c r="P657" s="383" t="s">
        <v>3543</v>
      </c>
      <c r="Q657" s="383">
        <v>8591016313</v>
      </c>
      <c r="R657" s="383" t="str">
        <f>SUBSTITUTE(Table3937[[#This Row],[whatsapp_number]]," ","")</f>
        <v>8591016313</v>
      </c>
      <c r="S657" s="383" t="str">
        <f>IF(Table3937[[#This Row],[PRIMARY CONTACT]]=Table3937[[#This Row],[WHATSAPP CONTACT]],"Same Contact","Different Contact")</f>
        <v>Same Contact</v>
      </c>
      <c r="T657" s="383" t="str">
        <f>IF(LEN(SUBSTITUTE(Table3937[[#This Row],[PRIMARY CONTACT]]," ",""))=10,SUBSTITUTE(Table3937[[#This Row],[PRIMARY CONTACT]]," ","") &amp; " - Proper","- Follow Up")</f>
        <v>8591016313 - Proper</v>
      </c>
      <c r="U657" s="383" t="s">
        <v>8341</v>
      </c>
      <c r="V657" s="383" t="s">
        <v>71</v>
      </c>
      <c r="W657" s="383" t="s">
        <v>47</v>
      </c>
      <c r="X657" s="383" t="s">
        <v>44</v>
      </c>
      <c r="Y657" s="383" t="s">
        <v>44</v>
      </c>
      <c r="Z657" s="383" t="s">
        <v>44</v>
      </c>
      <c r="AA657" s="383" t="s">
        <v>44</v>
      </c>
      <c r="AB657" s="383"/>
    </row>
    <row r="658" spans="1:28" ht="13.8">
      <c r="A658" s="387">
        <v>657</v>
      </c>
      <c r="B658" s="262" t="s">
        <v>8266</v>
      </c>
      <c r="C658" s="383" t="s">
        <v>10743</v>
      </c>
      <c r="D658" s="383" t="s">
        <v>10784</v>
      </c>
      <c r="E658" s="383" t="s">
        <v>9156</v>
      </c>
      <c r="F658" s="383">
        <v>1385</v>
      </c>
      <c r="G658" s="383" t="s">
        <v>4288</v>
      </c>
      <c r="H658" s="383" t="s">
        <v>4289</v>
      </c>
      <c r="I658" s="383" t="s">
        <v>8557</v>
      </c>
      <c r="J658" s="383" t="s">
        <v>4291</v>
      </c>
      <c r="K658" s="383" t="s">
        <v>9580</v>
      </c>
      <c r="L658" s="383" t="s">
        <v>9807</v>
      </c>
      <c r="M658" s="383" t="s">
        <v>10466</v>
      </c>
      <c r="N658" s="9">
        <v>9820089798</v>
      </c>
      <c r="O658" s="383" t="str">
        <f>IF(LEN(SUBSTITUTE(Table3937[[#This Row],[PRIMARY CONTACT]]," ",""))=10,SUBSTITUTE(Table3937[[#This Row],[PRIMARY CONTACT]]," ","") &amp; " - Proper","- Follow Up")</f>
        <v>9820089713 - Proper</v>
      </c>
      <c r="P658" s="383" t="s">
        <v>3869</v>
      </c>
      <c r="Q658" s="383">
        <v>9820089713</v>
      </c>
      <c r="R658" s="383" t="str">
        <f>SUBSTITUTE(Table3937[[#This Row],[whatsapp_number]]," ","")</f>
        <v>9820089713</v>
      </c>
      <c r="S658" s="383" t="str">
        <f>IF(Table3937[[#This Row],[PRIMARY CONTACT]]=Table3937[[#This Row],[WHATSAPP CONTACT]],"Same Contact","Different Contact")</f>
        <v>Same Contact</v>
      </c>
      <c r="T658" s="383" t="str">
        <f>IF(LEN(SUBSTITUTE(Table3937[[#This Row],[PRIMARY CONTACT]]," ",""))=10,SUBSTITUTE(Table3937[[#This Row],[PRIMARY CONTACT]]," ","") &amp; " - Proper","- Follow Up")</f>
        <v>9820089713 - Proper</v>
      </c>
      <c r="U658" s="383" t="s">
        <v>10676</v>
      </c>
      <c r="V658" s="393" t="s">
        <v>4295</v>
      </c>
      <c r="W658" s="383" t="s">
        <v>47</v>
      </c>
      <c r="X658" s="5" t="s">
        <v>1406</v>
      </c>
      <c r="Y658" s="5" t="s">
        <v>49</v>
      </c>
      <c r="Z658" s="5" t="s">
        <v>7444</v>
      </c>
      <c r="AA658" s="5" t="s">
        <v>7445</v>
      </c>
      <c r="AB658" s="383"/>
    </row>
    <row r="659" spans="1:28" ht="13.8">
      <c r="A659" s="387">
        <v>658</v>
      </c>
      <c r="B659" s="262" t="s">
        <v>8269</v>
      </c>
      <c r="C659" s="383" t="s">
        <v>10743</v>
      </c>
      <c r="D659" s="383" t="s">
        <v>10785</v>
      </c>
      <c r="E659" s="383" t="s">
        <v>9157</v>
      </c>
      <c r="F659" s="383">
        <v>1386</v>
      </c>
      <c r="G659" s="383" t="s">
        <v>4298</v>
      </c>
      <c r="H659" s="383" t="s">
        <v>4299</v>
      </c>
      <c r="I659" s="383" t="s">
        <v>8558</v>
      </c>
      <c r="J659" s="383" t="s">
        <v>4301</v>
      </c>
      <c r="K659" s="383" t="s">
        <v>9581</v>
      </c>
      <c r="L659" s="383" t="s">
        <v>9808</v>
      </c>
      <c r="M659" s="383" t="s">
        <v>10467</v>
      </c>
      <c r="N659" s="269">
        <v>9653432438</v>
      </c>
      <c r="O659" s="383" t="str">
        <f>IF(LEN(SUBSTITUTE(Table3937[[#This Row],[PRIMARY CONTACT]]," ",""))=10,SUBSTITUTE(Table3937[[#This Row],[PRIMARY CONTACT]]," ","") &amp; " - Proper","- Follow Up")</f>
        <v>9920307373 - Proper</v>
      </c>
      <c r="P659" s="383" t="s">
        <v>3869</v>
      </c>
      <c r="Q659" s="383">
        <v>9920307373</v>
      </c>
      <c r="R659" s="383" t="str">
        <f>SUBSTITUTE(Table3937[[#This Row],[whatsapp_number]]," ","")</f>
        <v>9920307373</v>
      </c>
      <c r="S659" s="383" t="str">
        <f>IF(Table3937[[#This Row],[PRIMARY CONTACT]]=Table3937[[#This Row],[WHATSAPP CONTACT]],"Same Contact","Different Contact")</f>
        <v>Same Contact</v>
      </c>
      <c r="T659" s="383" t="str">
        <f>IF(LEN(SUBSTITUTE(Table3937[[#This Row],[PRIMARY CONTACT]]," ",""))=10,SUBSTITUTE(Table3937[[#This Row],[PRIMARY CONTACT]]," ","") &amp; " - Proper","- Follow Up")</f>
        <v>9920307373 - Proper</v>
      </c>
      <c r="U659" s="383" t="s">
        <v>10677</v>
      </c>
      <c r="V659" s="383" t="s">
        <v>71</v>
      </c>
      <c r="W659" s="383" t="s">
        <v>47</v>
      </c>
      <c r="X659" s="5" t="s">
        <v>1406</v>
      </c>
      <c r="Y659" s="5" t="s">
        <v>49</v>
      </c>
      <c r="Z659" s="5" t="s">
        <v>7444</v>
      </c>
      <c r="AA659" s="5" t="s">
        <v>7445</v>
      </c>
      <c r="AB659" s="383"/>
    </row>
    <row r="660" spans="1:28" ht="13.8">
      <c r="A660" s="387">
        <v>659</v>
      </c>
      <c r="B660" s="262" t="s">
        <v>8273</v>
      </c>
      <c r="C660" s="383" t="s">
        <v>10743</v>
      </c>
      <c r="D660" s="383" t="s">
        <v>10786</v>
      </c>
      <c r="E660" s="383" t="s">
        <v>9158</v>
      </c>
      <c r="F660" s="383">
        <v>1387</v>
      </c>
      <c r="G660" s="383" t="s">
        <v>4307</v>
      </c>
      <c r="H660" s="383" t="s">
        <v>4308</v>
      </c>
      <c r="I660" s="383" t="s">
        <v>4309</v>
      </c>
      <c r="J660" s="383" t="s">
        <v>4310</v>
      </c>
      <c r="K660" s="383" t="s">
        <v>9582</v>
      </c>
      <c r="L660" s="383" t="s">
        <v>9809</v>
      </c>
      <c r="M660" s="383" t="s">
        <v>10468</v>
      </c>
      <c r="N660" s="9">
        <v>9820947140</v>
      </c>
      <c r="O660" s="383" t="str">
        <f>IF(LEN(SUBSTITUTE(Table3937[[#This Row],[PRIMARY CONTACT]]," ",""))=10,SUBSTITUTE(Table3937[[#This Row],[PRIMARY CONTACT]]," ","") &amp; " - Proper","- Follow Up")</f>
        <v>7710881457 - Proper</v>
      </c>
      <c r="P660" s="383" t="s">
        <v>3869</v>
      </c>
      <c r="Q660" s="383">
        <v>7710881457</v>
      </c>
      <c r="R660" s="383" t="str">
        <f>SUBSTITUTE(Table3937[[#This Row],[whatsapp_number]]," ","")</f>
        <v>7710881457</v>
      </c>
      <c r="S660" s="383" t="str">
        <f>IF(Table3937[[#This Row],[PRIMARY CONTACT]]=Table3937[[#This Row],[WHATSAPP CONTACT]],"Same Contact","Different Contact")</f>
        <v>Same Contact</v>
      </c>
      <c r="T660" s="383" t="str">
        <f>IF(LEN(SUBSTITUTE(Table3937[[#This Row],[PRIMARY CONTACT]]," ",""))=10,SUBSTITUTE(Table3937[[#This Row],[PRIMARY CONTACT]]," ","") &amp; " - Proper","- Follow Up")</f>
        <v>7710881457 - Proper</v>
      </c>
      <c r="U660" s="383" t="s">
        <v>10678</v>
      </c>
      <c r="V660" s="393" t="s">
        <v>4314</v>
      </c>
      <c r="W660" s="383" t="s">
        <v>47</v>
      </c>
      <c r="X660" s="5" t="s">
        <v>1406</v>
      </c>
      <c r="Y660" s="5" t="s">
        <v>49</v>
      </c>
      <c r="Z660" s="5" t="s">
        <v>7444</v>
      </c>
      <c r="AA660" s="5" t="s">
        <v>7445</v>
      </c>
      <c r="AB660" s="383"/>
    </row>
    <row r="661" spans="1:28" ht="13.8">
      <c r="A661" s="387">
        <v>660</v>
      </c>
      <c r="B661" s="302" t="s">
        <v>7842</v>
      </c>
      <c r="C661" s="383" t="s">
        <v>10709</v>
      </c>
      <c r="D661" s="383" t="s">
        <v>10845</v>
      </c>
      <c r="E661" s="383" t="s">
        <v>9159</v>
      </c>
      <c r="F661" s="383">
        <v>1388</v>
      </c>
      <c r="G661" s="383" t="s">
        <v>4912</v>
      </c>
      <c r="H661" s="383" t="s">
        <v>4912</v>
      </c>
      <c r="I661" s="383" t="s">
        <v>4913</v>
      </c>
      <c r="J661" s="383" t="s">
        <v>4914</v>
      </c>
      <c r="K661" s="383" t="s">
        <v>8341</v>
      </c>
      <c r="L661" s="383" t="s">
        <v>9810</v>
      </c>
      <c r="M661" s="383" t="s">
        <v>10469</v>
      </c>
      <c r="N661" s="383" t="s">
        <v>44</v>
      </c>
      <c r="O661" s="383" t="str">
        <f>IF(LEN(SUBSTITUTE(Table3937[[#This Row],[PRIMARY CONTACT]]," ",""))=10,SUBSTITUTE(Table3937[[#This Row],[PRIMARY CONTACT]]," ","") &amp; " - Proper","- Follow Up")</f>
        <v>9820353314 - Proper</v>
      </c>
      <c r="P661" s="383" t="s">
        <v>4916</v>
      </c>
      <c r="Q661" s="383">
        <v>9820353314</v>
      </c>
      <c r="R661" s="383" t="str">
        <f>SUBSTITUTE(Table3937[[#This Row],[whatsapp_number]]," ","")</f>
        <v>9820353314</v>
      </c>
      <c r="S661" s="383" t="str">
        <f>IF(Table3937[[#This Row],[PRIMARY CONTACT]]=Table3937[[#This Row],[WHATSAPP CONTACT]],"Same Contact","Different Contact")</f>
        <v>Same Contact</v>
      </c>
      <c r="T661" s="383" t="str">
        <f>IF(LEN(SUBSTITUTE(Table3937[[#This Row],[PRIMARY CONTACT]]," ",""))=10,SUBSTITUTE(Table3937[[#This Row],[PRIMARY CONTACT]]," ","") &amp; " - Proper","- Follow Up")</f>
        <v>9820353314 - Proper</v>
      </c>
      <c r="U661" s="383" t="s">
        <v>10679</v>
      </c>
      <c r="V661" s="393" t="s">
        <v>4918</v>
      </c>
      <c r="W661" s="383" t="s">
        <v>47</v>
      </c>
      <c r="X661" s="5" t="s">
        <v>7846</v>
      </c>
      <c r="Y661" s="5" t="s">
        <v>7847</v>
      </c>
      <c r="Z661" s="5" t="s">
        <v>7848</v>
      </c>
      <c r="AA661" s="5" t="s">
        <v>49</v>
      </c>
      <c r="AB661" s="383"/>
    </row>
    <row r="662" spans="1:28" ht="13.8">
      <c r="A662" s="387">
        <v>661</v>
      </c>
      <c r="B662" s="302" t="s">
        <v>7850</v>
      </c>
      <c r="C662" s="383" t="s">
        <v>10709</v>
      </c>
      <c r="D662" s="383" t="s">
        <v>10846</v>
      </c>
      <c r="E662" s="383" t="s">
        <v>9160</v>
      </c>
      <c r="F662" s="383">
        <v>1389</v>
      </c>
      <c r="G662" s="383" t="s">
        <v>4921</v>
      </c>
      <c r="H662" s="383" t="s">
        <v>4912</v>
      </c>
      <c r="I662" s="383" t="s">
        <v>4913</v>
      </c>
      <c r="J662" s="383" t="s">
        <v>4922</v>
      </c>
      <c r="K662" s="383" t="s">
        <v>8341</v>
      </c>
      <c r="L662" s="383" t="s">
        <v>9795</v>
      </c>
      <c r="M662" s="383" t="s">
        <v>10470</v>
      </c>
      <c r="N662" s="383" t="s">
        <v>44</v>
      </c>
      <c r="O662" s="383" t="str">
        <f>IF(LEN(SUBSTITUTE(Table3937[[#This Row],[PRIMARY CONTACT]]," ",""))=10,SUBSTITUTE(Table3937[[#This Row],[PRIMARY CONTACT]]," ","") &amp; " - Proper","- Follow Up")</f>
        <v>9167142325 - Proper</v>
      </c>
      <c r="P662" s="383" t="s">
        <v>4916</v>
      </c>
      <c r="Q662" s="383">
        <v>9167142325</v>
      </c>
      <c r="R662" s="383" t="str">
        <f>SUBSTITUTE(Table3937[[#This Row],[whatsapp_number]]," ","")</f>
        <v>9167142325</v>
      </c>
      <c r="S662" s="383" t="str">
        <f>IF(Table3937[[#This Row],[PRIMARY CONTACT]]=Table3937[[#This Row],[WHATSAPP CONTACT]],"Same Contact","Different Contact")</f>
        <v>Same Contact</v>
      </c>
      <c r="T662" s="383" t="str">
        <f>IF(LEN(SUBSTITUTE(Table3937[[#This Row],[PRIMARY CONTACT]]," ",""))=10,SUBSTITUTE(Table3937[[#This Row],[PRIMARY CONTACT]]," ","") &amp; " - Proper","- Follow Up")</f>
        <v>9167142325 - Proper</v>
      </c>
      <c r="U662" s="383" t="s">
        <v>10680</v>
      </c>
      <c r="V662" s="393" t="s">
        <v>4918</v>
      </c>
      <c r="W662" s="383" t="s">
        <v>47</v>
      </c>
      <c r="X662" s="5" t="s">
        <v>7846</v>
      </c>
      <c r="Y662" s="5" t="s">
        <v>7847</v>
      </c>
      <c r="Z662" s="5" t="s">
        <v>7848</v>
      </c>
      <c r="AA662" s="5" t="s">
        <v>49</v>
      </c>
      <c r="AB662" s="383"/>
    </row>
    <row r="663" spans="1:28" ht="13.8">
      <c r="A663" s="387">
        <v>662</v>
      </c>
      <c r="B663" s="302" t="s">
        <v>7855</v>
      </c>
      <c r="C663" s="383" t="s">
        <v>10709</v>
      </c>
      <c r="D663" s="383" t="s">
        <v>10859</v>
      </c>
      <c r="E663" s="383" t="s">
        <v>9161</v>
      </c>
      <c r="F663" s="383">
        <v>1390</v>
      </c>
      <c r="G663" s="383" t="s">
        <v>4926</v>
      </c>
      <c r="H663" s="383" t="s">
        <v>4912</v>
      </c>
      <c r="I663" s="383" t="s">
        <v>4913</v>
      </c>
      <c r="J663" s="383" t="s">
        <v>4927</v>
      </c>
      <c r="K663" s="383" t="s">
        <v>8341</v>
      </c>
      <c r="L663" s="383" t="s">
        <v>9811</v>
      </c>
      <c r="M663" s="383" t="s">
        <v>10471</v>
      </c>
      <c r="N663" s="383" t="s">
        <v>44</v>
      </c>
      <c r="O663" s="383" t="str">
        <f>IF(LEN(SUBSTITUTE(Table3937[[#This Row],[PRIMARY CONTACT]]," ",""))=10,SUBSTITUTE(Table3937[[#This Row],[PRIMARY CONTACT]]," ","") &amp; " - Proper","- Follow Up")</f>
        <v>9930874875 - Proper</v>
      </c>
      <c r="P663" s="383" t="s">
        <v>4916</v>
      </c>
      <c r="Q663" s="383">
        <v>9930874875</v>
      </c>
      <c r="R663" s="383" t="str">
        <f>SUBSTITUTE(Table3937[[#This Row],[whatsapp_number]]," ","")</f>
        <v>9930874875</v>
      </c>
      <c r="S663" s="383" t="str">
        <f>IF(Table3937[[#This Row],[PRIMARY CONTACT]]=Table3937[[#This Row],[WHATSAPP CONTACT]],"Same Contact","Different Contact")</f>
        <v>Same Contact</v>
      </c>
      <c r="T663" s="383" t="str">
        <f>IF(LEN(SUBSTITUTE(Table3937[[#This Row],[PRIMARY CONTACT]]," ",""))=10,SUBSTITUTE(Table3937[[#This Row],[PRIMARY CONTACT]]," ","") &amp; " - Proper","- Follow Up")</f>
        <v>9930874875 - Proper</v>
      </c>
      <c r="U663" s="383" t="s">
        <v>10679</v>
      </c>
      <c r="V663" s="393" t="s">
        <v>4918</v>
      </c>
      <c r="W663" s="383" t="s">
        <v>47</v>
      </c>
      <c r="X663" s="5" t="s">
        <v>7846</v>
      </c>
      <c r="Y663" s="5" t="s">
        <v>7847</v>
      </c>
      <c r="Z663" s="5" t="s">
        <v>7848</v>
      </c>
      <c r="AA663" s="5" t="s">
        <v>49</v>
      </c>
      <c r="AB663" s="383"/>
    </row>
    <row r="664" spans="1:28" ht="13.8">
      <c r="A664" s="387">
        <v>663</v>
      </c>
      <c r="B664" s="302" t="s">
        <v>7860</v>
      </c>
      <c r="C664" s="383" t="s">
        <v>10709</v>
      </c>
      <c r="D664" s="383" t="s">
        <v>10860</v>
      </c>
      <c r="E664" s="383" t="s">
        <v>9162</v>
      </c>
      <c r="F664" s="383">
        <v>1391</v>
      </c>
      <c r="G664" s="383" t="s">
        <v>4931</v>
      </c>
      <c r="H664" s="383" t="s">
        <v>4912</v>
      </c>
      <c r="I664" s="383" t="s">
        <v>4913</v>
      </c>
      <c r="J664" s="383" t="s">
        <v>4932</v>
      </c>
      <c r="K664" s="383" t="s">
        <v>8341</v>
      </c>
      <c r="L664" s="383" t="s">
        <v>9812</v>
      </c>
      <c r="M664" s="383" t="s">
        <v>10472</v>
      </c>
      <c r="N664" s="383" t="s">
        <v>44</v>
      </c>
      <c r="O664" s="383" t="str">
        <f>IF(LEN(SUBSTITUTE(Table3937[[#This Row],[PRIMARY CONTACT]]," ",""))=10,SUBSTITUTE(Table3937[[#This Row],[PRIMARY CONTACT]]," ","") &amp; " - Proper","- Follow Up")</f>
        <v>9925119995 - Proper</v>
      </c>
      <c r="P664" s="383" t="s">
        <v>4916</v>
      </c>
      <c r="Q664" s="383">
        <v>9925119995</v>
      </c>
      <c r="R664" s="383" t="str">
        <f>SUBSTITUTE(Table3937[[#This Row],[whatsapp_number]]," ","")</f>
        <v>9925119995</v>
      </c>
      <c r="S664" s="383" t="str">
        <f>IF(Table3937[[#This Row],[PRIMARY CONTACT]]=Table3937[[#This Row],[WHATSAPP CONTACT]],"Same Contact","Different Contact")</f>
        <v>Same Contact</v>
      </c>
      <c r="T664" s="383" t="str">
        <f>IF(LEN(SUBSTITUTE(Table3937[[#This Row],[PRIMARY CONTACT]]," ",""))=10,SUBSTITUTE(Table3937[[#This Row],[PRIMARY CONTACT]]," ","") &amp; " - Proper","- Follow Up")</f>
        <v>9925119995 - Proper</v>
      </c>
      <c r="U664" s="383" t="s">
        <v>10681</v>
      </c>
      <c r="V664" s="393" t="s">
        <v>4918</v>
      </c>
      <c r="W664" s="383" t="s">
        <v>47</v>
      </c>
      <c r="X664" s="5" t="s">
        <v>7846</v>
      </c>
      <c r="Y664" s="5" t="s">
        <v>7847</v>
      </c>
      <c r="Z664" s="5" t="s">
        <v>7848</v>
      </c>
      <c r="AA664" s="5" t="s">
        <v>49</v>
      </c>
      <c r="AB664" s="383"/>
    </row>
    <row r="665" spans="1:28" ht="13.8">
      <c r="A665" s="387">
        <v>664</v>
      </c>
      <c r="B665" s="302" t="s">
        <v>7867</v>
      </c>
      <c r="C665" s="383" t="s">
        <v>10709</v>
      </c>
      <c r="D665" s="383" t="s">
        <v>10861</v>
      </c>
      <c r="E665" s="383" t="s">
        <v>9163</v>
      </c>
      <c r="F665" s="383">
        <v>1392</v>
      </c>
      <c r="G665" s="383" t="s">
        <v>4937</v>
      </c>
      <c r="H665" s="383" t="s">
        <v>4912</v>
      </c>
      <c r="I665" s="383" t="s">
        <v>4913</v>
      </c>
      <c r="J665" s="383" t="s">
        <v>4938</v>
      </c>
      <c r="K665" s="383" t="s">
        <v>8341</v>
      </c>
      <c r="L665" s="383" t="s">
        <v>9813</v>
      </c>
      <c r="M665" s="383" t="s">
        <v>10473</v>
      </c>
      <c r="N665" s="383" t="s">
        <v>44</v>
      </c>
      <c r="O665" s="383" t="str">
        <f>IF(LEN(SUBSTITUTE(Table3937[[#This Row],[PRIMARY CONTACT]]," ",""))=10,SUBSTITUTE(Table3937[[#This Row],[PRIMARY CONTACT]]," ","") &amp; " - Proper","- Follow Up")</f>
        <v>9867104247 - Proper</v>
      </c>
      <c r="P665" s="383" t="s">
        <v>4916</v>
      </c>
      <c r="Q665" s="383">
        <v>9867104247</v>
      </c>
      <c r="R665" s="383" t="str">
        <f>SUBSTITUTE(Table3937[[#This Row],[whatsapp_number]]," ","")</f>
        <v>9867104247</v>
      </c>
      <c r="S665" s="383" t="str">
        <f>IF(Table3937[[#This Row],[PRIMARY CONTACT]]=Table3937[[#This Row],[WHATSAPP CONTACT]],"Same Contact","Different Contact")</f>
        <v>Same Contact</v>
      </c>
      <c r="T665" s="383" t="str">
        <f>IF(LEN(SUBSTITUTE(Table3937[[#This Row],[PRIMARY CONTACT]]," ",""))=10,SUBSTITUTE(Table3937[[#This Row],[PRIMARY CONTACT]]," ","") &amp; " - Proper","- Follow Up")</f>
        <v>9867104247 - Proper</v>
      </c>
      <c r="U665" s="383" t="s">
        <v>10679</v>
      </c>
      <c r="V665" s="393" t="s">
        <v>4918</v>
      </c>
      <c r="W665" s="383" t="s">
        <v>47</v>
      </c>
      <c r="X665" s="5" t="s">
        <v>7846</v>
      </c>
      <c r="Y665" s="5" t="s">
        <v>7847</v>
      </c>
      <c r="Z665" s="5" t="s">
        <v>7848</v>
      </c>
      <c r="AA665" s="5" t="s">
        <v>49</v>
      </c>
      <c r="AB665" s="383"/>
    </row>
    <row r="666" spans="1:28" ht="13.8">
      <c r="A666" s="387">
        <v>665</v>
      </c>
      <c r="B666" s="302" t="s">
        <v>7873</v>
      </c>
      <c r="C666" s="383" t="s">
        <v>10709</v>
      </c>
      <c r="D666" s="383" t="s">
        <v>10862</v>
      </c>
      <c r="E666" s="383" t="s">
        <v>9164</v>
      </c>
      <c r="F666" s="383">
        <v>1393</v>
      </c>
      <c r="G666" s="383" t="s">
        <v>4942</v>
      </c>
      <c r="H666" s="383" t="s">
        <v>4912</v>
      </c>
      <c r="I666" s="383" t="s">
        <v>4913</v>
      </c>
      <c r="J666" s="383" t="s">
        <v>4943</v>
      </c>
      <c r="K666" s="383" t="s">
        <v>8341</v>
      </c>
      <c r="L666" s="383" t="s">
        <v>9814</v>
      </c>
      <c r="M666" s="383" t="s">
        <v>10474</v>
      </c>
      <c r="N666" s="383" t="s">
        <v>44</v>
      </c>
      <c r="O666" s="383" t="str">
        <f>IF(LEN(SUBSTITUTE(Table3937[[#This Row],[PRIMARY CONTACT]]," ",""))=10,SUBSTITUTE(Table3937[[#This Row],[PRIMARY CONTACT]]," ","") &amp; " - Proper","- Follow Up")</f>
        <v>8884177414 - Proper</v>
      </c>
      <c r="P666" s="383" t="s">
        <v>4916</v>
      </c>
      <c r="Q666" s="383">
        <v>8884177414</v>
      </c>
      <c r="R666" s="383" t="str">
        <f>SUBSTITUTE(Table3937[[#This Row],[whatsapp_number]]," ","")</f>
        <v>8884177414</v>
      </c>
      <c r="S666" s="383" t="str">
        <f>IF(Table3937[[#This Row],[PRIMARY CONTACT]]=Table3937[[#This Row],[WHATSAPP CONTACT]],"Same Contact","Different Contact")</f>
        <v>Same Contact</v>
      </c>
      <c r="T666" s="383" t="str">
        <f>IF(LEN(SUBSTITUTE(Table3937[[#This Row],[PRIMARY CONTACT]]," ",""))=10,SUBSTITUTE(Table3937[[#This Row],[PRIMARY CONTACT]]," ","") &amp; " - Proper","- Follow Up")</f>
        <v>8884177414 - Proper</v>
      </c>
      <c r="U666" s="383" t="s">
        <v>4945</v>
      </c>
      <c r="V666" s="393" t="s">
        <v>4918</v>
      </c>
      <c r="W666" s="383" t="s">
        <v>47</v>
      </c>
      <c r="X666" s="5" t="s">
        <v>7846</v>
      </c>
      <c r="Y666" s="5" t="s">
        <v>7847</v>
      </c>
      <c r="Z666" s="5" t="s">
        <v>7848</v>
      </c>
      <c r="AA666" s="5" t="s">
        <v>49</v>
      </c>
      <c r="AB666" s="383"/>
    </row>
    <row r="667" spans="1:28" ht="13.8">
      <c r="A667" s="387">
        <v>666</v>
      </c>
      <c r="B667" s="302" t="s">
        <v>7879</v>
      </c>
      <c r="C667" s="383" t="s">
        <v>10709</v>
      </c>
      <c r="D667" s="383" t="s">
        <v>10863</v>
      </c>
      <c r="E667" s="383" t="s">
        <v>9165</v>
      </c>
      <c r="F667" s="383">
        <v>1394</v>
      </c>
      <c r="G667" s="383" t="s">
        <v>4948</v>
      </c>
      <c r="H667" s="383" t="s">
        <v>4912</v>
      </c>
      <c r="I667" s="383" t="s">
        <v>4913</v>
      </c>
      <c r="J667" s="383" t="s">
        <v>9458</v>
      </c>
      <c r="K667" s="383" t="s">
        <v>8341</v>
      </c>
      <c r="L667" s="383" t="s">
        <v>9815</v>
      </c>
      <c r="M667" s="383" t="s">
        <v>10475</v>
      </c>
      <c r="N667" s="383" t="s">
        <v>44</v>
      </c>
      <c r="O667" s="383" t="str">
        <f>IF(LEN(SUBSTITUTE(Table3937[[#This Row],[PRIMARY CONTACT]]," ",""))=10,SUBSTITUTE(Table3937[[#This Row],[PRIMARY CONTACT]]," ","") &amp; " - Proper","- Follow Up")</f>
        <v>9457057008 - Proper</v>
      </c>
      <c r="P667" s="383" t="s">
        <v>4916</v>
      </c>
      <c r="Q667" s="383">
        <v>9457057008</v>
      </c>
      <c r="R667" s="383" t="str">
        <f>SUBSTITUTE(Table3937[[#This Row],[whatsapp_number]]," ","")</f>
        <v>9457057008</v>
      </c>
      <c r="S667" s="383" t="str">
        <f>IF(Table3937[[#This Row],[PRIMARY CONTACT]]=Table3937[[#This Row],[WHATSAPP CONTACT]],"Same Contact","Different Contact")</f>
        <v>Same Contact</v>
      </c>
      <c r="T667" s="383" t="str">
        <f>IF(LEN(SUBSTITUTE(Table3937[[#This Row],[PRIMARY CONTACT]]," ",""))=10,SUBSTITUTE(Table3937[[#This Row],[PRIMARY CONTACT]]," ","") &amp; " - Proper","- Follow Up")</f>
        <v>9457057008 - Proper</v>
      </c>
      <c r="U667" s="383" t="s">
        <v>10680</v>
      </c>
      <c r="V667" s="393" t="s">
        <v>4918</v>
      </c>
      <c r="W667" s="383" t="s">
        <v>47</v>
      </c>
      <c r="X667" s="5" t="s">
        <v>7846</v>
      </c>
      <c r="Y667" s="5" t="s">
        <v>7847</v>
      </c>
      <c r="Z667" s="5" t="s">
        <v>7848</v>
      </c>
      <c r="AA667" s="5" t="s">
        <v>49</v>
      </c>
      <c r="AB667" s="383"/>
    </row>
    <row r="668" spans="1:28" ht="13.8">
      <c r="A668" s="387">
        <v>667</v>
      </c>
      <c r="B668" s="302" t="s">
        <v>7885</v>
      </c>
      <c r="C668" s="383" t="s">
        <v>10709</v>
      </c>
      <c r="D668" s="383" t="s">
        <v>10864</v>
      </c>
      <c r="E668" s="383" t="s">
        <v>9166</v>
      </c>
      <c r="F668" s="383">
        <v>1395</v>
      </c>
      <c r="G668" s="383" t="s">
        <v>4953</v>
      </c>
      <c r="H668" s="383" t="s">
        <v>4912</v>
      </c>
      <c r="I668" s="383" t="s">
        <v>4913</v>
      </c>
      <c r="J668" s="383" t="s">
        <v>4954</v>
      </c>
      <c r="K668" s="383" t="s">
        <v>8341</v>
      </c>
      <c r="L668" s="383" t="s">
        <v>9816</v>
      </c>
      <c r="M668" s="383" t="s">
        <v>10476</v>
      </c>
      <c r="N668" s="383" t="s">
        <v>44</v>
      </c>
      <c r="O668" s="383" t="str">
        <f>IF(LEN(SUBSTITUTE(Table3937[[#This Row],[PRIMARY CONTACT]]," ",""))=10,SUBSTITUTE(Table3937[[#This Row],[PRIMARY CONTACT]]," ","") &amp; " - Proper","- Follow Up")</f>
        <v>7289099961 - Proper</v>
      </c>
      <c r="P668" s="383" t="s">
        <v>4916</v>
      </c>
      <c r="Q668" s="383">
        <v>7289099961</v>
      </c>
      <c r="R668" s="383" t="str">
        <f>SUBSTITUTE(Table3937[[#This Row],[whatsapp_number]]," ","")</f>
        <v>7289099961</v>
      </c>
      <c r="S668" s="383" t="str">
        <f>IF(Table3937[[#This Row],[PRIMARY CONTACT]]=Table3937[[#This Row],[WHATSAPP CONTACT]],"Same Contact","Different Contact")</f>
        <v>Same Contact</v>
      </c>
      <c r="T668" s="383" t="str">
        <f>IF(LEN(SUBSTITUTE(Table3937[[#This Row],[PRIMARY CONTACT]]," ",""))=10,SUBSTITUTE(Table3937[[#This Row],[PRIMARY CONTACT]]," ","") &amp; " - Proper","- Follow Up")</f>
        <v>7289099961 - Proper</v>
      </c>
      <c r="U668" s="383" t="s">
        <v>10680</v>
      </c>
      <c r="V668" s="393" t="s">
        <v>4918</v>
      </c>
      <c r="W668" s="383" t="s">
        <v>47</v>
      </c>
      <c r="X668" s="5" t="s">
        <v>7846</v>
      </c>
      <c r="Y668" s="5" t="s">
        <v>7847</v>
      </c>
      <c r="Z668" s="5" t="s">
        <v>7848</v>
      </c>
      <c r="AA668" s="5" t="s">
        <v>49</v>
      </c>
      <c r="AB668" s="383"/>
    </row>
    <row r="669" spans="1:28" ht="13.8">
      <c r="A669" s="387">
        <v>668</v>
      </c>
      <c r="B669" s="302" t="s">
        <v>7891</v>
      </c>
      <c r="C669" s="383" t="s">
        <v>10743</v>
      </c>
      <c r="D669" s="383" t="s">
        <v>10865</v>
      </c>
      <c r="E669" s="383" t="s">
        <v>9167</v>
      </c>
      <c r="F669" s="383">
        <v>1396</v>
      </c>
      <c r="G669" s="383" t="s">
        <v>4958</v>
      </c>
      <c r="H669" s="383" t="s">
        <v>4912</v>
      </c>
      <c r="I669" s="383" t="s">
        <v>4913</v>
      </c>
      <c r="J669" s="383" t="s">
        <v>4959</v>
      </c>
      <c r="K669" s="383" t="s">
        <v>8341</v>
      </c>
      <c r="L669" s="383" t="s">
        <v>9817</v>
      </c>
      <c r="M669" s="383" t="s">
        <v>10477</v>
      </c>
      <c r="N669" s="383" t="s">
        <v>44</v>
      </c>
      <c r="O669" s="383" t="str">
        <f>IF(LEN(SUBSTITUTE(Table3937[[#This Row],[PRIMARY CONTACT]]," ",""))=10,SUBSTITUTE(Table3937[[#This Row],[PRIMARY CONTACT]]," ","") &amp; " - Proper","- Follow Up")</f>
        <v>9008461183 - Proper</v>
      </c>
      <c r="P669" s="383" t="s">
        <v>4916</v>
      </c>
      <c r="Q669" s="383">
        <v>9008461183</v>
      </c>
      <c r="R669" s="383" t="str">
        <f>SUBSTITUTE(Table3937[[#This Row],[whatsapp_number]]," ","")</f>
        <v>9008461183</v>
      </c>
      <c r="S669" s="383" t="str">
        <f>IF(Table3937[[#This Row],[PRIMARY CONTACT]]=Table3937[[#This Row],[WHATSAPP CONTACT]],"Same Contact","Different Contact")</f>
        <v>Same Contact</v>
      </c>
      <c r="T669" s="383" t="str">
        <f>IF(LEN(SUBSTITUTE(Table3937[[#This Row],[PRIMARY CONTACT]]," ",""))=10,SUBSTITUTE(Table3937[[#This Row],[PRIMARY CONTACT]]," ","") &amp; " - Proper","- Follow Up")</f>
        <v>9008461183 - Proper</v>
      </c>
      <c r="U669" s="383" t="s">
        <v>4945</v>
      </c>
      <c r="V669" s="393" t="s">
        <v>4918</v>
      </c>
      <c r="W669" s="383" t="s">
        <v>47</v>
      </c>
      <c r="X669" s="5" t="s">
        <v>7846</v>
      </c>
      <c r="Y669" s="5" t="s">
        <v>7847</v>
      </c>
      <c r="Z669" s="5" t="s">
        <v>7848</v>
      </c>
      <c r="AA669" s="5" t="s">
        <v>49</v>
      </c>
      <c r="AB669" s="383"/>
    </row>
    <row r="670" spans="1:28" ht="13.8">
      <c r="A670" s="387">
        <v>669</v>
      </c>
      <c r="B670" s="302" t="s">
        <v>7895</v>
      </c>
      <c r="C670" s="383" t="s">
        <v>10709</v>
      </c>
      <c r="D670" s="383" t="s">
        <v>10866</v>
      </c>
      <c r="E670" s="383" t="s">
        <v>9168</v>
      </c>
      <c r="F670" s="383">
        <v>1397</v>
      </c>
      <c r="G670" s="383" t="s">
        <v>4963</v>
      </c>
      <c r="H670" s="383" t="s">
        <v>4912</v>
      </c>
      <c r="I670" s="383" t="s">
        <v>4913</v>
      </c>
      <c r="J670" s="383" t="s">
        <v>4964</v>
      </c>
      <c r="K670" s="383" t="s">
        <v>8341</v>
      </c>
      <c r="L670" s="383" t="s">
        <v>9799</v>
      </c>
      <c r="M670" s="383" t="s">
        <v>10478</v>
      </c>
      <c r="N670" s="383" t="s">
        <v>44</v>
      </c>
      <c r="O670" s="383" t="str">
        <f>IF(LEN(SUBSTITUTE(Table3937[[#This Row],[PRIMARY CONTACT]]," ",""))=10,SUBSTITUTE(Table3937[[#This Row],[PRIMARY CONTACT]]," ","") &amp; " - Proper","- Follow Up")</f>
        <v>9930220525 - Proper</v>
      </c>
      <c r="P670" s="383" t="s">
        <v>4916</v>
      </c>
      <c r="Q670" s="383">
        <v>9930220525</v>
      </c>
      <c r="R670" s="383" t="str">
        <f>SUBSTITUTE(Table3937[[#This Row],[whatsapp_number]]," ","")</f>
        <v>9930220525</v>
      </c>
      <c r="S670" s="383" t="str">
        <f>IF(Table3937[[#This Row],[PRIMARY CONTACT]]=Table3937[[#This Row],[WHATSAPP CONTACT]],"Same Contact","Different Contact")</f>
        <v>Same Contact</v>
      </c>
      <c r="T670" s="383" t="str">
        <f>IF(LEN(SUBSTITUTE(Table3937[[#This Row],[PRIMARY CONTACT]]," ",""))=10,SUBSTITUTE(Table3937[[#This Row],[PRIMARY CONTACT]]," ","") &amp; " - Proper","- Follow Up")</f>
        <v>9930220525 - Proper</v>
      </c>
      <c r="U670" s="383" t="s">
        <v>10682</v>
      </c>
      <c r="V670" s="393" t="s">
        <v>4918</v>
      </c>
      <c r="W670" s="383" t="s">
        <v>47</v>
      </c>
      <c r="X670" s="5" t="s">
        <v>7846</v>
      </c>
      <c r="Y670" s="5" t="s">
        <v>7847</v>
      </c>
      <c r="Z670" s="5" t="s">
        <v>7848</v>
      </c>
      <c r="AA670" s="5" t="s">
        <v>49</v>
      </c>
      <c r="AB670" s="383"/>
    </row>
    <row r="671" spans="1:28" ht="13.8">
      <c r="A671" s="387">
        <v>670</v>
      </c>
      <c r="B671" s="302" t="s">
        <v>7899</v>
      </c>
      <c r="C671" s="383" t="s">
        <v>10709</v>
      </c>
      <c r="D671" s="383" t="s">
        <v>10867</v>
      </c>
      <c r="E671" s="383" t="s">
        <v>9169</v>
      </c>
      <c r="F671" s="383">
        <v>1398</v>
      </c>
      <c r="G671" s="383" t="s">
        <v>4968</v>
      </c>
      <c r="H671" s="383" t="s">
        <v>4912</v>
      </c>
      <c r="I671" s="383" t="s">
        <v>4913</v>
      </c>
      <c r="J671" s="383" t="s">
        <v>4969</v>
      </c>
      <c r="K671" s="383" t="s">
        <v>8341</v>
      </c>
      <c r="L671" s="383" t="s">
        <v>9818</v>
      </c>
      <c r="M671" s="383" t="s">
        <v>10479</v>
      </c>
      <c r="N671" s="383" t="s">
        <v>44</v>
      </c>
      <c r="O671" s="383" t="str">
        <f>IF(LEN(SUBSTITUTE(Table3937[[#This Row],[PRIMARY CONTACT]]," ",""))=10,SUBSTITUTE(Table3937[[#This Row],[PRIMARY CONTACT]]," ","") &amp; " - Proper","- Follow Up")</f>
        <v>9739555155 - Proper</v>
      </c>
      <c r="P671" s="383" t="s">
        <v>4916</v>
      </c>
      <c r="Q671" s="383">
        <v>9739555155</v>
      </c>
      <c r="R671" s="383" t="str">
        <f>SUBSTITUTE(Table3937[[#This Row],[whatsapp_number]]," ","")</f>
        <v>9739555155</v>
      </c>
      <c r="S671" s="383" t="str">
        <f>IF(Table3937[[#This Row],[PRIMARY CONTACT]]=Table3937[[#This Row],[WHATSAPP CONTACT]],"Same Contact","Different Contact")</f>
        <v>Same Contact</v>
      </c>
      <c r="T671" s="383" t="str">
        <f>IF(LEN(SUBSTITUTE(Table3937[[#This Row],[PRIMARY CONTACT]]," ",""))=10,SUBSTITUTE(Table3937[[#This Row],[PRIMARY CONTACT]]," ","") &amp; " - Proper","- Follow Up")</f>
        <v>9739555155 - Proper</v>
      </c>
      <c r="U671" s="383" t="s">
        <v>4945</v>
      </c>
      <c r="V671" s="393" t="s">
        <v>4918</v>
      </c>
      <c r="W671" s="383" t="s">
        <v>47</v>
      </c>
      <c r="X671" s="5" t="s">
        <v>7846</v>
      </c>
      <c r="Y671" s="5" t="s">
        <v>7847</v>
      </c>
      <c r="Z671" s="5" t="s">
        <v>7848</v>
      </c>
      <c r="AA671" s="5" t="s">
        <v>49</v>
      </c>
      <c r="AB671" s="383"/>
    </row>
    <row r="672" spans="1:28" ht="13.8">
      <c r="A672" s="387">
        <v>671</v>
      </c>
      <c r="B672" s="302" t="s">
        <v>7902</v>
      </c>
      <c r="C672" s="383" t="s">
        <v>10709</v>
      </c>
      <c r="D672" s="383" t="s">
        <v>10868</v>
      </c>
      <c r="E672" s="383" t="s">
        <v>9170</v>
      </c>
      <c r="F672" s="383">
        <v>1399</v>
      </c>
      <c r="G672" s="383" t="s">
        <v>4973</v>
      </c>
      <c r="H672" s="383" t="s">
        <v>4912</v>
      </c>
      <c r="I672" s="383" t="s">
        <v>4913</v>
      </c>
      <c r="J672" s="383" t="s">
        <v>4974</v>
      </c>
      <c r="K672" s="383" t="s">
        <v>8341</v>
      </c>
      <c r="L672" s="383" t="s">
        <v>9819</v>
      </c>
      <c r="M672" s="383" t="s">
        <v>10480</v>
      </c>
      <c r="N672" s="383" t="s">
        <v>44</v>
      </c>
      <c r="O672" s="383" t="str">
        <f>IF(LEN(SUBSTITUTE(Table3937[[#This Row],[PRIMARY CONTACT]]," ",""))=10,SUBSTITUTE(Table3937[[#This Row],[PRIMARY CONTACT]]," ","") &amp; " - Proper","- Follow Up")</f>
        <v>9831341166 - Proper</v>
      </c>
      <c r="P672" s="383" t="s">
        <v>4916</v>
      </c>
      <c r="Q672" s="383">
        <v>9831341166</v>
      </c>
      <c r="R672" s="383" t="str">
        <f>SUBSTITUTE(Table3937[[#This Row],[whatsapp_number]]," ","")</f>
        <v>9831341166</v>
      </c>
      <c r="S672" s="383" t="str">
        <f>IF(Table3937[[#This Row],[PRIMARY CONTACT]]=Table3937[[#This Row],[WHATSAPP CONTACT]],"Same Contact","Different Contact")</f>
        <v>Same Contact</v>
      </c>
      <c r="T672" s="383" t="str">
        <f>IF(LEN(SUBSTITUTE(Table3937[[#This Row],[PRIMARY CONTACT]]," ",""))=10,SUBSTITUTE(Table3937[[#This Row],[PRIMARY CONTACT]]," ","") &amp; " - Proper","- Follow Up")</f>
        <v>9831341166 - Proper</v>
      </c>
      <c r="U672" s="383" t="s">
        <v>4976</v>
      </c>
      <c r="V672" s="393" t="s">
        <v>4918</v>
      </c>
      <c r="W672" s="383" t="s">
        <v>47</v>
      </c>
      <c r="X672" s="5" t="s">
        <v>7846</v>
      </c>
      <c r="Y672" s="5" t="s">
        <v>7847</v>
      </c>
      <c r="Z672" s="5" t="s">
        <v>7848</v>
      </c>
      <c r="AA672" s="5" t="s">
        <v>49</v>
      </c>
      <c r="AB672" s="383"/>
    </row>
    <row r="673" spans="1:28" ht="13.8">
      <c r="A673" s="387">
        <v>672</v>
      </c>
      <c r="B673" s="302" t="s">
        <v>7908</v>
      </c>
      <c r="C673" s="383" t="s">
        <v>10709</v>
      </c>
      <c r="D673" s="383" t="s">
        <v>10869</v>
      </c>
      <c r="E673" s="383" t="s">
        <v>9171</v>
      </c>
      <c r="F673" s="383">
        <v>1400</v>
      </c>
      <c r="G673" s="383" t="s">
        <v>4979</v>
      </c>
      <c r="H673" s="383" t="s">
        <v>4912</v>
      </c>
      <c r="I673" s="383" t="s">
        <v>4913</v>
      </c>
      <c r="J673" s="383" t="s">
        <v>4980</v>
      </c>
      <c r="K673" s="383" t="s">
        <v>8341</v>
      </c>
      <c r="L673" s="383" t="s">
        <v>9820</v>
      </c>
      <c r="M673" s="383" t="s">
        <v>10481</v>
      </c>
      <c r="N673" s="383" t="s">
        <v>44</v>
      </c>
      <c r="O673" s="383" t="str">
        <f>IF(LEN(SUBSTITUTE(Table3937[[#This Row],[PRIMARY CONTACT]]," ",""))=10,SUBSTITUTE(Table3937[[#This Row],[PRIMARY CONTACT]]," ","") &amp; " - Proper","- Follow Up")</f>
        <v>9825328252 - Proper</v>
      </c>
      <c r="P673" s="383" t="s">
        <v>4916</v>
      </c>
      <c r="Q673" s="383">
        <v>9825328252</v>
      </c>
      <c r="R673" s="383" t="str">
        <f>SUBSTITUTE(Table3937[[#This Row],[whatsapp_number]]," ","")</f>
        <v>9825328252</v>
      </c>
      <c r="S673" s="383" t="str">
        <f>IF(Table3937[[#This Row],[PRIMARY CONTACT]]=Table3937[[#This Row],[WHATSAPP CONTACT]],"Same Contact","Different Contact")</f>
        <v>Same Contact</v>
      </c>
      <c r="T673" s="383" t="str">
        <f>IF(LEN(SUBSTITUTE(Table3937[[#This Row],[PRIMARY CONTACT]]," ",""))=10,SUBSTITUTE(Table3937[[#This Row],[PRIMARY CONTACT]]," ","") &amp; " - Proper","- Follow Up")</f>
        <v>9825328252 - Proper</v>
      </c>
      <c r="U673" s="383" t="s">
        <v>10681</v>
      </c>
      <c r="V673" s="393" t="s">
        <v>4918</v>
      </c>
      <c r="W673" s="383" t="s">
        <v>47</v>
      </c>
      <c r="X673" s="5" t="s">
        <v>7846</v>
      </c>
      <c r="Y673" s="5" t="s">
        <v>7847</v>
      </c>
      <c r="Z673" s="5" t="s">
        <v>7848</v>
      </c>
      <c r="AA673" s="5" t="s">
        <v>49</v>
      </c>
      <c r="AB673" s="383"/>
    </row>
    <row r="674" spans="1:28" ht="13.8">
      <c r="A674" s="387">
        <v>673</v>
      </c>
      <c r="B674" s="302" t="s">
        <v>7913</v>
      </c>
      <c r="C674" s="383" t="s">
        <v>10709</v>
      </c>
      <c r="D674" s="383" t="s">
        <v>10870</v>
      </c>
      <c r="E674" s="383" t="s">
        <v>9172</v>
      </c>
      <c r="F674" s="383">
        <v>1401</v>
      </c>
      <c r="G674" s="383" t="s">
        <v>4984</v>
      </c>
      <c r="H674" s="383" t="s">
        <v>4912</v>
      </c>
      <c r="I674" s="383" t="s">
        <v>4913</v>
      </c>
      <c r="J674" s="383" t="s">
        <v>4985</v>
      </c>
      <c r="K674" s="383" t="s">
        <v>8341</v>
      </c>
      <c r="L674" s="383" t="s">
        <v>9821</v>
      </c>
      <c r="M674" s="383" t="s">
        <v>10482</v>
      </c>
      <c r="N674" s="383" t="s">
        <v>44</v>
      </c>
      <c r="O674" s="383" t="str">
        <f>IF(LEN(SUBSTITUTE(Table3937[[#This Row],[PRIMARY CONTACT]]," ",""))=10,SUBSTITUTE(Table3937[[#This Row],[PRIMARY CONTACT]]," ","") &amp; " - Proper","- Follow Up")</f>
        <v>9810398781 - Proper</v>
      </c>
      <c r="P674" s="383" t="s">
        <v>4916</v>
      </c>
      <c r="Q674" s="383">
        <v>9810398781</v>
      </c>
      <c r="R674" s="383" t="str">
        <f>SUBSTITUTE(Table3937[[#This Row],[whatsapp_number]]," ","")</f>
        <v>9810398781</v>
      </c>
      <c r="S674" s="383" t="str">
        <f>IF(Table3937[[#This Row],[PRIMARY CONTACT]]=Table3937[[#This Row],[WHATSAPP CONTACT]],"Same Contact","Different Contact")</f>
        <v>Same Contact</v>
      </c>
      <c r="T674" s="383" t="str">
        <f>IF(LEN(SUBSTITUTE(Table3937[[#This Row],[PRIMARY CONTACT]]," ",""))=10,SUBSTITUTE(Table3937[[#This Row],[PRIMARY CONTACT]]," ","") &amp; " - Proper","- Follow Up")</f>
        <v>9810398781 - Proper</v>
      </c>
      <c r="U674" s="383" t="s">
        <v>10680</v>
      </c>
      <c r="V674" s="393" t="s">
        <v>4918</v>
      </c>
      <c r="W674" s="383" t="s">
        <v>47</v>
      </c>
      <c r="X674" s="5" t="s">
        <v>7846</v>
      </c>
      <c r="Y674" s="5" t="s">
        <v>7847</v>
      </c>
      <c r="Z674" s="5" t="s">
        <v>7848</v>
      </c>
      <c r="AA674" s="5" t="s">
        <v>49</v>
      </c>
      <c r="AB674" s="383"/>
    </row>
    <row r="675" spans="1:28" ht="13.8">
      <c r="A675" s="387">
        <v>674</v>
      </c>
      <c r="B675" s="302" t="s">
        <v>7920</v>
      </c>
      <c r="C675" s="383" t="s">
        <v>10709</v>
      </c>
      <c r="D675" s="383" t="s">
        <v>10871</v>
      </c>
      <c r="E675" s="383" t="s">
        <v>9173</v>
      </c>
      <c r="F675" s="383">
        <v>1402</v>
      </c>
      <c r="G675" s="383" t="s">
        <v>4989</v>
      </c>
      <c r="H675" s="383" t="s">
        <v>4912</v>
      </c>
      <c r="I675" s="383" t="s">
        <v>4913</v>
      </c>
      <c r="J675" s="383" t="s">
        <v>4990</v>
      </c>
      <c r="K675" s="383" t="s">
        <v>8341</v>
      </c>
      <c r="L675" s="383" t="s">
        <v>9822</v>
      </c>
      <c r="M675" s="383" t="s">
        <v>10483</v>
      </c>
      <c r="N675" s="383" t="s">
        <v>44</v>
      </c>
      <c r="O675" s="383" t="str">
        <f>IF(LEN(SUBSTITUTE(Table3937[[#This Row],[PRIMARY CONTACT]]," ",""))=10,SUBSTITUTE(Table3937[[#This Row],[PRIMARY CONTACT]]," ","") &amp; " - Proper","- Follow Up")</f>
        <v>9051296111 - Proper</v>
      </c>
      <c r="P675" s="383" t="s">
        <v>4916</v>
      </c>
      <c r="Q675" s="383">
        <v>9051296111</v>
      </c>
      <c r="R675" s="383" t="str">
        <f>SUBSTITUTE(Table3937[[#This Row],[whatsapp_number]]," ","")</f>
        <v>9051296111</v>
      </c>
      <c r="S675" s="383" t="str">
        <f>IF(Table3937[[#This Row],[PRIMARY CONTACT]]=Table3937[[#This Row],[WHATSAPP CONTACT]],"Same Contact","Different Contact")</f>
        <v>Same Contact</v>
      </c>
      <c r="T675" s="383" t="str">
        <f>IF(LEN(SUBSTITUTE(Table3937[[#This Row],[PRIMARY CONTACT]]," ",""))=10,SUBSTITUTE(Table3937[[#This Row],[PRIMARY CONTACT]]," ","") &amp; " - Proper","- Follow Up")</f>
        <v>9051296111 - Proper</v>
      </c>
      <c r="U675" s="383" t="s">
        <v>4945</v>
      </c>
      <c r="V675" s="393" t="s">
        <v>4918</v>
      </c>
      <c r="W675" s="383" t="s">
        <v>47</v>
      </c>
      <c r="X675" s="5" t="s">
        <v>7846</v>
      </c>
      <c r="Y675" s="5" t="s">
        <v>7847</v>
      </c>
      <c r="Z675" s="5" t="s">
        <v>7848</v>
      </c>
      <c r="AA675" s="5" t="s">
        <v>49</v>
      </c>
      <c r="AB675" s="383"/>
    </row>
    <row r="676" spans="1:28" ht="13.8">
      <c r="A676" s="387">
        <v>675</v>
      </c>
      <c r="B676" s="302" t="s">
        <v>7924</v>
      </c>
      <c r="C676" s="383" t="s">
        <v>10709</v>
      </c>
      <c r="D676" s="383" t="s">
        <v>10872</v>
      </c>
      <c r="E676" s="383" t="s">
        <v>9174</v>
      </c>
      <c r="F676" s="383">
        <v>1403</v>
      </c>
      <c r="G676" s="383" t="s">
        <v>4994</v>
      </c>
      <c r="H676" s="383" t="s">
        <v>4912</v>
      </c>
      <c r="I676" s="383" t="s">
        <v>4913</v>
      </c>
      <c r="J676" s="383" t="s">
        <v>4995</v>
      </c>
      <c r="K676" s="383" t="s">
        <v>8341</v>
      </c>
      <c r="L676" s="383" t="s">
        <v>9823</v>
      </c>
      <c r="M676" s="383" t="s">
        <v>10484</v>
      </c>
      <c r="N676" s="383" t="s">
        <v>44</v>
      </c>
      <c r="O676" s="383" t="str">
        <f>IF(LEN(SUBSTITUTE(Table3937[[#This Row],[PRIMARY CONTACT]]," ",""))=10,SUBSTITUTE(Table3937[[#This Row],[PRIMARY CONTACT]]," ","") &amp; " - Proper","- Follow Up")</f>
        <v>9967755818 - Proper</v>
      </c>
      <c r="P676" s="383" t="s">
        <v>4916</v>
      </c>
      <c r="Q676" s="383">
        <v>9967755818</v>
      </c>
      <c r="R676" s="383" t="str">
        <f>SUBSTITUTE(Table3937[[#This Row],[whatsapp_number]]," ","")</f>
        <v>9967755818</v>
      </c>
      <c r="S676" s="383" t="str">
        <f>IF(Table3937[[#This Row],[PRIMARY CONTACT]]=Table3937[[#This Row],[WHATSAPP CONTACT]],"Same Contact","Different Contact")</f>
        <v>Same Contact</v>
      </c>
      <c r="T676" s="383" t="str">
        <f>IF(LEN(SUBSTITUTE(Table3937[[#This Row],[PRIMARY CONTACT]]," ",""))=10,SUBSTITUTE(Table3937[[#This Row],[PRIMARY CONTACT]]," ","") &amp; " - Proper","- Follow Up")</f>
        <v>9967755818 - Proper</v>
      </c>
      <c r="U676" s="383" t="s">
        <v>10679</v>
      </c>
      <c r="V676" s="393" t="s">
        <v>4918</v>
      </c>
      <c r="W676" s="383" t="s">
        <v>47</v>
      </c>
      <c r="X676" s="5" t="s">
        <v>7846</v>
      </c>
      <c r="Y676" s="5" t="s">
        <v>7847</v>
      </c>
      <c r="Z676" s="5" t="s">
        <v>7848</v>
      </c>
      <c r="AA676" s="5" t="s">
        <v>49</v>
      </c>
      <c r="AB676" s="383"/>
    </row>
    <row r="677" spans="1:28" ht="13.8">
      <c r="A677" s="387">
        <v>676</v>
      </c>
      <c r="B677" s="302" t="s">
        <v>7929</v>
      </c>
      <c r="C677" s="383" t="s">
        <v>10709</v>
      </c>
      <c r="D677" s="383" t="s">
        <v>10873</v>
      </c>
      <c r="E677" s="383" t="s">
        <v>9175</v>
      </c>
      <c r="F677" s="383">
        <v>1404</v>
      </c>
      <c r="G677" s="383" t="s">
        <v>4999</v>
      </c>
      <c r="H677" s="383" t="s">
        <v>4912</v>
      </c>
      <c r="I677" s="383" t="s">
        <v>4913</v>
      </c>
      <c r="J677" s="383" t="s">
        <v>5000</v>
      </c>
      <c r="K677" s="383" t="s">
        <v>8341</v>
      </c>
      <c r="L677" s="383" t="s">
        <v>9824</v>
      </c>
      <c r="M677" s="383" t="s">
        <v>10485</v>
      </c>
      <c r="N677" s="383" t="s">
        <v>44</v>
      </c>
      <c r="O677" s="383" t="str">
        <f>IF(LEN(SUBSTITUTE(Table3937[[#This Row],[PRIMARY CONTACT]]," ",""))=10,SUBSTITUTE(Table3937[[#This Row],[PRIMARY CONTACT]]," ","") &amp; " - Proper","- Follow Up")</f>
        <v>9820689514 - Proper</v>
      </c>
      <c r="P677" s="383" t="s">
        <v>4916</v>
      </c>
      <c r="Q677" s="383">
        <v>9820689514</v>
      </c>
      <c r="R677" s="383" t="str">
        <f>SUBSTITUTE(Table3937[[#This Row],[whatsapp_number]]," ","")</f>
        <v>9820689514</v>
      </c>
      <c r="S677" s="383" t="str">
        <f>IF(Table3937[[#This Row],[PRIMARY CONTACT]]=Table3937[[#This Row],[WHATSAPP CONTACT]],"Same Contact","Different Contact")</f>
        <v>Same Contact</v>
      </c>
      <c r="T677" s="383" t="str">
        <f>IF(LEN(SUBSTITUTE(Table3937[[#This Row],[PRIMARY CONTACT]]," ",""))=10,SUBSTITUTE(Table3937[[#This Row],[PRIMARY CONTACT]]," ","") &amp; " - Proper","- Follow Up")</f>
        <v>9820689514 - Proper</v>
      </c>
      <c r="U677" s="383" t="s">
        <v>10679</v>
      </c>
      <c r="V677" s="393" t="s">
        <v>4918</v>
      </c>
      <c r="W677" s="383" t="s">
        <v>47</v>
      </c>
      <c r="X677" s="5" t="s">
        <v>7846</v>
      </c>
      <c r="Y677" s="5" t="s">
        <v>7847</v>
      </c>
      <c r="Z677" s="5" t="s">
        <v>7848</v>
      </c>
      <c r="AA677" s="5" t="s">
        <v>49</v>
      </c>
      <c r="AB677" s="383"/>
    </row>
    <row r="678" spans="1:28" ht="13.8">
      <c r="A678" s="387">
        <v>677</v>
      </c>
      <c r="B678" s="302" t="s">
        <v>7935</v>
      </c>
      <c r="C678" s="383" t="s">
        <v>10743</v>
      </c>
      <c r="D678" s="383" t="s">
        <v>10874</v>
      </c>
      <c r="E678" s="383" t="s">
        <v>9176</v>
      </c>
      <c r="F678" s="383">
        <v>1405</v>
      </c>
      <c r="G678" s="383" t="s">
        <v>5003</v>
      </c>
      <c r="H678" s="383" t="s">
        <v>4912</v>
      </c>
      <c r="I678" s="383" t="s">
        <v>4913</v>
      </c>
      <c r="J678" s="383" t="s">
        <v>5004</v>
      </c>
      <c r="K678" s="383" t="s">
        <v>8341</v>
      </c>
      <c r="L678" s="383" t="s">
        <v>9825</v>
      </c>
      <c r="M678" s="383" t="s">
        <v>10486</v>
      </c>
      <c r="N678" s="383" t="s">
        <v>44</v>
      </c>
      <c r="O678" s="383" t="str">
        <f>IF(LEN(SUBSTITUTE(Table3937[[#This Row],[PRIMARY CONTACT]]," ",""))=10,SUBSTITUTE(Table3937[[#This Row],[PRIMARY CONTACT]]," ","") &amp; " - Proper","- Follow Up")</f>
        <v>9572393665 - Proper</v>
      </c>
      <c r="P678" s="383" t="s">
        <v>4916</v>
      </c>
      <c r="Q678" s="383">
        <v>9572393665</v>
      </c>
      <c r="R678" s="383" t="str">
        <f>SUBSTITUTE(Table3937[[#This Row],[whatsapp_number]]," ","")</f>
        <v>9572393665</v>
      </c>
      <c r="S678" s="383" t="str">
        <f>IF(Table3937[[#This Row],[PRIMARY CONTACT]]=Table3937[[#This Row],[WHATSAPP CONTACT]],"Same Contact","Different Contact")</f>
        <v>Same Contact</v>
      </c>
      <c r="T678" s="383" t="str">
        <f>IF(LEN(SUBSTITUTE(Table3937[[#This Row],[PRIMARY CONTACT]]," ",""))=10,SUBSTITUTE(Table3937[[#This Row],[PRIMARY CONTACT]]," ","") &amp; " - Proper","- Follow Up")</f>
        <v>9572393665 - Proper</v>
      </c>
      <c r="U678" s="383" t="s">
        <v>4945</v>
      </c>
      <c r="V678" s="393" t="s">
        <v>4918</v>
      </c>
      <c r="W678" s="383" t="s">
        <v>47</v>
      </c>
      <c r="X678" s="5" t="s">
        <v>7846</v>
      </c>
      <c r="Y678" s="5" t="s">
        <v>7847</v>
      </c>
      <c r="Z678" s="5" t="s">
        <v>7848</v>
      </c>
      <c r="AA678" s="5" t="s">
        <v>49</v>
      </c>
      <c r="AB678" s="383"/>
    </row>
    <row r="679" spans="1:28" ht="13.8">
      <c r="A679" s="387">
        <v>678</v>
      </c>
      <c r="B679" s="302" t="s">
        <v>7939</v>
      </c>
      <c r="C679" s="383" t="s">
        <v>10709</v>
      </c>
      <c r="D679" s="383" t="s">
        <v>10875</v>
      </c>
      <c r="E679" s="383" t="s">
        <v>9177</v>
      </c>
      <c r="F679" s="383">
        <v>1406</v>
      </c>
      <c r="G679" s="383" t="s">
        <v>5008</v>
      </c>
      <c r="H679" s="383" t="s">
        <v>4912</v>
      </c>
      <c r="I679" s="383" t="s">
        <v>4913</v>
      </c>
      <c r="J679" s="383" t="s">
        <v>5009</v>
      </c>
      <c r="K679" s="383" t="s">
        <v>8341</v>
      </c>
      <c r="L679" s="383" t="s">
        <v>9826</v>
      </c>
      <c r="M679" s="383" t="s">
        <v>10487</v>
      </c>
      <c r="N679" s="383" t="s">
        <v>44</v>
      </c>
      <c r="O679" s="383" t="str">
        <f>IF(LEN(SUBSTITUTE(Table3937[[#This Row],[PRIMARY CONTACT]]," ",""))=10,SUBSTITUTE(Table3937[[#This Row],[PRIMARY CONTACT]]," ","") &amp; " - Proper","- Follow Up")</f>
        <v>7021880274 - Proper</v>
      </c>
      <c r="P679" s="383" t="s">
        <v>4916</v>
      </c>
      <c r="Q679" s="383">
        <v>7021880274</v>
      </c>
      <c r="R679" s="383" t="str">
        <f>SUBSTITUTE(Table3937[[#This Row],[whatsapp_number]]," ","")</f>
        <v>7021880274</v>
      </c>
      <c r="S679" s="383" t="str">
        <f>IF(Table3937[[#This Row],[PRIMARY CONTACT]]=Table3937[[#This Row],[WHATSAPP CONTACT]],"Same Contact","Different Contact")</f>
        <v>Same Contact</v>
      </c>
      <c r="T679" s="383" t="str">
        <f>IF(LEN(SUBSTITUTE(Table3937[[#This Row],[PRIMARY CONTACT]]," ",""))=10,SUBSTITUTE(Table3937[[#This Row],[PRIMARY CONTACT]]," ","") &amp; " - Proper","- Follow Up")</f>
        <v>7021880274 - Proper</v>
      </c>
      <c r="U679" s="383" t="s">
        <v>10679</v>
      </c>
      <c r="V679" s="393" t="s">
        <v>4918</v>
      </c>
      <c r="W679" s="383" t="s">
        <v>47</v>
      </c>
      <c r="X679" s="5" t="s">
        <v>7846</v>
      </c>
      <c r="Y679" s="5" t="s">
        <v>7847</v>
      </c>
      <c r="Z679" s="5" t="s">
        <v>7848</v>
      </c>
      <c r="AA679" s="5" t="s">
        <v>49</v>
      </c>
      <c r="AB679" s="383"/>
    </row>
    <row r="680" spans="1:28" ht="13.8">
      <c r="A680" s="387">
        <v>679</v>
      </c>
      <c r="B680" s="302" t="s">
        <v>7942</v>
      </c>
      <c r="C680" s="383" t="s">
        <v>10709</v>
      </c>
      <c r="D680" s="383" t="s">
        <v>10876</v>
      </c>
      <c r="E680" s="383" t="s">
        <v>9178</v>
      </c>
      <c r="F680" s="383">
        <v>1407</v>
      </c>
      <c r="G680" s="383" t="s">
        <v>5012</v>
      </c>
      <c r="H680" s="383" t="s">
        <v>4912</v>
      </c>
      <c r="I680" s="383" t="s">
        <v>4913</v>
      </c>
      <c r="J680" s="383" t="s">
        <v>5013</v>
      </c>
      <c r="K680" s="383" t="s">
        <v>8341</v>
      </c>
      <c r="L680" s="383" t="s">
        <v>9827</v>
      </c>
      <c r="M680" s="383" t="s">
        <v>10488</v>
      </c>
      <c r="N680" s="383" t="s">
        <v>44</v>
      </c>
      <c r="O680" s="383" t="str">
        <f>IF(LEN(SUBSTITUTE(Table3937[[#This Row],[PRIMARY CONTACT]]," ",""))=10,SUBSTITUTE(Table3937[[#This Row],[PRIMARY CONTACT]]," ","") &amp; " - Proper","- Follow Up")</f>
        <v>9880164681 - Proper</v>
      </c>
      <c r="P680" s="383" t="s">
        <v>4916</v>
      </c>
      <c r="Q680" s="383">
        <v>9880164681</v>
      </c>
      <c r="R680" s="383" t="str">
        <f>SUBSTITUTE(Table3937[[#This Row],[whatsapp_number]]," ","")</f>
        <v>9880164681</v>
      </c>
      <c r="S680" s="383" t="str">
        <f>IF(Table3937[[#This Row],[PRIMARY CONTACT]]=Table3937[[#This Row],[WHATSAPP CONTACT]],"Same Contact","Different Contact")</f>
        <v>Same Contact</v>
      </c>
      <c r="T680" s="383" t="str">
        <f>IF(LEN(SUBSTITUTE(Table3937[[#This Row],[PRIMARY CONTACT]]," ",""))=10,SUBSTITUTE(Table3937[[#This Row],[PRIMARY CONTACT]]," ","") &amp; " - Proper","- Follow Up")</f>
        <v>9880164681 - Proper</v>
      </c>
      <c r="U680" s="383" t="s">
        <v>4945</v>
      </c>
      <c r="V680" s="393" t="s">
        <v>4918</v>
      </c>
      <c r="W680" s="383" t="s">
        <v>47</v>
      </c>
      <c r="X680" s="5" t="s">
        <v>7846</v>
      </c>
      <c r="Y680" s="5" t="s">
        <v>7847</v>
      </c>
      <c r="Z680" s="5" t="s">
        <v>7848</v>
      </c>
      <c r="AA680" s="5" t="s">
        <v>49</v>
      </c>
      <c r="AB680" s="383"/>
    </row>
    <row r="681" spans="1:28" ht="13.8">
      <c r="A681" s="387">
        <v>680</v>
      </c>
      <c r="B681" s="302" t="s">
        <v>7946</v>
      </c>
      <c r="C681" s="383" t="s">
        <v>10709</v>
      </c>
      <c r="D681" s="383" t="s">
        <v>10877</v>
      </c>
      <c r="E681" s="383" t="s">
        <v>9179</v>
      </c>
      <c r="F681" s="383">
        <v>1408</v>
      </c>
      <c r="G681" s="383" t="s">
        <v>5016</v>
      </c>
      <c r="H681" s="383" t="s">
        <v>4912</v>
      </c>
      <c r="I681" s="383" t="s">
        <v>4913</v>
      </c>
      <c r="J681" s="383" t="s">
        <v>5017</v>
      </c>
      <c r="K681" s="383" t="s">
        <v>8341</v>
      </c>
      <c r="L681" s="383" t="s">
        <v>9828</v>
      </c>
      <c r="M681" s="383" t="s">
        <v>10489</v>
      </c>
      <c r="N681" s="383" t="s">
        <v>44</v>
      </c>
      <c r="O681" s="383" t="str">
        <f>IF(LEN(SUBSTITUTE(Table3937[[#This Row],[PRIMARY CONTACT]]," ",""))=10,SUBSTITUTE(Table3937[[#This Row],[PRIMARY CONTACT]]," ","") &amp; " - Proper","- Follow Up")</f>
        <v>9724749331 - Proper</v>
      </c>
      <c r="P681" s="383" t="s">
        <v>4916</v>
      </c>
      <c r="Q681" s="383">
        <v>9724749331</v>
      </c>
      <c r="R681" s="383" t="str">
        <f>SUBSTITUTE(Table3937[[#This Row],[whatsapp_number]]," ","")</f>
        <v>9724749331</v>
      </c>
      <c r="S681" s="383" t="str">
        <f>IF(Table3937[[#This Row],[PRIMARY CONTACT]]=Table3937[[#This Row],[WHATSAPP CONTACT]],"Same Contact","Different Contact")</f>
        <v>Same Contact</v>
      </c>
      <c r="T681" s="383" t="str">
        <f>IF(LEN(SUBSTITUTE(Table3937[[#This Row],[PRIMARY CONTACT]]," ",""))=10,SUBSTITUTE(Table3937[[#This Row],[PRIMARY CONTACT]]," ","") &amp; " - Proper","- Follow Up")</f>
        <v>9724749331 - Proper</v>
      </c>
      <c r="U681" s="383" t="s">
        <v>10681</v>
      </c>
      <c r="V681" s="393" t="s">
        <v>4918</v>
      </c>
      <c r="W681" s="383" t="s">
        <v>47</v>
      </c>
      <c r="X681" s="5" t="s">
        <v>7846</v>
      </c>
      <c r="Y681" s="5" t="s">
        <v>7847</v>
      </c>
      <c r="Z681" s="5" t="s">
        <v>7848</v>
      </c>
      <c r="AA681" s="5" t="s">
        <v>49</v>
      </c>
      <c r="AB681" s="383"/>
    </row>
    <row r="682" spans="1:28" ht="13.8">
      <c r="A682" s="387">
        <v>681</v>
      </c>
      <c r="B682" s="302" t="s">
        <v>7950</v>
      </c>
      <c r="C682" s="383" t="s">
        <v>10709</v>
      </c>
      <c r="D682" s="383" t="s">
        <v>10878</v>
      </c>
      <c r="E682" s="383" t="s">
        <v>9180</v>
      </c>
      <c r="F682" s="383">
        <v>1409</v>
      </c>
      <c r="G682" s="383" t="s">
        <v>5020</v>
      </c>
      <c r="H682" s="383" t="s">
        <v>4912</v>
      </c>
      <c r="I682" s="383" t="s">
        <v>4913</v>
      </c>
      <c r="J682" s="383" t="s">
        <v>5021</v>
      </c>
      <c r="K682" s="383" t="s">
        <v>8341</v>
      </c>
      <c r="L682" s="383" t="s">
        <v>9829</v>
      </c>
      <c r="M682" s="383" t="s">
        <v>10490</v>
      </c>
      <c r="N682" s="383" t="s">
        <v>44</v>
      </c>
      <c r="O682" s="383" t="str">
        <f>IF(LEN(SUBSTITUTE(Table3937[[#This Row],[PRIMARY CONTACT]]," ",""))=10,SUBSTITUTE(Table3937[[#This Row],[PRIMARY CONTACT]]," ","") &amp; " - Proper","- Follow Up")</f>
        <v>9930071015 - Proper</v>
      </c>
      <c r="P682" s="383" t="s">
        <v>4916</v>
      </c>
      <c r="Q682" s="383">
        <v>9930071015</v>
      </c>
      <c r="R682" s="383" t="str">
        <f>SUBSTITUTE(Table3937[[#This Row],[whatsapp_number]]," ","")</f>
        <v>9930071015</v>
      </c>
      <c r="S682" s="383" t="str">
        <f>IF(Table3937[[#This Row],[PRIMARY CONTACT]]=Table3937[[#This Row],[WHATSAPP CONTACT]],"Same Contact","Different Contact")</f>
        <v>Same Contact</v>
      </c>
      <c r="T682" s="383" t="str">
        <f>IF(LEN(SUBSTITUTE(Table3937[[#This Row],[PRIMARY CONTACT]]," ",""))=10,SUBSTITUTE(Table3937[[#This Row],[PRIMARY CONTACT]]," ","") &amp; " - Proper","- Follow Up")</f>
        <v>9930071015 - Proper</v>
      </c>
      <c r="U682" s="383" t="s">
        <v>10679</v>
      </c>
      <c r="V682" s="393" t="s">
        <v>4918</v>
      </c>
      <c r="W682" s="383" t="s">
        <v>47</v>
      </c>
      <c r="X682" s="5" t="s">
        <v>7846</v>
      </c>
      <c r="Y682" s="5" t="s">
        <v>7847</v>
      </c>
      <c r="Z682" s="5" t="s">
        <v>7848</v>
      </c>
      <c r="AA682" s="5" t="s">
        <v>49</v>
      </c>
      <c r="AB682" s="383"/>
    </row>
    <row r="683" spans="1:28" ht="13.8">
      <c r="A683" s="387">
        <v>682</v>
      </c>
      <c r="B683" s="302" t="s">
        <v>7956</v>
      </c>
      <c r="C683" s="383" t="s">
        <v>10709</v>
      </c>
      <c r="D683" s="383" t="s">
        <v>10879</v>
      </c>
      <c r="E683" s="383" t="s">
        <v>9181</v>
      </c>
      <c r="F683" s="383">
        <v>1410</v>
      </c>
      <c r="G683" s="383" t="s">
        <v>5025</v>
      </c>
      <c r="H683" s="383" t="s">
        <v>4912</v>
      </c>
      <c r="I683" s="383" t="s">
        <v>4913</v>
      </c>
      <c r="J683" s="383" t="s">
        <v>5026</v>
      </c>
      <c r="K683" s="383" t="s">
        <v>8341</v>
      </c>
      <c r="L683" s="383" t="s">
        <v>9830</v>
      </c>
      <c r="M683" s="383" t="s">
        <v>10491</v>
      </c>
      <c r="N683" s="383" t="s">
        <v>44</v>
      </c>
      <c r="O683" s="383" t="str">
        <f>IF(LEN(SUBSTITUTE(Table3937[[#This Row],[PRIMARY CONTACT]]," ",""))=10,SUBSTITUTE(Table3937[[#This Row],[PRIMARY CONTACT]]," ","") &amp; " - Proper","- Follow Up")</f>
        <v>9606697222 - Proper</v>
      </c>
      <c r="P683" s="383" t="s">
        <v>4916</v>
      </c>
      <c r="Q683" s="383">
        <v>9606697222</v>
      </c>
      <c r="R683" s="383" t="str">
        <f>SUBSTITUTE(Table3937[[#This Row],[whatsapp_number]]," ","")</f>
        <v>9606697222</v>
      </c>
      <c r="S683" s="383" t="str">
        <f>IF(Table3937[[#This Row],[PRIMARY CONTACT]]=Table3937[[#This Row],[WHATSAPP CONTACT]],"Same Contact","Different Contact")</f>
        <v>Same Contact</v>
      </c>
      <c r="T683" s="383" t="str">
        <f>IF(LEN(SUBSTITUTE(Table3937[[#This Row],[PRIMARY CONTACT]]," ",""))=10,SUBSTITUTE(Table3937[[#This Row],[PRIMARY CONTACT]]," ","") &amp; " - Proper","- Follow Up")</f>
        <v>9606697222 - Proper</v>
      </c>
      <c r="U683" s="383" t="s">
        <v>4945</v>
      </c>
      <c r="V683" s="393" t="s">
        <v>4918</v>
      </c>
      <c r="W683" s="383" t="s">
        <v>47</v>
      </c>
      <c r="X683" s="5" t="s">
        <v>7846</v>
      </c>
      <c r="Y683" s="5" t="s">
        <v>7847</v>
      </c>
      <c r="Z683" s="5" t="s">
        <v>7848</v>
      </c>
      <c r="AA683" s="5" t="s">
        <v>49</v>
      </c>
      <c r="AB683" s="383"/>
    </row>
    <row r="684" spans="1:28" ht="13.8">
      <c r="A684" s="387">
        <v>683</v>
      </c>
      <c r="B684" s="302" t="s">
        <v>7960</v>
      </c>
      <c r="C684" s="383" t="s">
        <v>10709</v>
      </c>
      <c r="D684" s="383" t="s">
        <v>10880</v>
      </c>
      <c r="E684" s="383" t="s">
        <v>9182</v>
      </c>
      <c r="F684" s="383">
        <v>1411</v>
      </c>
      <c r="G684" s="383" t="s">
        <v>5030</v>
      </c>
      <c r="H684" s="383" t="s">
        <v>4912</v>
      </c>
      <c r="I684" s="383" t="s">
        <v>4913</v>
      </c>
      <c r="J684" s="383" t="s">
        <v>5031</v>
      </c>
      <c r="K684" s="383" t="s">
        <v>8341</v>
      </c>
      <c r="L684" s="383" t="s">
        <v>9831</v>
      </c>
      <c r="M684" s="383" t="s">
        <v>10492</v>
      </c>
      <c r="N684" s="383" t="s">
        <v>44</v>
      </c>
      <c r="O684" s="383" t="str">
        <f>IF(LEN(SUBSTITUTE(Table3937[[#This Row],[PRIMARY CONTACT]]," ",""))=10,SUBSTITUTE(Table3937[[#This Row],[PRIMARY CONTACT]]," ","") &amp; " - Proper","- Follow Up")</f>
        <v>9999227067 - Proper</v>
      </c>
      <c r="P684" s="383" t="s">
        <v>4916</v>
      </c>
      <c r="Q684" s="383">
        <v>9999227067</v>
      </c>
      <c r="R684" s="383" t="str">
        <f>SUBSTITUTE(Table3937[[#This Row],[whatsapp_number]]," ","")</f>
        <v>9999227067</v>
      </c>
      <c r="S684" s="383" t="str">
        <f>IF(Table3937[[#This Row],[PRIMARY CONTACT]]=Table3937[[#This Row],[WHATSAPP CONTACT]],"Same Contact","Different Contact")</f>
        <v>Same Contact</v>
      </c>
      <c r="T684" s="383" t="str">
        <f>IF(LEN(SUBSTITUTE(Table3937[[#This Row],[PRIMARY CONTACT]]," ",""))=10,SUBSTITUTE(Table3937[[#This Row],[PRIMARY CONTACT]]," ","") &amp; " - Proper","- Follow Up")</f>
        <v>9999227067 - Proper</v>
      </c>
      <c r="U684" s="383" t="s">
        <v>10680</v>
      </c>
      <c r="V684" s="393" t="s">
        <v>4918</v>
      </c>
      <c r="W684" s="383" t="s">
        <v>47</v>
      </c>
      <c r="X684" s="5" t="s">
        <v>7846</v>
      </c>
      <c r="Y684" s="5" t="s">
        <v>7847</v>
      </c>
      <c r="Z684" s="5" t="s">
        <v>7848</v>
      </c>
      <c r="AA684" s="5" t="s">
        <v>49</v>
      </c>
      <c r="AB684" s="383"/>
    </row>
    <row r="685" spans="1:28" ht="13.8">
      <c r="A685" s="387">
        <v>684</v>
      </c>
      <c r="B685" s="302" t="s">
        <v>7966</v>
      </c>
      <c r="C685" s="383" t="s">
        <v>10709</v>
      </c>
      <c r="D685" s="383" t="s">
        <v>10881</v>
      </c>
      <c r="E685" s="383" t="s">
        <v>9183</v>
      </c>
      <c r="F685" s="383">
        <v>1412</v>
      </c>
      <c r="G685" s="383" t="s">
        <v>5034</v>
      </c>
      <c r="H685" s="383" t="s">
        <v>4912</v>
      </c>
      <c r="I685" s="383" t="s">
        <v>4913</v>
      </c>
      <c r="J685" s="383" t="s">
        <v>5035</v>
      </c>
      <c r="K685" s="383" t="s">
        <v>8341</v>
      </c>
      <c r="L685" s="383" t="s">
        <v>9832</v>
      </c>
      <c r="M685" s="383" t="s">
        <v>10493</v>
      </c>
      <c r="N685" s="383" t="s">
        <v>44</v>
      </c>
      <c r="O685" s="383" t="str">
        <f>IF(LEN(SUBSTITUTE(Table3937[[#This Row],[PRIMARY CONTACT]]," ",""))=10,SUBSTITUTE(Table3937[[#This Row],[PRIMARY CONTACT]]," ","") &amp; " - Proper","- Follow Up")</f>
        <v>9811881718 - Proper</v>
      </c>
      <c r="P685" s="383" t="s">
        <v>4916</v>
      </c>
      <c r="Q685" s="383">
        <v>9811881718</v>
      </c>
      <c r="R685" s="383" t="str">
        <f>SUBSTITUTE(Table3937[[#This Row],[whatsapp_number]]," ","")</f>
        <v>9811881718</v>
      </c>
      <c r="S685" s="383" t="str">
        <f>IF(Table3937[[#This Row],[PRIMARY CONTACT]]=Table3937[[#This Row],[WHATSAPP CONTACT]],"Same Contact","Different Contact")</f>
        <v>Same Contact</v>
      </c>
      <c r="T685" s="383" t="str">
        <f>IF(LEN(SUBSTITUTE(Table3937[[#This Row],[PRIMARY CONTACT]]," ",""))=10,SUBSTITUTE(Table3937[[#This Row],[PRIMARY CONTACT]]," ","") &amp; " - Proper","- Follow Up")</f>
        <v>9811881718 - Proper</v>
      </c>
      <c r="U685" s="383" t="s">
        <v>10683</v>
      </c>
      <c r="V685" s="393" t="s">
        <v>4918</v>
      </c>
      <c r="W685" s="383" t="s">
        <v>47</v>
      </c>
      <c r="X685" s="5" t="s">
        <v>7846</v>
      </c>
      <c r="Y685" s="5" t="s">
        <v>7847</v>
      </c>
      <c r="Z685" s="5" t="s">
        <v>7848</v>
      </c>
      <c r="AA685" s="5" t="s">
        <v>49</v>
      </c>
      <c r="AB685" s="383"/>
    </row>
    <row r="686" spans="1:28" ht="13.8">
      <c r="A686" s="387">
        <v>685</v>
      </c>
      <c r="B686" s="302" t="s">
        <v>7970</v>
      </c>
      <c r="C686" s="383" t="s">
        <v>10709</v>
      </c>
      <c r="D686" s="383" t="s">
        <v>10882</v>
      </c>
      <c r="E686" s="383" t="s">
        <v>9184</v>
      </c>
      <c r="F686" s="383">
        <v>1413</v>
      </c>
      <c r="G686" s="383" t="s">
        <v>5040</v>
      </c>
      <c r="H686" s="383" t="s">
        <v>4912</v>
      </c>
      <c r="I686" s="383" t="s">
        <v>4913</v>
      </c>
      <c r="J686" s="383" t="s">
        <v>5041</v>
      </c>
      <c r="K686" s="383" t="s">
        <v>8341</v>
      </c>
      <c r="L686" s="383" t="s">
        <v>9833</v>
      </c>
      <c r="M686" s="383" t="s">
        <v>10494</v>
      </c>
      <c r="N686" s="383" t="s">
        <v>44</v>
      </c>
      <c r="O686" s="383" t="str">
        <f>IF(LEN(SUBSTITUTE(Table3937[[#This Row],[PRIMARY CONTACT]]," ",""))=10,SUBSTITUTE(Table3937[[#This Row],[PRIMARY CONTACT]]," ","") &amp; " - Proper","- Follow Up")</f>
        <v>9811292067 - Proper</v>
      </c>
      <c r="P686" s="383" t="s">
        <v>4916</v>
      </c>
      <c r="Q686" s="383">
        <v>9811292067</v>
      </c>
      <c r="R686" s="383" t="str">
        <f>SUBSTITUTE(Table3937[[#This Row],[whatsapp_number]]," ","")</f>
        <v>9811292067</v>
      </c>
      <c r="S686" s="383" t="str">
        <f>IF(Table3937[[#This Row],[PRIMARY CONTACT]]=Table3937[[#This Row],[WHATSAPP CONTACT]],"Same Contact","Different Contact")</f>
        <v>Same Contact</v>
      </c>
      <c r="T686" s="383" t="str">
        <f>IF(LEN(SUBSTITUTE(Table3937[[#This Row],[PRIMARY CONTACT]]," ",""))=10,SUBSTITUTE(Table3937[[#This Row],[PRIMARY CONTACT]]," ","") &amp; " - Proper","- Follow Up")</f>
        <v>9811292067 - Proper</v>
      </c>
      <c r="U686" s="383" t="s">
        <v>10680</v>
      </c>
      <c r="V686" s="393" t="s">
        <v>4918</v>
      </c>
      <c r="W686" s="383" t="s">
        <v>47</v>
      </c>
      <c r="X686" s="5" t="s">
        <v>7846</v>
      </c>
      <c r="Y686" s="5" t="s">
        <v>7847</v>
      </c>
      <c r="Z686" s="5" t="s">
        <v>7848</v>
      </c>
      <c r="AA686" s="5" t="s">
        <v>49</v>
      </c>
      <c r="AB686" s="383"/>
    </row>
    <row r="687" spans="1:28" ht="13.8">
      <c r="A687" s="387">
        <v>686</v>
      </c>
      <c r="B687" s="302" t="s">
        <v>7976</v>
      </c>
      <c r="C687" s="383" t="s">
        <v>10709</v>
      </c>
      <c r="D687" s="383" t="s">
        <v>10883</v>
      </c>
      <c r="E687" s="383" t="s">
        <v>9185</v>
      </c>
      <c r="F687" s="383">
        <v>1414</v>
      </c>
      <c r="G687" s="383" t="s">
        <v>5045</v>
      </c>
      <c r="H687" s="383" t="s">
        <v>4912</v>
      </c>
      <c r="I687" s="383" t="s">
        <v>4913</v>
      </c>
      <c r="J687" s="383" t="s">
        <v>5046</v>
      </c>
      <c r="K687" s="383" t="s">
        <v>8341</v>
      </c>
      <c r="L687" s="383" t="s">
        <v>9834</v>
      </c>
      <c r="M687" s="383" t="s">
        <v>10495</v>
      </c>
      <c r="N687" s="383" t="s">
        <v>44</v>
      </c>
      <c r="O687" s="383" t="str">
        <f>IF(LEN(SUBSTITUTE(Table3937[[#This Row],[PRIMARY CONTACT]]," ",""))=10,SUBSTITUTE(Table3937[[#This Row],[PRIMARY CONTACT]]," ","") &amp; " - Proper","- Follow Up")</f>
        <v>9810100782 - Proper</v>
      </c>
      <c r="P687" s="383" t="s">
        <v>4916</v>
      </c>
      <c r="Q687" s="383">
        <v>9810100782</v>
      </c>
      <c r="R687" s="383" t="str">
        <f>SUBSTITUTE(Table3937[[#This Row],[whatsapp_number]]," ","")</f>
        <v>9810100782</v>
      </c>
      <c r="S687" s="383" t="str">
        <f>IF(Table3937[[#This Row],[PRIMARY CONTACT]]=Table3937[[#This Row],[WHATSAPP CONTACT]],"Same Contact","Different Contact")</f>
        <v>Same Contact</v>
      </c>
      <c r="T687" s="383" t="str">
        <f>IF(LEN(SUBSTITUTE(Table3937[[#This Row],[PRIMARY CONTACT]]," ",""))=10,SUBSTITUTE(Table3937[[#This Row],[PRIMARY CONTACT]]," ","") &amp; " - Proper","- Follow Up")</f>
        <v>9810100782 - Proper</v>
      </c>
      <c r="U687" s="383" t="s">
        <v>10680</v>
      </c>
      <c r="V687" s="393" t="s">
        <v>4918</v>
      </c>
      <c r="W687" s="383" t="s">
        <v>47</v>
      </c>
      <c r="X687" s="5" t="s">
        <v>7846</v>
      </c>
      <c r="Y687" s="5" t="s">
        <v>7847</v>
      </c>
      <c r="Z687" s="5" t="s">
        <v>7848</v>
      </c>
      <c r="AA687" s="5" t="s">
        <v>49</v>
      </c>
      <c r="AB687" s="383"/>
    </row>
    <row r="688" spans="1:28" ht="13.8">
      <c r="A688" s="387">
        <v>687</v>
      </c>
      <c r="B688" s="302" t="s">
        <v>7982</v>
      </c>
      <c r="C688" s="383" t="s">
        <v>10709</v>
      </c>
      <c r="D688" s="383" t="s">
        <v>10855</v>
      </c>
      <c r="E688" s="383" t="s">
        <v>9186</v>
      </c>
      <c r="F688" s="383">
        <v>1415</v>
      </c>
      <c r="G688" s="383" t="s">
        <v>5050</v>
      </c>
      <c r="H688" s="383" t="s">
        <v>4912</v>
      </c>
      <c r="I688" s="383" t="s">
        <v>4913</v>
      </c>
      <c r="J688" s="383" t="s">
        <v>5051</v>
      </c>
      <c r="K688" s="383" t="s">
        <v>8341</v>
      </c>
      <c r="L688" s="383" t="s">
        <v>9835</v>
      </c>
      <c r="M688" s="383" t="s">
        <v>10496</v>
      </c>
      <c r="N688" s="383" t="s">
        <v>44</v>
      </c>
      <c r="O688" s="383" t="str">
        <f>IF(LEN(SUBSTITUTE(Table3937[[#This Row],[PRIMARY CONTACT]]," ",""))=10,SUBSTITUTE(Table3937[[#This Row],[PRIMARY CONTACT]]," ","") &amp; " - Proper","- Follow Up")</f>
        <v>9376916607 - Proper</v>
      </c>
      <c r="P688" s="383" t="s">
        <v>4916</v>
      </c>
      <c r="Q688" s="383">
        <v>9376916607</v>
      </c>
      <c r="R688" s="383" t="str">
        <f>SUBSTITUTE(Table3937[[#This Row],[whatsapp_number]]," ","")</f>
        <v>9376916607</v>
      </c>
      <c r="S688" s="383" t="str">
        <f>IF(Table3937[[#This Row],[PRIMARY CONTACT]]=Table3937[[#This Row],[WHATSAPP CONTACT]],"Same Contact","Different Contact")</f>
        <v>Same Contact</v>
      </c>
      <c r="T688" s="383" t="str">
        <f>IF(LEN(SUBSTITUTE(Table3937[[#This Row],[PRIMARY CONTACT]]," ",""))=10,SUBSTITUTE(Table3937[[#This Row],[PRIMARY CONTACT]]," ","") &amp; " - Proper","- Follow Up")</f>
        <v>9376916607 - Proper</v>
      </c>
      <c r="U688" s="383" t="s">
        <v>10682</v>
      </c>
      <c r="V688" s="393" t="s">
        <v>4918</v>
      </c>
      <c r="W688" s="383" t="s">
        <v>47</v>
      </c>
      <c r="X688" s="5" t="s">
        <v>7846</v>
      </c>
      <c r="Y688" s="5" t="s">
        <v>7847</v>
      </c>
      <c r="Z688" s="5" t="s">
        <v>7848</v>
      </c>
      <c r="AA688" s="5" t="s">
        <v>49</v>
      </c>
      <c r="AB688" s="383"/>
    </row>
    <row r="689" spans="1:28" ht="13.8">
      <c r="A689" s="387">
        <v>688</v>
      </c>
      <c r="B689" s="302" t="s">
        <v>7989</v>
      </c>
      <c r="C689" s="383" t="s">
        <v>10709</v>
      </c>
      <c r="D689" s="383" t="s">
        <v>10854</v>
      </c>
      <c r="E689" s="383" t="s">
        <v>9187</v>
      </c>
      <c r="F689" s="383">
        <v>1416</v>
      </c>
      <c r="G689" s="383" t="s">
        <v>5055</v>
      </c>
      <c r="H689" s="383" t="s">
        <v>4912</v>
      </c>
      <c r="I689" s="383" t="s">
        <v>4913</v>
      </c>
      <c r="J689" s="383" t="s">
        <v>5056</v>
      </c>
      <c r="K689" s="383" t="s">
        <v>8341</v>
      </c>
      <c r="L689" s="383" t="s">
        <v>9836</v>
      </c>
      <c r="M689" s="383" t="s">
        <v>10497</v>
      </c>
      <c r="N689" s="383" t="s">
        <v>44</v>
      </c>
      <c r="O689" s="383" t="str">
        <f>IF(LEN(SUBSTITUTE(Table3937[[#This Row],[PRIMARY CONTACT]]," ",""))=10,SUBSTITUTE(Table3937[[#This Row],[PRIMARY CONTACT]]," ","") &amp; " - Proper","- Follow Up")</f>
        <v>7892027134 - Proper</v>
      </c>
      <c r="P689" s="383" t="s">
        <v>4916</v>
      </c>
      <c r="Q689" s="383">
        <v>7892027134</v>
      </c>
      <c r="R689" s="383" t="str">
        <f>SUBSTITUTE(Table3937[[#This Row],[whatsapp_number]]," ","")</f>
        <v>7892027134</v>
      </c>
      <c r="S689" s="383" t="str">
        <f>IF(Table3937[[#This Row],[PRIMARY CONTACT]]=Table3937[[#This Row],[WHATSAPP CONTACT]],"Same Contact","Different Contact")</f>
        <v>Same Contact</v>
      </c>
      <c r="T689" s="383" t="str">
        <f>IF(LEN(SUBSTITUTE(Table3937[[#This Row],[PRIMARY CONTACT]]," ",""))=10,SUBSTITUTE(Table3937[[#This Row],[PRIMARY CONTACT]]," ","") &amp; " - Proper","- Follow Up")</f>
        <v>7892027134 - Proper</v>
      </c>
      <c r="U689" s="383" t="s">
        <v>4945</v>
      </c>
      <c r="V689" s="393" t="s">
        <v>4918</v>
      </c>
      <c r="W689" s="383" t="s">
        <v>47</v>
      </c>
      <c r="X689" s="5" t="s">
        <v>7846</v>
      </c>
      <c r="Y689" s="5" t="s">
        <v>7847</v>
      </c>
      <c r="Z689" s="5" t="s">
        <v>7848</v>
      </c>
      <c r="AA689" s="5" t="s">
        <v>49</v>
      </c>
      <c r="AB689" s="383"/>
    </row>
    <row r="690" spans="1:28" ht="13.8">
      <c r="A690" s="387">
        <v>689</v>
      </c>
      <c r="B690" s="302" t="s">
        <v>7993</v>
      </c>
      <c r="C690" s="383" t="s">
        <v>10709</v>
      </c>
      <c r="D690" s="383" t="s">
        <v>10853</v>
      </c>
      <c r="E690" s="383" t="s">
        <v>9188</v>
      </c>
      <c r="F690" s="383">
        <v>1417</v>
      </c>
      <c r="G690" s="383" t="s">
        <v>5060</v>
      </c>
      <c r="H690" s="383" t="s">
        <v>4912</v>
      </c>
      <c r="I690" s="383" t="s">
        <v>4913</v>
      </c>
      <c r="J690" s="383" t="s">
        <v>5061</v>
      </c>
      <c r="K690" s="383" t="s">
        <v>8341</v>
      </c>
      <c r="L690" s="383" t="s">
        <v>9837</v>
      </c>
      <c r="M690" s="383" t="s">
        <v>10498</v>
      </c>
      <c r="N690" s="383" t="s">
        <v>44</v>
      </c>
      <c r="O690" s="383" t="str">
        <f>IF(LEN(SUBSTITUTE(Table3937[[#This Row],[PRIMARY CONTACT]]," ",""))=10,SUBSTITUTE(Table3937[[#This Row],[PRIMARY CONTACT]]," ","") &amp; " - Proper","- Follow Up")</f>
        <v>9918888807 - Proper</v>
      </c>
      <c r="P690" s="383" t="s">
        <v>4916</v>
      </c>
      <c r="Q690" s="383">
        <v>9918888807</v>
      </c>
      <c r="R690" s="383" t="str">
        <f>SUBSTITUTE(Table3937[[#This Row],[whatsapp_number]]," ","")</f>
        <v>9918888807</v>
      </c>
      <c r="S690" s="383" t="str">
        <f>IF(Table3937[[#This Row],[PRIMARY CONTACT]]=Table3937[[#This Row],[WHATSAPP CONTACT]],"Same Contact","Different Contact")</f>
        <v>Same Contact</v>
      </c>
      <c r="T690" s="383" t="str">
        <f>IF(LEN(SUBSTITUTE(Table3937[[#This Row],[PRIMARY CONTACT]]," ",""))=10,SUBSTITUTE(Table3937[[#This Row],[PRIMARY CONTACT]]," ","") &amp; " - Proper","- Follow Up")</f>
        <v>9918888807 - Proper</v>
      </c>
      <c r="U690" s="383" t="s">
        <v>10684</v>
      </c>
      <c r="V690" s="393" t="s">
        <v>4918</v>
      </c>
      <c r="W690" s="383" t="s">
        <v>47</v>
      </c>
      <c r="X690" s="5" t="s">
        <v>7846</v>
      </c>
      <c r="Y690" s="5" t="s">
        <v>7847</v>
      </c>
      <c r="Z690" s="5" t="s">
        <v>7848</v>
      </c>
      <c r="AA690" s="5" t="s">
        <v>49</v>
      </c>
      <c r="AB690" s="383"/>
    </row>
    <row r="691" spans="1:28" ht="13.8">
      <c r="A691" s="387">
        <v>690</v>
      </c>
      <c r="B691" s="302" t="s">
        <v>7999</v>
      </c>
      <c r="C691" s="383" t="s">
        <v>10709</v>
      </c>
      <c r="D691" s="383" t="s">
        <v>10852</v>
      </c>
      <c r="E691" s="383" t="s">
        <v>9189</v>
      </c>
      <c r="F691" s="383">
        <v>1418</v>
      </c>
      <c r="G691" s="383" t="s">
        <v>5066</v>
      </c>
      <c r="H691" s="383" t="s">
        <v>4912</v>
      </c>
      <c r="I691" s="383" t="s">
        <v>4913</v>
      </c>
      <c r="J691" s="383" t="s">
        <v>5067</v>
      </c>
      <c r="K691" s="383" t="s">
        <v>8341</v>
      </c>
      <c r="L691" s="383" t="s">
        <v>9838</v>
      </c>
      <c r="M691" s="383" t="s">
        <v>10499</v>
      </c>
      <c r="N691" s="383" t="s">
        <v>44</v>
      </c>
      <c r="O691" s="383" t="str">
        <f>IF(LEN(SUBSTITUTE(Table3937[[#This Row],[PRIMARY CONTACT]]," ",""))=10,SUBSTITUTE(Table3937[[#This Row],[PRIMARY CONTACT]]," ","") &amp; " - Proper","- Follow Up")</f>
        <v>9773885950 - Proper</v>
      </c>
      <c r="P691" s="383" t="s">
        <v>4916</v>
      </c>
      <c r="Q691" s="383">
        <v>9773885950</v>
      </c>
      <c r="R691" s="383" t="str">
        <f>SUBSTITUTE(Table3937[[#This Row],[whatsapp_number]]," ","")</f>
        <v>9773885950</v>
      </c>
      <c r="S691" s="383" t="str">
        <f>IF(Table3937[[#This Row],[PRIMARY CONTACT]]=Table3937[[#This Row],[WHATSAPP CONTACT]],"Same Contact","Different Contact")</f>
        <v>Same Contact</v>
      </c>
      <c r="T691" s="383" t="str">
        <f>IF(LEN(SUBSTITUTE(Table3937[[#This Row],[PRIMARY CONTACT]]," ",""))=10,SUBSTITUTE(Table3937[[#This Row],[PRIMARY CONTACT]]," ","") &amp; " - Proper","- Follow Up")</f>
        <v>9773885950 - Proper</v>
      </c>
      <c r="U691" s="383" t="s">
        <v>10680</v>
      </c>
      <c r="V691" s="393" t="s">
        <v>4918</v>
      </c>
      <c r="W691" s="383" t="s">
        <v>47</v>
      </c>
      <c r="X691" s="5" t="s">
        <v>7846</v>
      </c>
      <c r="Y691" s="5" t="s">
        <v>7847</v>
      </c>
      <c r="Z691" s="5" t="s">
        <v>7848</v>
      </c>
      <c r="AA691" s="5" t="s">
        <v>49</v>
      </c>
      <c r="AB691" s="383"/>
    </row>
    <row r="692" spans="1:28" ht="13.8">
      <c r="A692" s="387">
        <v>691</v>
      </c>
      <c r="B692" s="302" t="s">
        <v>8004</v>
      </c>
      <c r="C692" s="383" t="s">
        <v>10709</v>
      </c>
      <c r="D692" s="383" t="s">
        <v>10851</v>
      </c>
      <c r="E692" s="383" t="s">
        <v>9190</v>
      </c>
      <c r="F692" s="383">
        <v>1419</v>
      </c>
      <c r="G692" s="383" t="s">
        <v>5071</v>
      </c>
      <c r="H692" s="383" t="s">
        <v>4912</v>
      </c>
      <c r="I692" s="383" t="s">
        <v>4913</v>
      </c>
      <c r="J692" s="383" t="s">
        <v>5072</v>
      </c>
      <c r="K692" s="383" t="s">
        <v>8341</v>
      </c>
      <c r="L692" s="383" t="s">
        <v>9839</v>
      </c>
      <c r="M692" s="383" t="s">
        <v>10500</v>
      </c>
      <c r="N692" s="383" t="s">
        <v>44</v>
      </c>
      <c r="O692" s="383" t="str">
        <f>IF(LEN(SUBSTITUTE(Table3937[[#This Row],[PRIMARY CONTACT]]," ",""))=10,SUBSTITUTE(Table3937[[#This Row],[PRIMARY CONTACT]]," ","") &amp; " - Proper","- Follow Up")</f>
        <v>8884858585 - Proper</v>
      </c>
      <c r="P692" s="383" t="s">
        <v>4916</v>
      </c>
      <c r="Q692" s="383">
        <v>8884858585</v>
      </c>
      <c r="R692" s="383" t="str">
        <f>SUBSTITUTE(Table3937[[#This Row],[whatsapp_number]]," ","")</f>
        <v>8884858585</v>
      </c>
      <c r="S692" s="383" t="str">
        <f>IF(Table3937[[#This Row],[PRIMARY CONTACT]]=Table3937[[#This Row],[WHATSAPP CONTACT]],"Same Contact","Different Contact")</f>
        <v>Same Contact</v>
      </c>
      <c r="T692" s="383" t="str">
        <f>IF(LEN(SUBSTITUTE(Table3937[[#This Row],[PRIMARY CONTACT]]," ",""))=10,SUBSTITUTE(Table3937[[#This Row],[PRIMARY CONTACT]]," ","") &amp; " - Proper","- Follow Up")</f>
        <v>8884858585 - Proper</v>
      </c>
      <c r="U692" s="383" t="s">
        <v>4945</v>
      </c>
      <c r="V692" s="393" t="s">
        <v>4918</v>
      </c>
      <c r="W692" s="383" t="s">
        <v>47</v>
      </c>
      <c r="X692" s="5" t="s">
        <v>7846</v>
      </c>
      <c r="Y692" s="5" t="s">
        <v>7847</v>
      </c>
      <c r="Z692" s="5" t="s">
        <v>7848</v>
      </c>
      <c r="AA692" s="5" t="s">
        <v>49</v>
      </c>
      <c r="AB692" s="383"/>
    </row>
    <row r="693" spans="1:28" ht="13.8">
      <c r="A693" s="387">
        <v>692</v>
      </c>
      <c r="B693" s="302" t="s">
        <v>8007</v>
      </c>
      <c r="C693" s="383" t="s">
        <v>10709</v>
      </c>
      <c r="D693" s="383" t="s">
        <v>10850</v>
      </c>
      <c r="E693" s="383" t="s">
        <v>9191</v>
      </c>
      <c r="F693" s="383">
        <v>1420</v>
      </c>
      <c r="G693" s="383" t="s">
        <v>5076</v>
      </c>
      <c r="H693" s="383" t="s">
        <v>4912</v>
      </c>
      <c r="I693" s="383" t="s">
        <v>4913</v>
      </c>
      <c r="J693" s="383" t="s">
        <v>5077</v>
      </c>
      <c r="K693" s="383" t="s">
        <v>8341</v>
      </c>
      <c r="L693" s="383" t="s">
        <v>9840</v>
      </c>
      <c r="M693" s="383" t="s">
        <v>10501</v>
      </c>
      <c r="N693" s="383" t="s">
        <v>44</v>
      </c>
      <c r="O693" s="383" t="str">
        <f>IF(LEN(SUBSTITUTE(Table3937[[#This Row],[PRIMARY CONTACT]]," ",""))=10,SUBSTITUTE(Table3937[[#This Row],[PRIMARY CONTACT]]," ","") &amp; " - Proper","- Follow Up")</f>
        <v>7897420278 - Proper</v>
      </c>
      <c r="P693" s="383" t="s">
        <v>4916</v>
      </c>
      <c r="Q693" s="383">
        <v>7897420278</v>
      </c>
      <c r="R693" s="383" t="str">
        <f>SUBSTITUTE(Table3937[[#This Row],[whatsapp_number]]," ","")</f>
        <v>7897420278</v>
      </c>
      <c r="S693" s="383" t="str">
        <f>IF(Table3937[[#This Row],[PRIMARY CONTACT]]=Table3937[[#This Row],[WHATSAPP CONTACT]],"Same Contact","Different Contact")</f>
        <v>Same Contact</v>
      </c>
      <c r="T693" s="383" t="str">
        <f>IF(LEN(SUBSTITUTE(Table3937[[#This Row],[PRIMARY CONTACT]]," ",""))=10,SUBSTITUTE(Table3937[[#This Row],[PRIMARY CONTACT]]," ","") &amp; " - Proper","- Follow Up")</f>
        <v>7897420278 - Proper</v>
      </c>
      <c r="U693" s="383" t="s">
        <v>10684</v>
      </c>
      <c r="V693" s="393" t="s">
        <v>4918</v>
      </c>
      <c r="W693" s="383" t="s">
        <v>47</v>
      </c>
      <c r="X693" s="5" t="s">
        <v>7846</v>
      </c>
      <c r="Y693" s="5" t="s">
        <v>7847</v>
      </c>
      <c r="Z693" s="5" t="s">
        <v>7848</v>
      </c>
      <c r="AA693" s="5" t="s">
        <v>49</v>
      </c>
      <c r="AB693" s="383"/>
    </row>
    <row r="694" spans="1:28" ht="13.8">
      <c r="A694" s="387">
        <v>693</v>
      </c>
      <c r="B694" s="302" t="s">
        <v>8013</v>
      </c>
      <c r="C694" s="383" t="s">
        <v>10709</v>
      </c>
      <c r="D694" s="383" t="s">
        <v>10849</v>
      </c>
      <c r="E694" s="383" t="s">
        <v>9192</v>
      </c>
      <c r="F694" s="383">
        <v>1421</v>
      </c>
      <c r="G694" s="383" t="s">
        <v>5081</v>
      </c>
      <c r="H694" s="383" t="s">
        <v>4912</v>
      </c>
      <c r="I694" s="383" t="s">
        <v>4913</v>
      </c>
      <c r="J694" s="383" t="s">
        <v>5082</v>
      </c>
      <c r="K694" s="383" t="s">
        <v>8341</v>
      </c>
      <c r="L694" s="383" t="s">
        <v>9841</v>
      </c>
      <c r="M694" s="383" t="s">
        <v>10502</v>
      </c>
      <c r="N694" s="383" t="s">
        <v>44</v>
      </c>
      <c r="O694" s="383" t="str">
        <f>IF(LEN(SUBSTITUTE(Table3937[[#This Row],[PRIMARY CONTACT]]," ",""))=10,SUBSTITUTE(Table3937[[#This Row],[PRIMARY CONTACT]]," ","") &amp; " - Proper","- Follow Up")</f>
        <v>8861006799 - Proper</v>
      </c>
      <c r="P694" s="383" t="s">
        <v>4916</v>
      </c>
      <c r="Q694" s="383">
        <v>8861006799</v>
      </c>
      <c r="R694" s="383" t="str">
        <f>SUBSTITUTE(Table3937[[#This Row],[whatsapp_number]]," ","")</f>
        <v>8861006799</v>
      </c>
      <c r="S694" s="383" t="str">
        <f>IF(Table3937[[#This Row],[PRIMARY CONTACT]]=Table3937[[#This Row],[WHATSAPP CONTACT]],"Same Contact","Different Contact")</f>
        <v>Same Contact</v>
      </c>
      <c r="T694" s="383" t="str">
        <f>IF(LEN(SUBSTITUTE(Table3937[[#This Row],[PRIMARY CONTACT]]," ",""))=10,SUBSTITUTE(Table3937[[#This Row],[PRIMARY CONTACT]]," ","") &amp; " - Proper","- Follow Up")</f>
        <v>8861006799 - Proper</v>
      </c>
      <c r="U694" s="383" t="s">
        <v>4945</v>
      </c>
      <c r="V694" s="393" t="s">
        <v>4918</v>
      </c>
      <c r="W694" s="383" t="s">
        <v>47</v>
      </c>
      <c r="X694" s="5" t="s">
        <v>7846</v>
      </c>
      <c r="Y694" s="5" t="s">
        <v>7847</v>
      </c>
      <c r="Z694" s="5" t="s">
        <v>7848</v>
      </c>
      <c r="AA694" s="5" t="s">
        <v>49</v>
      </c>
      <c r="AB694" s="383"/>
    </row>
    <row r="695" spans="1:28" ht="13.8">
      <c r="A695" s="387">
        <v>694</v>
      </c>
      <c r="B695" s="302" t="s">
        <v>8017</v>
      </c>
      <c r="C695" s="383" t="s">
        <v>10709</v>
      </c>
      <c r="D695" s="383" t="s">
        <v>10848</v>
      </c>
      <c r="E695" s="383" t="s">
        <v>9193</v>
      </c>
      <c r="F695" s="383">
        <v>1422</v>
      </c>
      <c r="G695" s="383" t="s">
        <v>5086</v>
      </c>
      <c r="H695" s="383" t="s">
        <v>4912</v>
      </c>
      <c r="I695" s="383" t="s">
        <v>4913</v>
      </c>
      <c r="J695" s="383" t="s">
        <v>5087</v>
      </c>
      <c r="K695" s="383" t="s">
        <v>8341</v>
      </c>
      <c r="L695" s="383" t="s">
        <v>9842</v>
      </c>
      <c r="M695" s="383" t="s">
        <v>10503</v>
      </c>
      <c r="N695" s="383" t="s">
        <v>44</v>
      </c>
      <c r="O695" s="383" t="str">
        <f>IF(LEN(SUBSTITUTE(Table3937[[#This Row],[PRIMARY CONTACT]]," ",""))=10,SUBSTITUTE(Table3937[[#This Row],[PRIMARY CONTACT]]," ","") &amp; " - Proper","- Follow Up")</f>
        <v>9819860774 - Proper</v>
      </c>
      <c r="P695" s="383" t="s">
        <v>4916</v>
      </c>
      <c r="Q695" s="383">
        <v>9819860774</v>
      </c>
      <c r="R695" s="383" t="str">
        <f>SUBSTITUTE(Table3937[[#This Row],[whatsapp_number]]," ","")</f>
        <v>9819860774</v>
      </c>
      <c r="S695" s="383" t="str">
        <f>IF(Table3937[[#This Row],[PRIMARY CONTACT]]=Table3937[[#This Row],[WHATSAPP CONTACT]],"Same Contact","Different Contact")</f>
        <v>Same Contact</v>
      </c>
      <c r="T695" s="383" t="str">
        <f>IF(LEN(SUBSTITUTE(Table3937[[#This Row],[PRIMARY CONTACT]]," ",""))=10,SUBSTITUTE(Table3937[[#This Row],[PRIMARY CONTACT]]," ","") &amp; " - Proper","- Follow Up")</f>
        <v>9819860774 - Proper</v>
      </c>
      <c r="U695" s="383" t="s">
        <v>10679</v>
      </c>
      <c r="V695" s="393" t="s">
        <v>4918</v>
      </c>
      <c r="W695" s="383" t="s">
        <v>47</v>
      </c>
      <c r="X695" s="5" t="s">
        <v>7846</v>
      </c>
      <c r="Y695" s="5" t="s">
        <v>7847</v>
      </c>
      <c r="Z695" s="5" t="s">
        <v>7848</v>
      </c>
      <c r="AA695" s="5" t="s">
        <v>49</v>
      </c>
      <c r="AB695" s="383"/>
    </row>
    <row r="696" spans="1:28" ht="13.8">
      <c r="A696" s="387">
        <v>695</v>
      </c>
      <c r="B696" s="302" t="s">
        <v>8023</v>
      </c>
      <c r="C696" s="383" t="s">
        <v>10709</v>
      </c>
      <c r="D696" s="383" t="s">
        <v>10847</v>
      </c>
      <c r="E696" s="383" t="s">
        <v>9194</v>
      </c>
      <c r="F696" s="383">
        <v>1423</v>
      </c>
      <c r="G696" s="383" t="s">
        <v>5091</v>
      </c>
      <c r="H696" s="383" t="s">
        <v>4912</v>
      </c>
      <c r="I696" s="383" t="s">
        <v>4913</v>
      </c>
      <c r="J696" s="383" t="s">
        <v>5092</v>
      </c>
      <c r="K696" s="383" t="s">
        <v>8341</v>
      </c>
      <c r="L696" s="383" t="s">
        <v>9843</v>
      </c>
      <c r="M696" s="383" t="s">
        <v>10504</v>
      </c>
      <c r="N696" s="383" t="s">
        <v>44</v>
      </c>
      <c r="O696" s="383" t="str">
        <f>IF(LEN(SUBSTITUTE(Table3937[[#This Row],[PRIMARY CONTACT]]," ",""))=10,SUBSTITUTE(Table3937[[#This Row],[PRIMARY CONTACT]]," ","") &amp; " - Proper","- Follow Up")</f>
        <v>9910059930 - Proper</v>
      </c>
      <c r="P696" s="383" t="s">
        <v>4916</v>
      </c>
      <c r="Q696" s="383">
        <v>9910059930</v>
      </c>
      <c r="R696" s="383" t="str">
        <f>SUBSTITUTE(Table3937[[#This Row],[whatsapp_number]]," ","")</f>
        <v>9910059930</v>
      </c>
      <c r="S696" s="383" t="str">
        <f>IF(Table3937[[#This Row],[PRIMARY CONTACT]]=Table3937[[#This Row],[WHATSAPP CONTACT]],"Same Contact","Different Contact")</f>
        <v>Same Contact</v>
      </c>
      <c r="T696" s="383" t="str">
        <f>IF(LEN(SUBSTITUTE(Table3937[[#This Row],[PRIMARY CONTACT]]," ",""))=10,SUBSTITUTE(Table3937[[#This Row],[PRIMARY CONTACT]]," ","") &amp; " - Proper","- Follow Up")</f>
        <v>9910059930 - Proper</v>
      </c>
      <c r="U696" s="383" t="s">
        <v>10680</v>
      </c>
      <c r="V696" s="393" t="s">
        <v>4918</v>
      </c>
      <c r="W696" s="383" t="s">
        <v>47</v>
      </c>
      <c r="X696" s="5" t="s">
        <v>7846</v>
      </c>
      <c r="Y696" s="5" t="s">
        <v>7847</v>
      </c>
      <c r="Z696" s="5" t="s">
        <v>7848</v>
      </c>
      <c r="AA696" s="5" t="s">
        <v>49</v>
      </c>
      <c r="AB696" s="383"/>
    </row>
    <row r="697" spans="1:28" ht="13.8">
      <c r="A697" s="387">
        <v>696</v>
      </c>
      <c r="B697" s="414" t="s">
        <v>7451</v>
      </c>
      <c r="C697" s="383" t="s">
        <v>10709</v>
      </c>
      <c r="D697" s="383" t="s">
        <v>10717</v>
      </c>
      <c r="E697" s="383" t="s">
        <v>9195</v>
      </c>
      <c r="F697" s="383">
        <v>1424</v>
      </c>
      <c r="G697" s="383" t="s">
        <v>4643</v>
      </c>
      <c r="H697" s="383" t="s">
        <v>4644</v>
      </c>
      <c r="I697" s="383" t="s">
        <v>4645</v>
      </c>
      <c r="J697" s="383" t="s">
        <v>9459</v>
      </c>
      <c r="K697" s="383" t="s">
        <v>9583</v>
      </c>
      <c r="L697" s="383" t="s">
        <v>9844</v>
      </c>
      <c r="M697" s="383" t="s">
        <v>10505</v>
      </c>
      <c r="N697" s="9" t="s">
        <v>44</v>
      </c>
      <c r="O697" s="383" t="str">
        <f>IF(LEN(SUBSTITUTE(Table3937[[#This Row],[PRIMARY CONTACT]]," ",""))=10,SUBSTITUTE(Table3937[[#This Row],[PRIMARY CONTACT]]," ","") &amp; " - Proper","- Follow Up")</f>
        <v>9768065722 - Proper</v>
      </c>
      <c r="P697" s="383" t="s">
        <v>4637</v>
      </c>
      <c r="Q697" s="383">
        <v>9768065722</v>
      </c>
      <c r="R697" s="383" t="str">
        <f>SUBSTITUTE(Table3937[[#This Row],[whatsapp_number]]," ","")</f>
        <v>9768065722</v>
      </c>
      <c r="S697" s="383" t="str">
        <f>IF(Table3937[[#This Row],[PRIMARY CONTACT]]=Table3937[[#This Row],[WHATSAPP CONTACT]],"Same Contact","Different Contact")</f>
        <v>Same Contact</v>
      </c>
      <c r="T697" s="383" t="str">
        <f>IF(LEN(SUBSTITUTE(Table3937[[#This Row],[PRIMARY CONTACT]]," ",""))=10,SUBSTITUTE(Table3937[[#This Row],[PRIMARY CONTACT]]," ","") &amp; " - Proper","- Follow Up")</f>
        <v>9768065722 - Proper</v>
      </c>
      <c r="U697" s="383" t="s">
        <v>10685</v>
      </c>
      <c r="V697" s="393" t="s">
        <v>4651</v>
      </c>
      <c r="W697" s="383" t="s">
        <v>47</v>
      </c>
      <c r="X697" s="237" t="s">
        <v>1406</v>
      </c>
      <c r="Y697" s="237" t="s">
        <v>49</v>
      </c>
      <c r="Z697" s="237" t="s">
        <v>7444</v>
      </c>
      <c r="AA697" s="237" t="s">
        <v>7445</v>
      </c>
      <c r="AB697" s="383"/>
    </row>
    <row r="698" spans="1:28" ht="13.8">
      <c r="A698" s="387">
        <v>697</v>
      </c>
      <c r="B698" s="233" t="s">
        <v>7459</v>
      </c>
      <c r="C698" s="383" t="s">
        <v>10709</v>
      </c>
      <c r="D698" s="383" t="s">
        <v>10718</v>
      </c>
      <c r="E698" s="383" t="s">
        <v>9196</v>
      </c>
      <c r="F698" s="383">
        <v>1425</v>
      </c>
      <c r="G698" s="383" t="s">
        <v>4654</v>
      </c>
      <c r="H698" s="383" t="s">
        <v>4655</v>
      </c>
      <c r="I698" s="383" t="s">
        <v>4656</v>
      </c>
      <c r="J698" s="383" t="s">
        <v>9460</v>
      </c>
      <c r="K698" s="383" t="s">
        <v>9584</v>
      </c>
      <c r="L698" s="383" t="s">
        <v>9845</v>
      </c>
      <c r="M698" s="383" t="s">
        <v>10506</v>
      </c>
      <c r="N698" s="239" t="s">
        <v>44</v>
      </c>
      <c r="O698" s="383" t="str">
        <f>IF(LEN(SUBSTITUTE(Table3937[[#This Row],[PRIMARY CONTACT]]," ",""))=10,SUBSTITUTE(Table3937[[#This Row],[PRIMARY CONTACT]]," ","") &amp; " - Proper","- Follow Up")</f>
        <v>9833384422 - Proper</v>
      </c>
      <c r="P698" s="383" t="s">
        <v>4637</v>
      </c>
      <c r="Q698" s="383">
        <v>9833384422</v>
      </c>
      <c r="R698" s="383" t="str">
        <f>SUBSTITUTE(Table3937[[#This Row],[whatsapp_number]]," ","")</f>
        <v>9833384422</v>
      </c>
      <c r="S698" s="383" t="str">
        <f>IF(Table3937[[#This Row],[PRIMARY CONTACT]]=Table3937[[#This Row],[WHATSAPP CONTACT]],"Same Contact","Different Contact")</f>
        <v>Same Contact</v>
      </c>
      <c r="T698" s="383" t="str">
        <f>IF(LEN(SUBSTITUTE(Table3937[[#This Row],[PRIMARY CONTACT]]," ",""))=10,SUBSTITUTE(Table3937[[#This Row],[PRIMARY CONTACT]]," ","") &amp; " - Proper","- Follow Up")</f>
        <v>9833384422 - Proper</v>
      </c>
      <c r="U698" s="383" t="s">
        <v>10686</v>
      </c>
      <c r="V698" s="383" t="s">
        <v>71</v>
      </c>
      <c r="W698" s="383" t="s">
        <v>47</v>
      </c>
      <c r="X698" s="237" t="s">
        <v>1406</v>
      </c>
      <c r="Y698" s="237" t="s">
        <v>49</v>
      </c>
      <c r="Z698" s="237" t="s">
        <v>7444</v>
      </c>
      <c r="AA698" s="237" t="s">
        <v>7445</v>
      </c>
      <c r="AB698" s="383"/>
    </row>
    <row r="699" spans="1:28" ht="13.8">
      <c r="A699" s="387">
        <v>698</v>
      </c>
      <c r="B699" s="233" t="s">
        <v>7463</v>
      </c>
      <c r="C699" s="383" t="s">
        <v>10709</v>
      </c>
      <c r="D699" s="383" t="s">
        <v>10719</v>
      </c>
      <c r="E699" s="383" t="s">
        <v>9197</v>
      </c>
      <c r="F699" s="383">
        <v>1426</v>
      </c>
      <c r="G699" s="383" t="s">
        <v>4664</v>
      </c>
      <c r="H699" s="383" t="s">
        <v>4665</v>
      </c>
      <c r="I699" s="383" t="s">
        <v>1117</v>
      </c>
      <c r="J699" s="383" t="s">
        <v>9461</v>
      </c>
      <c r="K699" s="383" t="s">
        <v>4667</v>
      </c>
      <c r="L699" s="383" t="s">
        <v>9688</v>
      </c>
      <c r="M699" s="383" t="s">
        <v>10189</v>
      </c>
      <c r="N699" s="239" t="s">
        <v>44</v>
      </c>
      <c r="O699" s="383" t="str">
        <f>IF(LEN(SUBSTITUTE(Table3937[[#This Row],[PRIMARY CONTACT]]," ",""))=10,SUBSTITUTE(Table3937[[#This Row],[PRIMARY CONTACT]]," ","") &amp; " - Proper","- Follow Up")</f>
        <v>9594443216 - Proper</v>
      </c>
      <c r="P699" s="383" t="s">
        <v>4637</v>
      </c>
      <c r="Q699" s="383">
        <v>9594443216</v>
      </c>
      <c r="R699" s="383" t="str">
        <f>SUBSTITUTE(Table3937[[#This Row],[whatsapp_number]]," ","")</f>
        <v>9594443216</v>
      </c>
      <c r="S699" s="383" t="str">
        <f>IF(Table3937[[#This Row],[PRIMARY CONTACT]]=Table3937[[#This Row],[WHATSAPP CONTACT]],"Same Contact","Different Contact")</f>
        <v>Same Contact</v>
      </c>
      <c r="T699" s="383" t="str">
        <f>IF(LEN(SUBSTITUTE(Table3937[[#This Row],[PRIMARY CONTACT]]," ",""))=10,SUBSTITUTE(Table3937[[#This Row],[PRIMARY CONTACT]]," ","") &amp; " - Proper","- Follow Up")</f>
        <v>9594443216 - Proper</v>
      </c>
      <c r="U699" s="383" t="s">
        <v>4668</v>
      </c>
      <c r="V699" s="393" t="s">
        <v>3187</v>
      </c>
      <c r="W699" s="383" t="s">
        <v>47</v>
      </c>
      <c r="X699" s="237" t="s">
        <v>1406</v>
      </c>
      <c r="Y699" s="237" t="s">
        <v>49</v>
      </c>
      <c r="Z699" s="237" t="s">
        <v>7444</v>
      </c>
      <c r="AA699" s="237" t="s">
        <v>7445</v>
      </c>
      <c r="AB699" s="383"/>
    </row>
    <row r="700" spans="1:28" ht="13.8">
      <c r="A700" s="387">
        <v>699</v>
      </c>
      <c r="B700" s="233" t="s">
        <v>7465</v>
      </c>
      <c r="C700" s="383" t="s">
        <v>10709</v>
      </c>
      <c r="D700" s="383" t="s">
        <v>10720</v>
      </c>
      <c r="E700" s="383" t="s">
        <v>9198</v>
      </c>
      <c r="F700" s="383">
        <v>1427</v>
      </c>
      <c r="G700" s="383" t="s">
        <v>4671</v>
      </c>
      <c r="H700" s="383" t="s">
        <v>4672</v>
      </c>
      <c r="I700" s="383" t="s">
        <v>8559</v>
      </c>
      <c r="J700" s="383" t="s">
        <v>9462</v>
      </c>
      <c r="K700" s="383" t="s">
        <v>6576</v>
      </c>
      <c r="L700" s="383" t="s">
        <v>9846</v>
      </c>
      <c r="M700" s="383" t="s">
        <v>10507</v>
      </c>
      <c r="N700" s="239" t="s">
        <v>44</v>
      </c>
      <c r="O700" s="383" t="str">
        <f>IF(LEN(SUBSTITUTE(Table3937[[#This Row],[PRIMARY CONTACT]]," ",""))=10,SUBSTITUTE(Table3937[[#This Row],[PRIMARY CONTACT]]," ","") &amp; " - Proper","- Follow Up")</f>
        <v>9920112208 - Proper</v>
      </c>
      <c r="P700" s="383" t="s">
        <v>4637</v>
      </c>
      <c r="Q700" s="383">
        <v>9920112208</v>
      </c>
      <c r="R700" s="383" t="str">
        <f>SUBSTITUTE(Table3937[[#This Row],[whatsapp_number]]," ","")</f>
        <v>9920112208</v>
      </c>
      <c r="S700" s="383" t="str">
        <f>IF(Table3937[[#This Row],[PRIMARY CONTACT]]=Table3937[[#This Row],[WHATSAPP CONTACT]],"Same Contact","Different Contact")</f>
        <v>Same Contact</v>
      </c>
      <c r="T700" s="383" t="str">
        <f>IF(LEN(SUBSTITUTE(Table3937[[#This Row],[PRIMARY CONTACT]]," ",""))=10,SUBSTITUTE(Table3937[[#This Row],[PRIMARY CONTACT]]," ","") &amp; " - Proper","- Follow Up")</f>
        <v>9920112208 - Proper</v>
      </c>
      <c r="U700" s="383" t="s">
        <v>4677</v>
      </c>
      <c r="V700" s="383" t="s">
        <v>71</v>
      </c>
      <c r="W700" s="383" t="s">
        <v>47</v>
      </c>
      <c r="X700" s="237" t="s">
        <v>1406</v>
      </c>
      <c r="Y700" s="237" t="s">
        <v>49</v>
      </c>
      <c r="Z700" s="237" t="s">
        <v>7444</v>
      </c>
      <c r="AA700" s="237" t="s">
        <v>7445</v>
      </c>
      <c r="AB700" s="383"/>
    </row>
    <row r="701" spans="1:28" ht="13.8">
      <c r="A701" s="387">
        <v>700</v>
      </c>
      <c r="B701" s="233" t="s">
        <v>7469</v>
      </c>
      <c r="C701" s="383" t="s">
        <v>10709</v>
      </c>
      <c r="D701" s="383" t="s">
        <v>10721</v>
      </c>
      <c r="E701" s="383" t="s">
        <v>9199</v>
      </c>
      <c r="F701" s="383">
        <v>1428</v>
      </c>
      <c r="G701" s="383" t="s">
        <v>4681</v>
      </c>
      <c r="H701" s="383" t="s">
        <v>4682</v>
      </c>
      <c r="I701" s="383" t="s">
        <v>913</v>
      </c>
      <c r="J701" s="383" t="s">
        <v>9463</v>
      </c>
      <c r="K701" s="383" t="s">
        <v>9585</v>
      </c>
      <c r="L701" s="383" t="s">
        <v>9847</v>
      </c>
      <c r="M701" s="383" t="s">
        <v>10168</v>
      </c>
      <c r="N701" s="239" t="s">
        <v>44</v>
      </c>
      <c r="O701" s="383" t="str">
        <f>IF(LEN(SUBSTITUTE(Table3937[[#This Row],[PRIMARY CONTACT]]," ",""))=10,SUBSTITUTE(Table3937[[#This Row],[PRIMARY CONTACT]]," ","") &amp; " - Proper","- Follow Up")</f>
        <v>7276787924 - Proper</v>
      </c>
      <c r="P701" s="383" t="s">
        <v>4637</v>
      </c>
      <c r="Q701" s="383">
        <v>7276787924</v>
      </c>
      <c r="R701" s="383" t="str">
        <f>SUBSTITUTE(Table3937[[#This Row],[whatsapp_number]]," ","")</f>
        <v>7276787924</v>
      </c>
      <c r="S701" s="383" t="str">
        <f>IF(Table3937[[#This Row],[PRIMARY CONTACT]]=Table3937[[#This Row],[WHATSAPP CONTACT]],"Same Contact","Different Contact")</f>
        <v>Same Contact</v>
      </c>
      <c r="T701" s="383" t="str">
        <f>IF(LEN(SUBSTITUTE(Table3937[[#This Row],[PRIMARY CONTACT]]," ",""))=10,SUBSTITUTE(Table3937[[#This Row],[PRIMARY CONTACT]]," ","") &amp; " - Proper","- Follow Up")</f>
        <v>7276787924 - Proper</v>
      </c>
      <c r="U701" s="383" t="s">
        <v>10687</v>
      </c>
      <c r="V701" s="393" t="s">
        <v>4689</v>
      </c>
      <c r="W701" s="383" t="s">
        <v>47</v>
      </c>
      <c r="X701" s="237" t="s">
        <v>1406</v>
      </c>
      <c r="Y701" s="237" t="s">
        <v>49</v>
      </c>
      <c r="Z701" s="237" t="s">
        <v>7444</v>
      </c>
      <c r="AA701" s="237" t="s">
        <v>7445</v>
      </c>
      <c r="AB701" s="383"/>
    </row>
    <row r="702" spans="1:28" ht="13.8">
      <c r="A702" s="387">
        <v>701</v>
      </c>
      <c r="B702" s="233" t="s">
        <v>7477</v>
      </c>
      <c r="C702" s="383" t="s">
        <v>10709</v>
      </c>
      <c r="D702" s="383" t="s">
        <v>9001</v>
      </c>
      <c r="E702" s="383" t="s">
        <v>9200</v>
      </c>
      <c r="F702" s="383">
        <v>1429</v>
      </c>
      <c r="G702" s="383" t="s">
        <v>4691</v>
      </c>
      <c r="H702" s="383" t="s">
        <v>4692</v>
      </c>
      <c r="I702" s="383" t="s">
        <v>8560</v>
      </c>
      <c r="J702" s="383" t="s">
        <v>9464</v>
      </c>
      <c r="K702" s="383" t="s">
        <v>9586</v>
      </c>
      <c r="L702" s="383" t="s">
        <v>9828</v>
      </c>
      <c r="M702" s="383" t="s">
        <v>10305</v>
      </c>
      <c r="N702" s="239" t="s">
        <v>44</v>
      </c>
      <c r="O702" s="383" t="str">
        <f>IF(LEN(SUBSTITUTE(Table3937[[#This Row],[PRIMARY CONTACT]]," ",""))=10,SUBSTITUTE(Table3937[[#This Row],[PRIMARY CONTACT]]," ","") &amp; " - Proper","- Follow Up")</f>
        <v>9987655062 - Proper</v>
      </c>
      <c r="P702" s="383" t="s">
        <v>4637</v>
      </c>
      <c r="Q702" s="383">
        <v>9987655062</v>
      </c>
      <c r="R702" s="383" t="str">
        <f>SUBSTITUTE(Table3937[[#This Row],[whatsapp_number]]," ","")</f>
        <v>9987655062</v>
      </c>
      <c r="S702" s="383" t="str">
        <f>IF(Table3937[[#This Row],[PRIMARY CONTACT]]=Table3937[[#This Row],[WHATSAPP CONTACT]],"Same Contact","Different Contact")</f>
        <v>Same Contact</v>
      </c>
      <c r="T702" s="383" t="str">
        <f>IF(LEN(SUBSTITUTE(Table3937[[#This Row],[PRIMARY CONTACT]]," ",""))=10,SUBSTITUTE(Table3937[[#This Row],[PRIMARY CONTACT]]," ","") &amp; " - Proper","- Follow Up")</f>
        <v>9987655062 - Proper</v>
      </c>
      <c r="U702" s="383" t="s">
        <v>8341</v>
      </c>
      <c r="V702" s="383" t="s">
        <v>71</v>
      </c>
      <c r="W702" s="383" t="s">
        <v>47</v>
      </c>
      <c r="X702" s="237" t="s">
        <v>1406</v>
      </c>
      <c r="Y702" s="237" t="s">
        <v>49</v>
      </c>
      <c r="Z702" s="237" t="s">
        <v>7444</v>
      </c>
      <c r="AA702" s="237" t="s">
        <v>7445</v>
      </c>
      <c r="AB702" s="383"/>
    </row>
    <row r="703" spans="1:28" ht="13.8">
      <c r="A703" s="387">
        <v>702</v>
      </c>
      <c r="B703" s="233" t="s">
        <v>7479</v>
      </c>
      <c r="C703" s="383" t="s">
        <v>10709</v>
      </c>
      <c r="D703" s="383" t="s">
        <v>10722</v>
      </c>
      <c r="E703" s="383" t="s">
        <v>9201</v>
      </c>
      <c r="F703" s="383">
        <v>1430</v>
      </c>
      <c r="G703" s="383" t="s">
        <v>4699</v>
      </c>
      <c r="H703" s="383" t="s">
        <v>4700</v>
      </c>
      <c r="I703" s="383" t="s">
        <v>8561</v>
      </c>
      <c r="J703" s="383" t="s">
        <v>9465</v>
      </c>
      <c r="K703" s="383" t="s">
        <v>1256</v>
      </c>
      <c r="L703" s="383" t="s">
        <v>9848</v>
      </c>
      <c r="M703" s="383" t="s">
        <v>10200</v>
      </c>
      <c r="N703" s="239" t="s">
        <v>44</v>
      </c>
      <c r="O703" s="383" t="str">
        <f>IF(LEN(SUBSTITUTE(Table3937[[#This Row],[PRIMARY CONTACT]]," ",""))=10,SUBSTITUTE(Table3937[[#This Row],[PRIMARY CONTACT]]," ","") &amp; " - Proper","- Follow Up")</f>
        <v>9820735575 - Proper</v>
      </c>
      <c r="P703" s="383" t="s">
        <v>4637</v>
      </c>
      <c r="Q703" s="383">
        <v>9820735575</v>
      </c>
      <c r="R703" s="383" t="str">
        <f>SUBSTITUTE(Table3937[[#This Row],[whatsapp_number]]," ","")</f>
        <v>9820735575</v>
      </c>
      <c r="S703" s="383" t="str">
        <f>IF(Table3937[[#This Row],[PRIMARY CONTACT]]=Table3937[[#This Row],[WHATSAPP CONTACT]],"Same Contact","Different Contact")</f>
        <v>Same Contact</v>
      </c>
      <c r="T703" s="383" t="str">
        <f>IF(LEN(SUBSTITUTE(Table3937[[#This Row],[PRIMARY CONTACT]]," ",""))=10,SUBSTITUTE(Table3937[[#This Row],[PRIMARY CONTACT]]," ","") &amp; " - Proper","- Follow Up")</f>
        <v>9820735575 - Proper</v>
      </c>
      <c r="U703" s="383" t="s">
        <v>4705</v>
      </c>
      <c r="V703" s="383" t="s">
        <v>71</v>
      </c>
      <c r="W703" s="383" t="s">
        <v>47</v>
      </c>
      <c r="X703" s="237" t="s">
        <v>1406</v>
      </c>
      <c r="Y703" s="237" t="s">
        <v>49</v>
      </c>
      <c r="Z703" s="237" t="s">
        <v>7444</v>
      </c>
      <c r="AA703" s="237" t="s">
        <v>7445</v>
      </c>
      <c r="AB703" s="383"/>
    </row>
    <row r="704" spans="1:28" ht="13.8">
      <c r="A704" s="387">
        <v>703</v>
      </c>
      <c r="B704" s="383" t="s">
        <v>10716</v>
      </c>
      <c r="C704" s="383" t="s">
        <v>10743</v>
      </c>
      <c r="D704" s="383" t="s">
        <v>10716</v>
      </c>
      <c r="E704" s="383" t="s">
        <v>9202</v>
      </c>
      <c r="F704" s="383">
        <v>1431</v>
      </c>
      <c r="G704" s="383" t="s">
        <v>4707</v>
      </c>
      <c r="H704" s="383" t="s">
        <v>4708</v>
      </c>
      <c r="I704" s="383" t="s">
        <v>8562</v>
      </c>
      <c r="J704" s="383" t="s">
        <v>9466</v>
      </c>
      <c r="K704" s="383" t="s">
        <v>1939</v>
      </c>
      <c r="L704" s="383" t="s">
        <v>9849</v>
      </c>
      <c r="M704" s="383" t="s">
        <v>10508</v>
      </c>
      <c r="N704" s="383" t="s">
        <v>44</v>
      </c>
      <c r="O704" s="383" t="str">
        <f>IF(LEN(SUBSTITUTE(Table3937[[#This Row],[PRIMARY CONTACT]]," ",""))=10,SUBSTITUTE(Table3937[[#This Row],[PRIMARY CONTACT]]," ","") &amp; " - Proper","- Follow Up")</f>
        <v>9819115854 - Proper</v>
      </c>
      <c r="P704" s="383" t="s">
        <v>4637</v>
      </c>
      <c r="Q704" s="383">
        <v>9819115854</v>
      </c>
      <c r="R704" s="383" t="str">
        <f>SUBSTITUTE(Table3937[[#This Row],[whatsapp_number]]," ","")</f>
        <v>9819115854</v>
      </c>
      <c r="S704" s="383" t="str">
        <f>IF(Table3937[[#This Row],[PRIMARY CONTACT]]=Table3937[[#This Row],[WHATSAPP CONTACT]],"Same Contact","Different Contact")</f>
        <v>Same Contact</v>
      </c>
      <c r="T704" s="383" t="str">
        <f>IF(LEN(SUBSTITUTE(Table3937[[#This Row],[PRIMARY CONTACT]]," ",""))=10,SUBSTITUTE(Table3937[[#This Row],[PRIMARY CONTACT]]," ","") &amp; " - Proper","- Follow Up")</f>
        <v>9819115854 - Proper</v>
      </c>
      <c r="U704" s="383" t="s">
        <v>2953</v>
      </c>
      <c r="V704" s="383" t="s">
        <v>71</v>
      </c>
      <c r="W704" s="383" t="s">
        <v>47</v>
      </c>
      <c r="X704" s="422" t="s">
        <v>44</v>
      </c>
      <c r="Y704" s="422" t="s">
        <v>44</v>
      </c>
      <c r="Z704" s="422" t="s">
        <v>44</v>
      </c>
      <c r="AA704" s="422" t="s">
        <v>44</v>
      </c>
      <c r="AB704" s="383"/>
    </row>
    <row r="705" spans="1:28" ht="13.8">
      <c r="A705" s="387">
        <v>704</v>
      </c>
      <c r="B705" s="233" t="s">
        <v>7481</v>
      </c>
      <c r="C705" s="383" t="s">
        <v>10709</v>
      </c>
      <c r="D705" s="383" t="s">
        <v>10723</v>
      </c>
      <c r="E705" s="383" t="s">
        <v>9203</v>
      </c>
      <c r="F705" s="383">
        <v>1432</v>
      </c>
      <c r="G705" s="383" t="s">
        <v>4715</v>
      </c>
      <c r="H705" s="383" t="s">
        <v>4716</v>
      </c>
      <c r="I705" s="383" t="s">
        <v>2310</v>
      </c>
      <c r="J705" s="383" t="s">
        <v>9467</v>
      </c>
      <c r="K705" s="383" t="s">
        <v>9587</v>
      </c>
      <c r="L705" s="383" t="s">
        <v>9850</v>
      </c>
      <c r="M705" s="383" t="s">
        <v>10334</v>
      </c>
      <c r="N705" s="239" t="s">
        <v>44</v>
      </c>
      <c r="O705" s="383" t="str">
        <f>IF(LEN(SUBSTITUTE(Table3937[[#This Row],[PRIMARY CONTACT]]," ",""))=10,SUBSTITUTE(Table3937[[#This Row],[PRIMARY CONTACT]]," ","") &amp; " - Proper","- Follow Up")</f>
        <v>9819824233 - Proper</v>
      </c>
      <c r="P705" s="383" t="s">
        <v>4637</v>
      </c>
      <c r="Q705" s="383">
        <v>9819824233</v>
      </c>
      <c r="R705" s="383" t="str">
        <f>SUBSTITUTE(Table3937[[#This Row],[whatsapp_number]]," ","")</f>
        <v>9819824233</v>
      </c>
      <c r="S705" s="383" t="str">
        <f>IF(Table3937[[#This Row],[PRIMARY CONTACT]]=Table3937[[#This Row],[WHATSAPP CONTACT]],"Same Contact","Different Contact")</f>
        <v>Same Contact</v>
      </c>
      <c r="T705" s="383" t="str">
        <f>IF(LEN(SUBSTITUTE(Table3937[[#This Row],[PRIMARY CONTACT]]," ",""))=10,SUBSTITUTE(Table3937[[#This Row],[PRIMARY CONTACT]]," ","") &amp; " - Proper","- Follow Up")</f>
        <v>9819824233 - Proper</v>
      </c>
      <c r="U705" s="383" t="s">
        <v>10688</v>
      </c>
      <c r="V705" s="383" t="s">
        <v>71</v>
      </c>
      <c r="W705" s="383" t="s">
        <v>47</v>
      </c>
      <c r="X705" s="237" t="s">
        <v>1406</v>
      </c>
      <c r="Y705" s="237" t="s">
        <v>49</v>
      </c>
      <c r="Z705" s="237" t="s">
        <v>7444</v>
      </c>
      <c r="AA705" s="237" t="s">
        <v>7445</v>
      </c>
      <c r="AB705" s="383"/>
    </row>
    <row r="706" spans="1:28" ht="13.8">
      <c r="A706" s="387">
        <v>705</v>
      </c>
      <c r="B706" s="233" t="s">
        <v>7483</v>
      </c>
      <c r="C706" s="383" t="s">
        <v>10709</v>
      </c>
      <c r="D706" s="383" t="s">
        <v>10724</v>
      </c>
      <c r="E706" s="383" t="s">
        <v>9204</v>
      </c>
      <c r="F706" s="383">
        <v>1433</v>
      </c>
      <c r="G706" s="383" t="s">
        <v>4724</v>
      </c>
      <c r="H706" s="383" t="s">
        <v>4725</v>
      </c>
      <c r="I706" s="383" t="s">
        <v>8563</v>
      </c>
      <c r="J706" s="383" t="s">
        <v>9468</v>
      </c>
      <c r="K706" s="383" t="s">
        <v>9588</v>
      </c>
      <c r="L706" s="383" t="s">
        <v>9851</v>
      </c>
      <c r="M706" s="383" t="s">
        <v>10186</v>
      </c>
      <c r="N706" s="239" t="s">
        <v>44</v>
      </c>
      <c r="O706" s="383" t="str">
        <f>IF(LEN(SUBSTITUTE(Table3937[[#This Row],[PRIMARY CONTACT]]," ",""))=10,SUBSTITUTE(Table3937[[#This Row],[PRIMARY CONTACT]]," ","") &amp; " - Proper","- Follow Up")</f>
        <v>9769108701 - Proper</v>
      </c>
      <c r="P706" s="383" t="s">
        <v>4637</v>
      </c>
      <c r="Q706" s="383">
        <v>9769108701</v>
      </c>
      <c r="R706" s="383" t="str">
        <f>SUBSTITUTE(Table3937[[#This Row],[whatsapp_number]]," ","")</f>
        <v>9769108701</v>
      </c>
      <c r="S706" s="383" t="str">
        <f>IF(Table3937[[#This Row],[PRIMARY CONTACT]]=Table3937[[#This Row],[WHATSAPP CONTACT]],"Same Contact","Different Contact")</f>
        <v>Same Contact</v>
      </c>
      <c r="T706" s="383" t="str">
        <f>IF(LEN(SUBSTITUTE(Table3937[[#This Row],[PRIMARY CONTACT]]," ",""))=10,SUBSTITUTE(Table3937[[#This Row],[PRIMARY CONTACT]]," ","") &amp; " - Proper","- Follow Up")</f>
        <v>9769108701 - Proper</v>
      </c>
      <c r="U706" s="383" t="s">
        <v>10689</v>
      </c>
      <c r="V706" s="393" t="s">
        <v>4732</v>
      </c>
      <c r="W706" s="383" t="s">
        <v>47</v>
      </c>
      <c r="X706" s="237" t="s">
        <v>1406</v>
      </c>
      <c r="Y706" s="237" t="s">
        <v>49</v>
      </c>
      <c r="Z706" s="237" t="s">
        <v>7444</v>
      </c>
      <c r="AA706" s="237" t="s">
        <v>7445</v>
      </c>
      <c r="AB706" s="383"/>
    </row>
    <row r="707" spans="1:28" ht="13.8">
      <c r="A707" s="387">
        <v>706</v>
      </c>
      <c r="B707" s="414" t="s">
        <v>7491</v>
      </c>
      <c r="C707" s="383" t="s">
        <v>10709</v>
      </c>
      <c r="D707" s="383" t="s">
        <v>10725</v>
      </c>
      <c r="E707" s="383" t="s">
        <v>9205</v>
      </c>
      <c r="F707" s="383">
        <v>1435</v>
      </c>
      <c r="G707" s="383" t="s">
        <v>4735</v>
      </c>
      <c r="H707" s="383" t="s">
        <v>4437</v>
      </c>
      <c r="I707" s="383" t="s">
        <v>8564</v>
      </c>
      <c r="J707" s="383" t="s">
        <v>9469</v>
      </c>
      <c r="K707" s="383" t="s">
        <v>3897</v>
      </c>
      <c r="L707" s="383" t="s">
        <v>9852</v>
      </c>
      <c r="M707" s="383" t="s">
        <v>10509</v>
      </c>
      <c r="N707" s="239" t="s">
        <v>44</v>
      </c>
      <c r="O707" s="383" t="str">
        <f>IF(LEN(SUBSTITUTE(Table3937[[#This Row],[PRIMARY CONTACT]]," ",""))=10,SUBSTITUTE(Table3937[[#This Row],[PRIMARY CONTACT]]," ","") &amp; " - Proper","- Follow Up")</f>
        <v>9820439012 - Proper</v>
      </c>
      <c r="P707" s="383" t="s">
        <v>4637</v>
      </c>
      <c r="Q707" s="383">
        <v>9820439012</v>
      </c>
      <c r="R707" s="383" t="str">
        <f>SUBSTITUTE(Table3937[[#This Row],[whatsapp_number]]," ","")</f>
        <v>9820439012</v>
      </c>
      <c r="S707" s="383" t="str">
        <f>IF(Table3937[[#This Row],[PRIMARY CONTACT]]=Table3937[[#This Row],[WHATSAPP CONTACT]],"Same Contact","Different Contact")</f>
        <v>Same Contact</v>
      </c>
      <c r="T707" s="383" t="str">
        <f>IF(LEN(SUBSTITUTE(Table3937[[#This Row],[PRIMARY CONTACT]]," ",""))=10,SUBSTITUTE(Table3937[[#This Row],[PRIMARY CONTACT]]," ","") &amp; " - Proper","- Follow Up")</f>
        <v>9820439012 - Proper</v>
      </c>
      <c r="U707" s="383" t="s">
        <v>4740</v>
      </c>
      <c r="V707" s="383" t="s">
        <v>71</v>
      </c>
      <c r="W707" s="383" t="s">
        <v>47</v>
      </c>
      <c r="X707" s="237" t="s">
        <v>1406</v>
      </c>
      <c r="Y707" s="237" t="s">
        <v>49</v>
      </c>
      <c r="Z707" s="237" t="s">
        <v>7444</v>
      </c>
      <c r="AA707" s="237" t="s">
        <v>7445</v>
      </c>
      <c r="AB707" s="383"/>
    </row>
    <row r="708" spans="1:28" ht="13.8">
      <c r="A708" s="387">
        <v>707</v>
      </c>
      <c r="B708" s="415" t="s">
        <v>7493</v>
      </c>
      <c r="C708" s="383" t="s">
        <v>10709</v>
      </c>
      <c r="D708" s="383" t="s">
        <v>10726</v>
      </c>
      <c r="E708" s="383" t="s">
        <v>9206</v>
      </c>
      <c r="F708" s="383">
        <v>1436</v>
      </c>
      <c r="G708" s="383" t="s">
        <v>4743</v>
      </c>
      <c r="H708" s="383" t="s">
        <v>4744</v>
      </c>
      <c r="I708" s="383" t="s">
        <v>8565</v>
      </c>
      <c r="J708" s="383" t="s">
        <v>9470</v>
      </c>
      <c r="K708" s="383" t="s">
        <v>9589</v>
      </c>
      <c r="L708" s="383" t="s">
        <v>9718</v>
      </c>
      <c r="M708" s="383" t="s">
        <v>10283</v>
      </c>
      <c r="N708" s="239" t="s">
        <v>44</v>
      </c>
      <c r="O708" s="383" t="str">
        <f>IF(LEN(SUBSTITUTE(Table3937[[#This Row],[PRIMARY CONTACT]]," ",""))=10,SUBSTITUTE(Table3937[[#This Row],[PRIMARY CONTACT]]," ","") &amp; " - Proper","- Follow Up")</f>
        <v>9833409290 - Proper</v>
      </c>
      <c r="P708" s="383" t="s">
        <v>4637</v>
      </c>
      <c r="Q708" s="383">
        <v>9833409290</v>
      </c>
      <c r="R708" s="383" t="str">
        <f>SUBSTITUTE(Table3937[[#This Row],[whatsapp_number]]," ","")</f>
        <v>9833409290</v>
      </c>
      <c r="S708" s="383" t="str">
        <f>IF(Table3937[[#This Row],[PRIMARY CONTACT]]=Table3937[[#This Row],[WHATSAPP CONTACT]],"Same Contact","Different Contact")</f>
        <v>Same Contact</v>
      </c>
      <c r="T708" s="383" t="str">
        <f>IF(LEN(SUBSTITUTE(Table3937[[#This Row],[PRIMARY CONTACT]]," ",""))=10,SUBSTITUTE(Table3937[[#This Row],[PRIMARY CONTACT]]," ","") &amp; " - Proper","- Follow Up")</f>
        <v>9833409290 - Proper</v>
      </c>
      <c r="U708" s="383" t="s">
        <v>4705</v>
      </c>
      <c r="V708" s="383" t="s">
        <v>71</v>
      </c>
      <c r="W708" s="383" t="s">
        <v>47</v>
      </c>
      <c r="X708" s="237" t="s">
        <v>1406</v>
      </c>
      <c r="Y708" s="237" t="s">
        <v>49</v>
      </c>
      <c r="Z708" s="237" t="s">
        <v>7444</v>
      </c>
      <c r="AA708" s="237" t="s">
        <v>7445</v>
      </c>
      <c r="AB708" s="383"/>
    </row>
    <row r="709" spans="1:28" ht="13.8">
      <c r="A709" s="387">
        <v>708</v>
      </c>
      <c r="B709" s="415" t="s">
        <v>7495</v>
      </c>
      <c r="C709" s="383" t="s">
        <v>10709</v>
      </c>
      <c r="D709" s="383" t="s">
        <v>10727</v>
      </c>
      <c r="E709" s="383" t="s">
        <v>9207</v>
      </c>
      <c r="F709" s="383">
        <v>1437</v>
      </c>
      <c r="G709" s="383" t="s">
        <v>4750</v>
      </c>
      <c r="H709" s="383" t="s">
        <v>4751</v>
      </c>
      <c r="I709" s="383" t="s">
        <v>8566</v>
      </c>
      <c r="J709" s="383" t="s">
        <v>9471</v>
      </c>
      <c r="K709" s="383" t="s">
        <v>9590</v>
      </c>
      <c r="L709" s="383" t="s">
        <v>9853</v>
      </c>
      <c r="M709" s="383" t="s">
        <v>10510</v>
      </c>
      <c r="N709" s="239" t="s">
        <v>44</v>
      </c>
      <c r="O709" s="383" t="str">
        <f>IF(LEN(SUBSTITUTE(Table3937[[#This Row],[PRIMARY CONTACT]]," ",""))=10,SUBSTITUTE(Table3937[[#This Row],[PRIMARY CONTACT]]," ","") &amp; " - Proper","- Follow Up")</f>
        <v>9321768154 - Proper</v>
      </c>
      <c r="P709" s="383" t="s">
        <v>4637</v>
      </c>
      <c r="Q709" s="383">
        <v>9321768154</v>
      </c>
      <c r="R709" s="383" t="str">
        <f>SUBSTITUTE(Table3937[[#This Row],[whatsapp_number]]," ","")</f>
        <v>9321768154</v>
      </c>
      <c r="S709" s="383" t="str">
        <f>IF(Table3937[[#This Row],[PRIMARY CONTACT]]=Table3937[[#This Row],[WHATSAPP CONTACT]],"Same Contact","Different Contact")</f>
        <v>Same Contact</v>
      </c>
      <c r="T709" s="383" t="str">
        <f>IF(LEN(SUBSTITUTE(Table3937[[#This Row],[PRIMARY CONTACT]]," ",""))=10,SUBSTITUTE(Table3937[[#This Row],[PRIMARY CONTACT]]," ","") &amp; " - Proper","- Follow Up")</f>
        <v>9321768154 - Proper</v>
      </c>
      <c r="U709" s="383" t="s">
        <v>4756</v>
      </c>
      <c r="V709" s="393" t="s">
        <v>4757</v>
      </c>
      <c r="W709" s="383" t="s">
        <v>47</v>
      </c>
      <c r="X709" s="237" t="s">
        <v>1406</v>
      </c>
      <c r="Y709" s="237" t="s">
        <v>49</v>
      </c>
      <c r="Z709" s="237" t="s">
        <v>7444</v>
      </c>
      <c r="AA709" s="237" t="s">
        <v>7445</v>
      </c>
      <c r="AB709" s="383"/>
    </row>
    <row r="710" spans="1:28" ht="13.8">
      <c r="A710" s="387">
        <v>709</v>
      </c>
      <c r="B710" s="415" t="s">
        <v>7498</v>
      </c>
      <c r="C710" s="383" t="s">
        <v>10709</v>
      </c>
      <c r="D710" s="383" t="s">
        <v>8834</v>
      </c>
      <c r="E710" s="383" t="s">
        <v>9208</v>
      </c>
      <c r="F710" s="383">
        <v>1438</v>
      </c>
      <c r="G710" s="383" t="s">
        <v>4760</v>
      </c>
      <c r="H710" s="383" t="s">
        <v>4761</v>
      </c>
      <c r="I710" s="383" t="s">
        <v>8434</v>
      </c>
      <c r="J710" s="383" t="s">
        <v>9472</v>
      </c>
      <c r="K710" s="383" t="s">
        <v>7187</v>
      </c>
      <c r="L710" s="383" t="s">
        <v>9854</v>
      </c>
      <c r="M710" s="383" t="s">
        <v>10116</v>
      </c>
      <c r="N710" s="239" t="s">
        <v>44</v>
      </c>
      <c r="O710" s="383" t="str">
        <f>IF(LEN(SUBSTITUTE(Table3937[[#This Row],[PRIMARY CONTACT]]," ",""))=10,SUBSTITUTE(Table3937[[#This Row],[PRIMARY CONTACT]]," ","") &amp; " - Proper","- Follow Up")</f>
        <v>9819434975 - Proper</v>
      </c>
      <c r="P710" s="383" t="s">
        <v>4637</v>
      </c>
      <c r="Q710" s="383">
        <v>9819434975</v>
      </c>
      <c r="R710" s="383" t="str">
        <f>SUBSTITUTE(Table3937[[#This Row],[whatsapp_number]]," ","")</f>
        <v>9819434975</v>
      </c>
      <c r="S710" s="383" t="str">
        <f>IF(Table3937[[#This Row],[PRIMARY CONTACT]]=Table3937[[#This Row],[WHATSAPP CONTACT]],"Same Contact","Different Contact")</f>
        <v>Same Contact</v>
      </c>
      <c r="T710" s="383" t="str">
        <f>IF(LEN(SUBSTITUTE(Table3937[[#This Row],[PRIMARY CONTACT]]," ",""))=10,SUBSTITUTE(Table3937[[#This Row],[PRIMARY CONTACT]]," ","") &amp; " - Proper","- Follow Up")</f>
        <v>9819434975 - Proper</v>
      </c>
      <c r="U710" s="383" t="s">
        <v>3919</v>
      </c>
      <c r="V710" s="383" t="s">
        <v>71</v>
      </c>
      <c r="W710" s="383" t="s">
        <v>47</v>
      </c>
      <c r="X710" s="237" t="s">
        <v>1406</v>
      </c>
      <c r="Y710" s="237" t="s">
        <v>49</v>
      </c>
      <c r="Z710" s="237" t="s">
        <v>7444</v>
      </c>
      <c r="AA710" s="237" t="s">
        <v>7445</v>
      </c>
      <c r="AB710" s="383"/>
    </row>
    <row r="711" spans="1:28" ht="13.8">
      <c r="A711" s="387">
        <v>710</v>
      </c>
      <c r="B711" s="383" t="s">
        <v>10716</v>
      </c>
      <c r="C711" s="383" t="s">
        <v>10743</v>
      </c>
      <c r="D711" s="383" t="s">
        <v>10716</v>
      </c>
      <c r="E711" s="383" t="s">
        <v>9209</v>
      </c>
      <c r="F711" s="383">
        <v>1439</v>
      </c>
      <c r="G711" s="383" t="s">
        <v>4770</v>
      </c>
      <c r="H711" s="383" t="s">
        <v>4771</v>
      </c>
      <c r="I711" s="383" t="s">
        <v>482</v>
      </c>
      <c r="J711" s="383" t="s">
        <v>9473</v>
      </c>
      <c r="K711" s="383" t="s">
        <v>9591</v>
      </c>
      <c r="L711" s="383" t="s">
        <v>9855</v>
      </c>
      <c r="M711" s="383" t="s">
        <v>10110</v>
      </c>
      <c r="N711" s="239" t="s">
        <v>44</v>
      </c>
      <c r="O711" s="383" t="str">
        <f>IF(LEN(SUBSTITUTE(Table3937[[#This Row],[PRIMARY CONTACT]]," ",""))=10,SUBSTITUTE(Table3937[[#This Row],[PRIMARY CONTACT]]," ","") &amp; " - Proper","- Follow Up")</f>
        <v>7666368119 - Proper</v>
      </c>
      <c r="P711" s="383" t="s">
        <v>4637</v>
      </c>
      <c r="Q711" s="383">
        <v>7666368119</v>
      </c>
      <c r="R711" s="383" t="str">
        <f>SUBSTITUTE(Table3937[[#This Row],[whatsapp_number]]," ","")</f>
        <v>7666368119</v>
      </c>
      <c r="S711" s="383" t="str">
        <f>IF(Table3937[[#This Row],[PRIMARY CONTACT]]=Table3937[[#This Row],[WHATSAPP CONTACT]],"Same Contact","Different Contact")</f>
        <v>Same Contact</v>
      </c>
      <c r="T711" s="383" t="str">
        <f>IF(LEN(SUBSTITUTE(Table3937[[#This Row],[PRIMARY CONTACT]]," ",""))=10,SUBSTITUTE(Table3937[[#This Row],[PRIMARY CONTACT]]," ","") &amp; " - Proper","- Follow Up")</f>
        <v>7666368119 - Proper</v>
      </c>
      <c r="U711" s="383" t="s">
        <v>3033</v>
      </c>
      <c r="V711" s="393" t="s">
        <v>4776</v>
      </c>
      <c r="W711" s="383" t="s">
        <v>47</v>
      </c>
      <c r="X711" s="422" t="s">
        <v>44</v>
      </c>
      <c r="Y711" s="422" t="s">
        <v>44</v>
      </c>
      <c r="Z711" s="422" t="s">
        <v>44</v>
      </c>
      <c r="AA711" s="422" t="s">
        <v>44</v>
      </c>
      <c r="AB711" s="383"/>
    </row>
    <row r="712" spans="1:28" ht="13.8">
      <c r="A712" s="387">
        <v>711</v>
      </c>
      <c r="B712" s="233" t="s">
        <v>7503</v>
      </c>
      <c r="C712" s="383" t="s">
        <v>10709</v>
      </c>
      <c r="D712" s="383" t="s">
        <v>10728</v>
      </c>
      <c r="E712" s="383" t="s">
        <v>9210</v>
      </c>
      <c r="F712" s="383">
        <v>1440</v>
      </c>
      <c r="G712" s="383" t="s">
        <v>4778</v>
      </c>
      <c r="H712" s="383" t="s">
        <v>4779</v>
      </c>
      <c r="I712" s="383" t="s">
        <v>8567</v>
      </c>
      <c r="J712" s="383" t="s">
        <v>9474</v>
      </c>
      <c r="K712" s="383" t="s">
        <v>8567</v>
      </c>
      <c r="L712" s="383" t="s">
        <v>8341</v>
      </c>
      <c r="M712" s="383" t="s">
        <v>10511</v>
      </c>
      <c r="N712" s="239" t="s">
        <v>44</v>
      </c>
      <c r="O712" s="383" t="str">
        <f>IF(LEN(SUBSTITUTE(Table3937[[#This Row],[PRIMARY CONTACT]]," ",""))=10,SUBSTITUTE(Table3937[[#This Row],[PRIMARY CONTACT]]," ","") &amp; " - Proper","- Follow Up")</f>
        <v>9820692870 - Proper</v>
      </c>
      <c r="P712" s="383" t="s">
        <v>4637</v>
      </c>
      <c r="Q712" s="383">
        <v>9820692870</v>
      </c>
      <c r="R712" s="383" t="str">
        <f>SUBSTITUTE(Table3937[[#This Row],[whatsapp_number]]," ","")</f>
        <v>9820692870</v>
      </c>
      <c r="S712" s="383" t="str">
        <f>IF(Table3937[[#This Row],[PRIMARY CONTACT]]=Table3937[[#This Row],[WHATSAPP CONTACT]],"Same Contact","Different Contact")</f>
        <v>Same Contact</v>
      </c>
      <c r="T712" s="383" t="str">
        <f>IF(LEN(SUBSTITUTE(Table3937[[#This Row],[PRIMARY CONTACT]]," ",""))=10,SUBSTITUTE(Table3937[[#This Row],[PRIMARY CONTACT]]," ","") &amp; " - Proper","- Follow Up")</f>
        <v>9820692870 - Proper</v>
      </c>
      <c r="U712" s="383" t="s">
        <v>8341</v>
      </c>
      <c r="V712" s="383" t="s">
        <v>71</v>
      </c>
      <c r="W712" s="383" t="s">
        <v>47</v>
      </c>
      <c r="X712" s="237" t="s">
        <v>1406</v>
      </c>
      <c r="Y712" s="237" t="s">
        <v>49</v>
      </c>
      <c r="Z712" s="237" t="s">
        <v>7444</v>
      </c>
      <c r="AA712" s="237" t="s">
        <v>7445</v>
      </c>
      <c r="AB712" s="383"/>
    </row>
    <row r="713" spans="1:28" ht="13.8">
      <c r="A713" s="387">
        <v>712</v>
      </c>
      <c r="B713" s="383" t="s">
        <v>10716</v>
      </c>
      <c r="C713" s="383" t="s">
        <v>10742</v>
      </c>
      <c r="D713" s="383" t="s">
        <v>10716</v>
      </c>
      <c r="E713" s="383" t="s">
        <v>9211</v>
      </c>
      <c r="F713" s="383">
        <v>1441</v>
      </c>
      <c r="G713" s="383" t="s">
        <v>4784</v>
      </c>
      <c r="H713" s="383" t="s">
        <v>4785</v>
      </c>
      <c r="I713" s="383" t="s">
        <v>8568</v>
      </c>
      <c r="J713" s="383" t="s">
        <v>9475</v>
      </c>
      <c r="K713" s="383" t="s">
        <v>9592</v>
      </c>
      <c r="L713" s="383" t="s">
        <v>9856</v>
      </c>
      <c r="M713" s="383" t="s">
        <v>10512</v>
      </c>
      <c r="N713" s="239" t="s">
        <v>44</v>
      </c>
      <c r="O713" s="383" t="str">
        <f>IF(LEN(SUBSTITUTE(Table3937[[#This Row],[PRIMARY CONTACT]]," ",""))=10,SUBSTITUTE(Table3937[[#This Row],[PRIMARY CONTACT]]," ","") &amp; " - Proper","- Follow Up")</f>
        <v>9619296630 - Proper</v>
      </c>
      <c r="P713" s="383" t="s">
        <v>4637</v>
      </c>
      <c r="Q713" s="383">
        <v>9619296630</v>
      </c>
      <c r="R713" s="383" t="str">
        <f>SUBSTITUTE(Table3937[[#This Row],[whatsapp_number]]," ","")</f>
        <v>9619296630</v>
      </c>
      <c r="S713" s="383" t="str">
        <f>IF(Table3937[[#This Row],[PRIMARY CONTACT]]=Table3937[[#This Row],[WHATSAPP CONTACT]],"Same Contact","Different Contact")</f>
        <v>Same Contact</v>
      </c>
      <c r="T713" s="383" t="str">
        <f>IF(LEN(SUBSTITUTE(Table3937[[#This Row],[PRIMARY CONTACT]]," ",""))=10,SUBSTITUTE(Table3937[[#This Row],[PRIMARY CONTACT]]," ","") &amp; " - Proper","- Follow Up")</f>
        <v>9619296630 - Proper</v>
      </c>
      <c r="U713" s="383" t="s">
        <v>10690</v>
      </c>
      <c r="V713" s="393" t="s">
        <v>4791</v>
      </c>
      <c r="W713" s="383" t="s">
        <v>47</v>
      </c>
      <c r="X713" s="422" t="s">
        <v>44</v>
      </c>
      <c r="Y713" s="422" t="s">
        <v>44</v>
      </c>
      <c r="Z713" s="422" t="s">
        <v>44</v>
      </c>
      <c r="AA713" s="422" t="s">
        <v>44</v>
      </c>
      <c r="AB713" s="383"/>
    </row>
    <row r="714" spans="1:28" ht="13.8">
      <c r="A714" s="387">
        <v>713</v>
      </c>
      <c r="B714" s="233" t="s">
        <v>7506</v>
      </c>
      <c r="C714" s="383" t="s">
        <v>10709</v>
      </c>
      <c r="D714" s="383" t="s">
        <v>10729</v>
      </c>
      <c r="E714" s="383" t="s">
        <v>9212</v>
      </c>
      <c r="F714" s="383">
        <v>1442</v>
      </c>
      <c r="G714" s="383" t="s">
        <v>4794</v>
      </c>
      <c r="H714" s="383" t="s">
        <v>4795</v>
      </c>
      <c r="I714" s="383" t="s">
        <v>8569</v>
      </c>
      <c r="J714" s="383" t="s">
        <v>9476</v>
      </c>
      <c r="K714" s="383" t="s">
        <v>9576</v>
      </c>
      <c r="L714" s="383" t="s">
        <v>9857</v>
      </c>
      <c r="M714" s="383" t="s">
        <v>10179</v>
      </c>
      <c r="N714" s="239" t="s">
        <v>44</v>
      </c>
      <c r="O714" s="383" t="str">
        <f>IF(LEN(SUBSTITUTE(Table3937[[#This Row],[PRIMARY CONTACT]]," ",""))=10,SUBSTITUTE(Table3937[[#This Row],[PRIMARY CONTACT]]," ","") &amp; " - Proper","- Follow Up")</f>
        <v>7208353203 - Proper</v>
      </c>
      <c r="P714" s="383" t="s">
        <v>4637</v>
      </c>
      <c r="Q714" s="383">
        <v>7208353203</v>
      </c>
      <c r="R714" s="383" t="str">
        <f>SUBSTITUTE(Table3937[[#This Row],[whatsapp_number]]," ","")</f>
        <v>7208353203</v>
      </c>
      <c r="S714" s="383" t="str">
        <f>IF(Table3937[[#This Row],[PRIMARY CONTACT]]=Table3937[[#This Row],[WHATSAPP CONTACT]],"Same Contact","Different Contact")</f>
        <v>Same Contact</v>
      </c>
      <c r="T714" s="383" t="str">
        <f>IF(LEN(SUBSTITUTE(Table3937[[#This Row],[PRIMARY CONTACT]]," ",""))=10,SUBSTITUTE(Table3937[[#This Row],[PRIMARY CONTACT]]," ","") &amp; " - Proper","- Follow Up")</f>
        <v>7208353203 - Proper</v>
      </c>
      <c r="U714" s="383" t="s">
        <v>10691</v>
      </c>
      <c r="V714" s="393" t="s">
        <v>4801</v>
      </c>
      <c r="W714" s="383" t="s">
        <v>47</v>
      </c>
      <c r="X714" s="237" t="s">
        <v>1406</v>
      </c>
      <c r="Y714" s="237" t="s">
        <v>49</v>
      </c>
      <c r="Z714" s="237" t="s">
        <v>7444</v>
      </c>
      <c r="AA714" s="237" t="s">
        <v>7445</v>
      </c>
      <c r="AB714" s="383"/>
    </row>
    <row r="715" spans="1:28" ht="13.8">
      <c r="A715" s="387">
        <v>714</v>
      </c>
      <c r="B715" s="233" t="s">
        <v>7513</v>
      </c>
      <c r="C715" s="383" t="s">
        <v>10709</v>
      </c>
      <c r="D715" s="383" t="s">
        <v>10730</v>
      </c>
      <c r="E715" s="383" t="s">
        <v>9213</v>
      </c>
      <c r="F715" s="383">
        <v>1443</v>
      </c>
      <c r="G715" s="383" t="s">
        <v>4804</v>
      </c>
      <c r="H715" s="383" t="s">
        <v>4805</v>
      </c>
      <c r="I715" s="383" t="s">
        <v>8570</v>
      </c>
      <c r="J715" s="383" t="s">
        <v>9477</v>
      </c>
      <c r="K715" s="383" t="s">
        <v>9593</v>
      </c>
      <c r="L715" s="383" t="s">
        <v>9858</v>
      </c>
      <c r="M715" s="383" t="s">
        <v>10513</v>
      </c>
      <c r="N715" s="239" t="s">
        <v>44</v>
      </c>
      <c r="O715" s="383" t="str">
        <f>IF(LEN(SUBSTITUTE(Table3937[[#This Row],[PRIMARY CONTACT]]," ",""))=10,SUBSTITUTE(Table3937[[#This Row],[PRIMARY CONTACT]]," ","") &amp; " - Proper","- Follow Up")</f>
        <v>8898500703 - Proper</v>
      </c>
      <c r="P715" s="383" t="s">
        <v>4637</v>
      </c>
      <c r="Q715" s="383">
        <v>8898500703</v>
      </c>
      <c r="R715" s="383" t="str">
        <f>SUBSTITUTE(Table3937[[#This Row],[whatsapp_number]]," ","")</f>
        <v>8898500703</v>
      </c>
      <c r="S715" s="383" t="str">
        <f>IF(Table3937[[#This Row],[PRIMARY CONTACT]]=Table3937[[#This Row],[WHATSAPP CONTACT]],"Same Contact","Different Contact")</f>
        <v>Same Contact</v>
      </c>
      <c r="T715" s="383" t="str">
        <f>IF(LEN(SUBSTITUTE(Table3937[[#This Row],[PRIMARY CONTACT]]," ",""))=10,SUBSTITUTE(Table3937[[#This Row],[PRIMARY CONTACT]]," ","") &amp; " - Proper","- Follow Up")</f>
        <v>8898500703 - Proper</v>
      </c>
      <c r="U715" s="383" t="s">
        <v>10692</v>
      </c>
      <c r="V715" s="393" t="s">
        <v>4812</v>
      </c>
      <c r="W715" s="383" t="s">
        <v>47</v>
      </c>
      <c r="X715" s="237" t="s">
        <v>1406</v>
      </c>
      <c r="Y715" s="237" t="s">
        <v>49</v>
      </c>
      <c r="Z715" s="237" t="s">
        <v>7444</v>
      </c>
      <c r="AA715" s="237" t="s">
        <v>7445</v>
      </c>
      <c r="AB715" s="383"/>
    </row>
    <row r="716" spans="1:28" ht="13.8">
      <c r="A716" s="387">
        <v>715</v>
      </c>
      <c r="B716" s="233" t="s">
        <v>7517</v>
      </c>
      <c r="C716" s="383" t="s">
        <v>10709</v>
      </c>
      <c r="D716" s="383" t="s">
        <v>10731</v>
      </c>
      <c r="E716" s="383" t="s">
        <v>9214</v>
      </c>
      <c r="F716" s="383">
        <v>1444</v>
      </c>
      <c r="G716" s="383" t="s">
        <v>4815</v>
      </c>
      <c r="H716" s="383" t="s">
        <v>4816</v>
      </c>
      <c r="I716" s="383" t="s">
        <v>8571</v>
      </c>
      <c r="J716" s="383" t="s">
        <v>9478</v>
      </c>
      <c r="K716" s="383" t="s">
        <v>3498</v>
      </c>
      <c r="L716" s="383" t="s">
        <v>9859</v>
      </c>
      <c r="M716" s="383" t="s">
        <v>10361</v>
      </c>
      <c r="N716" s="239" t="s">
        <v>44</v>
      </c>
      <c r="O716" s="383" t="str">
        <f>IF(LEN(SUBSTITUTE(Table3937[[#This Row],[PRIMARY CONTACT]]," ",""))=10,SUBSTITUTE(Table3937[[#This Row],[PRIMARY CONTACT]]," ","") &amp; " - Proper","- Follow Up")</f>
        <v>9022122046 - Proper</v>
      </c>
      <c r="P716" s="383" t="s">
        <v>4637</v>
      </c>
      <c r="Q716" s="383">
        <v>9022122046</v>
      </c>
      <c r="R716" s="383" t="str">
        <f>SUBSTITUTE(Table3937[[#This Row],[whatsapp_number]]," ","")</f>
        <v>9022122046</v>
      </c>
      <c r="S716" s="383" t="str">
        <f>IF(Table3937[[#This Row],[PRIMARY CONTACT]]=Table3937[[#This Row],[WHATSAPP CONTACT]],"Same Contact","Different Contact")</f>
        <v>Same Contact</v>
      </c>
      <c r="T716" s="383" t="str">
        <f>IF(LEN(SUBSTITUTE(Table3937[[#This Row],[PRIMARY CONTACT]]," ",""))=10,SUBSTITUTE(Table3937[[#This Row],[PRIMARY CONTACT]]," ","") &amp; " - Proper","- Follow Up")</f>
        <v>9022122046 - Proper</v>
      </c>
      <c r="U716" s="383" t="s">
        <v>10605</v>
      </c>
      <c r="V716" s="383" t="s">
        <v>71</v>
      </c>
      <c r="W716" s="383" t="s">
        <v>47</v>
      </c>
      <c r="X716" s="237" t="s">
        <v>1406</v>
      </c>
      <c r="Y716" s="237" t="s">
        <v>49</v>
      </c>
      <c r="Z716" s="237" t="s">
        <v>7444</v>
      </c>
      <c r="AA716" s="237" t="s">
        <v>7445</v>
      </c>
      <c r="AB716" s="383"/>
    </row>
    <row r="717" spans="1:28" ht="13.8">
      <c r="A717" s="387">
        <v>716</v>
      </c>
      <c r="B717" s="233" t="s">
        <v>7520</v>
      </c>
      <c r="C717" s="383" t="s">
        <v>10709</v>
      </c>
      <c r="D717" s="383" t="s">
        <v>10732</v>
      </c>
      <c r="E717" s="383" t="s">
        <v>9215</v>
      </c>
      <c r="F717" s="383">
        <v>1446</v>
      </c>
      <c r="G717" s="383" t="s">
        <v>4823</v>
      </c>
      <c r="H717" s="383" t="s">
        <v>4795</v>
      </c>
      <c r="I717" s="383" t="s">
        <v>8572</v>
      </c>
      <c r="J717" s="383" t="s">
        <v>9479</v>
      </c>
      <c r="K717" s="383" t="s">
        <v>9578</v>
      </c>
      <c r="L717" s="383" t="s">
        <v>8341</v>
      </c>
      <c r="M717" s="383" t="s">
        <v>10188</v>
      </c>
      <c r="N717" s="239" t="s">
        <v>44</v>
      </c>
      <c r="O717" s="383" t="str">
        <f>IF(LEN(SUBSTITUTE(Table3937[[#This Row],[PRIMARY CONTACT]]," ",""))=10,SUBSTITUTE(Table3937[[#This Row],[PRIMARY CONTACT]]," ","") &amp; " - Proper","- Follow Up")</f>
        <v>9167574302 - Proper</v>
      </c>
      <c r="P717" s="383" t="s">
        <v>4637</v>
      </c>
      <c r="Q717" s="383">
        <v>9167574302</v>
      </c>
      <c r="R717" s="383" t="str">
        <f>SUBSTITUTE(Table3937[[#This Row],[whatsapp_number]]," ","")</f>
        <v>9167574302</v>
      </c>
      <c r="S717" s="383" t="str">
        <f>IF(Table3937[[#This Row],[PRIMARY CONTACT]]=Table3937[[#This Row],[WHATSAPP CONTACT]],"Same Contact","Different Contact")</f>
        <v>Same Contact</v>
      </c>
      <c r="T717" s="383" t="str">
        <f>IF(LEN(SUBSTITUTE(Table3937[[#This Row],[PRIMARY CONTACT]]," ",""))=10,SUBSTITUTE(Table3937[[#This Row],[PRIMARY CONTACT]]," ","") &amp; " - Proper","- Follow Up")</f>
        <v>9167574302 - Proper</v>
      </c>
      <c r="U717" s="383" t="s">
        <v>10693</v>
      </c>
      <c r="V717" s="383" t="s">
        <v>71</v>
      </c>
      <c r="W717" s="383" t="s">
        <v>47</v>
      </c>
      <c r="X717" s="237" t="s">
        <v>1406</v>
      </c>
      <c r="Y717" s="237" t="s">
        <v>49</v>
      </c>
      <c r="Z717" s="237" t="s">
        <v>7444</v>
      </c>
      <c r="AA717" s="237" t="s">
        <v>7445</v>
      </c>
      <c r="AB717" s="383"/>
    </row>
    <row r="718" spans="1:28" ht="13.8">
      <c r="A718" s="387">
        <v>717</v>
      </c>
      <c r="B718" s="383" t="s">
        <v>10716</v>
      </c>
      <c r="C718" s="383" t="s">
        <v>10743</v>
      </c>
      <c r="D718" s="383" t="s">
        <v>10716</v>
      </c>
      <c r="E718" s="383" t="s">
        <v>9216</v>
      </c>
      <c r="F718" s="383">
        <v>1447</v>
      </c>
      <c r="G718" s="383" t="s">
        <v>71</v>
      </c>
      <c r="H718" s="383" t="s">
        <v>2821</v>
      </c>
      <c r="I718" s="383" t="s">
        <v>8573</v>
      </c>
      <c r="J718" s="383" t="s">
        <v>2818</v>
      </c>
      <c r="K718" s="383" t="s">
        <v>78</v>
      </c>
      <c r="L718" s="383" t="s">
        <v>9860</v>
      </c>
      <c r="M718" s="383" t="s">
        <v>10514</v>
      </c>
      <c r="N718" s="239" t="s">
        <v>44</v>
      </c>
      <c r="O718" s="383" t="str">
        <f>IF(LEN(SUBSTITUTE(Table3937[[#This Row],[PRIMARY CONTACT]]," ",""))=10,SUBSTITUTE(Table3937[[#This Row],[PRIMARY CONTACT]]," ","") &amp; " - Proper","- Follow Up")</f>
        <v>9967351920 - Proper</v>
      </c>
      <c r="P718" s="383" t="s">
        <v>6019</v>
      </c>
      <c r="Q718" s="383">
        <v>9967351920</v>
      </c>
      <c r="R718" s="383" t="str">
        <f>SUBSTITUTE(Table3937[[#This Row],[whatsapp_number]]," ","")</f>
        <v>9967351920</v>
      </c>
      <c r="S718" s="383" t="str">
        <f>IF(Table3937[[#This Row],[PRIMARY CONTACT]]=Table3937[[#This Row],[WHATSAPP CONTACT]],"Same Contact","Different Contact")</f>
        <v>Same Contact</v>
      </c>
      <c r="T718" s="383" t="str">
        <f>IF(LEN(SUBSTITUTE(Table3937[[#This Row],[PRIMARY CONTACT]]," ",""))=10,SUBSTITUTE(Table3937[[#This Row],[PRIMARY CONTACT]]," ","") &amp; " - Proper","- Follow Up")</f>
        <v>9967351920 - Proper</v>
      </c>
      <c r="U718" s="383" t="s">
        <v>10694</v>
      </c>
      <c r="V718" s="393" t="s">
        <v>2820</v>
      </c>
      <c r="W718" s="383" t="s">
        <v>47</v>
      </c>
      <c r="X718" s="422" t="s">
        <v>44</v>
      </c>
      <c r="Y718" s="422" t="s">
        <v>44</v>
      </c>
      <c r="Z718" s="422" t="s">
        <v>44</v>
      </c>
      <c r="AA718" s="422" t="s">
        <v>44</v>
      </c>
      <c r="AB718" s="383"/>
    </row>
    <row r="719" spans="1:28" ht="13.8">
      <c r="A719" s="387">
        <v>718</v>
      </c>
      <c r="B719" s="383" t="s">
        <v>10716</v>
      </c>
      <c r="C719" s="383" t="s">
        <v>10743</v>
      </c>
      <c r="D719" s="383" t="s">
        <v>10716</v>
      </c>
      <c r="E719" s="383" t="s">
        <v>9217</v>
      </c>
      <c r="F719" s="383">
        <v>1448</v>
      </c>
      <c r="G719" s="383" t="s">
        <v>71</v>
      </c>
      <c r="H719" s="383" t="s">
        <v>2825</v>
      </c>
      <c r="I719" s="383" t="s">
        <v>8573</v>
      </c>
      <c r="J719" s="383" t="s">
        <v>9480</v>
      </c>
      <c r="K719" s="383" t="s">
        <v>2824</v>
      </c>
      <c r="L719" s="383" t="s">
        <v>9860</v>
      </c>
      <c r="M719" s="383" t="s">
        <v>10515</v>
      </c>
      <c r="N719" s="239" t="s">
        <v>44</v>
      </c>
      <c r="O719" s="383" t="str">
        <f>IF(LEN(SUBSTITUTE(Table3937[[#This Row],[PRIMARY CONTACT]]," ",""))=10,SUBSTITUTE(Table3937[[#This Row],[PRIMARY CONTACT]]," ","") &amp; " - Proper","- Follow Up")</f>
        <v>9820023209 - Proper</v>
      </c>
      <c r="P719" s="383" t="s">
        <v>6022</v>
      </c>
      <c r="Q719" s="383">
        <v>9820023209</v>
      </c>
      <c r="R719" s="383" t="str">
        <f>SUBSTITUTE(Table3937[[#This Row],[whatsapp_number]]," ","")</f>
        <v>9820023209</v>
      </c>
      <c r="S719" s="383" t="str">
        <f>IF(Table3937[[#This Row],[PRIMARY CONTACT]]=Table3937[[#This Row],[WHATSAPP CONTACT]],"Same Contact","Different Contact")</f>
        <v>Same Contact</v>
      </c>
      <c r="T719" s="383" t="str">
        <f>IF(LEN(SUBSTITUTE(Table3937[[#This Row],[PRIMARY CONTACT]]," ",""))=10,SUBSTITUTE(Table3937[[#This Row],[PRIMARY CONTACT]]," ","") &amp; " - Proper","- Follow Up")</f>
        <v>9820023209 - Proper</v>
      </c>
      <c r="U719" s="383" t="s">
        <v>10694</v>
      </c>
      <c r="V719" s="393" t="s">
        <v>2820</v>
      </c>
      <c r="W719" s="383" t="s">
        <v>47</v>
      </c>
      <c r="X719" s="422" t="s">
        <v>44</v>
      </c>
      <c r="Y719" s="422" t="s">
        <v>44</v>
      </c>
      <c r="Z719" s="422" t="s">
        <v>44</v>
      </c>
      <c r="AA719" s="422" t="s">
        <v>44</v>
      </c>
      <c r="AB719" s="383"/>
    </row>
    <row r="720" spans="1:28" ht="13.8">
      <c r="A720" s="387">
        <v>719</v>
      </c>
      <c r="B720" s="233" t="s">
        <v>7522</v>
      </c>
      <c r="C720" s="383" t="s">
        <v>10709</v>
      </c>
      <c r="D720" s="383" t="s">
        <v>10733</v>
      </c>
      <c r="E720" s="383" t="s">
        <v>9218</v>
      </c>
      <c r="F720" s="383">
        <v>1451</v>
      </c>
      <c r="G720" s="383" t="s">
        <v>4829</v>
      </c>
      <c r="H720" s="383" t="s">
        <v>4830</v>
      </c>
      <c r="I720" s="383" t="s">
        <v>4831</v>
      </c>
      <c r="J720" s="383" t="s">
        <v>9481</v>
      </c>
      <c r="K720" s="383" t="s">
        <v>9594</v>
      </c>
      <c r="L720" s="383" t="s">
        <v>9861</v>
      </c>
      <c r="M720" s="383" t="s">
        <v>10516</v>
      </c>
      <c r="N720" s="239" t="s">
        <v>44</v>
      </c>
      <c r="O720" s="383" t="str">
        <f>IF(LEN(SUBSTITUTE(Table3937[[#This Row],[PRIMARY CONTACT]]," ",""))=10,SUBSTITUTE(Table3937[[#This Row],[PRIMARY CONTACT]]," ","") &amp; " - Proper","- Follow Up")</f>
        <v>9029452341 - Proper</v>
      </c>
      <c r="P720" s="383" t="s">
        <v>4637</v>
      </c>
      <c r="Q720" s="383">
        <v>9029452341</v>
      </c>
      <c r="R720" s="383" t="str">
        <f>SUBSTITUTE(Table3937[[#This Row],[whatsapp_number]]," ","")</f>
        <v>9029452341</v>
      </c>
      <c r="S720" s="383" t="str">
        <f>IF(Table3937[[#This Row],[PRIMARY CONTACT]]=Table3937[[#This Row],[WHATSAPP CONTACT]],"Same Contact","Different Contact")</f>
        <v>Same Contact</v>
      </c>
      <c r="T720" s="383" t="str">
        <f>IF(LEN(SUBSTITUTE(Table3937[[#This Row],[PRIMARY CONTACT]]," ",""))=10,SUBSTITUTE(Table3937[[#This Row],[PRIMARY CONTACT]]," ","") &amp; " - Proper","- Follow Up")</f>
        <v>9029452341 - Proper</v>
      </c>
      <c r="U720" s="383" t="s">
        <v>10695</v>
      </c>
      <c r="V720" s="393" t="s">
        <v>4837</v>
      </c>
      <c r="W720" s="383" t="s">
        <v>47</v>
      </c>
      <c r="X720" s="237" t="s">
        <v>1406</v>
      </c>
      <c r="Y720" s="237" t="s">
        <v>49</v>
      </c>
      <c r="Z720" s="237" t="s">
        <v>7444</v>
      </c>
      <c r="AA720" s="237" t="s">
        <v>7445</v>
      </c>
      <c r="AB720" s="383"/>
    </row>
    <row r="721" spans="1:28" ht="13.8">
      <c r="A721" s="387">
        <v>720</v>
      </c>
      <c r="B721" s="233" t="s">
        <v>7524</v>
      </c>
      <c r="C721" s="383" t="s">
        <v>10709</v>
      </c>
      <c r="D721" s="383" t="s">
        <v>10734</v>
      </c>
      <c r="E721" s="383" t="s">
        <v>9219</v>
      </c>
      <c r="F721" s="383">
        <v>1452</v>
      </c>
      <c r="G721" s="383" t="s">
        <v>4840</v>
      </c>
      <c r="H721" s="383" t="s">
        <v>4841</v>
      </c>
      <c r="I721" s="383" t="s">
        <v>968</v>
      </c>
      <c r="J721" s="383" t="s">
        <v>9482</v>
      </c>
      <c r="K721" s="383" t="s">
        <v>3867</v>
      </c>
      <c r="L721" s="383" t="s">
        <v>9862</v>
      </c>
      <c r="M721" s="383" t="s">
        <v>10517</v>
      </c>
      <c r="N721" s="239" t="s">
        <v>44</v>
      </c>
      <c r="O721" s="383" t="str">
        <f>IF(LEN(SUBSTITUTE(Table3937[[#This Row],[PRIMARY CONTACT]]," ",""))=10,SUBSTITUTE(Table3937[[#This Row],[PRIMARY CONTACT]]," ","") &amp; " - Proper","- Follow Up")</f>
        <v>9920248604 - Proper</v>
      </c>
      <c r="P721" s="383" t="s">
        <v>4637</v>
      </c>
      <c r="Q721" s="383">
        <v>9920248604</v>
      </c>
      <c r="R721" s="383" t="str">
        <f>SUBSTITUTE(Table3937[[#This Row],[whatsapp_number]]," ","")</f>
        <v>9920248604</v>
      </c>
      <c r="S721" s="383" t="str">
        <f>IF(Table3937[[#This Row],[PRIMARY CONTACT]]=Table3937[[#This Row],[WHATSAPP CONTACT]],"Same Contact","Different Contact")</f>
        <v>Same Contact</v>
      </c>
      <c r="T721" s="383" t="str">
        <f>IF(LEN(SUBSTITUTE(Table3937[[#This Row],[PRIMARY CONTACT]]," ",""))=10,SUBSTITUTE(Table3937[[#This Row],[PRIMARY CONTACT]]," ","") &amp; " - Proper","- Follow Up")</f>
        <v>9920248604 - Proper</v>
      </c>
      <c r="U721" s="383" t="s">
        <v>10696</v>
      </c>
      <c r="V721" s="383" t="s">
        <v>4846</v>
      </c>
      <c r="W721" s="383" t="s">
        <v>47</v>
      </c>
      <c r="X721" s="237" t="s">
        <v>1406</v>
      </c>
      <c r="Y721" s="237" t="s">
        <v>49</v>
      </c>
      <c r="Z721" s="237" t="s">
        <v>7444</v>
      </c>
      <c r="AA721" s="237" t="s">
        <v>7445</v>
      </c>
      <c r="AB721" s="383"/>
    </row>
    <row r="722" spans="1:28" ht="13.8">
      <c r="A722" s="387">
        <v>721</v>
      </c>
      <c r="B722" s="233" t="s">
        <v>7529</v>
      </c>
      <c r="C722" s="383" t="s">
        <v>10709</v>
      </c>
      <c r="D722" s="383" t="s">
        <v>10735</v>
      </c>
      <c r="E722" s="383" t="s">
        <v>9220</v>
      </c>
      <c r="F722" s="383">
        <v>1454</v>
      </c>
      <c r="G722" s="383" t="s">
        <v>4849</v>
      </c>
      <c r="H722" s="383" t="s">
        <v>4850</v>
      </c>
      <c r="I722" s="383" t="s">
        <v>8574</v>
      </c>
      <c r="J722" s="383" t="s">
        <v>9483</v>
      </c>
      <c r="K722" s="383" t="s">
        <v>9595</v>
      </c>
      <c r="L722" s="383" t="s">
        <v>9691</v>
      </c>
      <c r="M722" s="383" t="s">
        <v>10193</v>
      </c>
      <c r="N722" s="239" t="s">
        <v>44</v>
      </c>
      <c r="O722" s="383" t="str">
        <f>IF(LEN(SUBSTITUTE(Table3937[[#This Row],[PRIMARY CONTACT]]," ",""))=10,SUBSTITUTE(Table3937[[#This Row],[PRIMARY CONTACT]]," ","") &amp; " - Proper","- Follow Up")</f>
        <v>9820325251 - Proper</v>
      </c>
      <c r="P722" s="383" t="s">
        <v>4637</v>
      </c>
      <c r="Q722" s="383">
        <v>9820325251</v>
      </c>
      <c r="R722" s="383" t="str">
        <f>SUBSTITUTE(Table3937[[#This Row],[whatsapp_number]]," ","")</f>
        <v>9820325251</v>
      </c>
      <c r="S722" s="383" t="str">
        <f>IF(Table3937[[#This Row],[PRIMARY CONTACT]]=Table3937[[#This Row],[WHATSAPP CONTACT]],"Same Contact","Different Contact")</f>
        <v>Same Contact</v>
      </c>
      <c r="T722" s="383" t="str">
        <f>IF(LEN(SUBSTITUTE(Table3937[[#This Row],[PRIMARY CONTACT]]," ",""))=10,SUBSTITUTE(Table3937[[#This Row],[PRIMARY CONTACT]]," ","") &amp; " - Proper","- Follow Up")</f>
        <v>9820325251 - Proper</v>
      </c>
      <c r="U722" s="383" t="s">
        <v>10573</v>
      </c>
      <c r="V722" s="393" t="s">
        <v>1147</v>
      </c>
      <c r="W722" s="383" t="s">
        <v>47</v>
      </c>
      <c r="X722" s="237" t="s">
        <v>1406</v>
      </c>
      <c r="Y722" s="237" t="s">
        <v>49</v>
      </c>
      <c r="Z722" s="237" t="s">
        <v>7444</v>
      </c>
      <c r="AA722" s="237" t="s">
        <v>7445</v>
      </c>
      <c r="AB722" s="383"/>
    </row>
    <row r="723" spans="1:28" ht="13.8">
      <c r="A723" s="387">
        <v>722</v>
      </c>
      <c r="B723" s="415" t="s">
        <v>7532</v>
      </c>
      <c r="C723" s="383" t="s">
        <v>10709</v>
      </c>
      <c r="D723" s="383" t="s">
        <v>10736</v>
      </c>
      <c r="E723" s="383" t="s">
        <v>9221</v>
      </c>
      <c r="F723" s="383">
        <v>1455</v>
      </c>
      <c r="G723" s="383" t="s">
        <v>4856</v>
      </c>
      <c r="H723" s="383" t="s">
        <v>4857</v>
      </c>
      <c r="I723" s="383" t="s">
        <v>8575</v>
      </c>
      <c r="J723" s="383" t="s">
        <v>9484</v>
      </c>
      <c r="K723" s="383" t="s">
        <v>9596</v>
      </c>
      <c r="L723" s="383" t="s">
        <v>9863</v>
      </c>
      <c r="M723" s="383" t="s">
        <v>10111</v>
      </c>
      <c r="N723" s="239" t="s">
        <v>44</v>
      </c>
      <c r="O723" s="383" t="str">
        <f>IF(LEN(SUBSTITUTE(Table3937[[#This Row],[PRIMARY CONTACT]]," ",""))=10,SUBSTITUTE(Table3937[[#This Row],[PRIMARY CONTACT]]," ","") &amp; " - Proper","- Follow Up")</f>
        <v>9619098408 - Proper</v>
      </c>
      <c r="P723" s="383" t="s">
        <v>4637</v>
      </c>
      <c r="Q723" s="383">
        <v>9619098408</v>
      </c>
      <c r="R723" s="383" t="str">
        <f>SUBSTITUTE(Table3937[[#This Row],[whatsapp_number]]," ","")</f>
        <v>9619098408</v>
      </c>
      <c r="S723" s="383" t="str">
        <f>IF(Table3937[[#This Row],[PRIMARY CONTACT]]=Table3937[[#This Row],[WHATSAPP CONTACT]],"Same Contact","Different Contact")</f>
        <v>Same Contact</v>
      </c>
      <c r="T723" s="383" t="str">
        <f>IF(LEN(SUBSTITUTE(Table3937[[#This Row],[PRIMARY CONTACT]]," ",""))=10,SUBSTITUTE(Table3937[[#This Row],[PRIMARY CONTACT]]," ","") &amp; " - Proper","- Follow Up")</f>
        <v>9619098408 - Proper</v>
      </c>
      <c r="U723" s="383" t="s">
        <v>10697</v>
      </c>
      <c r="V723" s="393" t="s">
        <v>4863</v>
      </c>
      <c r="W723" s="383" t="s">
        <v>47</v>
      </c>
      <c r="X723" s="237" t="s">
        <v>1406</v>
      </c>
      <c r="Y723" s="237" t="s">
        <v>49</v>
      </c>
      <c r="Z723" s="237" t="s">
        <v>7444</v>
      </c>
      <c r="AA723" s="237" t="s">
        <v>7445</v>
      </c>
      <c r="AB723" s="383"/>
    </row>
    <row r="724" spans="1:28" ht="13.8">
      <c r="A724" s="387">
        <v>723</v>
      </c>
      <c r="B724" s="233" t="s">
        <v>7538</v>
      </c>
      <c r="C724" s="383" t="s">
        <v>10709</v>
      </c>
      <c r="D724" s="383" t="s">
        <v>10737</v>
      </c>
      <c r="E724" s="383" t="s">
        <v>9222</v>
      </c>
      <c r="F724" s="383">
        <v>1457</v>
      </c>
      <c r="G724" s="383" t="s">
        <v>4866</v>
      </c>
      <c r="H724" s="383" t="s">
        <v>4867</v>
      </c>
      <c r="I724" s="383" t="s">
        <v>627</v>
      </c>
      <c r="J724" s="383" t="s">
        <v>9485</v>
      </c>
      <c r="K724" s="383" t="s">
        <v>9597</v>
      </c>
      <c r="L724" s="383" t="s">
        <v>9663</v>
      </c>
      <c r="M724" s="383" t="s">
        <v>10121</v>
      </c>
      <c r="N724" s="239" t="s">
        <v>44</v>
      </c>
      <c r="O724" s="383" t="str">
        <f>IF(LEN(SUBSTITUTE(Table3937[[#This Row],[PRIMARY CONTACT]]," ",""))=10,SUBSTITUTE(Table3937[[#This Row],[PRIMARY CONTACT]]," ","") &amp; " - Proper","- Follow Up")</f>
        <v>8108693840 - Proper</v>
      </c>
      <c r="P724" s="383" t="s">
        <v>4637</v>
      </c>
      <c r="Q724" s="383">
        <v>8108693840</v>
      </c>
      <c r="R724" s="383" t="str">
        <f>SUBSTITUTE(Table3937[[#This Row],[whatsapp_number]]," ","")</f>
        <v>8108693840</v>
      </c>
      <c r="S724" s="383" t="str">
        <f>IF(Table3937[[#This Row],[PRIMARY CONTACT]]=Table3937[[#This Row],[WHATSAPP CONTACT]],"Same Contact","Different Contact")</f>
        <v>Same Contact</v>
      </c>
      <c r="T724" s="383" t="str">
        <f>IF(LEN(SUBSTITUTE(Table3937[[#This Row],[PRIMARY CONTACT]]," ",""))=10,SUBSTITUTE(Table3937[[#This Row],[PRIMARY CONTACT]]," ","") &amp; " - Proper","- Follow Up")</f>
        <v>8108693840 - Proper</v>
      </c>
      <c r="U724" s="383" t="s">
        <v>3072</v>
      </c>
      <c r="V724" s="393" t="s">
        <v>3073</v>
      </c>
      <c r="W724" s="383" t="s">
        <v>47</v>
      </c>
      <c r="X724" s="237" t="s">
        <v>1406</v>
      </c>
      <c r="Y724" s="237" t="s">
        <v>49</v>
      </c>
      <c r="Z724" s="237" t="s">
        <v>7444</v>
      </c>
      <c r="AA724" s="237" t="s">
        <v>7445</v>
      </c>
      <c r="AB724" s="383"/>
    </row>
    <row r="725" spans="1:28" ht="13.8">
      <c r="A725" s="387">
        <v>724</v>
      </c>
      <c r="B725" s="233" t="s">
        <v>7541</v>
      </c>
      <c r="C725" s="383" t="s">
        <v>10709</v>
      </c>
      <c r="D725" s="383" t="s">
        <v>10738</v>
      </c>
      <c r="E725" s="383" t="s">
        <v>9223</v>
      </c>
      <c r="F725" s="383">
        <v>1460</v>
      </c>
      <c r="G725" s="383" t="s">
        <v>4873</v>
      </c>
      <c r="H725" s="383" t="s">
        <v>4874</v>
      </c>
      <c r="I725" s="383" t="s">
        <v>8576</v>
      </c>
      <c r="J725" s="383" t="s">
        <v>9486</v>
      </c>
      <c r="K725" s="383" t="s">
        <v>9598</v>
      </c>
      <c r="L725" s="383" t="s">
        <v>9864</v>
      </c>
      <c r="M725" s="383" t="s">
        <v>10518</v>
      </c>
      <c r="N725" s="239" t="s">
        <v>44</v>
      </c>
      <c r="O725" s="383" t="str">
        <f>IF(LEN(SUBSTITUTE(Table3937[[#This Row],[PRIMARY CONTACT]]," ",""))=10,SUBSTITUTE(Table3937[[#This Row],[PRIMARY CONTACT]]," ","") &amp; " - Proper","- Follow Up")</f>
        <v>9833283756 - Proper</v>
      </c>
      <c r="P725" s="383" t="s">
        <v>4637</v>
      </c>
      <c r="Q725" s="383">
        <v>9833283756</v>
      </c>
      <c r="R725" s="383" t="str">
        <f>SUBSTITUTE(Table3937[[#This Row],[whatsapp_number]]," ","")</f>
        <v>9833283756</v>
      </c>
      <c r="S725" s="383" t="str">
        <f>IF(Table3937[[#This Row],[PRIMARY CONTACT]]=Table3937[[#This Row],[WHATSAPP CONTACT]],"Same Contact","Different Contact")</f>
        <v>Same Contact</v>
      </c>
      <c r="T725" s="383" t="str">
        <f>IF(LEN(SUBSTITUTE(Table3937[[#This Row],[PRIMARY CONTACT]]," ",""))=10,SUBSTITUTE(Table3937[[#This Row],[PRIMARY CONTACT]]," ","") &amp; " - Proper","- Follow Up")</f>
        <v>9833283756 - Proper</v>
      </c>
      <c r="U725" s="383" t="s">
        <v>4879</v>
      </c>
      <c r="V725" s="383" t="s">
        <v>71</v>
      </c>
      <c r="W725" s="383" t="s">
        <v>47</v>
      </c>
      <c r="X725" s="237" t="s">
        <v>1406</v>
      </c>
      <c r="Y725" s="237" t="s">
        <v>49</v>
      </c>
      <c r="Z725" s="237" t="s">
        <v>7444</v>
      </c>
      <c r="AA725" s="237" t="s">
        <v>7445</v>
      </c>
      <c r="AB725" s="383"/>
    </row>
    <row r="726" spans="1:28" ht="13.8">
      <c r="A726" s="387">
        <v>725</v>
      </c>
      <c r="B726" s="233" t="s">
        <v>7543</v>
      </c>
      <c r="C726" s="383" t="s">
        <v>10743</v>
      </c>
      <c r="D726" s="383" t="s">
        <v>10739</v>
      </c>
      <c r="E726" s="383" t="s">
        <v>9224</v>
      </c>
      <c r="F726" s="383">
        <v>1461</v>
      </c>
      <c r="G726" s="383" t="s">
        <v>4883</v>
      </c>
      <c r="H726" s="383" t="s">
        <v>4884</v>
      </c>
      <c r="I726" s="383" t="s">
        <v>4885</v>
      </c>
      <c r="J726" s="383" t="s">
        <v>9487</v>
      </c>
      <c r="K726" s="383" t="s">
        <v>9599</v>
      </c>
      <c r="L726" s="383" t="s">
        <v>9865</v>
      </c>
      <c r="M726" s="383" t="s">
        <v>10368</v>
      </c>
      <c r="N726" s="239" t="s">
        <v>44</v>
      </c>
      <c r="O726" s="383" t="str">
        <f>IF(LEN(SUBSTITUTE(Table3937[[#This Row],[PRIMARY CONTACT]]," ",""))=10,SUBSTITUTE(Table3937[[#This Row],[PRIMARY CONTACT]]," ","") &amp; " - Proper","- Follow Up")</f>
        <v>- Follow Up</v>
      </c>
      <c r="P726" s="383" t="s">
        <v>4637</v>
      </c>
      <c r="Q726" s="383">
        <v>85291327736</v>
      </c>
      <c r="R726" s="383" t="str">
        <f>SUBSTITUTE(Table3937[[#This Row],[whatsapp_number]]," ","")</f>
        <v>85291327736</v>
      </c>
      <c r="S726" s="383" t="str">
        <f>IF(Table3937[[#This Row],[PRIMARY CONTACT]]=Table3937[[#This Row],[WHATSAPP CONTACT]],"Same Contact","Different Contact")</f>
        <v>Same Contact</v>
      </c>
      <c r="T726" s="383" t="str">
        <f>IF(LEN(SUBSTITUTE(Table3937[[#This Row],[PRIMARY CONTACT]]," ",""))=10,SUBSTITUTE(Table3937[[#This Row],[PRIMARY CONTACT]]," ","") &amp; " - Proper","- Follow Up")</f>
        <v>- Follow Up</v>
      </c>
      <c r="U726" s="383" t="s">
        <v>2953</v>
      </c>
      <c r="V726" s="383" t="s">
        <v>71</v>
      </c>
      <c r="W726" s="383" t="s">
        <v>47</v>
      </c>
      <c r="X726" s="237" t="s">
        <v>1406</v>
      </c>
      <c r="Y726" s="237" t="s">
        <v>49</v>
      </c>
      <c r="Z726" s="237" t="s">
        <v>7444</v>
      </c>
      <c r="AA726" s="237" t="s">
        <v>7445</v>
      </c>
      <c r="AB726" s="383"/>
    </row>
    <row r="727" spans="1:28" ht="13.8">
      <c r="A727" s="387">
        <v>726</v>
      </c>
      <c r="B727" s="233" t="s">
        <v>7545</v>
      </c>
      <c r="C727" s="383" t="s">
        <v>10743</v>
      </c>
      <c r="D727" s="383" t="s">
        <v>10740</v>
      </c>
      <c r="E727" s="383" t="s">
        <v>9225</v>
      </c>
      <c r="F727" s="383">
        <v>1462</v>
      </c>
      <c r="G727" s="383" t="s">
        <v>4891</v>
      </c>
      <c r="H727" s="383" t="s">
        <v>4892</v>
      </c>
      <c r="I727" s="383" t="s">
        <v>4893</v>
      </c>
      <c r="J727" s="383" t="s">
        <v>9488</v>
      </c>
      <c r="K727" s="383" t="s">
        <v>9600</v>
      </c>
      <c r="L727" s="383" t="s">
        <v>9866</v>
      </c>
      <c r="M727" s="383" t="s">
        <v>10519</v>
      </c>
      <c r="N727" s="239" t="s">
        <v>44</v>
      </c>
      <c r="O727" s="383" t="str">
        <f>IF(LEN(SUBSTITUTE(Table3937[[#This Row],[PRIMARY CONTACT]]," ",""))=10,SUBSTITUTE(Table3937[[#This Row],[PRIMARY CONTACT]]," ","") &amp; " - Proper","- Follow Up")</f>
        <v>8800290327 - Proper</v>
      </c>
      <c r="P727" s="383" t="s">
        <v>4637</v>
      </c>
      <c r="Q727" s="383">
        <v>8800290327</v>
      </c>
      <c r="R727" s="383" t="str">
        <f>SUBSTITUTE(Table3937[[#This Row],[whatsapp_number]]," ","")</f>
        <v>8800290327</v>
      </c>
      <c r="S727" s="383" t="str">
        <f>IF(Table3937[[#This Row],[PRIMARY CONTACT]]=Table3937[[#This Row],[WHATSAPP CONTACT]],"Same Contact","Different Contact")</f>
        <v>Same Contact</v>
      </c>
      <c r="T727" s="383" t="str">
        <f>IF(LEN(SUBSTITUTE(Table3937[[#This Row],[PRIMARY CONTACT]]," ",""))=10,SUBSTITUTE(Table3937[[#This Row],[PRIMARY CONTACT]]," ","") &amp; " - Proper","- Follow Up")</f>
        <v>8800290327 - Proper</v>
      </c>
      <c r="U727" s="383" t="s">
        <v>10698</v>
      </c>
      <c r="V727" s="393" t="s">
        <v>4898</v>
      </c>
      <c r="W727" s="383" t="s">
        <v>47</v>
      </c>
      <c r="X727" s="237" t="s">
        <v>1406</v>
      </c>
      <c r="Y727" s="237" t="s">
        <v>49</v>
      </c>
      <c r="Z727" s="237" t="s">
        <v>7444</v>
      </c>
      <c r="AA727" s="237" t="s">
        <v>7445</v>
      </c>
      <c r="AB727" s="383"/>
    </row>
    <row r="728" spans="1:28" ht="13.8">
      <c r="A728" s="387">
        <v>727</v>
      </c>
      <c r="B728" s="233" t="s">
        <v>7550</v>
      </c>
      <c r="C728" s="383" t="s">
        <v>10743</v>
      </c>
      <c r="D728" s="383" t="s">
        <v>10741</v>
      </c>
      <c r="E728" s="383" t="s">
        <v>9226</v>
      </c>
      <c r="F728" s="383">
        <v>1463</v>
      </c>
      <c r="G728" s="383" t="s">
        <v>4901</v>
      </c>
      <c r="H728" s="383" t="s">
        <v>4902</v>
      </c>
      <c r="I728" s="383" t="s">
        <v>4903</v>
      </c>
      <c r="J728" s="383" t="s">
        <v>9489</v>
      </c>
      <c r="K728" s="383" t="s">
        <v>9601</v>
      </c>
      <c r="L728" s="383" t="s">
        <v>9867</v>
      </c>
      <c r="M728" s="383" t="s">
        <v>10520</v>
      </c>
      <c r="N728" s="239" t="s">
        <v>44</v>
      </c>
      <c r="O728" s="383" t="str">
        <f>IF(LEN(SUBSTITUTE(Table3937[[#This Row],[PRIMARY CONTACT]]," ",""))=10,SUBSTITUTE(Table3937[[#This Row],[PRIMARY CONTACT]]," ","") &amp; " - Proper","- Follow Up")</f>
        <v>9898881424 - Proper</v>
      </c>
      <c r="P728" s="383" t="s">
        <v>4637</v>
      </c>
      <c r="Q728" s="383">
        <v>9898881424</v>
      </c>
      <c r="R728" s="383" t="str">
        <f>SUBSTITUTE(Table3937[[#This Row],[whatsapp_number]]," ","")</f>
        <v>9898881424</v>
      </c>
      <c r="S728" s="383" t="str">
        <f>IF(Table3937[[#This Row],[PRIMARY CONTACT]]=Table3937[[#This Row],[WHATSAPP CONTACT]],"Same Contact","Different Contact")</f>
        <v>Same Contact</v>
      </c>
      <c r="T728" s="383" t="str">
        <f>IF(LEN(SUBSTITUTE(Table3937[[#This Row],[PRIMARY CONTACT]]," ",""))=10,SUBSTITUTE(Table3937[[#This Row],[PRIMARY CONTACT]]," ","") &amp; " - Proper","- Follow Up")</f>
        <v>9898881424 - Proper</v>
      </c>
      <c r="U728" s="383" t="s">
        <v>10699</v>
      </c>
      <c r="V728" s="393" t="s">
        <v>4909</v>
      </c>
      <c r="W728" s="383" t="s">
        <v>47</v>
      </c>
      <c r="X728" s="237" t="s">
        <v>1406</v>
      </c>
      <c r="Y728" s="237" t="s">
        <v>49</v>
      </c>
      <c r="Z728" s="237" t="s">
        <v>7444</v>
      </c>
      <c r="AA728" s="237" t="s">
        <v>7445</v>
      </c>
      <c r="AB728" s="383"/>
    </row>
    <row r="729" spans="1:28" ht="13.8">
      <c r="A729" s="387">
        <v>728</v>
      </c>
      <c r="B729" s="4" t="s">
        <v>10716</v>
      </c>
      <c r="C729" s="383" t="s">
        <v>10743</v>
      </c>
      <c r="D729" s="383" t="s">
        <v>10716</v>
      </c>
      <c r="E729" s="383" t="s">
        <v>9227</v>
      </c>
      <c r="F729" s="383">
        <v>1475</v>
      </c>
      <c r="G729" s="383" t="s">
        <v>71</v>
      </c>
      <c r="H729" s="383" t="s">
        <v>2753</v>
      </c>
      <c r="I729" s="383" t="s">
        <v>8577</v>
      </c>
      <c r="J729" s="383" t="s">
        <v>9490</v>
      </c>
      <c r="K729" s="383" t="s">
        <v>2750</v>
      </c>
      <c r="L729" s="383" t="s">
        <v>9868</v>
      </c>
      <c r="M729" s="383" t="s">
        <v>10521</v>
      </c>
      <c r="N729" s="239" t="s">
        <v>44</v>
      </c>
      <c r="O729" s="383" t="str">
        <f>IF(LEN(SUBSTITUTE(Table3937[[#This Row],[PRIMARY CONTACT]]," ",""))=10,SUBSTITUTE(Table3937[[#This Row],[PRIMARY CONTACT]]," ","") &amp; " - Proper","- Follow Up")</f>
        <v>- Follow Up</v>
      </c>
      <c r="P729" s="383" t="s">
        <v>2746</v>
      </c>
      <c r="Q729" s="383">
        <v>90225381396</v>
      </c>
      <c r="R729" s="383" t="str">
        <f>SUBSTITUTE(Table3937[[#This Row],[whatsapp_number]]," ","")</f>
        <v>90225381396</v>
      </c>
      <c r="S729" s="383" t="str">
        <f>IF(Table3937[[#This Row],[PRIMARY CONTACT]]=Table3937[[#This Row],[WHATSAPP CONTACT]],"Same Contact","Different Contact")</f>
        <v>Same Contact</v>
      </c>
      <c r="T729" s="383" t="str">
        <f>IF(LEN(SUBSTITUTE(Table3937[[#This Row],[PRIMARY CONTACT]]," ",""))=10,SUBSTITUTE(Table3937[[#This Row],[PRIMARY CONTACT]]," ","") &amp; " - Proper","- Follow Up")</f>
        <v>- Follow Up</v>
      </c>
      <c r="U729" s="383" t="s">
        <v>3057</v>
      </c>
      <c r="V729" s="393" t="s">
        <v>2752</v>
      </c>
      <c r="W729" s="383" t="s">
        <v>47</v>
      </c>
      <c r="X729" s="383" t="s">
        <v>44</v>
      </c>
      <c r="Y729" s="383" t="s">
        <v>44</v>
      </c>
      <c r="Z729" s="383" t="s">
        <v>44</v>
      </c>
      <c r="AA729" s="383" t="s">
        <v>44</v>
      </c>
      <c r="AB729" s="383"/>
    </row>
    <row r="730" spans="1:28" ht="13.8">
      <c r="A730" s="387">
        <v>729</v>
      </c>
      <c r="B730" s="383" t="s">
        <v>10716</v>
      </c>
      <c r="C730" s="383" t="s">
        <v>10743</v>
      </c>
      <c r="D730" s="383" t="s">
        <v>10716</v>
      </c>
      <c r="E730" s="383" t="s">
        <v>9228</v>
      </c>
      <c r="F730" s="383">
        <v>1864</v>
      </c>
      <c r="G730" s="383" t="s">
        <v>2872</v>
      </c>
      <c r="H730" s="383" t="s">
        <v>2873</v>
      </c>
      <c r="I730" s="383" t="s">
        <v>8578</v>
      </c>
      <c r="J730" s="383" t="s">
        <v>9491</v>
      </c>
      <c r="K730" s="383" t="s">
        <v>507</v>
      </c>
      <c r="L730" s="383" t="s">
        <v>9869</v>
      </c>
      <c r="M730" s="383" t="s">
        <v>10522</v>
      </c>
      <c r="N730" s="239" t="s">
        <v>44</v>
      </c>
      <c r="O730" s="383" t="str">
        <f>IF(LEN(SUBSTITUTE(Table3937[[#This Row],[PRIMARY CONTACT]]," ",""))=10,SUBSTITUTE(Table3937[[#This Row],[PRIMARY CONTACT]]," ","") &amp; " - Proper","- Follow Up")</f>
        <v>7715933230 - Proper</v>
      </c>
      <c r="P730" s="383" t="s">
        <v>6041</v>
      </c>
      <c r="Q730" s="383">
        <v>7715933230</v>
      </c>
      <c r="R730" s="383" t="str">
        <f>SUBSTITUTE(Table3937[[#This Row],[whatsapp_number]]," ","")</f>
        <v>7715933230</v>
      </c>
      <c r="S730" s="383" t="str">
        <f>IF(Table3937[[#This Row],[PRIMARY CONTACT]]=Table3937[[#This Row],[WHATSAPP CONTACT]],"Same Contact","Different Contact")</f>
        <v>Same Contact</v>
      </c>
      <c r="T730" s="383" t="str">
        <f>IF(LEN(SUBSTITUTE(Table3937[[#This Row],[PRIMARY CONTACT]]," ",""))=10,SUBSTITUTE(Table3937[[#This Row],[PRIMARY CONTACT]]," ","") &amp; " - Proper","- Follow Up")</f>
        <v>7715933230 - Proper</v>
      </c>
      <c r="U730" s="383" t="s">
        <v>6042</v>
      </c>
      <c r="V730" s="383" t="s">
        <v>71</v>
      </c>
      <c r="W730" s="383" t="s">
        <v>47</v>
      </c>
      <c r="X730" s="383" t="s">
        <v>44</v>
      </c>
      <c r="Y730" s="383" t="s">
        <v>44</v>
      </c>
      <c r="Z730" s="383" t="s">
        <v>44</v>
      </c>
      <c r="AA730" s="383" t="s">
        <v>44</v>
      </c>
      <c r="AB730" s="383"/>
    </row>
    <row r="731" spans="1:28" ht="13.8">
      <c r="A731" s="387">
        <v>730</v>
      </c>
      <c r="B731" s="383" t="s">
        <v>10716</v>
      </c>
      <c r="C731" s="383" t="s">
        <v>10743</v>
      </c>
      <c r="D731" s="383" t="s">
        <v>10716</v>
      </c>
      <c r="E731" s="383" t="s">
        <v>9229</v>
      </c>
      <c r="F731" s="383">
        <v>2306</v>
      </c>
      <c r="G731" s="383" t="s">
        <v>2865</v>
      </c>
      <c r="H731" s="383" t="s">
        <v>2866</v>
      </c>
      <c r="I731" s="383" t="s">
        <v>8579</v>
      </c>
      <c r="J731" s="383" t="s">
        <v>2860</v>
      </c>
      <c r="K731" s="383" t="s">
        <v>2861</v>
      </c>
      <c r="L731" s="383" t="s">
        <v>9870</v>
      </c>
      <c r="M731" s="383" t="s">
        <v>10523</v>
      </c>
      <c r="N731" s="239" t="s">
        <v>44</v>
      </c>
      <c r="O731" s="383" t="str">
        <f>IF(LEN(SUBSTITUTE(Table3937[[#This Row],[PRIMARY CONTACT]]," ",""))=10,SUBSTITUTE(Table3937[[#This Row],[PRIMARY CONTACT]]," ","") &amp; " - Proper","- Follow Up")</f>
        <v>9833909686 - Proper</v>
      </c>
      <c r="P731" s="383" t="s">
        <v>6037</v>
      </c>
      <c r="Q731" s="383">
        <v>9833909686</v>
      </c>
      <c r="R731" s="383" t="str">
        <f>SUBSTITUTE(Table3937[[#This Row],[whatsapp_number]]," ","")</f>
        <v>9833909686</v>
      </c>
      <c r="S731" s="383" t="str">
        <f>IF(Table3937[[#This Row],[PRIMARY CONTACT]]=Table3937[[#This Row],[WHATSAPP CONTACT]],"Same Contact","Different Contact")</f>
        <v>Same Contact</v>
      </c>
      <c r="T731" s="383" t="str">
        <f>IF(LEN(SUBSTITUTE(Table3937[[#This Row],[PRIMARY CONTACT]]," ",""))=10,SUBSTITUTE(Table3937[[#This Row],[PRIMARY CONTACT]]," ","") &amp; " - Proper","- Follow Up")</f>
        <v>9833909686 - Proper</v>
      </c>
      <c r="U731" s="383" t="s">
        <v>6038</v>
      </c>
      <c r="V731" s="393" t="s">
        <v>2863</v>
      </c>
      <c r="W731" s="383" t="s">
        <v>47</v>
      </c>
      <c r="X731" s="383" t="s">
        <v>44</v>
      </c>
      <c r="Y731" s="383" t="s">
        <v>44</v>
      </c>
      <c r="Z731" s="383" t="s">
        <v>44</v>
      </c>
      <c r="AA731" s="383" t="s">
        <v>44</v>
      </c>
      <c r="AB731" s="383"/>
    </row>
    <row r="732" spans="1:28" ht="13.8">
      <c r="A732" s="387">
        <v>731</v>
      </c>
      <c r="B732" s="383" t="s">
        <v>10716</v>
      </c>
      <c r="C732" s="383" t="s">
        <v>10743</v>
      </c>
      <c r="D732" s="383" t="s">
        <v>10716</v>
      </c>
      <c r="E732" s="383" t="s">
        <v>9230</v>
      </c>
      <c r="F732" s="383">
        <v>3321</v>
      </c>
      <c r="G732" s="383" t="s">
        <v>5995</v>
      </c>
      <c r="H732" s="383" t="s">
        <v>5996</v>
      </c>
      <c r="I732" s="383" t="s">
        <v>3362</v>
      </c>
      <c r="J732" s="383" t="s">
        <v>5997</v>
      </c>
      <c r="K732" s="383" t="s">
        <v>1729</v>
      </c>
      <c r="L732" s="383" t="s">
        <v>8341</v>
      </c>
      <c r="M732" s="383" t="s">
        <v>10524</v>
      </c>
      <c r="N732" s="239" t="s">
        <v>44</v>
      </c>
      <c r="O732" s="383" t="str">
        <f>IF(LEN(SUBSTITUTE(Table3937[[#This Row],[PRIMARY CONTACT]]," ",""))=10,SUBSTITUTE(Table3937[[#This Row],[PRIMARY CONTACT]]," ","") &amp; " - Proper","- Follow Up")</f>
        <v>9819777308 - Proper</v>
      </c>
      <c r="P732" s="383" t="s">
        <v>4637</v>
      </c>
      <c r="Q732" s="383">
        <v>9819777308</v>
      </c>
      <c r="R732" s="383" t="str">
        <f>SUBSTITUTE(Table3937[[#This Row],[whatsapp_number]]," ","")</f>
        <v>9819777308</v>
      </c>
      <c r="S732" s="383" t="str">
        <f>IF(Table3937[[#This Row],[PRIMARY CONTACT]]=Table3937[[#This Row],[WHATSAPP CONTACT]],"Same Contact","Different Contact")</f>
        <v>Same Contact</v>
      </c>
      <c r="T732" s="383" t="str">
        <f>IF(LEN(SUBSTITUTE(Table3937[[#This Row],[PRIMARY CONTACT]]," ",""))=10,SUBSTITUTE(Table3937[[#This Row],[PRIMARY CONTACT]]," ","") &amp; " - Proper","- Follow Up")</f>
        <v>9819777308 - Proper</v>
      </c>
      <c r="U732" s="383" t="s">
        <v>3057</v>
      </c>
      <c r="V732" s="383" t="s">
        <v>71</v>
      </c>
      <c r="W732" s="383" t="s">
        <v>47</v>
      </c>
      <c r="X732" s="383" t="s">
        <v>44</v>
      </c>
      <c r="Y732" s="383" t="s">
        <v>44</v>
      </c>
      <c r="Z732" s="383" t="s">
        <v>44</v>
      </c>
      <c r="AA732" s="383" t="s">
        <v>44</v>
      </c>
      <c r="AB732" s="383"/>
    </row>
    <row r="733" spans="1:28" ht="13.8">
      <c r="A733" s="387">
        <v>732</v>
      </c>
      <c r="B733" s="383" t="s">
        <v>10716</v>
      </c>
      <c r="C733" s="383" t="s">
        <v>10743</v>
      </c>
      <c r="D733" s="383" t="s">
        <v>10716</v>
      </c>
      <c r="E733" s="383" t="s">
        <v>9231</v>
      </c>
      <c r="F733" s="383">
        <v>1113</v>
      </c>
      <c r="G733" s="383" t="s">
        <v>5999</v>
      </c>
      <c r="H733" s="383" t="s">
        <v>6000</v>
      </c>
      <c r="I733" s="383" t="s">
        <v>6001</v>
      </c>
      <c r="J733" s="383" t="s">
        <v>6002</v>
      </c>
      <c r="K733" s="383" t="s">
        <v>116</v>
      </c>
      <c r="L733" s="383" t="s">
        <v>9871</v>
      </c>
      <c r="M733" s="383" t="s">
        <v>10525</v>
      </c>
      <c r="N733" s="239" t="s">
        <v>44</v>
      </c>
      <c r="O733" s="383" t="str">
        <f>IF(LEN(SUBSTITUTE(Table3937[[#This Row],[PRIMARY CONTACT]]," ",""))=10,SUBSTITUTE(Table3937[[#This Row],[PRIMARY CONTACT]]," ","") &amp; " - Proper","- Follow Up")</f>
        <v>9324122211 - Proper</v>
      </c>
      <c r="P733" s="383" t="s">
        <v>4637</v>
      </c>
      <c r="Q733" s="383">
        <v>9324122211</v>
      </c>
      <c r="R733" s="383" t="str">
        <f>SUBSTITUTE(Table3937[[#This Row],[whatsapp_number]]," ","")</f>
        <v>9324122211</v>
      </c>
      <c r="S733" s="383" t="str">
        <f>IF(Table3937[[#This Row],[PRIMARY CONTACT]]=Table3937[[#This Row],[WHATSAPP CONTACT]],"Same Contact","Different Contact")</f>
        <v>Same Contact</v>
      </c>
      <c r="T733" s="383" t="str">
        <f>IF(LEN(SUBSTITUTE(Table3937[[#This Row],[PRIMARY CONTACT]]," ",""))=10,SUBSTITUTE(Table3937[[#This Row],[PRIMARY CONTACT]]," ","") &amp; " - Proper","- Follow Up")</f>
        <v>9324122211 - Proper</v>
      </c>
      <c r="U733" s="383" t="s">
        <v>6004</v>
      </c>
      <c r="V733" s="393" t="s">
        <v>6005</v>
      </c>
      <c r="W733" s="383" t="s">
        <v>47</v>
      </c>
      <c r="X733" s="383" t="s">
        <v>44</v>
      </c>
      <c r="Y733" s="383" t="s">
        <v>44</v>
      </c>
      <c r="Z733" s="383" t="s">
        <v>44</v>
      </c>
      <c r="AA733" s="383" t="s">
        <v>44</v>
      </c>
      <c r="AB733" s="383"/>
    </row>
    <row r="734" spans="1:28" ht="13.8">
      <c r="A734" s="387">
        <v>733</v>
      </c>
      <c r="B734" s="383" t="s">
        <v>10716</v>
      </c>
      <c r="C734" s="383" t="s">
        <v>10743</v>
      </c>
      <c r="D734" s="383" t="s">
        <v>10716</v>
      </c>
      <c r="E734" s="383" t="s">
        <v>9232</v>
      </c>
      <c r="F734" s="383">
        <v>1007</v>
      </c>
      <c r="G734" s="383" t="s">
        <v>71</v>
      </c>
      <c r="H734" s="383" t="s">
        <v>6007</v>
      </c>
      <c r="I734" s="383" t="s">
        <v>8580</v>
      </c>
      <c r="J734" s="383" t="s">
        <v>6009</v>
      </c>
      <c r="K734" s="383" t="s">
        <v>507</v>
      </c>
      <c r="L734" s="383" t="s">
        <v>8341</v>
      </c>
      <c r="M734" s="383" t="s">
        <v>8341</v>
      </c>
      <c r="N734" s="239" t="s">
        <v>44</v>
      </c>
      <c r="O734" s="383" t="str">
        <f>IF(LEN(SUBSTITUTE(Table3937[[#This Row],[PRIMARY CONTACT]]," ",""))=10,SUBSTITUTE(Table3937[[#This Row],[PRIMARY CONTACT]]," ","") &amp; " - Proper","- Follow Up")</f>
        <v>- Follow Up</v>
      </c>
      <c r="P734" s="383" t="s">
        <v>2780</v>
      </c>
      <c r="Q734" s="383" t="s">
        <v>71</v>
      </c>
      <c r="R734" s="383" t="str">
        <f>SUBSTITUTE(Table3937[[#This Row],[whatsapp_number]]," ","")</f>
        <v>UNDEFINED</v>
      </c>
      <c r="S734" s="383" t="str">
        <f>IF(Table3937[[#This Row],[PRIMARY CONTACT]]=Table3937[[#This Row],[WHATSAPP CONTACT]],"Same Contact","Different Contact")</f>
        <v>Same Contact</v>
      </c>
      <c r="T734" s="383" t="str">
        <f>IF(LEN(SUBSTITUTE(Table3937[[#This Row],[PRIMARY CONTACT]]," ",""))=10,SUBSTITUTE(Table3937[[#This Row],[PRIMARY CONTACT]]," ","") &amp; " - Proper","- Follow Up")</f>
        <v>- Follow Up</v>
      </c>
      <c r="U734" s="383" t="s">
        <v>8341</v>
      </c>
      <c r="V734" s="383" t="s">
        <v>71</v>
      </c>
      <c r="W734" s="383" t="s">
        <v>47</v>
      </c>
      <c r="X734" s="383" t="s">
        <v>44</v>
      </c>
      <c r="Y734" s="383" t="s">
        <v>44</v>
      </c>
      <c r="Z734" s="383" t="s">
        <v>44</v>
      </c>
      <c r="AA734" s="383" t="s">
        <v>44</v>
      </c>
      <c r="AB734" s="383"/>
    </row>
    <row r="735" spans="1:28" ht="13.8">
      <c r="A735" s="387">
        <v>734</v>
      </c>
      <c r="B735" s="383" t="s">
        <v>10716</v>
      </c>
      <c r="C735" s="383" t="s">
        <v>10743</v>
      </c>
      <c r="D735" s="383" t="s">
        <v>10716</v>
      </c>
      <c r="E735" s="383" t="s">
        <v>8581</v>
      </c>
      <c r="F735" s="383">
        <v>2712</v>
      </c>
      <c r="G735" s="383" t="s">
        <v>2856</v>
      </c>
      <c r="H735" s="383" t="s">
        <v>2857</v>
      </c>
      <c r="I735" s="383" t="s">
        <v>8581</v>
      </c>
      <c r="J735" s="383" t="s">
        <v>2852</v>
      </c>
      <c r="K735" s="383" t="s">
        <v>2810</v>
      </c>
      <c r="L735" s="383" t="s">
        <v>9872</v>
      </c>
      <c r="M735" s="383" t="s">
        <v>10526</v>
      </c>
      <c r="N735" s="239" t="s">
        <v>44</v>
      </c>
      <c r="O735" s="383" t="str">
        <f>IF(LEN(SUBSTITUTE(Table3937[[#This Row],[PRIMARY CONTACT]]," ",""))=10,SUBSTITUTE(Table3937[[#This Row],[PRIMARY CONTACT]]," ","") &amp; " - Proper","- Follow Up")</f>
        <v>9833529301 - Proper</v>
      </c>
      <c r="P735" s="383" t="s">
        <v>6034</v>
      </c>
      <c r="Q735" s="383">
        <v>9833529301</v>
      </c>
      <c r="R735" s="383" t="str">
        <f>SUBSTITUTE(Table3937[[#This Row],[whatsapp_number]]," ","")</f>
        <v>9833529301</v>
      </c>
      <c r="S735" s="383" t="str">
        <f>IF(Table3937[[#This Row],[PRIMARY CONTACT]]=Table3937[[#This Row],[WHATSAPP CONTACT]],"Same Contact","Different Contact")</f>
        <v>Same Contact</v>
      </c>
      <c r="T735" s="383" t="str">
        <f>IF(LEN(SUBSTITUTE(Table3937[[#This Row],[PRIMARY CONTACT]]," ",""))=10,SUBSTITUTE(Table3937[[#This Row],[PRIMARY CONTACT]]," ","") &amp; " - Proper","- Follow Up")</f>
        <v>9833529301 - Proper</v>
      </c>
      <c r="U735" s="383" t="s">
        <v>6035</v>
      </c>
      <c r="V735" s="393" t="s">
        <v>2854</v>
      </c>
      <c r="W735" s="383" t="s">
        <v>47</v>
      </c>
      <c r="X735" s="383" t="s">
        <v>44</v>
      </c>
      <c r="Y735" s="383" t="s">
        <v>44</v>
      </c>
      <c r="Z735" s="383" t="s">
        <v>44</v>
      </c>
      <c r="AA735" s="383" t="s">
        <v>44</v>
      </c>
      <c r="AB735" s="383"/>
    </row>
    <row r="736" spans="1:28" ht="13.8">
      <c r="A736" s="387">
        <v>735</v>
      </c>
      <c r="B736" s="383" t="s">
        <v>10716</v>
      </c>
      <c r="C736" s="383" t="s">
        <v>10743</v>
      </c>
      <c r="D736" s="383" t="s">
        <v>10716</v>
      </c>
      <c r="E736" s="383" t="s">
        <v>9233</v>
      </c>
      <c r="F736" s="383">
        <v>7138</v>
      </c>
      <c r="G736" s="383" t="s">
        <v>2805</v>
      </c>
      <c r="H736" s="383" t="s">
        <v>2806</v>
      </c>
      <c r="I736" s="383" t="s">
        <v>8340</v>
      </c>
      <c r="J736" s="383" t="s">
        <v>9492</v>
      </c>
      <c r="K736" s="383" t="s">
        <v>9497</v>
      </c>
      <c r="L736" s="383" t="s">
        <v>8341</v>
      </c>
      <c r="M736" s="383" t="s">
        <v>9883</v>
      </c>
      <c r="N736" s="239" t="s">
        <v>44</v>
      </c>
      <c r="O736" s="383" t="str">
        <f>IF(LEN(SUBSTITUTE(Table3937[[#This Row],[PRIMARY CONTACT]]," ",""))=10,SUBSTITUTE(Table3937[[#This Row],[PRIMARY CONTACT]]," ","") &amp; " - Proper","- Follow Up")</f>
        <v>9769401691 - Proper</v>
      </c>
      <c r="P736" s="383" t="s">
        <v>4637</v>
      </c>
      <c r="Q736" s="383">
        <v>9769401691</v>
      </c>
      <c r="R736" s="383" t="str">
        <f>SUBSTITUTE(Table3937[[#This Row],[whatsapp_number]]," ","")</f>
        <v>9769401691</v>
      </c>
      <c r="S736" s="383" t="str">
        <f>IF(Table3937[[#This Row],[PRIMARY CONTACT]]=Table3937[[#This Row],[WHATSAPP CONTACT]],"Same Contact","Different Contact")</f>
        <v>Same Contact</v>
      </c>
      <c r="T736" s="383" t="str">
        <f>IF(LEN(SUBSTITUTE(Table3937[[#This Row],[PRIMARY CONTACT]]," ",""))=10,SUBSTITUTE(Table3937[[#This Row],[PRIMARY CONTACT]]," ","") &amp; " - Proper","- Follow Up")</f>
        <v>9769401691 - Proper</v>
      </c>
      <c r="U736" s="383" t="s">
        <v>8341</v>
      </c>
      <c r="V736" s="383" t="s">
        <v>71</v>
      </c>
      <c r="W736" s="383" t="s">
        <v>47</v>
      </c>
      <c r="X736" s="383" t="s">
        <v>44</v>
      </c>
      <c r="Y736" s="383" t="s">
        <v>44</v>
      </c>
      <c r="Z736" s="383" t="s">
        <v>44</v>
      </c>
      <c r="AA736" s="383" t="s">
        <v>44</v>
      </c>
      <c r="AB736" s="383"/>
    </row>
    <row r="737" spans="1:28" ht="13.8">
      <c r="A737" s="387">
        <v>736</v>
      </c>
      <c r="B737" s="383" t="s">
        <v>10716</v>
      </c>
      <c r="C737" s="383" t="s">
        <v>10743</v>
      </c>
      <c r="D737" s="383" t="s">
        <v>10716</v>
      </c>
      <c r="E737" s="383" t="s">
        <v>9234</v>
      </c>
      <c r="F737" s="383">
        <v>5738</v>
      </c>
      <c r="G737" s="383" t="s">
        <v>2812</v>
      </c>
      <c r="H737" s="383" t="s">
        <v>2813</v>
      </c>
      <c r="I737" s="383" t="s">
        <v>8582</v>
      </c>
      <c r="J737" s="383" t="s">
        <v>9493</v>
      </c>
      <c r="K737" s="383" t="s">
        <v>2810</v>
      </c>
      <c r="L737" s="383" t="s">
        <v>9873</v>
      </c>
      <c r="M737" s="383" t="s">
        <v>8341</v>
      </c>
      <c r="N737" s="239" t="s">
        <v>44</v>
      </c>
      <c r="O737" s="383" t="str">
        <f>IF(LEN(SUBSTITUTE(Table3937[[#This Row],[PRIMARY CONTACT]]," ",""))=10,SUBSTITUTE(Table3937[[#This Row],[PRIMARY CONTACT]]," ","") &amp; " - Proper","- Follow Up")</f>
        <v>- Follow Up</v>
      </c>
      <c r="P737" s="383" t="s">
        <v>4637</v>
      </c>
      <c r="Q737" s="383" t="s">
        <v>71</v>
      </c>
      <c r="R737" s="383" t="str">
        <f>SUBSTITUTE(Table3937[[#This Row],[whatsapp_number]]," ","")</f>
        <v>UNDEFINED</v>
      </c>
      <c r="S737" s="383" t="str">
        <f>IF(Table3937[[#This Row],[PRIMARY CONTACT]]=Table3937[[#This Row],[WHATSAPP CONTACT]],"Same Contact","Different Contact")</f>
        <v>Same Contact</v>
      </c>
      <c r="T737" s="383" t="str">
        <f>IF(LEN(SUBSTITUTE(Table3937[[#This Row],[PRIMARY CONTACT]]," ",""))=10,SUBSTITUTE(Table3937[[#This Row],[PRIMARY CONTACT]]," ","") &amp; " - Proper","- Follow Up")</f>
        <v>- Follow Up</v>
      </c>
      <c r="U737" s="383" t="s">
        <v>2953</v>
      </c>
      <c r="V737" s="383" t="s">
        <v>71</v>
      </c>
      <c r="W737" s="383" t="s">
        <v>47</v>
      </c>
      <c r="X737" s="383" t="s">
        <v>44</v>
      </c>
      <c r="Y737" s="383" t="s">
        <v>44</v>
      </c>
      <c r="Z737" s="383" t="s">
        <v>44</v>
      </c>
      <c r="AA737" s="383" t="s">
        <v>44</v>
      </c>
      <c r="AB737" s="383"/>
    </row>
    <row r="738" spans="1:28" ht="13.8">
      <c r="A738" s="387">
        <v>737</v>
      </c>
      <c r="B738" s="383" t="s">
        <v>10716</v>
      </c>
      <c r="C738" s="383" t="s">
        <v>10743</v>
      </c>
      <c r="D738" s="383" t="s">
        <v>10716</v>
      </c>
      <c r="E738" s="383" t="s">
        <v>9235</v>
      </c>
      <c r="F738" s="383">
        <v>2773</v>
      </c>
      <c r="G738" s="383" t="s">
        <v>2849</v>
      </c>
      <c r="H738" s="383" t="s">
        <v>2850</v>
      </c>
      <c r="I738" s="383" t="s">
        <v>8583</v>
      </c>
      <c r="J738" s="383" t="s">
        <v>2846</v>
      </c>
      <c r="K738" s="383" t="s">
        <v>2847</v>
      </c>
      <c r="L738" s="383" t="s">
        <v>8341</v>
      </c>
      <c r="M738" s="383" t="s">
        <v>10527</v>
      </c>
      <c r="N738" s="239" t="s">
        <v>44</v>
      </c>
      <c r="O738" s="383" t="str">
        <f>IF(LEN(SUBSTITUTE(Table3937[[#This Row],[PRIMARY CONTACT]]," ",""))=10,SUBSTITUTE(Table3937[[#This Row],[PRIMARY CONTACT]]," ","") &amp; " - Proper","- Follow Up")</f>
        <v>8291118926 - Proper</v>
      </c>
      <c r="P738" s="383" t="s">
        <v>6032</v>
      </c>
      <c r="Q738" s="383">
        <v>8591138926</v>
      </c>
      <c r="R738" s="383" t="str">
        <f>SUBSTITUTE(Table3937[[#This Row],[whatsapp_number]]," ","")</f>
        <v>8591138926</v>
      </c>
      <c r="S738" s="383" t="str">
        <f>IF(Table3937[[#This Row],[PRIMARY CONTACT]]=Table3937[[#This Row],[WHATSAPP CONTACT]],"Same Contact","Different Contact")</f>
        <v>Different Contact</v>
      </c>
      <c r="T738" s="383" t="str">
        <f>IF(LEN(SUBSTITUTE(Table3937[[#This Row],[PRIMARY CONTACT]]," ",""))=10,SUBSTITUTE(Table3937[[#This Row],[PRIMARY CONTACT]]," ","") &amp; " - Proper","- Follow Up")</f>
        <v>8291118926 - Proper</v>
      </c>
      <c r="U738" s="383" t="s">
        <v>3510</v>
      </c>
      <c r="V738" s="393" t="s">
        <v>80</v>
      </c>
      <c r="W738" s="383" t="s">
        <v>47</v>
      </c>
      <c r="X738" s="383" t="s">
        <v>44</v>
      </c>
      <c r="Y738" s="383" t="s">
        <v>44</v>
      </c>
      <c r="Z738" s="383" t="s">
        <v>44</v>
      </c>
      <c r="AA738" s="383" t="s">
        <v>44</v>
      </c>
      <c r="AB738" s="383"/>
    </row>
    <row r="739" spans="1:28" ht="13.8">
      <c r="A739" s="387">
        <v>738</v>
      </c>
      <c r="B739" s="383" t="s">
        <v>10716</v>
      </c>
      <c r="C739" s="383" t="s">
        <v>10743</v>
      </c>
      <c r="D739" s="383" t="s">
        <v>10716</v>
      </c>
      <c r="E739" s="383" t="s">
        <v>9236</v>
      </c>
      <c r="F739" s="383">
        <v>3741</v>
      </c>
      <c r="G739" s="383" t="s">
        <v>2801</v>
      </c>
      <c r="H739" s="383" t="s">
        <v>2802</v>
      </c>
      <c r="I739" s="383" t="s">
        <v>8584</v>
      </c>
      <c r="J739" s="383" t="s">
        <v>9494</v>
      </c>
      <c r="K739" s="383" t="s">
        <v>507</v>
      </c>
      <c r="L739" s="383" t="s">
        <v>8341</v>
      </c>
      <c r="M739" s="383" t="s">
        <v>10518</v>
      </c>
      <c r="N739" s="239" t="s">
        <v>44</v>
      </c>
      <c r="O739" s="383" t="str">
        <f>IF(LEN(SUBSTITUTE(Table3937[[#This Row],[PRIMARY CONTACT]]," ",""))=10,SUBSTITUTE(Table3937[[#This Row],[PRIMARY CONTACT]]," ","") &amp; " - Proper","- Follow Up")</f>
        <v>9833283756 - Proper</v>
      </c>
      <c r="P739" s="383" t="s">
        <v>6011</v>
      </c>
      <c r="Q739" s="383">
        <v>9833283756</v>
      </c>
      <c r="R739" s="383" t="str">
        <f>SUBSTITUTE(Table3937[[#This Row],[whatsapp_number]]," ","")</f>
        <v>9833283756</v>
      </c>
      <c r="S739" s="383" t="str">
        <f>IF(Table3937[[#This Row],[PRIMARY CONTACT]]=Table3937[[#This Row],[WHATSAPP CONTACT]],"Same Contact","Different Contact")</f>
        <v>Same Contact</v>
      </c>
      <c r="T739" s="383" t="str">
        <f>IF(LEN(SUBSTITUTE(Table3937[[#This Row],[PRIMARY CONTACT]]," ",""))=10,SUBSTITUTE(Table3937[[#This Row],[PRIMARY CONTACT]]," ","") &amp; " - Proper","- Follow Up")</f>
        <v>9833283756 - Proper</v>
      </c>
      <c r="U739" s="383" t="s">
        <v>6012</v>
      </c>
      <c r="V739" s="383" t="s">
        <v>71</v>
      </c>
      <c r="W739" s="383" t="s">
        <v>47</v>
      </c>
      <c r="X739" s="383" t="s">
        <v>44</v>
      </c>
      <c r="Y739" s="383" t="s">
        <v>44</v>
      </c>
      <c r="Z739" s="383" t="s">
        <v>44</v>
      </c>
      <c r="AA739" s="383" t="s">
        <v>44</v>
      </c>
      <c r="AB739" s="383"/>
    </row>
    <row r="740" spans="1:28" ht="13.8">
      <c r="A740" s="387">
        <v>739</v>
      </c>
      <c r="B740" s="383" t="s">
        <v>10716</v>
      </c>
      <c r="C740" s="383" t="s">
        <v>10743</v>
      </c>
      <c r="D740" s="383" t="s">
        <v>10716</v>
      </c>
      <c r="E740" s="383" t="s">
        <v>9237</v>
      </c>
      <c r="F740" s="383">
        <v>4001</v>
      </c>
      <c r="G740" s="383" t="s">
        <v>71</v>
      </c>
      <c r="H740" s="383" t="s">
        <v>2900</v>
      </c>
      <c r="I740" s="383" t="s">
        <v>8585</v>
      </c>
      <c r="J740" s="383" t="s">
        <v>2896</v>
      </c>
      <c r="K740" s="383" t="s">
        <v>9602</v>
      </c>
      <c r="L740" s="383" t="s">
        <v>8341</v>
      </c>
      <c r="M740" s="383" t="s">
        <v>10528</v>
      </c>
      <c r="N740" s="239" t="s">
        <v>44</v>
      </c>
      <c r="O740" s="383" t="str">
        <f>IF(LEN(SUBSTITUTE(Table3937[[#This Row],[PRIMARY CONTACT]]," ",""))=10,SUBSTITUTE(Table3937[[#This Row],[PRIMARY CONTACT]]," ","") &amp; " - Proper","- Follow Up")</f>
        <v>9172881872 - Proper</v>
      </c>
      <c r="P740" s="383" t="s">
        <v>6055</v>
      </c>
      <c r="Q740" s="383">
        <v>9172881872</v>
      </c>
      <c r="R740" s="383" t="str">
        <f>SUBSTITUTE(Table3937[[#This Row],[whatsapp_number]]," ","")</f>
        <v>9172881872</v>
      </c>
      <c r="S740" s="383" t="str">
        <f>IF(Table3937[[#This Row],[PRIMARY CONTACT]]=Table3937[[#This Row],[WHATSAPP CONTACT]],"Same Contact","Different Contact")</f>
        <v>Same Contact</v>
      </c>
      <c r="T740" s="383" t="str">
        <f>IF(LEN(SUBSTITUTE(Table3937[[#This Row],[PRIMARY CONTACT]]," ",""))=10,SUBSTITUTE(Table3937[[#This Row],[PRIMARY CONTACT]]," ","") &amp; " - Proper","- Follow Up")</f>
        <v>9172881872 - Proper</v>
      </c>
      <c r="U740" s="383" t="s">
        <v>8341</v>
      </c>
      <c r="V740" s="393" t="s">
        <v>2898</v>
      </c>
      <c r="W740" s="383" t="s">
        <v>47</v>
      </c>
      <c r="X740" s="383" t="s">
        <v>44</v>
      </c>
      <c r="Y740" s="383" t="s">
        <v>44</v>
      </c>
      <c r="Z740" s="383" t="s">
        <v>44</v>
      </c>
      <c r="AA740" s="383" t="s">
        <v>44</v>
      </c>
      <c r="AB740" s="383"/>
    </row>
    <row r="741" spans="1:28" ht="13.8">
      <c r="A741" s="387">
        <v>740</v>
      </c>
      <c r="B741" s="383" t="s">
        <v>10716</v>
      </c>
      <c r="C741" s="383" t="s">
        <v>10743</v>
      </c>
      <c r="D741" s="383" t="s">
        <v>10716</v>
      </c>
      <c r="E741" s="383" t="s">
        <v>9238</v>
      </c>
      <c r="F741" s="383">
        <v>4491</v>
      </c>
      <c r="G741" s="383" t="s">
        <v>2777</v>
      </c>
      <c r="H741" s="383" t="s">
        <v>2778</v>
      </c>
      <c r="I741" s="383" t="s">
        <v>8586</v>
      </c>
      <c r="J741" s="383" t="s">
        <v>2774</v>
      </c>
      <c r="K741" s="383" t="s">
        <v>2767</v>
      </c>
      <c r="L741" s="383" t="s">
        <v>9874</v>
      </c>
      <c r="M741" s="383" t="s">
        <v>10359</v>
      </c>
      <c r="N741" s="239" t="s">
        <v>44</v>
      </c>
      <c r="O741" s="383" t="str">
        <f>IF(LEN(SUBSTITUTE(Table3937[[#This Row],[PRIMARY CONTACT]]," ",""))=10,SUBSTITUTE(Table3937[[#This Row],[PRIMARY CONTACT]]," ","") &amp; " - Proper","- Follow Up")</f>
        <v>- Follow Up</v>
      </c>
      <c r="P741" s="383" t="s">
        <v>2763</v>
      </c>
      <c r="Q741" s="383" t="s">
        <v>8279</v>
      </c>
      <c r="R741" s="383" t="str">
        <f>SUBSTITUTE(Table3937[[#This Row],[whatsapp_number]]," ","")</f>
        <v>#ERROR!</v>
      </c>
      <c r="S741" s="383" t="str">
        <f>IF(Table3937[[#This Row],[PRIMARY CONTACT]]=Table3937[[#This Row],[WHATSAPP CONTACT]],"Same Contact","Different Contact")</f>
        <v>Same Contact</v>
      </c>
      <c r="T741" s="383" t="str">
        <f>IF(LEN(SUBSTITUTE(Table3937[[#This Row],[PRIMARY CONTACT]]," ",""))=10,SUBSTITUTE(Table3937[[#This Row],[PRIMARY CONTACT]]," ","") &amp; " - Proper","- Follow Up")</f>
        <v>- Follow Up</v>
      </c>
      <c r="U741" s="383" t="s">
        <v>3510</v>
      </c>
      <c r="V741" s="393" t="s">
        <v>2776</v>
      </c>
      <c r="W741" s="383" t="s">
        <v>47</v>
      </c>
      <c r="X741" s="383" t="s">
        <v>44</v>
      </c>
      <c r="Y741" s="383" t="s">
        <v>44</v>
      </c>
      <c r="Z741" s="383" t="s">
        <v>44</v>
      </c>
      <c r="AA741" s="383" t="s">
        <v>44</v>
      </c>
      <c r="AB741" s="383"/>
    </row>
    <row r="742" spans="1:28" ht="13.8">
      <c r="A742" s="387">
        <v>741</v>
      </c>
      <c r="B742" s="383" t="s">
        <v>10716</v>
      </c>
      <c r="C742" s="383" t="s">
        <v>10743</v>
      </c>
      <c r="D742" s="383" t="s">
        <v>10716</v>
      </c>
      <c r="E742" s="383" t="s">
        <v>9239</v>
      </c>
      <c r="F742" s="383">
        <v>5266</v>
      </c>
      <c r="G742" s="383" t="s">
        <v>71</v>
      </c>
      <c r="H742" s="383" t="s">
        <v>2883</v>
      </c>
      <c r="I742" s="383" t="s">
        <v>8587</v>
      </c>
      <c r="J742" s="383" t="s">
        <v>9495</v>
      </c>
      <c r="K742" s="383" t="s">
        <v>507</v>
      </c>
      <c r="L742" s="383" t="s">
        <v>8341</v>
      </c>
      <c r="M742" s="383" t="s">
        <v>10529</v>
      </c>
      <c r="N742" s="239" t="s">
        <v>44</v>
      </c>
      <c r="O742" s="383" t="str">
        <f>IF(LEN(SUBSTITUTE(Table3937[[#This Row],[PRIMARY CONTACT]]," ",""))=10,SUBSTITUTE(Table3937[[#This Row],[PRIMARY CONTACT]]," ","") &amp; " - Proper","- Follow Up")</f>
        <v>8779032265 - Proper</v>
      </c>
      <c r="P742" s="383" t="s">
        <v>6047</v>
      </c>
      <c r="Q742" s="383">
        <v>9892570847</v>
      </c>
      <c r="R742" s="383" t="str">
        <f>SUBSTITUTE(Table3937[[#This Row],[whatsapp_number]]," ","")</f>
        <v>9892570847</v>
      </c>
      <c r="S742" s="383" t="str">
        <f>IF(Table3937[[#This Row],[PRIMARY CONTACT]]=Table3937[[#This Row],[WHATSAPP CONTACT]],"Same Contact","Different Contact")</f>
        <v>Different Contact</v>
      </c>
      <c r="T742" s="383" t="str">
        <f>IF(LEN(SUBSTITUTE(Table3937[[#This Row],[PRIMARY CONTACT]]," ",""))=10,SUBSTITUTE(Table3937[[#This Row],[PRIMARY CONTACT]]," ","") &amp; " - Proper","- Follow Up")</f>
        <v>8779032265 - Proper</v>
      </c>
      <c r="U742" s="383" t="s">
        <v>6048</v>
      </c>
      <c r="V742" s="383" t="s">
        <v>71</v>
      </c>
      <c r="W742" s="383" t="s">
        <v>47</v>
      </c>
      <c r="X742" s="383" t="s">
        <v>44</v>
      </c>
      <c r="Y742" s="383" t="s">
        <v>44</v>
      </c>
      <c r="Z742" s="383" t="s">
        <v>44</v>
      </c>
      <c r="AA742" s="383" t="s">
        <v>44</v>
      </c>
      <c r="AB742" s="383"/>
    </row>
    <row r="743" spans="1:28" ht="13.8">
      <c r="A743" s="387">
        <v>742</v>
      </c>
      <c r="B743" s="383" t="s">
        <v>10716</v>
      </c>
      <c r="C743" s="383" t="s">
        <v>10743</v>
      </c>
      <c r="D743" s="383" t="s">
        <v>10716</v>
      </c>
      <c r="E743" s="383" t="s">
        <v>9240</v>
      </c>
      <c r="F743" s="383">
        <v>6292</v>
      </c>
      <c r="G743" s="383" t="s">
        <v>2743</v>
      </c>
      <c r="H743" s="383" t="s">
        <v>2744</v>
      </c>
      <c r="I743" s="383" t="s">
        <v>2725</v>
      </c>
      <c r="J743" s="383" t="s">
        <v>2741</v>
      </c>
      <c r="K743" s="383" t="s">
        <v>9499</v>
      </c>
      <c r="L743" s="383" t="s">
        <v>9748</v>
      </c>
      <c r="M743" s="383" t="s">
        <v>10359</v>
      </c>
      <c r="N743" s="239" t="s">
        <v>44</v>
      </c>
      <c r="O743" s="383" t="str">
        <f>IF(LEN(SUBSTITUTE(Table3937[[#This Row],[PRIMARY CONTACT]]," ",""))=10,SUBSTITUTE(Table3937[[#This Row],[PRIMARY CONTACT]]," ","") &amp; " - Proper","- Follow Up")</f>
        <v>- Follow Up</v>
      </c>
      <c r="P743" s="383" t="s">
        <v>2739</v>
      </c>
      <c r="Q743" s="383" t="s">
        <v>8279</v>
      </c>
      <c r="R743" s="383" t="str">
        <f>SUBSTITUTE(Table3937[[#This Row],[whatsapp_number]]," ","")</f>
        <v>#ERROR!</v>
      </c>
      <c r="S743" s="383" t="str">
        <f>IF(Table3937[[#This Row],[PRIMARY CONTACT]]=Table3937[[#This Row],[WHATSAPP CONTACT]],"Same Contact","Different Contact")</f>
        <v>Same Contact</v>
      </c>
      <c r="T743" s="383" t="str">
        <f>IF(LEN(SUBSTITUTE(Table3937[[#This Row],[PRIMARY CONTACT]]," ",""))=10,SUBSTITUTE(Table3937[[#This Row],[PRIMARY CONTACT]]," ","") &amp; " - Proper","- Follow Up")</f>
        <v>- Follow Up</v>
      </c>
      <c r="U743" s="383" t="s">
        <v>10604</v>
      </c>
      <c r="V743" s="393" t="s">
        <v>2742</v>
      </c>
      <c r="W743" s="383" t="s">
        <v>47</v>
      </c>
      <c r="X743" s="383" t="s">
        <v>44</v>
      </c>
      <c r="Y743" s="383" t="s">
        <v>44</v>
      </c>
      <c r="Z743" s="383" t="s">
        <v>44</v>
      </c>
      <c r="AA743" s="383" t="s">
        <v>44</v>
      </c>
      <c r="AB743" s="383"/>
    </row>
    <row r="744" spans="1:28" ht="13.8">
      <c r="A744" s="387">
        <v>743</v>
      </c>
      <c r="B744" s="383" t="s">
        <v>10716</v>
      </c>
      <c r="C744" s="383" t="s">
        <v>10743</v>
      </c>
      <c r="D744" s="383" t="s">
        <v>10716</v>
      </c>
      <c r="E744" s="383" t="s">
        <v>2826</v>
      </c>
      <c r="F744" s="383">
        <v>6956</v>
      </c>
      <c r="G744" s="383" t="s">
        <v>2829</v>
      </c>
      <c r="H744" s="383" t="s">
        <v>71</v>
      </c>
      <c r="I744" s="383" t="s">
        <v>2827</v>
      </c>
      <c r="J744" s="383" t="s">
        <v>1704</v>
      </c>
      <c r="K744" s="383" t="s">
        <v>534</v>
      </c>
      <c r="L744" s="383" t="s">
        <v>8341</v>
      </c>
      <c r="M744" s="383" t="s">
        <v>10530</v>
      </c>
      <c r="N744" s="239" t="s">
        <v>44</v>
      </c>
      <c r="O744" s="383" t="str">
        <f>IF(LEN(SUBSTITUTE(Table3937[[#This Row],[PRIMARY CONTACT]]," ",""))=10,SUBSTITUTE(Table3937[[#This Row],[PRIMARY CONTACT]]," ","") &amp; " - Proper","- Follow Up")</f>
        <v>9022512767 - Proper</v>
      </c>
      <c r="P744" s="383" t="s">
        <v>6024</v>
      </c>
      <c r="Q744" s="383">
        <v>9022512767</v>
      </c>
      <c r="R744" s="383" t="str">
        <f>SUBSTITUTE(Table3937[[#This Row],[whatsapp_number]]," ","")</f>
        <v>9022512767</v>
      </c>
      <c r="S744" s="383" t="str">
        <f>IF(Table3937[[#This Row],[PRIMARY CONTACT]]=Table3937[[#This Row],[WHATSAPP CONTACT]],"Same Contact","Different Contact")</f>
        <v>Same Contact</v>
      </c>
      <c r="T744" s="383" t="str">
        <f>IF(LEN(SUBSTITUTE(Table3937[[#This Row],[PRIMARY CONTACT]]," ",""))=10,SUBSTITUTE(Table3937[[#This Row],[PRIMARY CONTACT]]," ","") &amp; " - Proper","- Follow Up")</f>
        <v>9022512767 - Proper</v>
      </c>
      <c r="U744" s="383" t="s">
        <v>3510</v>
      </c>
      <c r="V744" s="383" t="s">
        <v>71</v>
      </c>
      <c r="W744" s="383" t="s">
        <v>47</v>
      </c>
      <c r="X744" s="383" t="s">
        <v>44</v>
      </c>
      <c r="Y744" s="383" t="s">
        <v>44</v>
      </c>
      <c r="Z744" s="383" t="s">
        <v>44</v>
      </c>
      <c r="AA744" s="383" t="s">
        <v>44</v>
      </c>
      <c r="AB744" s="383"/>
    </row>
    <row r="745" spans="1:28" ht="13.8">
      <c r="A745" s="387">
        <v>744</v>
      </c>
      <c r="B745" s="383" t="s">
        <v>10716</v>
      </c>
      <c r="C745" s="383" t="s">
        <v>10743</v>
      </c>
      <c r="D745" s="383" t="s">
        <v>10716</v>
      </c>
      <c r="E745" s="383" t="s">
        <v>2837</v>
      </c>
      <c r="F745" s="383">
        <v>7297</v>
      </c>
      <c r="G745" s="383" t="s">
        <v>2842</v>
      </c>
      <c r="H745" s="383" t="s">
        <v>2843</v>
      </c>
      <c r="I745" s="383" t="s">
        <v>2838</v>
      </c>
      <c r="J745" s="383" t="s">
        <v>2839</v>
      </c>
      <c r="K745" s="383" t="s">
        <v>534</v>
      </c>
      <c r="L745" s="383" t="s">
        <v>9875</v>
      </c>
      <c r="M745" s="383" t="s">
        <v>10531</v>
      </c>
      <c r="N745" s="239" t="s">
        <v>44</v>
      </c>
      <c r="O745" s="383" t="str">
        <f>IF(LEN(SUBSTITUTE(Table3937[[#This Row],[PRIMARY CONTACT]]," ",""))=10,SUBSTITUTE(Table3937[[#This Row],[PRIMARY CONTACT]]," ","") &amp; " - Proper","- Follow Up")</f>
        <v>9892130129 - Proper</v>
      </c>
      <c r="P745" s="383" t="s">
        <v>6029</v>
      </c>
      <c r="Q745" s="383">
        <v>9892130129</v>
      </c>
      <c r="R745" s="383" t="str">
        <f>SUBSTITUTE(Table3937[[#This Row],[whatsapp_number]]," ","")</f>
        <v>9892130129</v>
      </c>
      <c r="S745" s="383" t="str">
        <f>IF(Table3937[[#This Row],[PRIMARY CONTACT]]=Table3937[[#This Row],[WHATSAPP CONTACT]],"Same Contact","Different Contact")</f>
        <v>Same Contact</v>
      </c>
      <c r="T745" s="383" t="str">
        <f>IF(LEN(SUBSTITUTE(Table3937[[#This Row],[PRIMARY CONTACT]]," ",""))=10,SUBSTITUTE(Table3937[[#This Row],[PRIMARY CONTACT]]," ","") &amp; " - Proper","- Follow Up")</f>
        <v>9892130129 - Proper</v>
      </c>
      <c r="U745" s="383" t="s">
        <v>10700</v>
      </c>
      <c r="V745" s="383" t="s">
        <v>71</v>
      </c>
      <c r="W745" s="383" t="s">
        <v>47</v>
      </c>
      <c r="X745" s="383" t="s">
        <v>44</v>
      </c>
      <c r="Y745" s="383" t="s">
        <v>44</v>
      </c>
      <c r="Z745" s="383" t="s">
        <v>44</v>
      </c>
      <c r="AA745" s="383" t="s">
        <v>44</v>
      </c>
      <c r="AB745" s="383"/>
    </row>
    <row r="746" spans="1:28" ht="13.8">
      <c r="A746" s="387">
        <v>745</v>
      </c>
      <c r="B746" s="383" t="s">
        <v>10716</v>
      </c>
      <c r="C746" s="383" t="s">
        <v>10743</v>
      </c>
      <c r="D746" s="383" t="s">
        <v>10716</v>
      </c>
      <c r="E746" s="383" t="s">
        <v>2830</v>
      </c>
      <c r="F746" s="383">
        <v>7545</v>
      </c>
      <c r="G746" s="383" t="s">
        <v>2835</v>
      </c>
      <c r="H746" s="383" t="s">
        <v>2836</v>
      </c>
      <c r="I746" s="383" t="s">
        <v>2831</v>
      </c>
      <c r="J746" s="383" t="s">
        <v>2830</v>
      </c>
      <c r="K746" s="383" t="s">
        <v>2832</v>
      </c>
      <c r="L746" s="383" t="s">
        <v>9876</v>
      </c>
      <c r="M746" s="383" t="s">
        <v>10532</v>
      </c>
      <c r="N746" s="239" t="s">
        <v>44</v>
      </c>
      <c r="O746" s="383" t="str">
        <f>IF(LEN(SUBSTITUTE(Table3937[[#This Row],[PRIMARY CONTACT]]," ",""))=10,SUBSTITUTE(Table3937[[#This Row],[PRIMARY CONTACT]]," ","") &amp; " - Proper","- Follow Up")</f>
        <v>9029934614 - Proper</v>
      </c>
      <c r="P746" s="383" t="s">
        <v>6026</v>
      </c>
      <c r="Q746" s="383">
        <v>9029934614</v>
      </c>
      <c r="R746" s="383" t="str">
        <f>SUBSTITUTE(Table3937[[#This Row],[whatsapp_number]]," ","")</f>
        <v>9029934614</v>
      </c>
      <c r="S746" s="383" t="str">
        <f>IF(Table3937[[#This Row],[PRIMARY CONTACT]]=Table3937[[#This Row],[WHATSAPP CONTACT]],"Same Contact","Different Contact")</f>
        <v>Same Contact</v>
      </c>
      <c r="T746" s="383" t="str">
        <f>IF(LEN(SUBSTITUTE(Table3937[[#This Row],[PRIMARY CONTACT]]," ",""))=10,SUBSTITUTE(Table3937[[#This Row],[PRIMARY CONTACT]]," ","") &amp; " - Proper","- Follow Up")</f>
        <v>9029934614 - Proper</v>
      </c>
      <c r="U746" s="383" t="s">
        <v>6027</v>
      </c>
      <c r="V746" s="383" t="s">
        <v>71</v>
      </c>
      <c r="W746" s="383" t="s">
        <v>47</v>
      </c>
      <c r="X746" s="383" t="s">
        <v>44</v>
      </c>
      <c r="Y746" s="383" t="s">
        <v>44</v>
      </c>
      <c r="Z746" s="383" t="s">
        <v>44</v>
      </c>
      <c r="AA746" s="383" t="s">
        <v>44</v>
      </c>
      <c r="AB746" s="383"/>
    </row>
    <row r="747" spans="1:28" ht="13.8">
      <c r="A747" s="387">
        <v>746</v>
      </c>
      <c r="B747" s="383" t="s">
        <v>10716</v>
      </c>
      <c r="C747" s="383" t="s">
        <v>10743</v>
      </c>
      <c r="D747" s="383" t="s">
        <v>10716</v>
      </c>
      <c r="E747" s="383" t="s">
        <v>2814</v>
      </c>
      <c r="F747" s="383">
        <v>8876</v>
      </c>
      <c r="G747" s="383" t="s">
        <v>71</v>
      </c>
      <c r="H747" s="383" t="s">
        <v>71</v>
      </c>
      <c r="I747" s="383" t="s">
        <v>2815</v>
      </c>
      <c r="J747" s="383" t="s">
        <v>2814</v>
      </c>
      <c r="K747" s="383" t="s">
        <v>8341</v>
      </c>
      <c r="L747" s="383" t="s">
        <v>8341</v>
      </c>
      <c r="M747" s="383" t="s">
        <v>8341</v>
      </c>
      <c r="N747" s="239" t="s">
        <v>44</v>
      </c>
      <c r="O747" s="383" t="str">
        <f>IF(LEN(SUBSTITUTE(Table3937[[#This Row],[PRIMARY CONTACT]]," ",""))=10,SUBSTITUTE(Table3937[[#This Row],[PRIMARY CONTACT]]," ","") &amp; " - Proper","- Follow Up")</f>
        <v>- Follow Up</v>
      </c>
      <c r="P747" s="383" t="s">
        <v>6016</v>
      </c>
      <c r="Q747" s="383" t="s">
        <v>71</v>
      </c>
      <c r="R747" s="383" t="str">
        <f>SUBSTITUTE(Table3937[[#This Row],[whatsapp_number]]," ","")</f>
        <v>UNDEFINED</v>
      </c>
      <c r="S747" s="383" t="str">
        <f>IF(Table3937[[#This Row],[PRIMARY CONTACT]]=Table3937[[#This Row],[WHATSAPP CONTACT]],"Same Contact","Different Contact")</f>
        <v>Same Contact</v>
      </c>
      <c r="T747" s="383" t="str">
        <f>IF(LEN(SUBSTITUTE(Table3937[[#This Row],[PRIMARY CONTACT]]," ",""))=10,SUBSTITUTE(Table3937[[#This Row],[PRIMARY CONTACT]]," ","") &amp; " - Proper","- Follow Up")</f>
        <v>- Follow Up</v>
      </c>
      <c r="U747" s="383" t="s">
        <v>6017</v>
      </c>
      <c r="V747" s="383" t="s">
        <v>71</v>
      </c>
      <c r="W747" s="383" t="s">
        <v>47</v>
      </c>
      <c r="X747" s="383" t="s">
        <v>44</v>
      </c>
      <c r="Y747" s="383" t="s">
        <v>44</v>
      </c>
      <c r="Z747" s="383" t="s">
        <v>44</v>
      </c>
      <c r="AA747" s="383" t="s">
        <v>44</v>
      </c>
      <c r="AB747" s="383"/>
    </row>
    <row r="748" spans="1:28" ht="13.8">
      <c r="A748" s="387">
        <v>747</v>
      </c>
      <c r="B748" s="383" t="s">
        <v>10716</v>
      </c>
      <c r="C748" s="383" t="s">
        <v>10743</v>
      </c>
      <c r="D748" s="383" t="s">
        <v>10716</v>
      </c>
      <c r="E748" s="383" t="s">
        <v>9241</v>
      </c>
      <c r="F748" s="383">
        <v>8886</v>
      </c>
      <c r="G748" s="383" t="s">
        <v>71</v>
      </c>
      <c r="H748" s="383" t="s">
        <v>2737</v>
      </c>
      <c r="I748" s="383" t="s">
        <v>2725</v>
      </c>
      <c r="J748" s="383" t="s">
        <v>2734</v>
      </c>
      <c r="K748" s="383" t="s">
        <v>2735</v>
      </c>
      <c r="L748" s="383" t="s">
        <v>9748</v>
      </c>
      <c r="M748" s="383" t="s">
        <v>10533</v>
      </c>
      <c r="N748" s="239" t="s">
        <v>44</v>
      </c>
      <c r="O748" s="383" t="str">
        <f>IF(LEN(SUBSTITUTE(Table3937[[#This Row],[PRIMARY CONTACT]]," ",""))=10,SUBSTITUTE(Table3937[[#This Row],[PRIMARY CONTACT]]," ","") &amp; " - Proper","- Follow Up")</f>
        <v>7021783598 - Proper</v>
      </c>
      <c r="P748" s="383" t="s">
        <v>2732</v>
      </c>
      <c r="Q748" s="383">
        <v>7021783598</v>
      </c>
      <c r="R748" s="383" t="str">
        <f>SUBSTITUTE(Table3937[[#This Row],[whatsapp_number]]," ","")</f>
        <v>7021783598</v>
      </c>
      <c r="S748" s="383" t="str">
        <f>IF(Table3937[[#This Row],[PRIMARY CONTACT]]=Table3937[[#This Row],[WHATSAPP CONTACT]],"Same Contact","Different Contact")</f>
        <v>Same Contact</v>
      </c>
      <c r="T748" s="383" t="str">
        <f>IF(LEN(SUBSTITUTE(Table3937[[#This Row],[PRIMARY CONTACT]]," ",""))=10,SUBSTITUTE(Table3937[[#This Row],[PRIMARY CONTACT]]," ","") &amp; " - Proper","- Follow Up")</f>
        <v>7021783598 - Proper</v>
      </c>
      <c r="U748" s="383" t="s">
        <v>10604</v>
      </c>
      <c r="V748" s="393" t="s">
        <v>2736</v>
      </c>
      <c r="W748" s="383" t="s">
        <v>47</v>
      </c>
      <c r="X748" s="383" t="s">
        <v>44</v>
      </c>
      <c r="Y748" s="383" t="s">
        <v>44</v>
      </c>
      <c r="Z748" s="383" t="s">
        <v>44</v>
      </c>
      <c r="AA748" s="383" t="s">
        <v>44</v>
      </c>
      <c r="AB748" s="383"/>
    </row>
    <row r="749" spans="1:28" ht="13.8">
      <c r="A749" s="387">
        <v>748</v>
      </c>
      <c r="B749" s="383" t="s">
        <v>10716</v>
      </c>
      <c r="C749" s="383" t="s">
        <v>10743</v>
      </c>
      <c r="D749" s="383" t="s">
        <v>10716</v>
      </c>
      <c r="E749" s="383" t="s">
        <v>9242</v>
      </c>
      <c r="F749" s="383">
        <v>9539</v>
      </c>
      <c r="G749" s="383" t="s">
        <v>2770</v>
      </c>
      <c r="H749" s="383" t="s">
        <v>2771</v>
      </c>
      <c r="I749" s="383" t="s">
        <v>8586</v>
      </c>
      <c r="J749" s="383" t="s">
        <v>2766</v>
      </c>
      <c r="K749" s="383" t="s">
        <v>2767</v>
      </c>
      <c r="L749" s="383" t="s">
        <v>9877</v>
      </c>
      <c r="M749" s="383" t="s">
        <v>10359</v>
      </c>
      <c r="N749" s="239" t="s">
        <v>44</v>
      </c>
      <c r="O749" s="383" t="str">
        <f>IF(LEN(SUBSTITUTE(Table3937[[#This Row],[PRIMARY CONTACT]]," ",""))=10,SUBSTITUTE(Table3937[[#This Row],[PRIMARY CONTACT]]," ","") &amp; " - Proper","- Follow Up")</f>
        <v>- Follow Up</v>
      </c>
      <c r="P749" s="383" t="s">
        <v>2763</v>
      </c>
      <c r="Q749" s="383" t="s">
        <v>8279</v>
      </c>
      <c r="R749" s="383" t="str">
        <f>SUBSTITUTE(Table3937[[#This Row],[whatsapp_number]]," ","")</f>
        <v>#ERROR!</v>
      </c>
      <c r="S749" s="383" t="str">
        <f>IF(Table3937[[#This Row],[PRIMARY CONTACT]]=Table3937[[#This Row],[WHATSAPP CONTACT]],"Same Contact","Different Contact")</f>
        <v>Same Contact</v>
      </c>
      <c r="T749" s="383" t="str">
        <f>IF(LEN(SUBSTITUTE(Table3937[[#This Row],[PRIMARY CONTACT]]," ",""))=10,SUBSTITUTE(Table3937[[#This Row],[PRIMARY CONTACT]]," ","") &amp; " - Proper","- Follow Up")</f>
        <v>- Follow Up</v>
      </c>
      <c r="U749" s="383" t="s">
        <v>3510</v>
      </c>
      <c r="V749" s="393" t="s">
        <v>2769</v>
      </c>
      <c r="W749" s="383" t="s">
        <v>47</v>
      </c>
      <c r="X749" s="383" t="s">
        <v>44</v>
      </c>
      <c r="Y749" s="383" t="s">
        <v>44</v>
      </c>
      <c r="Z749" s="383" t="s">
        <v>44</v>
      </c>
      <c r="AA749" s="383" t="s">
        <v>44</v>
      </c>
      <c r="AB749" s="383"/>
    </row>
    <row r="750" spans="1:28" ht="13.8">
      <c r="A750" s="387">
        <v>749</v>
      </c>
      <c r="B750" s="383" t="s">
        <v>10716</v>
      </c>
      <c r="C750" s="383" t="s">
        <v>10743</v>
      </c>
      <c r="D750" s="383" t="s">
        <v>10716</v>
      </c>
      <c r="E750" s="383" t="s">
        <v>2916</v>
      </c>
      <c r="F750" s="383">
        <v>9562</v>
      </c>
      <c r="G750" s="383" t="s">
        <v>71</v>
      </c>
      <c r="H750" s="383" t="s">
        <v>467</v>
      </c>
      <c r="I750" s="383" t="s">
        <v>2917</v>
      </c>
      <c r="J750" s="383" t="s">
        <v>2918</v>
      </c>
      <c r="K750" s="383" t="s">
        <v>2473</v>
      </c>
      <c r="L750" s="383" t="s">
        <v>9651</v>
      </c>
      <c r="M750" s="383" t="s">
        <v>10534</v>
      </c>
      <c r="N750" s="239" t="s">
        <v>44</v>
      </c>
      <c r="O750" s="383" t="str">
        <f>IF(LEN(SUBSTITUTE(Table3937[[#This Row],[PRIMARY CONTACT]]," ",""))=10,SUBSTITUTE(Table3937[[#This Row],[PRIMARY CONTACT]]," ","") &amp; " - Proper","- Follow Up")</f>
        <v>- Follow Up</v>
      </c>
      <c r="P750" s="383" t="s">
        <v>6063</v>
      </c>
      <c r="Q750" s="383">
        <v>919820320705</v>
      </c>
      <c r="R750" s="383" t="str">
        <f>SUBSTITUTE(Table3937[[#This Row],[whatsapp_number]]," ","")</f>
        <v>919820320705</v>
      </c>
      <c r="S750" s="383" t="str">
        <f>IF(Table3937[[#This Row],[PRIMARY CONTACT]]=Table3937[[#This Row],[WHATSAPP CONTACT]],"Same Contact","Different Contact")</f>
        <v>Same Contact</v>
      </c>
      <c r="T750" s="383" t="str">
        <f>IF(LEN(SUBSTITUTE(Table3937[[#This Row],[PRIMARY CONTACT]]," ",""))=10,SUBSTITUTE(Table3937[[#This Row],[PRIMARY CONTACT]]," ","") &amp; " - Proper","- Follow Up")</f>
        <v>- Follow Up</v>
      </c>
      <c r="U750" s="383" t="s">
        <v>6064</v>
      </c>
      <c r="V750" s="393" t="s">
        <v>2920</v>
      </c>
      <c r="W750" s="383" t="s">
        <v>47</v>
      </c>
      <c r="X750" s="383" t="s">
        <v>44</v>
      </c>
      <c r="Y750" s="383" t="s">
        <v>44</v>
      </c>
      <c r="Z750" s="383" t="s">
        <v>44</v>
      </c>
      <c r="AA750" s="383" t="s">
        <v>44</v>
      </c>
      <c r="AB750" s="383"/>
    </row>
    <row r="751" spans="1:28" ht="13.8">
      <c r="A751" s="387">
        <v>750</v>
      </c>
      <c r="B751" s="383" t="s">
        <v>10716</v>
      </c>
      <c r="C751" s="383" t="s">
        <v>10743</v>
      </c>
      <c r="D751" s="383" t="s">
        <v>10716</v>
      </c>
      <c r="E751" s="383" t="s">
        <v>9243</v>
      </c>
      <c r="F751" s="383">
        <v>9737</v>
      </c>
      <c r="G751" s="383" t="s">
        <v>71</v>
      </c>
      <c r="H751" s="383" t="s">
        <v>71</v>
      </c>
      <c r="I751" s="383" t="s">
        <v>2885</v>
      </c>
      <c r="J751" s="383" t="s">
        <v>2886</v>
      </c>
      <c r="K751" s="383" t="s">
        <v>2887</v>
      </c>
      <c r="L751" s="383" t="s">
        <v>8341</v>
      </c>
      <c r="M751" s="383" t="s">
        <v>10535</v>
      </c>
      <c r="N751" s="239" t="s">
        <v>44</v>
      </c>
      <c r="O751" s="383" t="str">
        <f>IF(LEN(SUBSTITUTE(Table3937[[#This Row],[PRIMARY CONTACT]]," ",""))=10,SUBSTITUTE(Table3937[[#This Row],[PRIMARY CONTACT]]," ","") &amp; " - Proper","- Follow Up")</f>
        <v>8080833834 - Proper</v>
      </c>
      <c r="P751" s="383" t="s">
        <v>6051</v>
      </c>
      <c r="Q751" s="383" t="s">
        <v>71</v>
      </c>
      <c r="R751" s="383" t="str">
        <f>SUBSTITUTE(Table3937[[#This Row],[whatsapp_number]]," ","")</f>
        <v>UNDEFINED</v>
      </c>
      <c r="S751" s="383" t="str">
        <f>IF(Table3937[[#This Row],[PRIMARY CONTACT]]=Table3937[[#This Row],[WHATSAPP CONTACT]],"Same Contact","Different Contact")</f>
        <v>Different Contact</v>
      </c>
      <c r="T751" s="383" t="str">
        <f>IF(LEN(SUBSTITUTE(Table3937[[#This Row],[PRIMARY CONTACT]]," ",""))=10,SUBSTITUTE(Table3937[[#This Row],[PRIMARY CONTACT]]," ","") &amp; " - Proper","- Follow Up")</f>
        <v>8080833834 - Proper</v>
      </c>
      <c r="U751" s="383" t="s">
        <v>8341</v>
      </c>
      <c r="V751" s="383" t="s">
        <v>71</v>
      </c>
      <c r="W751" s="383" t="s">
        <v>47</v>
      </c>
      <c r="X751" s="383" t="s">
        <v>44</v>
      </c>
      <c r="Y751" s="383" t="s">
        <v>44</v>
      </c>
      <c r="Z751" s="383" t="s">
        <v>44</v>
      </c>
      <c r="AA751" s="383" t="s">
        <v>44</v>
      </c>
      <c r="AB751" s="383"/>
    </row>
    <row r="752" spans="1:28" ht="13.8">
      <c r="A752" s="387">
        <v>751</v>
      </c>
      <c r="B752" s="383" t="s">
        <v>10716</v>
      </c>
      <c r="C752" s="383" t="s">
        <v>10743</v>
      </c>
      <c r="D752" s="383" t="s">
        <v>10716</v>
      </c>
      <c r="E752" s="383" t="s">
        <v>9244</v>
      </c>
      <c r="F752" s="383">
        <v>9861</v>
      </c>
      <c r="G752" s="383" t="s">
        <v>2760</v>
      </c>
      <c r="H752" s="383" t="s">
        <v>2761</v>
      </c>
      <c r="I752" s="383" t="s">
        <v>8588</v>
      </c>
      <c r="J752" s="383" t="s">
        <v>9496</v>
      </c>
      <c r="K752" s="383" t="s">
        <v>191</v>
      </c>
      <c r="L752" s="383" t="s">
        <v>9878</v>
      </c>
      <c r="M752" s="383" t="s">
        <v>10511</v>
      </c>
      <c r="N752" s="239" t="s">
        <v>44</v>
      </c>
      <c r="O752" s="383" t="str">
        <f>IF(LEN(SUBSTITUTE(Table3937[[#This Row],[PRIMARY CONTACT]]," ",""))=10,SUBSTITUTE(Table3937[[#This Row],[PRIMARY CONTACT]]," ","") &amp; " - Proper","- Follow Up")</f>
        <v>9820692870 - Proper</v>
      </c>
      <c r="P752" s="383" t="s">
        <v>2755</v>
      </c>
      <c r="Q752" s="383">
        <v>9820692870</v>
      </c>
      <c r="R752" s="383" t="str">
        <f>SUBSTITUTE(Table3937[[#This Row],[whatsapp_number]]," ","")</f>
        <v>9820692870</v>
      </c>
      <c r="S752" s="383" t="str">
        <f>IF(Table3937[[#This Row],[PRIMARY CONTACT]]=Table3937[[#This Row],[WHATSAPP CONTACT]],"Same Contact","Different Contact")</f>
        <v>Same Contact</v>
      </c>
      <c r="T752" s="383" t="str">
        <f>IF(LEN(SUBSTITUTE(Table3937[[#This Row],[PRIMARY CONTACT]]," ",""))=10,SUBSTITUTE(Table3937[[#This Row],[PRIMARY CONTACT]]," ","") &amp; " - Proper","- Follow Up")</f>
        <v>9820692870 - Proper</v>
      </c>
      <c r="U752" s="383" t="s">
        <v>10701</v>
      </c>
      <c r="V752" s="383" t="s">
        <v>71</v>
      </c>
      <c r="W752" s="383" t="s">
        <v>47</v>
      </c>
      <c r="X752" s="383" t="s">
        <v>44</v>
      </c>
      <c r="Y752" s="383" t="s">
        <v>44</v>
      </c>
      <c r="Z752" s="383" t="s">
        <v>44</v>
      </c>
      <c r="AA752" s="383" t="s">
        <v>44</v>
      </c>
      <c r="AB752" s="383"/>
    </row>
    <row r="753" spans="1:28" ht="13.8">
      <c r="A753" s="387">
        <v>752</v>
      </c>
      <c r="B753" s="383" t="s">
        <v>10716</v>
      </c>
      <c r="C753" s="383" t="s">
        <v>10743</v>
      </c>
      <c r="D753" s="383" t="s">
        <v>10716</v>
      </c>
      <c r="E753" s="383" t="s">
        <v>9245</v>
      </c>
      <c r="F753" s="383">
        <v>9997</v>
      </c>
      <c r="G753" s="383" t="s">
        <v>71</v>
      </c>
      <c r="H753" s="383" t="s">
        <v>2794</v>
      </c>
      <c r="I753" s="383" t="s">
        <v>1031</v>
      </c>
      <c r="J753" s="383" t="s">
        <v>2791</v>
      </c>
      <c r="K753" s="383" t="s">
        <v>9603</v>
      </c>
      <c r="L753" s="383" t="s">
        <v>9661</v>
      </c>
      <c r="M753" s="383" t="s">
        <v>10536</v>
      </c>
      <c r="N753" s="239" t="s">
        <v>44</v>
      </c>
      <c r="O753" s="383" t="str">
        <f>IF(LEN(SUBSTITUTE(Table3937[[#This Row],[PRIMARY CONTACT]]," ",""))=10,SUBSTITUTE(Table3937[[#This Row],[PRIMARY CONTACT]]," ","") &amp; " - Proper","- Follow Up")</f>
        <v>9913252758 - Proper</v>
      </c>
      <c r="P753" s="383" t="s">
        <v>2789</v>
      </c>
      <c r="Q753" s="383">
        <v>9913252758</v>
      </c>
      <c r="R753" s="383" t="str">
        <f>SUBSTITUTE(Table3937[[#This Row],[whatsapp_number]]," ","")</f>
        <v>9913252758</v>
      </c>
      <c r="S753" s="383" t="str">
        <f>IF(Table3937[[#This Row],[PRIMARY CONTACT]]=Table3937[[#This Row],[WHATSAPP CONTACT]],"Same Contact","Different Contact")</f>
        <v>Same Contact</v>
      </c>
      <c r="T753" s="383" t="str">
        <f>IF(LEN(SUBSTITUTE(Table3937[[#This Row],[PRIMARY CONTACT]]," ",""))=10,SUBSTITUTE(Table3937[[#This Row],[PRIMARY CONTACT]]," ","") &amp; " - Proper","- Follow Up")</f>
        <v>9913252758 - Proper</v>
      </c>
      <c r="U753" s="383" t="s">
        <v>2953</v>
      </c>
      <c r="V753" s="393" t="s">
        <v>2793</v>
      </c>
      <c r="W753" s="383" t="s">
        <v>47</v>
      </c>
      <c r="X753" s="383" t="s">
        <v>44</v>
      </c>
      <c r="Y753" s="383" t="s">
        <v>44</v>
      </c>
      <c r="Z753" s="383" t="s">
        <v>44</v>
      </c>
      <c r="AA753" s="383" t="s">
        <v>44</v>
      </c>
      <c r="AB753" s="383"/>
    </row>
    <row r="754" spans="1:28" ht="13.8">
      <c r="A754" s="387">
        <v>753</v>
      </c>
      <c r="B754" s="383" t="s">
        <v>10716</v>
      </c>
      <c r="C754" s="383" t="s">
        <v>10743</v>
      </c>
      <c r="D754" s="383" t="s">
        <v>10716</v>
      </c>
      <c r="E754" s="383" t="s">
        <v>9246</v>
      </c>
      <c r="F754" s="383">
        <v>4182</v>
      </c>
      <c r="G754" s="383" t="s">
        <v>71</v>
      </c>
      <c r="H754" s="383" t="s">
        <v>71</v>
      </c>
      <c r="I754" s="383" t="s">
        <v>2910</v>
      </c>
      <c r="J754" s="383" t="s">
        <v>2911</v>
      </c>
      <c r="K754" s="383" t="s">
        <v>2912</v>
      </c>
      <c r="L754" s="383" t="s">
        <v>9879</v>
      </c>
      <c r="M754" s="383" t="s">
        <v>10537</v>
      </c>
      <c r="N754" s="239" t="s">
        <v>44</v>
      </c>
      <c r="O754" s="383" t="str">
        <f>IF(LEN(SUBSTITUTE(Table3937[[#This Row],[PRIMARY CONTACT]]," ",""))=10,SUBSTITUTE(Table3937[[#This Row],[PRIMARY CONTACT]]," ","") &amp; " - Proper","- Follow Up")</f>
        <v>9603314626 - Proper</v>
      </c>
      <c r="P754" s="383" t="s">
        <v>4323</v>
      </c>
      <c r="Q754" s="383">
        <v>9603314626</v>
      </c>
      <c r="R754" s="383" t="str">
        <f>SUBSTITUTE(Table3937[[#This Row],[whatsapp_number]]," ","")</f>
        <v>9603314626</v>
      </c>
      <c r="S754" s="383" t="str">
        <f>IF(Table3937[[#This Row],[PRIMARY CONTACT]]=Table3937[[#This Row],[WHATSAPP CONTACT]],"Same Contact","Different Contact")</f>
        <v>Same Contact</v>
      </c>
      <c r="T754" s="383" t="str">
        <f>IF(LEN(SUBSTITUTE(Table3937[[#This Row],[PRIMARY CONTACT]]," ",""))=10,SUBSTITUTE(Table3937[[#This Row],[PRIMARY CONTACT]]," ","") &amp; " - Proper","- Follow Up")</f>
        <v>9603314626 - Proper</v>
      </c>
      <c r="U754" s="383" t="s">
        <v>10702</v>
      </c>
      <c r="V754" s="393" t="s">
        <v>2914</v>
      </c>
      <c r="W754" s="383" t="s">
        <v>47</v>
      </c>
      <c r="X754" s="383" t="s">
        <v>44</v>
      </c>
      <c r="Y754" s="383" t="s">
        <v>44</v>
      </c>
      <c r="Z754" s="383" t="s">
        <v>44</v>
      </c>
      <c r="AA754" s="383" t="s">
        <v>44</v>
      </c>
      <c r="AB754" s="383"/>
    </row>
    <row r="755" spans="1:28" ht="13.8">
      <c r="A755" s="387">
        <v>754</v>
      </c>
      <c r="B755" s="383" t="s">
        <v>10716</v>
      </c>
      <c r="C755" s="383" t="s">
        <v>10743</v>
      </c>
      <c r="D755" s="383" t="s">
        <v>10716</v>
      </c>
      <c r="E755" s="393" t="s">
        <v>9247</v>
      </c>
      <c r="F755" s="383" t="s">
        <v>71</v>
      </c>
      <c r="G755" s="383" t="s">
        <v>71</v>
      </c>
      <c r="H755" s="383" t="s">
        <v>1410</v>
      </c>
      <c r="I755" s="383" t="s">
        <v>1401</v>
      </c>
      <c r="J755" s="383" t="s">
        <v>1463</v>
      </c>
      <c r="K755" s="383" t="s">
        <v>9604</v>
      </c>
      <c r="L755" s="383" t="s">
        <v>8341</v>
      </c>
      <c r="M755" s="383" t="s">
        <v>10538</v>
      </c>
      <c r="N755" s="239" t="s">
        <v>44</v>
      </c>
      <c r="O755" s="383" t="str">
        <f>IF(LEN(SUBSTITUTE(Table3937[[#This Row],[PRIMARY CONTACT]]," ",""))=10,SUBSTITUTE(Table3937[[#This Row],[PRIMARY CONTACT]]," ","") &amp; " - Proper","- Follow Up")</f>
        <v>8657913169 - Proper</v>
      </c>
      <c r="P755" s="383" t="s">
        <v>3268</v>
      </c>
      <c r="Q755" s="383">
        <v>8657913169</v>
      </c>
      <c r="R755" s="383" t="str">
        <f>SUBSTITUTE(Table3937[[#This Row],[whatsapp_number]]," ","")</f>
        <v>8657913169</v>
      </c>
      <c r="S755" s="383" t="str">
        <f>IF(Table3937[[#This Row],[PRIMARY CONTACT]]=Table3937[[#This Row],[WHATSAPP CONTACT]],"Same Contact","Different Contact")</f>
        <v>Same Contact</v>
      </c>
      <c r="T755" s="383" t="str">
        <f>IF(LEN(SUBSTITUTE(Table3937[[#This Row],[PRIMARY CONTACT]]," ",""))=10,SUBSTITUTE(Table3937[[#This Row],[PRIMARY CONTACT]]," ","") &amp; " - Proper","- Follow Up")</f>
        <v>8657913169 - Proper</v>
      </c>
      <c r="U755" s="383" t="s">
        <v>8341</v>
      </c>
      <c r="V755" s="393" t="s">
        <v>1405</v>
      </c>
      <c r="W755" s="383" t="s">
        <v>47</v>
      </c>
      <c r="X755" s="383" t="s">
        <v>44</v>
      </c>
      <c r="Y755" s="383" t="s">
        <v>44</v>
      </c>
      <c r="Z755" s="383" t="s">
        <v>44</v>
      </c>
      <c r="AA755" s="383" t="s">
        <v>44</v>
      </c>
      <c r="AB755" s="383"/>
    </row>
    <row r="756" spans="1:28" ht="13.8">
      <c r="B756" s="383"/>
      <c r="C756" s="383"/>
      <c r="D756" s="383"/>
      <c r="E756" s="383"/>
      <c r="F756" s="383"/>
      <c r="G756" s="383"/>
      <c r="H756" s="383"/>
      <c r="I756" s="383"/>
      <c r="J756" s="383"/>
      <c r="K756" s="383"/>
      <c r="L756" s="383"/>
      <c r="M756" s="383"/>
      <c r="N756" s="383"/>
      <c r="O756" s="383"/>
      <c r="P756" s="383"/>
      <c r="Q756" s="383"/>
      <c r="R756" s="383"/>
      <c r="S756" s="383"/>
      <c r="T756" s="383"/>
      <c r="U756" s="383"/>
      <c r="V756" s="383"/>
      <c r="W756" s="383"/>
    </row>
    <row r="757" spans="1:28" ht="13.8">
      <c r="B757" s="383"/>
      <c r="C757" s="383"/>
      <c r="D757" s="383"/>
      <c r="E757" s="383"/>
      <c r="F757" s="383"/>
      <c r="G757" s="383"/>
      <c r="H757" s="383"/>
      <c r="I757" s="383"/>
      <c r="J757" s="383"/>
      <c r="K757" s="383"/>
      <c r="L757" s="383"/>
      <c r="M757" s="383"/>
      <c r="N757" s="383"/>
      <c r="O757" s="383"/>
      <c r="P757" s="383"/>
      <c r="Q757" s="383"/>
      <c r="R757" s="383"/>
      <c r="S757" s="383"/>
      <c r="T757" s="383"/>
      <c r="U757" s="383"/>
      <c r="V757" s="383"/>
      <c r="W757" s="383"/>
    </row>
    <row r="758" spans="1:28" ht="13.8">
      <c r="B758" s="383"/>
      <c r="C758" s="383"/>
      <c r="D758" s="383"/>
      <c r="E758" s="383"/>
      <c r="F758" s="383"/>
      <c r="G758" s="383"/>
      <c r="H758" s="383"/>
      <c r="I758" s="383"/>
      <c r="J758" s="383"/>
      <c r="K758" s="383"/>
      <c r="L758" s="383"/>
      <c r="M758" s="383"/>
      <c r="N758" s="383"/>
      <c r="O758" s="383"/>
      <c r="P758" s="383"/>
      <c r="Q758" s="383"/>
      <c r="R758" s="383"/>
      <c r="S758" s="383"/>
      <c r="T758" s="383"/>
      <c r="U758" s="383"/>
      <c r="V758" s="383"/>
      <c r="W758" s="383"/>
    </row>
    <row r="759" spans="1:28" ht="13.8">
      <c r="B759" s="383"/>
      <c r="C759" s="383"/>
      <c r="D759" s="383"/>
      <c r="E759" s="383"/>
      <c r="F759" s="383"/>
      <c r="G759" s="383"/>
      <c r="H759" s="383"/>
      <c r="I759" s="383"/>
      <c r="J759" s="383"/>
      <c r="K759" s="383"/>
      <c r="L759" s="383"/>
      <c r="M759" s="383"/>
      <c r="N759" s="383"/>
      <c r="O759" s="383"/>
      <c r="P759" s="383"/>
      <c r="Q759" s="383"/>
      <c r="R759" s="383"/>
      <c r="S759" s="383"/>
      <c r="T759" s="383"/>
      <c r="U759" s="383"/>
      <c r="V759" s="383"/>
      <c r="W759" s="383"/>
    </row>
    <row r="760" spans="1:28" ht="13.8">
      <c r="B760" s="383"/>
      <c r="C760" s="383"/>
      <c r="D760" s="383"/>
      <c r="E760" s="383"/>
      <c r="F760" s="383"/>
      <c r="G760" s="383"/>
      <c r="H760" s="383"/>
      <c r="I760" s="383"/>
      <c r="J760" s="383"/>
      <c r="K760" s="383"/>
      <c r="L760" s="383"/>
      <c r="M760" s="383"/>
      <c r="N760" s="383"/>
      <c r="O760" s="383"/>
      <c r="P760" s="383"/>
      <c r="Q760" s="383"/>
      <c r="R760" s="383"/>
      <c r="S760" s="383"/>
      <c r="T760" s="383"/>
      <c r="U760" s="383"/>
      <c r="V760" s="383"/>
      <c r="W760" s="383"/>
    </row>
    <row r="761" spans="1:28">
      <c r="B761" s="412"/>
      <c r="C761" s="412"/>
      <c r="D761" s="412"/>
      <c r="E761" s="412"/>
      <c r="F761" s="412"/>
      <c r="G761" s="412"/>
      <c r="H761" s="412"/>
      <c r="I761" s="412"/>
      <c r="J761" s="412"/>
      <c r="K761" s="412"/>
      <c r="L761" s="412"/>
      <c r="M761" s="412"/>
      <c r="N761" s="412"/>
      <c r="O761" s="412"/>
      <c r="P761" s="412"/>
      <c r="Q761" s="412"/>
      <c r="R761" s="412"/>
      <c r="S761" s="412"/>
      <c r="T761" s="412"/>
      <c r="U761" s="412"/>
      <c r="V761" s="412"/>
      <c r="W761" s="412"/>
    </row>
    <row r="762" spans="1:28">
      <c r="B762" s="412"/>
      <c r="C762" s="412"/>
      <c r="D762" s="412"/>
      <c r="E762" s="412"/>
      <c r="F762" s="412"/>
      <c r="G762" s="412"/>
      <c r="H762" s="412"/>
      <c r="I762" s="412"/>
      <c r="J762" s="412"/>
      <c r="K762" s="412"/>
      <c r="L762" s="412"/>
      <c r="M762" s="412"/>
      <c r="N762" s="412"/>
      <c r="O762" s="412"/>
      <c r="P762" s="412"/>
      <c r="Q762" s="412"/>
      <c r="R762" s="412"/>
      <c r="S762" s="412"/>
      <c r="T762" s="412"/>
      <c r="U762" s="412"/>
      <c r="V762" s="412"/>
      <c r="W762" s="412"/>
    </row>
    <row r="763" spans="1:28">
      <c r="B763" s="412"/>
      <c r="C763" s="412"/>
      <c r="D763" s="412"/>
      <c r="E763" s="412"/>
      <c r="F763" s="412"/>
      <c r="G763" s="412"/>
      <c r="H763" s="412"/>
      <c r="I763" s="412"/>
      <c r="J763" s="412"/>
      <c r="K763" s="412"/>
      <c r="L763" s="412"/>
      <c r="M763" s="412"/>
      <c r="N763" s="412"/>
      <c r="O763" s="412"/>
      <c r="P763" s="412"/>
      <c r="Q763" s="412"/>
      <c r="R763" s="412"/>
      <c r="S763" s="412"/>
      <c r="T763" s="412"/>
      <c r="U763" s="412"/>
      <c r="V763" s="412"/>
      <c r="W763" s="412"/>
    </row>
    <row r="764" spans="1:28">
      <c r="B764" s="412"/>
      <c r="C764" s="412"/>
      <c r="D764" s="412"/>
      <c r="E764" s="412"/>
      <c r="F764" s="412"/>
      <c r="G764" s="412"/>
      <c r="H764" s="412"/>
      <c r="I764" s="412"/>
      <c r="J764" s="412"/>
      <c r="K764" s="412"/>
      <c r="L764" s="412"/>
      <c r="M764" s="412"/>
      <c r="N764" s="412"/>
      <c r="O764" s="412"/>
      <c r="P764" s="412"/>
      <c r="Q764" s="412"/>
      <c r="R764" s="412"/>
      <c r="S764" s="412"/>
      <c r="T764" s="412"/>
      <c r="U764" s="412"/>
      <c r="V764" s="412"/>
      <c r="W764" s="412"/>
    </row>
    <row r="765" spans="1:28">
      <c r="B765" s="412"/>
      <c r="C765" s="412"/>
      <c r="D765" s="412"/>
      <c r="E765" s="412"/>
      <c r="F765" s="412"/>
      <c r="G765" s="412"/>
      <c r="H765" s="412"/>
      <c r="I765" s="412"/>
      <c r="J765" s="412"/>
      <c r="K765" s="412"/>
      <c r="L765" s="412"/>
      <c r="M765" s="412"/>
      <c r="N765" s="412"/>
      <c r="O765" s="412"/>
      <c r="P765" s="412"/>
      <c r="Q765" s="412"/>
      <c r="R765" s="412"/>
      <c r="S765" s="412"/>
      <c r="T765" s="412"/>
      <c r="U765" s="412"/>
      <c r="V765" s="412"/>
      <c r="W765" s="412"/>
    </row>
    <row r="766" spans="1:28">
      <c r="B766" s="412"/>
      <c r="C766" s="412"/>
      <c r="D766" s="412"/>
      <c r="E766" s="412"/>
      <c r="F766" s="412"/>
      <c r="G766" s="412"/>
      <c r="H766" s="412"/>
      <c r="I766" s="412"/>
      <c r="J766" s="412"/>
      <c r="K766" s="412"/>
      <c r="L766" s="412"/>
      <c r="M766" s="412"/>
      <c r="N766" s="412"/>
      <c r="O766" s="412"/>
      <c r="P766" s="412"/>
      <c r="Q766" s="412"/>
      <c r="R766" s="412"/>
      <c r="S766" s="412"/>
      <c r="T766" s="412"/>
      <c r="U766" s="412"/>
      <c r="V766" s="412"/>
      <c r="W766" s="412"/>
    </row>
    <row r="767" spans="1:28">
      <c r="B767" s="412"/>
      <c r="C767" s="412"/>
      <c r="D767" s="412"/>
      <c r="E767" s="412"/>
      <c r="F767" s="412"/>
      <c r="G767" s="412"/>
      <c r="H767" s="412"/>
      <c r="I767" s="412"/>
      <c r="J767" s="412"/>
      <c r="K767" s="412"/>
      <c r="L767" s="412"/>
      <c r="M767" s="412"/>
      <c r="N767" s="412"/>
      <c r="O767" s="412"/>
      <c r="P767" s="412"/>
      <c r="Q767" s="412"/>
      <c r="R767" s="412"/>
      <c r="S767" s="412"/>
      <c r="T767" s="412"/>
      <c r="U767" s="412"/>
      <c r="V767" s="412"/>
      <c r="W767" s="412"/>
    </row>
    <row r="768" spans="1:28">
      <c r="B768" s="412"/>
      <c r="C768" s="412"/>
      <c r="D768" s="412"/>
      <c r="E768" s="412"/>
      <c r="F768" s="412"/>
      <c r="G768" s="412"/>
      <c r="H768" s="412"/>
      <c r="I768" s="412"/>
      <c r="J768" s="412"/>
      <c r="K768" s="412"/>
      <c r="L768" s="412"/>
      <c r="M768" s="412"/>
      <c r="N768" s="412"/>
      <c r="O768" s="412"/>
      <c r="P768" s="412"/>
      <c r="Q768" s="412"/>
      <c r="R768" s="412"/>
      <c r="S768" s="412"/>
      <c r="T768" s="412"/>
      <c r="U768" s="412"/>
      <c r="V768" s="412"/>
      <c r="W768" s="412"/>
    </row>
    <row r="769" spans="2:23">
      <c r="B769" s="412"/>
      <c r="C769" s="412"/>
      <c r="D769" s="412"/>
      <c r="E769" s="412"/>
      <c r="F769" s="412"/>
      <c r="G769" s="412"/>
      <c r="H769" s="412"/>
      <c r="I769" s="412"/>
      <c r="J769" s="412"/>
      <c r="K769" s="412"/>
      <c r="L769" s="412"/>
      <c r="M769" s="412"/>
      <c r="N769" s="412"/>
      <c r="O769" s="412"/>
      <c r="P769" s="412"/>
      <c r="Q769" s="412"/>
      <c r="R769" s="412"/>
      <c r="S769" s="412"/>
      <c r="T769" s="412"/>
      <c r="U769" s="412"/>
      <c r="V769" s="412"/>
      <c r="W769" s="412"/>
    </row>
    <row r="770" spans="2:23">
      <c r="B770" s="412"/>
      <c r="C770" s="412"/>
      <c r="D770" s="412"/>
      <c r="E770" s="412"/>
      <c r="F770" s="412"/>
      <c r="G770" s="412"/>
      <c r="H770" s="412"/>
      <c r="I770" s="412"/>
      <c r="J770" s="412"/>
      <c r="K770" s="412"/>
      <c r="L770" s="412"/>
      <c r="M770" s="412"/>
      <c r="N770" s="412"/>
      <c r="O770" s="412"/>
      <c r="P770" s="412"/>
      <c r="Q770" s="412"/>
      <c r="R770" s="412"/>
      <c r="S770" s="412"/>
      <c r="T770" s="412"/>
      <c r="U770" s="412"/>
      <c r="V770" s="412"/>
      <c r="W770" s="412"/>
    </row>
    <row r="771" spans="2:23">
      <c r="B771" s="412"/>
      <c r="C771" s="412"/>
      <c r="D771" s="412"/>
      <c r="E771" s="412"/>
      <c r="F771" s="412"/>
      <c r="G771" s="412"/>
      <c r="H771" s="412"/>
      <c r="I771" s="412"/>
      <c r="J771" s="412"/>
      <c r="K771" s="412"/>
      <c r="L771" s="412"/>
      <c r="M771" s="412"/>
      <c r="N771" s="412"/>
      <c r="O771" s="412"/>
      <c r="P771" s="412"/>
      <c r="Q771" s="412"/>
      <c r="R771" s="412"/>
      <c r="S771" s="412"/>
      <c r="T771" s="412"/>
      <c r="U771" s="412"/>
      <c r="V771" s="412"/>
      <c r="W771" s="412"/>
    </row>
    <row r="772" spans="2:23">
      <c r="B772" s="412"/>
      <c r="C772" s="412"/>
      <c r="D772" s="412"/>
      <c r="E772" s="412"/>
      <c r="F772" s="412"/>
      <c r="G772" s="412"/>
      <c r="H772" s="412"/>
      <c r="I772" s="412"/>
      <c r="J772" s="412"/>
      <c r="K772" s="412"/>
      <c r="L772" s="412"/>
      <c r="M772" s="412"/>
      <c r="N772" s="412"/>
      <c r="O772" s="412"/>
      <c r="P772" s="412"/>
      <c r="Q772" s="412"/>
      <c r="R772" s="412"/>
      <c r="S772" s="412"/>
      <c r="T772" s="412"/>
      <c r="U772" s="412"/>
      <c r="V772" s="412"/>
      <c r="W772" s="412"/>
    </row>
    <row r="773" spans="2:23" ht="13.8">
      <c r="B773" s="383"/>
      <c r="C773" s="383"/>
      <c r="D773" s="383"/>
      <c r="E773" s="383"/>
      <c r="F773" s="383"/>
      <c r="G773" s="383"/>
      <c r="H773" s="383"/>
      <c r="I773" s="383"/>
      <c r="J773" s="383"/>
      <c r="K773" s="383"/>
      <c r="L773" s="383"/>
      <c r="M773" s="383"/>
      <c r="N773" s="383"/>
      <c r="O773" s="383"/>
      <c r="P773" s="383"/>
      <c r="Q773" s="383"/>
      <c r="R773" s="383"/>
      <c r="S773" s="383"/>
      <c r="T773" s="383"/>
      <c r="U773" s="383"/>
      <c r="V773" s="383"/>
      <c r="W773" s="383"/>
    </row>
    <row r="774" spans="2:23">
      <c r="B774" s="412"/>
      <c r="C774" s="412"/>
      <c r="D774" s="412"/>
      <c r="E774" s="412"/>
      <c r="F774" s="412"/>
      <c r="G774" s="412"/>
      <c r="H774" s="412"/>
      <c r="I774" s="412"/>
      <c r="J774" s="412"/>
      <c r="K774" s="412"/>
      <c r="L774" s="412"/>
      <c r="M774" s="412"/>
      <c r="N774" s="412"/>
      <c r="O774" s="412"/>
      <c r="P774" s="412"/>
      <c r="Q774" s="412"/>
      <c r="R774" s="412"/>
      <c r="S774" s="412"/>
      <c r="T774" s="412"/>
      <c r="U774" s="412"/>
      <c r="V774" s="412"/>
      <c r="W774" s="412"/>
    </row>
    <row r="775" spans="2:23">
      <c r="B775" s="412"/>
      <c r="C775" s="412"/>
      <c r="D775" s="412"/>
      <c r="E775" s="412"/>
      <c r="F775" s="412"/>
      <c r="G775" s="412"/>
      <c r="H775" s="412"/>
      <c r="I775" s="412"/>
      <c r="J775" s="412"/>
      <c r="K775" s="412"/>
      <c r="L775" s="412"/>
      <c r="M775" s="412"/>
      <c r="N775" s="412"/>
      <c r="O775" s="412"/>
      <c r="P775" s="412"/>
      <c r="Q775" s="412"/>
      <c r="R775" s="412"/>
      <c r="S775" s="412"/>
      <c r="T775" s="412"/>
      <c r="U775" s="412"/>
      <c r="V775" s="412"/>
      <c r="W775" s="412"/>
    </row>
    <row r="776" spans="2:23">
      <c r="B776" s="412"/>
      <c r="C776" s="412"/>
      <c r="D776" s="412"/>
      <c r="E776" s="412"/>
      <c r="F776" s="412"/>
      <c r="G776" s="412"/>
      <c r="H776" s="412"/>
      <c r="I776" s="412"/>
      <c r="J776" s="412"/>
      <c r="K776" s="412"/>
      <c r="L776" s="412"/>
      <c r="M776" s="412"/>
      <c r="N776" s="412"/>
      <c r="O776" s="412"/>
      <c r="P776" s="412"/>
      <c r="Q776" s="412"/>
      <c r="R776" s="412"/>
      <c r="S776" s="412"/>
      <c r="T776" s="412"/>
      <c r="U776" s="412"/>
      <c r="V776" s="412"/>
      <c r="W776" s="412"/>
    </row>
    <row r="777" spans="2:23">
      <c r="B777" s="412"/>
      <c r="C777" s="412"/>
      <c r="D777" s="412"/>
      <c r="E777" s="412"/>
      <c r="F777" s="412"/>
      <c r="G777" s="412"/>
      <c r="H777" s="412"/>
      <c r="I777" s="412"/>
      <c r="J777" s="412"/>
      <c r="K777" s="412"/>
      <c r="L777" s="412"/>
      <c r="M777" s="412"/>
      <c r="N777" s="412"/>
      <c r="O777" s="412"/>
      <c r="P777" s="412"/>
      <c r="Q777" s="412"/>
      <c r="R777" s="412"/>
      <c r="S777" s="412"/>
      <c r="T777" s="412"/>
      <c r="U777" s="412"/>
      <c r="V777" s="412"/>
      <c r="W777" s="412"/>
    </row>
    <row r="778" spans="2:23">
      <c r="B778" s="412"/>
      <c r="C778" s="412"/>
      <c r="D778" s="412"/>
      <c r="E778" s="412"/>
      <c r="F778" s="412"/>
      <c r="G778" s="412"/>
      <c r="H778" s="412"/>
      <c r="I778" s="412"/>
      <c r="J778" s="412"/>
      <c r="K778" s="412"/>
      <c r="L778" s="412"/>
      <c r="M778" s="412"/>
      <c r="N778" s="412"/>
      <c r="O778" s="412"/>
      <c r="P778" s="412"/>
      <c r="Q778" s="412"/>
      <c r="R778" s="412"/>
      <c r="S778" s="412"/>
      <c r="T778" s="412"/>
      <c r="U778" s="412"/>
      <c r="V778" s="412"/>
      <c r="W778" s="412"/>
    </row>
    <row r="779" spans="2:23">
      <c r="B779" s="412"/>
      <c r="C779" s="412"/>
      <c r="D779" s="412"/>
      <c r="E779" s="412"/>
      <c r="F779" s="412"/>
      <c r="G779" s="412"/>
      <c r="H779" s="412"/>
      <c r="I779" s="412"/>
      <c r="J779" s="412"/>
      <c r="K779" s="412"/>
      <c r="L779" s="412"/>
      <c r="M779" s="412"/>
      <c r="N779" s="412"/>
      <c r="O779" s="412"/>
      <c r="P779" s="412"/>
      <c r="Q779" s="412"/>
      <c r="R779" s="412"/>
      <c r="S779" s="412"/>
      <c r="T779" s="412"/>
      <c r="U779" s="412"/>
      <c r="V779" s="412"/>
      <c r="W779" s="412"/>
    </row>
    <row r="780" spans="2:23">
      <c r="B780" s="412"/>
      <c r="C780" s="412"/>
      <c r="D780" s="412"/>
      <c r="E780" s="412"/>
      <c r="F780" s="412"/>
      <c r="G780" s="412"/>
      <c r="H780" s="412"/>
      <c r="I780" s="412"/>
      <c r="J780" s="412"/>
      <c r="K780" s="412"/>
      <c r="L780" s="412"/>
      <c r="M780" s="412"/>
      <c r="N780" s="412"/>
      <c r="O780" s="412"/>
      <c r="P780" s="412"/>
      <c r="Q780" s="412"/>
      <c r="R780" s="412"/>
      <c r="S780" s="412"/>
      <c r="T780" s="412"/>
      <c r="U780" s="412"/>
      <c r="V780" s="412"/>
      <c r="W780" s="412"/>
    </row>
    <row r="781" spans="2:23">
      <c r="B781" s="412"/>
      <c r="C781" s="412"/>
      <c r="D781" s="412"/>
      <c r="E781" s="412"/>
      <c r="F781" s="412"/>
      <c r="G781" s="412"/>
      <c r="H781" s="412"/>
      <c r="I781" s="412"/>
      <c r="J781" s="412"/>
      <c r="K781" s="412"/>
      <c r="L781" s="412"/>
      <c r="M781" s="412"/>
      <c r="N781" s="412"/>
      <c r="O781" s="412"/>
      <c r="P781" s="412"/>
      <c r="Q781" s="412"/>
      <c r="R781" s="412"/>
      <c r="S781" s="412"/>
      <c r="T781" s="412"/>
      <c r="U781" s="412"/>
      <c r="V781" s="412"/>
      <c r="W781" s="412"/>
    </row>
    <row r="782" spans="2:23">
      <c r="B782" s="412"/>
      <c r="C782" s="412"/>
      <c r="D782" s="412"/>
      <c r="E782" s="412"/>
      <c r="F782" s="412"/>
      <c r="G782" s="412"/>
      <c r="H782" s="412"/>
      <c r="I782" s="412"/>
      <c r="J782" s="412"/>
      <c r="K782" s="412"/>
      <c r="L782" s="412"/>
      <c r="M782" s="412"/>
      <c r="N782" s="412"/>
      <c r="O782" s="412"/>
      <c r="P782" s="412"/>
      <c r="Q782" s="412"/>
      <c r="R782" s="412"/>
      <c r="S782" s="412"/>
      <c r="T782" s="412"/>
      <c r="U782" s="412"/>
      <c r="V782" s="412"/>
      <c r="W782" s="412"/>
    </row>
    <row r="783" spans="2:23">
      <c r="B783" s="412"/>
      <c r="C783" s="412"/>
      <c r="D783" s="412"/>
      <c r="E783" s="412"/>
      <c r="F783" s="412"/>
      <c r="G783" s="412"/>
      <c r="H783" s="412"/>
      <c r="I783" s="412"/>
      <c r="J783" s="412"/>
      <c r="K783" s="412"/>
      <c r="L783" s="412"/>
      <c r="M783" s="412"/>
      <c r="N783" s="412"/>
      <c r="O783" s="412"/>
      <c r="P783" s="412"/>
      <c r="Q783" s="412"/>
      <c r="R783" s="412"/>
      <c r="S783" s="412"/>
      <c r="T783" s="412"/>
      <c r="U783" s="412"/>
      <c r="V783" s="412"/>
      <c r="W783" s="412"/>
    </row>
    <row r="784" spans="2:23">
      <c r="B784" s="412"/>
      <c r="C784" s="412"/>
      <c r="D784" s="412"/>
      <c r="E784" s="412"/>
      <c r="F784" s="412"/>
      <c r="G784" s="412"/>
      <c r="H784" s="412"/>
      <c r="I784" s="412"/>
      <c r="J784" s="412"/>
      <c r="K784" s="412"/>
      <c r="L784" s="412"/>
      <c r="M784" s="412"/>
      <c r="N784" s="412"/>
      <c r="O784" s="412"/>
      <c r="P784" s="412"/>
      <c r="Q784" s="412"/>
      <c r="R784" s="412"/>
      <c r="S784" s="412"/>
      <c r="T784" s="412"/>
      <c r="U784" s="412"/>
      <c r="V784" s="412"/>
      <c r="W784" s="412"/>
    </row>
    <row r="785" spans="2:23">
      <c r="B785" s="412"/>
      <c r="C785" s="412"/>
      <c r="D785" s="412"/>
      <c r="E785" s="412"/>
      <c r="F785" s="412"/>
      <c r="G785" s="412"/>
      <c r="H785" s="412"/>
      <c r="I785" s="412"/>
      <c r="J785" s="412"/>
      <c r="K785" s="412"/>
      <c r="L785" s="412"/>
      <c r="M785" s="412"/>
      <c r="N785" s="412"/>
      <c r="O785" s="412"/>
      <c r="P785" s="412"/>
      <c r="Q785" s="412"/>
      <c r="R785" s="412"/>
      <c r="S785" s="412"/>
      <c r="T785" s="412"/>
      <c r="U785" s="412"/>
      <c r="V785" s="412"/>
      <c r="W785" s="412"/>
    </row>
  </sheetData>
  <hyperlinks>
    <hyperlink ref="V2" r:id="rId1" xr:uid="{6F25FB5A-21CC-4B18-93FB-FDAF5FF509B6}"/>
    <hyperlink ref="V3" r:id="rId2" xr:uid="{87A6A137-D68C-4B13-B341-E19DAD727DD2}"/>
    <hyperlink ref="V5" r:id="rId3" xr:uid="{A43E9F89-2147-445D-96C2-0426B9533934}"/>
    <hyperlink ref="V7" r:id="rId4" xr:uid="{C5F0DC46-26FB-4C2D-BC0E-38A2B09F7AD0}"/>
    <hyperlink ref="V11" r:id="rId5" xr:uid="{9FA064E5-F777-4D00-AF91-2D9539840B63}"/>
    <hyperlink ref="V12" r:id="rId6" xr:uid="{0B19FF5D-1A1B-49CD-9246-F50B8D45FCE9}"/>
    <hyperlink ref="V14" r:id="rId7" xr:uid="{3DEB29F0-B07E-417E-9DAB-CBC9793D5E0A}"/>
    <hyperlink ref="V15" r:id="rId8" xr:uid="{F020B69E-DB84-428D-9817-530C6620172A}"/>
    <hyperlink ref="V16" r:id="rId9" xr:uid="{C4E2D35A-9530-4006-9497-E3B01D904DCA}"/>
    <hyperlink ref="V17" r:id="rId10" xr:uid="{2A2F5F6E-6D48-42C3-BFCD-2E0F9CB3A2B9}"/>
    <hyperlink ref="V18" r:id="rId11" xr:uid="{20D1C8FD-9333-41E3-952B-809B5E4A3564}"/>
    <hyperlink ref="V22" r:id="rId12" xr:uid="{9014C24A-0E63-469B-B422-2D28BD0D76FC}"/>
    <hyperlink ref="V23" r:id="rId13" xr:uid="{6427C642-6E4F-4010-AC0B-BC4037B41E9C}"/>
    <hyperlink ref="V24" r:id="rId14" xr:uid="{33B2C75E-8DC0-4A32-A2F7-F7366B514F4D}"/>
    <hyperlink ref="V25" r:id="rId15" xr:uid="{9F799DE8-37EB-462F-BF67-B89B2D52731F}"/>
    <hyperlink ref="V232" r:id="rId16" xr:uid="{5AA25EA8-2E10-4CFC-9C96-F92A6DE31638}"/>
    <hyperlink ref="V235" r:id="rId17" xr:uid="{60FC4A2E-2DF4-499D-86D9-A2EC41D658CC}"/>
    <hyperlink ref="V239" r:id="rId18" xr:uid="{F9495100-A0AB-407F-BC57-04BB70B02C3F}"/>
    <hyperlink ref="V240" r:id="rId19" xr:uid="{1B2FD627-E90B-4002-9B33-838138BC9A9F}"/>
    <hyperlink ref="V241" r:id="rId20" xr:uid="{29C7D30F-A369-4D5F-A0CE-E7F76D638282}"/>
    <hyperlink ref="V242" r:id="rId21" xr:uid="{9A91F84A-F4EA-4FF4-A0EB-7003D2D3778D}"/>
    <hyperlink ref="V245" r:id="rId22" xr:uid="{52E19D8B-86EA-4440-B912-A435A23528ED}"/>
    <hyperlink ref="V246" r:id="rId23" xr:uid="{7DBD2E1E-A855-472F-A9EC-F060A5F85C1F}"/>
    <hyperlink ref="V248" r:id="rId24" xr:uid="{13A69315-F473-43A1-BD4A-EDE6573119ED}"/>
    <hyperlink ref="V252" r:id="rId25" xr:uid="{5485F993-800F-4FFD-8EC1-9A5F4DC1C76A}"/>
    <hyperlink ref="V253" r:id="rId26" xr:uid="{A79340DE-FC56-460D-8C64-84E856A0778B}"/>
    <hyperlink ref="V256" r:id="rId27" xr:uid="{E36B985D-7610-429F-8214-88706FED08A2}"/>
    <hyperlink ref="V258" r:id="rId28" xr:uid="{2A4F86C6-D935-487D-B21F-5BD416A52E87}"/>
    <hyperlink ref="V259" r:id="rId29" xr:uid="{6C19A67F-84B0-4A9D-9ABE-DFDF5C6EA26A}"/>
    <hyperlink ref="V266" r:id="rId30" xr:uid="{988A18BB-9FFC-4220-9581-AF58F9C8EF6A}"/>
    <hyperlink ref="V267" r:id="rId31" xr:uid="{293CE5A3-7420-4EEC-8D20-0B6503FC6174}"/>
    <hyperlink ref="V289" r:id="rId32" xr:uid="{1251031B-B0CA-4FD7-A164-7113B5678113}"/>
    <hyperlink ref="V290" r:id="rId33" xr:uid="{A7897271-B9C0-4471-876B-4C12A47CC866}"/>
    <hyperlink ref="V291" r:id="rId34" xr:uid="{EA744027-33D2-4409-BFA2-D4CC78875A50}"/>
    <hyperlink ref="V293" r:id="rId35" xr:uid="{6F884C45-9700-4CDB-B082-95C8230D3EC9}"/>
    <hyperlink ref="V296" r:id="rId36" xr:uid="{A3CD5B67-AB2B-4471-9BB8-3EFBA61049B5}"/>
    <hyperlink ref="V297" r:id="rId37" xr:uid="{BCDF2F6A-FA90-4D45-B57F-6CCBF2F3EE83}"/>
    <hyperlink ref="V300" r:id="rId38" xr:uid="{22132739-A9BF-4F11-9CDB-68C46E94F7CC}"/>
    <hyperlink ref="V301" r:id="rId39" xr:uid="{97A17563-7ADC-4432-9D14-17C5D1BB04E0}"/>
    <hyperlink ref="V304" r:id="rId40" xr:uid="{EA0B4DB6-89A3-48B9-B34F-50A67C358D05}"/>
    <hyperlink ref="V306" r:id="rId41" xr:uid="{4431B9E6-5954-48EA-8004-5CC5C01212EA}"/>
    <hyperlink ref="V307" r:id="rId42" xr:uid="{CA936EBC-B37A-46B1-90C2-3ACC12C26543}"/>
    <hyperlink ref="V310" r:id="rId43" xr:uid="{5E9D62C0-9C47-4E73-BAC4-820C764FBAAE}"/>
    <hyperlink ref="V311" r:id="rId44" xr:uid="{4F958FA7-2090-44A0-BA82-8D0F82E0935C}"/>
    <hyperlink ref="V312" r:id="rId45" xr:uid="{0C1B81D2-AD55-48C6-9CCB-D76831A9F3A3}"/>
    <hyperlink ref="V327" r:id="rId46" xr:uid="{2D5B95F4-D58F-4785-942B-B18E91111281}"/>
    <hyperlink ref="V328" r:id="rId47" xr:uid="{F00F5BD8-BD2C-41FF-BB22-03997B750B31}"/>
    <hyperlink ref="V330" r:id="rId48" xr:uid="{E26A35B3-7D21-47C0-AE2D-B12555BA2A4C}"/>
    <hyperlink ref="V331" r:id="rId49" xr:uid="{232A8D2E-7DD7-44A5-86A0-37558E1455B8}"/>
    <hyperlink ref="V333" r:id="rId50" xr:uid="{CEAC9EC7-3F54-46C9-B32A-225575185441}"/>
    <hyperlink ref="V332" r:id="rId51" xr:uid="{CBDDFD1A-20B5-4CD8-93A5-ABBE6F3900B4}"/>
    <hyperlink ref="V334" r:id="rId52" xr:uid="{BAD03634-10D9-437D-90F5-F4E44AA5C6E2}"/>
    <hyperlink ref="V335" r:id="rId53" xr:uid="{0B24FAA6-CFBB-4BF8-959D-48C550853B21}"/>
    <hyperlink ref="V336" r:id="rId54" xr:uid="{084F1A30-2AAC-49E4-BF99-CFE2FE74F521}"/>
    <hyperlink ref="V337" r:id="rId55" xr:uid="{598DC0F3-8A29-48EF-B47C-6D1F62B924D4}"/>
    <hyperlink ref="V338" r:id="rId56" xr:uid="{AA995EBA-BD71-4ADB-B2C8-5D2265C32358}"/>
    <hyperlink ref="V341" r:id="rId57" xr:uid="{437C92FB-D93E-4D4F-8388-191CFA5ABE04}"/>
    <hyperlink ref="V342" r:id="rId58" xr:uid="{0D7EB2A3-88AB-4857-A0BE-C9718BD2AEA9}"/>
    <hyperlink ref="V343" r:id="rId59" xr:uid="{0CDEB2D3-58C6-44E3-A51F-73F483BA53BF}"/>
    <hyperlink ref="V344" r:id="rId60" xr:uid="{5B4107EF-3FD1-4E97-86A3-1225F7025A1E}"/>
    <hyperlink ref="V345" r:id="rId61" xr:uid="{9DE3024D-E176-4EC9-8400-7D73974A92CB}"/>
    <hyperlink ref="V346" r:id="rId62" xr:uid="{AAA99121-B75F-4783-8B28-582ED99CB165}"/>
    <hyperlink ref="V347" r:id="rId63" xr:uid="{761EF981-ABEC-4FA6-9378-7D7B64C66F6E}"/>
    <hyperlink ref="V348" r:id="rId64" xr:uid="{8FA1EFA6-D533-44F5-B347-2939F4E36E56}"/>
    <hyperlink ref="V349" r:id="rId65" xr:uid="{2ED88A65-628E-4924-B2E5-38D222EFB697}"/>
    <hyperlink ref="V387" r:id="rId66" xr:uid="{93249FC1-A272-4757-91D3-29D711DC29C5}"/>
    <hyperlink ref="V394" r:id="rId67" xr:uid="{3BC9B970-57CD-4C3F-AF5E-087561A71865}"/>
    <hyperlink ref="V755" r:id="rId68" xr:uid="{1CA84369-440D-4EB7-B904-D8EC068B47EB}"/>
    <hyperlink ref="V403" r:id="rId69" xr:uid="{92ADC098-276C-40A4-955B-C2473D92B1EA}"/>
    <hyperlink ref="V404" r:id="rId70" xr:uid="{3F1A077A-87D7-4B87-9DE7-31D4A7C9C6BA}"/>
    <hyperlink ref="V405" r:id="rId71" xr:uid="{CF93CCA3-F150-4CA5-8F2D-D0339B80DD2B}"/>
    <hyperlink ref="V406" r:id="rId72" xr:uid="{7B3F95FF-D645-4388-B1DB-1678CCA8633F}"/>
    <hyperlink ref="V448" r:id="rId73" xr:uid="{7F39D1A6-D9F2-4753-B904-C5DBC4101EB9}"/>
    <hyperlink ref="V407" r:id="rId74" xr:uid="{AD533DB1-4272-499B-8B72-C4D91474360A}"/>
    <hyperlink ref="V388" r:id="rId75" xr:uid="{DFDC9E88-5A34-4A23-91A1-BC6588281760}"/>
    <hyperlink ref="V389" r:id="rId76" xr:uid="{8C449633-732F-4F0B-926C-F235130902D7}"/>
    <hyperlink ref="V390" r:id="rId77" xr:uid="{E4DC666E-D031-4FFD-8DAB-D2201A6DDE82}"/>
    <hyperlink ref="V391" r:id="rId78" xr:uid="{5FAFBC81-A3B9-438F-ABDB-A0B17585153E}"/>
    <hyperlink ref="V392" r:id="rId79" xr:uid="{C8283BCF-777B-4528-B907-1EC95DA9A870}"/>
    <hyperlink ref="V418" r:id="rId80" xr:uid="{DE9D60F6-4465-44B1-B006-6F1E4DE43880}"/>
    <hyperlink ref="V419" r:id="rId81" xr:uid="{2B6A89CA-EE58-485F-AC04-95C61167C90A}"/>
    <hyperlink ref="V449" r:id="rId82" xr:uid="{A90D0EB7-81C9-48F7-84FB-C6C8B55BBC14}"/>
    <hyperlink ref="V450" r:id="rId83" xr:uid="{4D559469-154B-4E94-A5C1-7D3BD96D2603}"/>
    <hyperlink ref="V451" r:id="rId84" xr:uid="{17D43023-5046-4FA2-86D6-959EA61E1BFF}"/>
    <hyperlink ref="V452" r:id="rId85" xr:uid="{9D4F9C71-5F9E-4C91-8263-A25975E346B9}"/>
    <hyperlink ref="V453" r:id="rId86" xr:uid="{897535E8-9667-487E-8331-D195533ED4A9}"/>
    <hyperlink ref="V454" r:id="rId87" xr:uid="{2FCA1E36-10F9-4AEF-BF40-A2D8C327D618}"/>
    <hyperlink ref="V455" r:id="rId88" xr:uid="{BF2318BE-7D89-4D71-8CB9-A6687E6F6CCA}"/>
    <hyperlink ref="V456" r:id="rId89" xr:uid="{7435AE44-49AB-4720-AD79-62B898EED8BB}"/>
    <hyperlink ref="V457" r:id="rId90" xr:uid="{F82528B2-49E8-48F3-9966-B0CF5843EE93}"/>
    <hyperlink ref="V462" r:id="rId91" xr:uid="{FEA43F5A-678C-4582-8D3B-00B983558A88}"/>
    <hyperlink ref="V463" r:id="rId92" xr:uid="{99CA8483-C1C7-4B43-ACB1-9503CFB65D59}"/>
    <hyperlink ref="V468" r:id="rId93" xr:uid="{7E331057-48CA-410B-B7B9-F8B5B385B93E}"/>
    <hyperlink ref="V476" r:id="rId94" xr:uid="{C1D90998-2875-4BF5-92F6-CF5A47C34025}"/>
    <hyperlink ref="V485" r:id="rId95" xr:uid="{E1D0AF90-6FEB-4A5B-AECB-87D2C2E2ABD5}"/>
    <hyperlink ref="V488" r:id="rId96" xr:uid="{66125F55-5322-470C-8B3E-CE3C4824333C}"/>
    <hyperlink ref="V491" r:id="rId97" xr:uid="{ACFF6E35-0C0B-4F22-B13F-75575E4C137C}"/>
    <hyperlink ref="V496" r:id="rId98" xr:uid="{CD333872-C741-46A5-9466-71598D1A3CD2}"/>
    <hyperlink ref="V499" r:id="rId99" xr:uid="{F2790395-6B3C-4190-9242-5B57FA6D4EBD}"/>
    <hyperlink ref="V501" r:id="rId100" xr:uid="{2CD7D6FD-646E-4A24-9F83-A79B9DAB1AC1}"/>
    <hyperlink ref="V503" r:id="rId101" xr:uid="{5685C4C9-3DC6-4301-970D-E9722C2F2F87}"/>
    <hyperlink ref="V507" r:id="rId102" xr:uid="{C6F77CBA-34B0-4691-912C-6711A3414CF6}"/>
    <hyperlink ref="V508" r:id="rId103" xr:uid="{EC0B9C9B-05D1-467B-B741-801C7B75C755}"/>
    <hyperlink ref="V509" r:id="rId104" xr:uid="{7767A8BC-52ED-40AB-98CD-F423C1B93CD3}"/>
    <hyperlink ref="V510" r:id="rId105" xr:uid="{186A6A5D-A1D8-4E9C-8D67-88A1DE57CD8B}"/>
    <hyperlink ref="V513" r:id="rId106" xr:uid="{BD9B979A-1B0A-4708-A512-3AA960F8F4ED}"/>
    <hyperlink ref="V532" r:id="rId107" xr:uid="{EE88FBFD-A5B5-4DDB-9D69-4026F14AB3DC}"/>
    <hyperlink ref="V533" r:id="rId108" xr:uid="{A51294F1-8A84-4695-BCB8-1F666972519C}"/>
    <hyperlink ref="V544" r:id="rId109" xr:uid="{41E2DBA6-A2E5-4272-8207-0A144700D985}"/>
    <hyperlink ref="V549" r:id="rId110" xr:uid="{60CF3119-B9C7-4291-8D5B-67FADB9211ED}"/>
    <hyperlink ref="V550" r:id="rId111" xr:uid="{A7F9D9AA-DEFA-461D-B5EF-4220C5C90B09}"/>
    <hyperlink ref="V649" r:id="rId112" xr:uid="{103DFBDC-76DF-4901-BFEA-3CB7D3127702}"/>
    <hyperlink ref="V654" r:id="rId113" xr:uid="{FDC83CE8-6177-438D-9F83-869B1D9DE3C2}"/>
    <hyperlink ref="V655" r:id="rId114" xr:uid="{0D849AE0-EA86-469E-B172-2F00589DFFCB}"/>
    <hyperlink ref="V656" r:id="rId115" xr:uid="{9AA7596B-3544-4F24-9E67-8F7EB3CF414C}"/>
    <hyperlink ref="V257" r:id="rId116" xr:uid="{3B90E2BC-1460-4E6E-A30F-22C8FBB56CB5}"/>
    <hyperlink ref="V268" r:id="rId117" xr:uid="{372CC2E4-6163-4330-99A1-DDD4396EB7DF}"/>
    <hyperlink ref="V269" r:id="rId118" xr:uid="{8C5F7457-C033-4A1C-9603-CCDA4C7573A3}"/>
    <hyperlink ref="V270" r:id="rId119" xr:uid="{FF71A3D7-D5E0-49F4-8B4B-0C76DDB4DE42}"/>
    <hyperlink ref="V271" r:id="rId120" xr:uid="{332F80FB-B88C-4F91-BF51-43105515146C}"/>
    <hyperlink ref="V272" r:id="rId121" xr:uid="{756FABC6-474D-469E-B271-41701C91C88C}"/>
    <hyperlink ref="V273" r:id="rId122" xr:uid="{17FEB7E0-BE36-4B72-A05A-D3D564BCB45F}"/>
    <hyperlink ref="V274" r:id="rId123" xr:uid="{B385957A-3028-478F-B9E1-9AED858405E8}"/>
    <hyperlink ref="V275" r:id="rId124" xr:uid="{22432651-A7EA-40E8-A56A-9A987D6C60A8}"/>
    <hyperlink ref="V276" r:id="rId125" xr:uid="{D5DFBA53-9DE6-4A8A-B397-249FF2092C7E}"/>
    <hyperlink ref="V277" r:id="rId126" xr:uid="{9406AC39-55EC-4A0F-AC58-876753B21691}"/>
    <hyperlink ref="V278" r:id="rId127" xr:uid="{636F09AB-6B84-4CFD-B00D-7F238533D24E}"/>
    <hyperlink ref="V279" r:id="rId128" xr:uid="{E57CFAAE-0A50-44D2-A8DD-1E87F73EDB90}"/>
    <hyperlink ref="V280" r:id="rId129" xr:uid="{6817F2F8-2C1F-4638-B5D6-AE00DCCE98E6}"/>
    <hyperlink ref="V281" r:id="rId130" xr:uid="{C73DAFAB-A744-4F7A-9B7A-42E95F306467}"/>
    <hyperlink ref="V282" r:id="rId131" xr:uid="{10263926-93CB-4CDE-9F81-FF8B506FE0A2}"/>
    <hyperlink ref="V283" r:id="rId132" xr:uid="{0949432D-2F52-4101-84D6-9C2298710631}"/>
    <hyperlink ref="V284" r:id="rId133" xr:uid="{5918A75C-95CD-4614-9EEA-9DDB27CB63D9}"/>
    <hyperlink ref="V285" r:id="rId134" xr:uid="{E8C373A9-33BA-4875-A159-40B778FD36CB}"/>
    <hyperlink ref="V286" r:id="rId135" xr:uid="{8C22E2F3-FCDA-4E12-A433-2306CEF702DD}"/>
    <hyperlink ref="V287" r:id="rId136" xr:uid="{6E604D04-E9B9-4EB8-8789-3087E2B49CAC}"/>
    <hyperlink ref="V351" r:id="rId137" xr:uid="{80939328-348A-4D21-86D7-EA8898985B08}"/>
    <hyperlink ref="V352" r:id="rId138" xr:uid="{F774BB00-EAF9-4658-BA38-64D64F32C076}"/>
    <hyperlink ref="V353" r:id="rId139" xr:uid="{9E1640D6-C710-4633-87B2-C71B291E3E62}"/>
    <hyperlink ref="V354" r:id="rId140" xr:uid="{4C6BA880-48D5-4BEA-A0F3-F3D25FC3644E}"/>
    <hyperlink ref="V355" r:id="rId141" xr:uid="{339DB366-7DAC-4221-94F1-6B531A39FEB2}"/>
    <hyperlink ref="V356" r:id="rId142" xr:uid="{5667BE39-9A24-4FA2-BA57-F72DE63B6C83}"/>
    <hyperlink ref="V357" r:id="rId143" xr:uid="{E149E8F9-E8E2-422C-81E6-E6C5D7E44548}"/>
    <hyperlink ref="V358" r:id="rId144" xr:uid="{985CD971-9428-4D20-AA75-5D825C008E6F}"/>
    <hyperlink ref="V359" r:id="rId145" xr:uid="{212EEDCF-DCD2-4421-8201-50B923F6B680}"/>
    <hyperlink ref="V360" r:id="rId146" xr:uid="{6B88F8ED-39F0-481F-ADD9-C5161BFA2E59}"/>
    <hyperlink ref="V361" r:id="rId147" xr:uid="{2D38698F-6C89-46CD-AE2A-6BDD7C47B2EC}"/>
    <hyperlink ref="V362" r:id="rId148" xr:uid="{330A8CCE-D6BA-4F26-A033-74A4B5FE70C1}"/>
    <hyperlink ref="V363" r:id="rId149" xr:uid="{C3761889-7C82-4DA0-8D43-5F5A9A68BB1B}"/>
    <hyperlink ref="V366" r:id="rId150" xr:uid="{CF5AB8A6-59A1-401D-AB64-5DE752D5BFC0}"/>
    <hyperlink ref="V350" r:id="rId151" xr:uid="{A9EA032F-1241-4990-ADA5-617B213841DC}"/>
    <hyperlink ref="V367" r:id="rId152" xr:uid="{5698AAA6-969A-4198-A2BF-D87B6EEC4939}"/>
    <hyperlink ref="V368" r:id="rId153" xr:uid="{02718B27-A3CA-439E-8105-1E788E1F10F4}"/>
    <hyperlink ref="V370" r:id="rId154" xr:uid="{5A851639-E18B-4DFD-AD3C-096B3D19AB7F}"/>
    <hyperlink ref="V371" r:id="rId155" xr:uid="{8FE89B27-20BD-413A-8D67-70FD55CFD43D}"/>
    <hyperlink ref="V372" r:id="rId156" xr:uid="{4113C3C5-F5EC-46C9-9B5E-AFD623D06C6D}"/>
    <hyperlink ref="V373" r:id="rId157" xr:uid="{A9BDD6F7-2EB9-4DF3-93B3-D31627C6CC18}"/>
    <hyperlink ref="V374" r:id="rId158" xr:uid="{4C7631E2-7317-4DF7-A877-23C215CB450C}"/>
    <hyperlink ref="V375" r:id="rId159" xr:uid="{BFFBDF74-6A87-4D11-9B6C-2E1837470795}"/>
    <hyperlink ref="V376" r:id="rId160" xr:uid="{4A1BC0C7-5518-46B6-96A5-AE5452EC038E}"/>
    <hyperlink ref="V377" r:id="rId161" xr:uid="{099DE49C-0F7C-459A-9557-70D62367FA5A}"/>
    <hyperlink ref="V378" r:id="rId162" xr:uid="{E8BC4812-3CFA-42C3-B4DC-4357479E442C}"/>
    <hyperlink ref="V379" r:id="rId163" xr:uid="{AF9A9BAD-E66D-47D5-B0A4-886A13B32EFF}"/>
    <hyperlink ref="V380" r:id="rId164" xr:uid="{B5AF3DE4-9318-4D24-9BDB-8C3BB7474E8C}"/>
    <hyperlink ref="V381" r:id="rId165" xr:uid="{93ED50DA-C50B-4FA5-B393-A9839ADF876D}"/>
    <hyperlink ref="V382" r:id="rId166" xr:uid="{E8D6BBC9-F3CD-474E-80BC-334A2D4DD219}"/>
    <hyperlink ref="V385" r:id="rId167" xr:uid="{B0869882-9DFD-4DAB-B4E9-32B30A69E3B0}"/>
    <hyperlink ref="V383" r:id="rId168" xr:uid="{68DD8D03-0E0C-47CF-AFBB-1DA55AA3D3E5}"/>
    <hyperlink ref="V384" r:id="rId169" xr:uid="{AAF24531-5DE2-4144-BA29-B88C7EEAD0EA}"/>
    <hyperlink ref="V408" r:id="rId170" xr:uid="{A48C9F70-B6DD-46D5-9E14-2EF72F082BA2}"/>
    <hyperlink ref="V409" r:id="rId171" xr:uid="{DAA6944B-41F9-4125-A918-9C71F75FA12F}"/>
    <hyperlink ref="V410" r:id="rId172" xr:uid="{3014AC79-7DFC-4F29-BE1C-04045FAA1F26}"/>
    <hyperlink ref="V411" r:id="rId173" xr:uid="{C290A7D8-6C05-4F93-BE45-7A019FCEBDB1}"/>
    <hyperlink ref="V412" r:id="rId174" xr:uid="{761DF09B-06D0-450E-8DA4-3F185CD1035C}"/>
    <hyperlink ref="V413" r:id="rId175" xr:uid="{D86A48D3-F8AA-4696-AAEC-8450649496D5}"/>
    <hyperlink ref="V414" r:id="rId176" xr:uid="{7DD33B3D-DB9D-4BCE-93D8-73745C80ABDC}"/>
    <hyperlink ref="V415" r:id="rId177" xr:uid="{89B4A955-063E-47FE-AFCB-5B3E2B243AE6}"/>
    <hyperlink ref="V416" r:id="rId178" xr:uid="{ABBD9DF3-1F18-4F02-93B8-3C9A9C851B1A}"/>
    <hyperlink ref="V417" r:id="rId179" xr:uid="{299DE59B-C490-4C0B-80C4-724439D07306}"/>
    <hyperlink ref="V464" r:id="rId180" xr:uid="{3329C189-EB99-4E27-BD6D-31E21EB66DC7}"/>
    <hyperlink ref="V465" r:id="rId181" xr:uid="{B492FBFB-256F-4525-85D2-01B496336BB2}"/>
    <hyperlink ref="V477" r:id="rId182" xr:uid="{63CB330A-03C1-42C0-9D92-03F2DA62C0E5}"/>
    <hyperlink ref="V498" r:id="rId183" xr:uid="{83AB06BD-CD77-4E7F-82B6-1AB3DE846719}"/>
    <hyperlink ref="V519" r:id="rId184" xr:uid="{3CCE4829-509A-4865-A7A5-268158498AA6}"/>
    <hyperlink ref="V520" r:id="rId185" xr:uid="{B8B93793-FF96-4149-9A6D-6704F09B62DC}"/>
    <hyperlink ref="V521" r:id="rId186" xr:uid="{F74AECDC-8CC5-4E34-ADB1-4F7125CF8890}"/>
    <hyperlink ref="V553" r:id="rId187" xr:uid="{E5C37E40-83A8-4B37-8DF2-EA0E799923FC}"/>
    <hyperlink ref="V557" r:id="rId188" xr:uid="{EB87B7B1-BA59-4B5A-8D26-C3E59F608847}"/>
    <hyperlink ref="V558" r:id="rId189" xr:uid="{C31D5FBD-FF39-4B5D-8A9F-2AA2C5463044}"/>
    <hyperlink ref="V559" r:id="rId190" xr:uid="{21D661A9-382A-4396-B474-D6C4D012CF57}"/>
    <hyperlink ref="V560" r:id="rId191" xr:uid="{3C11EC22-2DEF-44F9-9EEA-21A2F78DC817}"/>
    <hyperlink ref="V561" r:id="rId192" xr:uid="{196C2882-DAFE-4DC5-BA4D-2F75BDB03652}"/>
    <hyperlink ref="V562" r:id="rId193" xr:uid="{36A2CE1E-288E-4014-A4ED-AC937C1057ED}"/>
    <hyperlink ref="V565" r:id="rId194" xr:uid="{77902980-4EF2-403D-B807-A4AB8D479929}"/>
    <hyperlink ref="V567" r:id="rId195" xr:uid="{6A4FE218-58B5-4F9A-893F-CD218D177309}"/>
    <hyperlink ref="V568" r:id="rId196" xr:uid="{0929FB5D-DAF0-43BE-9455-01A7F2BF9530}"/>
    <hyperlink ref="V569" r:id="rId197" xr:uid="{9BFC14DF-0BC4-497A-9676-F2007F07B5BF}"/>
    <hyperlink ref="V570" r:id="rId198" xr:uid="{67DEBEC2-1C76-4775-87C6-1349C283DD89}"/>
    <hyperlink ref="V571" r:id="rId199" xr:uid="{E2962420-178C-459A-93A8-A0225E05C815}"/>
    <hyperlink ref="V573" r:id="rId200" xr:uid="{ADC59C87-F7D1-47C1-BC39-EF3EDD7498A3}"/>
    <hyperlink ref="V577" r:id="rId201" xr:uid="{2BE9CBEE-7782-4C0F-8B7A-5E9A50714270}"/>
    <hyperlink ref="V578" r:id="rId202" xr:uid="{CBB98DBF-4E95-455E-A5DB-AF4968142F93}"/>
    <hyperlink ref="V593" r:id="rId203" xr:uid="{050B3189-1C2D-417A-9D0C-9AB7FE9C90EE}"/>
    <hyperlink ref="V594" r:id="rId204" xr:uid="{B30C8D84-684B-415F-AB61-67D35C6D2F7C}"/>
    <hyperlink ref="V604" r:id="rId205" xr:uid="{E7711BBA-E9D6-4B78-9A61-303A10D47BA0}"/>
    <hyperlink ref="V658" r:id="rId206" xr:uid="{1CCBBBE4-A7EF-4798-8B77-75DB488A95CA}"/>
    <hyperlink ref="V660" r:id="rId207" xr:uid="{E74BED89-D2FF-44A5-A921-EC43F2A931AC}"/>
    <hyperlink ref="V552" r:id="rId208" xr:uid="{4947C8CD-0417-46AF-A0C6-2FFE2103C45A}"/>
    <hyperlink ref="V609" r:id="rId209" xr:uid="{B0D8FFB3-5092-4A62-92BF-23DDE743F5AF}"/>
    <hyperlink ref="V610" r:id="rId210" xr:uid="{23433620-5E88-4EA8-8CEB-6F193D7E57F3}"/>
    <hyperlink ref="V617" r:id="rId211" xr:uid="{BB0A5484-03DD-4C82-84E4-FE2506FE1A6B}"/>
    <hyperlink ref="V618" r:id="rId212" xr:uid="{5EBB2C41-CC94-4E39-9356-4735A307B226}"/>
    <hyperlink ref="V624" r:id="rId213" xr:uid="{FE3AB0D3-BDE9-475D-8059-E69C5F05BDDC}"/>
    <hyperlink ref="V633" r:id="rId214" xr:uid="{D2B444E7-9635-4889-98B7-5FB37AC30BB0}"/>
    <hyperlink ref="V639" r:id="rId215" xr:uid="{43DAF40B-46DB-47BA-9DCB-645AFB7F860F}"/>
    <hyperlink ref="V646" r:id="rId216" xr:uid="{96EA52F3-A418-4C9A-AB9F-D5EEE215B10C}"/>
    <hyperlink ref="V697" r:id="rId217" xr:uid="{980A283F-04DF-401A-A5B9-8672727E2337}"/>
    <hyperlink ref="V699" r:id="rId218" xr:uid="{27962923-2E2D-48F2-A76B-5997FE057D4A}"/>
    <hyperlink ref="V701" r:id="rId219" xr:uid="{D3A41AEC-E935-4D47-90F3-C17ABFABA600}"/>
    <hyperlink ref="V706" r:id="rId220" xr:uid="{66FB7523-776E-4A0C-897D-142F794760AE}"/>
    <hyperlink ref="V709" r:id="rId221" xr:uid="{4835E3EE-BBC7-4AE2-8469-A1CAD18EB8E9}"/>
    <hyperlink ref="V711" r:id="rId222" xr:uid="{C7946318-71C4-4C68-952E-5922DAC8934F}"/>
    <hyperlink ref="V713" r:id="rId223" xr:uid="{26323442-9C95-41BE-8C1F-1B780B2C2672}"/>
    <hyperlink ref="V714" r:id="rId224" xr:uid="{A44E4B02-9EFD-44F2-BF00-1C73512B39BE}"/>
    <hyperlink ref="V715" r:id="rId225" xr:uid="{334DA892-4CD1-4DD9-8121-90EB8B45F2EA}"/>
    <hyperlink ref="V720" r:id="rId226" xr:uid="{AD2FC272-5F4A-4F82-9885-AB553EF93C65}"/>
    <hyperlink ref="V722" r:id="rId227" xr:uid="{B6D426F1-9BE6-4EB1-A25B-9D49C81D5335}"/>
    <hyperlink ref="V723" r:id="rId228" xr:uid="{1A04AB02-3E18-4971-A179-D6E4F04DEAD5}"/>
    <hyperlink ref="V724" r:id="rId229" xr:uid="{FD86E0A3-2A6F-4B99-9925-4D13EB8F0B32}"/>
    <hyperlink ref="V727" r:id="rId230" xr:uid="{B340E321-96D3-4343-B532-14265BD2E091}"/>
    <hyperlink ref="V728" r:id="rId231" xr:uid="{34E794CB-3190-4905-914D-AC081DBAFA8F}"/>
    <hyperlink ref="V661" r:id="rId232" xr:uid="{28147E86-0099-4402-8C40-DFAA947DE468}"/>
    <hyperlink ref="V662" r:id="rId233" xr:uid="{39DFAC91-28E7-49B4-BF8E-C13C46ADACC7}"/>
    <hyperlink ref="V663" r:id="rId234" xr:uid="{FF85DC34-8A5C-4698-AE7B-4E69B293DFBC}"/>
    <hyperlink ref="V664" r:id="rId235" xr:uid="{59154983-2907-4BBC-A1CA-1B4B76297666}"/>
    <hyperlink ref="V665" r:id="rId236" xr:uid="{25412C9A-B566-42E6-B8B2-AB72D4825460}"/>
    <hyperlink ref="V666" r:id="rId237" xr:uid="{A600D64F-FEE6-4833-8474-0865002A959D}"/>
    <hyperlink ref="V667" r:id="rId238" xr:uid="{714DE291-01DF-49D2-A9F8-E843C7A0D703}"/>
    <hyperlink ref="V668" r:id="rId239" xr:uid="{1D03EB76-9A93-4062-A7C2-526ABE4443D7}"/>
    <hyperlink ref="V669" r:id="rId240" xr:uid="{12C04B72-1807-42AE-B8D0-EACB1E4435BD}"/>
    <hyperlink ref="V670" r:id="rId241" xr:uid="{8CE7B59C-F4D9-4F95-9808-E5D1974AA326}"/>
    <hyperlink ref="V671" r:id="rId242" xr:uid="{F6C288E4-1E54-4536-A264-D86CF9EB8C60}"/>
    <hyperlink ref="V672" r:id="rId243" xr:uid="{0CD02203-3035-4251-988A-0E343895CD70}"/>
    <hyperlink ref="V673" r:id="rId244" xr:uid="{C99098B0-799E-4386-A0BE-13856DEBF20D}"/>
    <hyperlink ref="V674" r:id="rId245" xr:uid="{02F58FF8-FB6A-47F8-B6CF-E3C5D7292A6F}"/>
    <hyperlink ref="V675" r:id="rId246" xr:uid="{22FCD7D2-CE9B-48F6-8ED4-3983ECAFC9FD}"/>
    <hyperlink ref="V676" r:id="rId247" xr:uid="{8E877030-4775-4526-ACEF-96F41BD7F635}"/>
    <hyperlink ref="V677" r:id="rId248" xr:uid="{1159F820-E167-4525-8FA0-173197F5277D}"/>
    <hyperlink ref="V678" r:id="rId249" xr:uid="{E039C90C-9D05-405D-BB9C-C6857E2884E3}"/>
    <hyperlink ref="V679" r:id="rId250" xr:uid="{B235547D-3FDD-430F-A027-F1C21CBC3F36}"/>
    <hyperlink ref="V680" r:id="rId251" xr:uid="{5F6A8BB6-D145-4767-81E1-FAE195F73B48}"/>
    <hyperlink ref="V681" r:id="rId252" xr:uid="{1E7CC861-FCFA-4FE4-8AA5-D5F9700FE435}"/>
    <hyperlink ref="V682" r:id="rId253" xr:uid="{69A2A71B-A4D2-4ACC-8D94-C910A8C46FD7}"/>
    <hyperlink ref="V683" r:id="rId254" xr:uid="{E75C0F39-3CE2-469D-9934-D33C239F513B}"/>
    <hyperlink ref="V684" r:id="rId255" xr:uid="{BABA1EEA-8217-4899-ADFA-7EC0FE1AFF6F}"/>
    <hyperlink ref="V685" r:id="rId256" xr:uid="{DBCC9E9C-3B62-436B-92E3-11B54607CC48}"/>
    <hyperlink ref="V686" r:id="rId257" xr:uid="{4C6C6D9C-2524-46F9-A969-3B0E46F41AC0}"/>
    <hyperlink ref="V687" r:id="rId258" xr:uid="{F62A5D21-45A1-4F54-9E58-5771FC2BCDC4}"/>
    <hyperlink ref="V688" r:id="rId259" xr:uid="{163D9728-A534-45DA-AF9F-1CD9BDFCA348}"/>
    <hyperlink ref="V689" r:id="rId260" xr:uid="{9BEF6122-90A8-4887-8634-ECF2DC1362D2}"/>
    <hyperlink ref="V690" r:id="rId261" xr:uid="{DB8DFDAE-55CE-427C-9B3C-021F5C497AF6}"/>
    <hyperlink ref="V691" r:id="rId262" xr:uid="{BD250A4E-B8BC-41D0-AFCD-9029FB9FAF0B}"/>
    <hyperlink ref="V692" r:id="rId263" xr:uid="{D87A792F-8520-4635-852A-6F44294C82DF}"/>
    <hyperlink ref="V693" r:id="rId264" xr:uid="{AEDCEC30-07CD-4A70-B319-30CC08600FE3}"/>
    <hyperlink ref="V694" r:id="rId265" xr:uid="{0DFC93A8-0A46-43BF-8567-80E72B0E5F9B}"/>
    <hyperlink ref="V695" r:id="rId266" xr:uid="{AF62F065-F746-4231-9858-CB175FA76202}"/>
    <hyperlink ref="V696" r:id="rId267" xr:uid="{9FA1127C-F7F8-4460-A1B4-3A51A29A6951}"/>
    <hyperlink ref="V36" r:id="rId268" xr:uid="{647057EC-23F1-4383-99B6-2ACDA4B1881F}"/>
    <hyperlink ref="V37" r:id="rId269" xr:uid="{BF9F2AB8-3079-429C-987B-D575E223DDC0}"/>
    <hyperlink ref="V38" r:id="rId270" xr:uid="{0E86A1F9-B4A7-4942-977D-8B164F5ADF6B}"/>
    <hyperlink ref="V39" r:id="rId271" xr:uid="{BD347A0C-31B4-4C23-AFEB-232219B3A227}"/>
    <hyperlink ref="V41" r:id="rId272" xr:uid="{CF63BA42-5631-45BD-B91F-7D0C4CF5326F}"/>
    <hyperlink ref="V42" r:id="rId273" xr:uid="{EC616026-8191-4B5E-B8B6-22EF3C2AB8AC}"/>
    <hyperlink ref="V43" r:id="rId274" xr:uid="{8AAF795B-581C-47A0-8201-A347D6E99F2D}"/>
    <hyperlink ref="V44" r:id="rId275" xr:uid="{7B1A861F-8C64-41E8-993C-74EC2490904C}"/>
    <hyperlink ref="V45" r:id="rId276" xr:uid="{66D6C36C-80E1-4423-9076-8CE3CC6804F2}"/>
    <hyperlink ref="V46" r:id="rId277" xr:uid="{7E14A843-05BC-4235-9425-572964F271EC}"/>
    <hyperlink ref="V47" r:id="rId278" xr:uid="{175D00E5-570A-43CF-9981-E87B222103D0}"/>
    <hyperlink ref="V48" r:id="rId279" xr:uid="{A09911A1-9E3F-4FB2-9F6C-BEF9EC4E955D}"/>
    <hyperlink ref="V50" r:id="rId280" xr:uid="{445CDF01-8FEF-4671-A477-0568BE5D13B7}"/>
    <hyperlink ref="V51" r:id="rId281" xr:uid="{DA3502DB-4B90-4910-A046-F65CF4AEBEB2}"/>
    <hyperlink ref="V52" r:id="rId282" xr:uid="{1A23DFB6-9489-412D-B850-FAC61E8EDC80}"/>
    <hyperlink ref="V53" r:id="rId283" xr:uid="{63032973-0CA3-418E-B2C5-EA94F0C7E531}"/>
    <hyperlink ref="V55" r:id="rId284" xr:uid="{2C0196A3-033D-48EA-9637-F9DA55B13AF1}"/>
    <hyperlink ref="V56" r:id="rId285" xr:uid="{738DF05E-0B3A-436D-A959-BC14319F9629}"/>
    <hyperlink ref="V58" r:id="rId286" xr:uid="{E45E3E31-4F2A-4145-896D-0D8827A38641}"/>
    <hyperlink ref="V59" r:id="rId287" xr:uid="{9FEE0CA2-8B1B-48F3-B197-33A34D1E50D0}"/>
    <hyperlink ref="V62" r:id="rId288" xr:uid="{FB753DC3-1F84-40A3-8827-4F409E9A46EC}"/>
    <hyperlink ref="V63" r:id="rId289" xr:uid="{3ED1B92D-9399-4682-94DC-AB16EDFF67ED}"/>
    <hyperlink ref="V65" r:id="rId290" xr:uid="{71F294C9-8245-4E9A-A9E6-4BAE46D8E9D4}"/>
    <hyperlink ref="V66" r:id="rId291" xr:uid="{A012DC33-7C7B-48F6-96D7-60B8E1A50409}"/>
    <hyperlink ref="V67" r:id="rId292" xr:uid="{75953A3F-8C8A-4565-972B-05E90D21CD4A}"/>
    <hyperlink ref="V68" r:id="rId293" xr:uid="{BABA2A62-DEFB-4DC5-BB9E-BABBEF251826}"/>
    <hyperlink ref="V69" r:id="rId294" xr:uid="{E16EAD10-75A3-4A20-B026-049CC5162880}"/>
    <hyperlink ref="V72" r:id="rId295" xr:uid="{12CBBE63-6156-4CA4-83D2-FD20FC60091D}"/>
    <hyperlink ref="V73" r:id="rId296" xr:uid="{4059E3D4-5775-4298-85CE-10FE1BE1E22D}"/>
    <hyperlink ref="V74" r:id="rId297" xr:uid="{6CABD84D-A778-421F-9284-674BD86B0121}"/>
    <hyperlink ref="V75" r:id="rId298" xr:uid="{5786983C-ECAB-403E-B7D6-789B59A1874E}"/>
    <hyperlink ref="V76" r:id="rId299" xr:uid="{194DE019-4ACE-49AD-81E3-F3C43886C488}"/>
    <hyperlink ref="V77" r:id="rId300" xr:uid="{2E0C7BF6-D5AC-477D-9770-E9068B5A9D64}"/>
    <hyperlink ref="V78" r:id="rId301" xr:uid="{151413C5-F479-4F5E-9C0C-3C8CAC122070}"/>
    <hyperlink ref="V84" r:id="rId302" xr:uid="{ABA2E6FC-8467-4CF0-919B-6381098C725F}"/>
    <hyperlink ref="V85" r:id="rId303" xr:uid="{35FE434D-5BE3-4ADD-A2E0-CD768BDCFAB6}"/>
    <hyperlink ref="V86" r:id="rId304" xr:uid="{42AB8C0B-D5BB-4028-8862-A6704BC1DF54}"/>
    <hyperlink ref="V88" r:id="rId305" xr:uid="{4810D18E-8C51-45B0-858E-A80289D64A31}"/>
    <hyperlink ref="V89" r:id="rId306" xr:uid="{BC0A7576-1808-499D-863E-ADE536F5F8A3}"/>
    <hyperlink ref="V93" r:id="rId307" xr:uid="{FE128967-FF0F-428F-A334-9836094FDD96}"/>
    <hyperlink ref="V94" r:id="rId308" xr:uid="{6C0FF0E9-6D21-4859-912F-13824E872C99}"/>
    <hyperlink ref="V95" r:id="rId309" xr:uid="{8B9D1A74-08C5-4E73-940B-46DE32991801}"/>
    <hyperlink ref="V96" r:id="rId310" xr:uid="{0BFA46B4-79B5-4A94-B61D-82248E748846}"/>
    <hyperlink ref="V97" r:id="rId311" xr:uid="{D703DA69-2CC9-4D3C-8A61-29C00369ADC2}"/>
    <hyperlink ref="V99" r:id="rId312" xr:uid="{3F10439E-4FE6-46B7-9763-A073F6A81263}"/>
    <hyperlink ref="V100" r:id="rId313" xr:uid="{C3EB00BE-3DAD-4B7E-A8C7-175A43259729}"/>
    <hyperlink ref="V101" r:id="rId314" xr:uid="{CA516ED1-7599-45A9-A0D0-25A39AFC0524}"/>
    <hyperlink ref="V102" r:id="rId315" xr:uid="{3B9E96F8-7F4F-459D-A0DA-59EB65CB57CE}"/>
    <hyperlink ref="V105" r:id="rId316" xr:uid="{9394319A-8A4C-44AA-8137-CDDC4A500098}"/>
    <hyperlink ref="V106" r:id="rId317" xr:uid="{1F60D7E2-AC1E-4F91-9B10-81A17EDF879A}"/>
    <hyperlink ref="V107" r:id="rId318" xr:uid="{42DD050D-A445-4988-950F-F563F37719DD}"/>
    <hyperlink ref="V108" r:id="rId319" xr:uid="{7297AD74-92C4-45AD-9811-D4E27635A117}"/>
    <hyperlink ref="V109" r:id="rId320" xr:uid="{862363AE-15E9-4440-9C20-0F720DB5CECA}"/>
    <hyperlink ref="V110" r:id="rId321" xr:uid="{6BAED35C-405B-4189-BEBD-A84C3A1CF78A}"/>
    <hyperlink ref="V113" r:id="rId322" xr:uid="{26FEAA75-D26F-44DE-B058-D8C272380419}"/>
    <hyperlink ref="V114" r:id="rId323" xr:uid="{F1EF9838-0DB5-4736-AA13-22F48B2053FF}"/>
    <hyperlink ref="V115" r:id="rId324" xr:uid="{5544B693-DA5D-43A4-BDA3-81140F243589}"/>
    <hyperlink ref="V116" r:id="rId325" xr:uid="{D4DDBEE3-9C5F-46D3-9D0C-ADBD9438293E}"/>
    <hyperlink ref="V117" r:id="rId326" xr:uid="{4E9C0DC2-6BB1-4A20-8D54-4202CEE8707B}"/>
    <hyperlink ref="V118" r:id="rId327" xr:uid="{BE155D80-D015-4E3F-A80A-D6CA806069C8}"/>
    <hyperlink ref="V119" r:id="rId328" xr:uid="{703BD4C7-7B02-4E49-A404-D69CB67553E2}"/>
    <hyperlink ref="V120" r:id="rId329" xr:uid="{768E7FFA-1B54-47AB-8BB4-78B8E69394B8}"/>
    <hyperlink ref="V121" r:id="rId330" xr:uid="{00B45377-E819-40BF-909D-4509FD47736B}"/>
    <hyperlink ref="V122" r:id="rId331" xr:uid="{655A2FA2-F6BB-4B27-A0EA-0DA46F651FAE}"/>
    <hyperlink ref="V123" r:id="rId332" xr:uid="{76D49C43-70C8-4D12-9A13-1218F7C4DE23}"/>
    <hyperlink ref="V124" r:id="rId333" xr:uid="{9A775E68-3957-4692-83B4-380E5D903967}"/>
    <hyperlink ref="V125" r:id="rId334" xr:uid="{3330A0C2-6D6F-4243-B67C-707EDDCAAB06}"/>
    <hyperlink ref="V126" r:id="rId335" xr:uid="{2FE908F8-1B42-4E19-8E61-AFE5830CFA1D}"/>
    <hyperlink ref="V127" r:id="rId336" xr:uid="{CCBBEEBB-D236-4269-A0CC-3D78E0802CC4}"/>
    <hyperlink ref="V128" r:id="rId337" xr:uid="{0E7B8AC7-A500-407F-ABD9-0056DB4E5BA5}"/>
    <hyperlink ref="V129" r:id="rId338" xr:uid="{D9A691FC-0CEC-4089-B1BF-C678FF811D76}"/>
    <hyperlink ref="V130" r:id="rId339" xr:uid="{9E31939B-68C2-4EED-A10F-C5F023518FA7}"/>
    <hyperlink ref="V131" r:id="rId340" xr:uid="{4FC5D6AE-D73E-423B-A461-12076AA239AA}"/>
    <hyperlink ref="V132" r:id="rId341" xr:uid="{67C20C88-C997-44B4-8FB4-41035FA52555}"/>
    <hyperlink ref="V133" r:id="rId342" xr:uid="{32D37840-6C5A-4AE3-91CC-1703D7341550}"/>
    <hyperlink ref="V134" r:id="rId343" xr:uid="{075A3401-488E-4E17-883D-7919507C6108}"/>
    <hyperlink ref="V135" r:id="rId344" xr:uid="{DD5A5B46-D333-430E-85DE-9C6E787B014A}"/>
    <hyperlink ref="V136" r:id="rId345" xr:uid="{AC521861-A214-45A2-B58B-C36B9AE32B27}"/>
    <hyperlink ref="V137" r:id="rId346" xr:uid="{7981B4FF-480E-4881-99C5-C9E7C8375E06}"/>
    <hyperlink ref="V138" r:id="rId347" xr:uid="{199C94F1-5239-43D6-B19B-BA7C7F27DDE0}"/>
    <hyperlink ref="V139" r:id="rId348" xr:uid="{D2F589D7-9555-4C59-98A1-78F7A2B18787}"/>
    <hyperlink ref="V140" r:id="rId349" xr:uid="{7F5B6DED-6BE0-44A8-8AB8-DD1FF0A63C5D}"/>
    <hyperlink ref="V141" r:id="rId350" xr:uid="{149B411E-D24B-44B7-B245-49EDB8AFE091}"/>
    <hyperlink ref="V142" r:id="rId351" xr:uid="{E1134B7D-4825-4867-819D-3C8BEE868482}"/>
    <hyperlink ref="V148" r:id="rId352" xr:uid="{39FC7D07-2B6F-422C-8853-13EDE771EA6E}"/>
    <hyperlink ref="V149" r:id="rId353" xr:uid="{319F02C8-041E-45C9-8A93-67C850AC3A7F}"/>
    <hyperlink ref="V150" r:id="rId354" xr:uid="{1503DAA0-0D18-4ECF-8780-14F90040C690}"/>
    <hyperlink ref="V151" r:id="rId355" xr:uid="{567DA1F5-0DF3-479A-B34D-2011855F7E93}"/>
    <hyperlink ref="V152" r:id="rId356" xr:uid="{B0B7F157-663B-4F18-ACAD-4D5328240EF5}"/>
    <hyperlink ref="V153" r:id="rId357" xr:uid="{2DDD79E0-2CE0-4FBE-B482-896689FBA0A3}"/>
    <hyperlink ref="V154" r:id="rId358" xr:uid="{19606A6D-59C6-4FED-93AF-6EA186DFF40F}"/>
    <hyperlink ref="V155" r:id="rId359" xr:uid="{70D0D407-BF37-4397-949D-199211468275}"/>
    <hyperlink ref="V157" r:id="rId360" xr:uid="{19ED44AC-EAB3-4CE5-81CC-0350F09CD936}"/>
    <hyperlink ref="V158" r:id="rId361" xr:uid="{72A029FB-DA2D-43C5-B1E3-A74127142974}"/>
    <hyperlink ref="V159" r:id="rId362" xr:uid="{677C5F84-F34D-4308-B299-011A757452E3}"/>
    <hyperlink ref="V160" r:id="rId363" xr:uid="{28544896-9A1B-4706-8BA7-22426BA64280}"/>
    <hyperlink ref="V161" r:id="rId364" xr:uid="{0C2E7D64-0114-4475-BE78-89C390E0CB61}"/>
    <hyperlink ref="V162" r:id="rId365" xr:uid="{D9CAE378-E1A0-4619-8012-894BDE2B9785}"/>
    <hyperlink ref="V167" r:id="rId366" xr:uid="{C314CCCB-A6B1-4FB6-A036-18A02A295DC6}"/>
    <hyperlink ref="V168" r:id="rId367" xr:uid="{AC5D2FF8-12A2-42A6-9D22-7D09F08FB575}"/>
    <hyperlink ref="V169" r:id="rId368" xr:uid="{7C123D77-17CF-4953-A5AD-FF398165A3FC}"/>
    <hyperlink ref="V170" r:id="rId369" xr:uid="{6A273208-D9C2-40CB-B820-C5E972466E0F}"/>
    <hyperlink ref="V171" r:id="rId370" xr:uid="{B9599F71-54F0-402A-9CE9-0A6E3B60E5D7}"/>
    <hyperlink ref="V172" r:id="rId371" xr:uid="{401CF104-F6CD-4493-B0E5-0AC5DF1E2214}"/>
    <hyperlink ref="V173" r:id="rId372" xr:uid="{6EF4B595-02C0-4EDE-9FAF-C5769995A9FD}"/>
    <hyperlink ref="V174" r:id="rId373" xr:uid="{E66B028E-15A4-494B-93C8-0F4748C26DF3}"/>
    <hyperlink ref="V175" r:id="rId374" xr:uid="{B79B8111-5F73-4D38-828C-5F56656E2EE5}"/>
    <hyperlink ref="V177" r:id="rId375" xr:uid="{93CE5353-9F28-43CB-8C08-468CB6574EBD}"/>
    <hyperlink ref="V178" r:id="rId376" xr:uid="{3960E333-F8C6-4CDF-AFE3-BBACE8E34EC7}"/>
    <hyperlink ref="V179" r:id="rId377" xr:uid="{C52083C2-92DF-4679-BBAB-F95B5A4349A0}"/>
    <hyperlink ref="V180" r:id="rId378" xr:uid="{6FDE042D-45DB-475D-8EE8-E90CEE1DF270}"/>
    <hyperlink ref="V181" r:id="rId379" xr:uid="{D619ED25-BB7F-4737-80F4-FFF073BDBB78}"/>
    <hyperlink ref="V182" r:id="rId380" xr:uid="{5589BE53-74DD-4503-B9D5-476764EC54E8}"/>
    <hyperlink ref="V183" r:id="rId381" xr:uid="{8AB1456E-307A-4735-8C56-E744405113A0}"/>
    <hyperlink ref="V185" r:id="rId382" xr:uid="{EF499028-29DC-46A2-9121-CDDBEB608301}"/>
    <hyperlink ref="V186" r:id="rId383" xr:uid="{9B41238D-9D7F-4089-B57D-F6244C986D63}"/>
    <hyperlink ref="V187" r:id="rId384" xr:uid="{D7A3649C-74F3-4719-8A7B-9E5D91099643}"/>
    <hyperlink ref="V188" r:id="rId385" xr:uid="{B5CC400E-9DEA-4A77-BF95-8074DB3DDE20}"/>
    <hyperlink ref="V189" r:id="rId386" xr:uid="{967743BE-B735-4B86-A44C-91A18C0E9CFE}"/>
    <hyperlink ref="V190" r:id="rId387" xr:uid="{AA8C0B44-F350-46FA-8F98-2F00BEC0AA67}"/>
    <hyperlink ref="V196" r:id="rId388" xr:uid="{0B9DB6F9-5B5A-411A-BF8E-6764E753DBB1}"/>
    <hyperlink ref="V197" r:id="rId389" xr:uid="{267958AA-3CD2-4E4E-96CF-0D4E81226B90}"/>
    <hyperlink ref="V198" r:id="rId390" xr:uid="{7040A6BA-3F9D-4596-9736-DF4FE0F9BDF1}"/>
    <hyperlink ref="V199" r:id="rId391" xr:uid="{9A4903DC-FE5C-4C45-8289-66569218B878}"/>
    <hyperlink ref="V201" r:id="rId392" xr:uid="{C60637D2-DFC7-4347-8AEC-7ED16ACAD1E2}"/>
    <hyperlink ref="V202" r:id="rId393" xr:uid="{75E44F2A-8500-48EC-B3AB-06FEA2533D0A}"/>
    <hyperlink ref="V204" r:id="rId394" xr:uid="{B155837D-A5FF-4D6E-8499-F638B3BADBB7}"/>
    <hyperlink ref="V203" r:id="rId395" xr:uid="{933045AC-4C11-4547-B0A5-833716105383}"/>
    <hyperlink ref="V206" r:id="rId396" xr:uid="{8DD01E8F-3A5D-40FE-950B-3A172FA0559D}"/>
    <hyperlink ref="V207" r:id="rId397" xr:uid="{BA8BB209-CA2B-4F40-9A85-E738B42DC038}"/>
    <hyperlink ref="V545" r:id="rId398" xr:uid="{0D3503CC-399C-4313-A7C2-99734CAD4FA0}"/>
    <hyperlink ref="V748" r:id="rId399" xr:uid="{B5327940-54D9-4F90-85F7-706993140F35}"/>
    <hyperlink ref="V743" r:id="rId400" xr:uid="{06BC4F56-303B-41A4-A822-D2E956E8C632}"/>
    <hyperlink ref="V729" r:id="rId401" xr:uid="{FE17271D-6850-40B0-901D-48C7F9177186}"/>
    <hyperlink ref="V749" r:id="rId402" xr:uid="{952EAA77-BA81-44D1-ABE1-757C78C3566D}"/>
    <hyperlink ref="V741" r:id="rId403" xr:uid="{5062436D-422A-4279-93DE-472B0E1FAEE9}"/>
    <hyperlink ref="V294" r:id="rId404" xr:uid="{386F56AB-F90B-4719-BDC8-B63BEB8C794A}"/>
    <hyperlink ref="V753" r:id="rId405" xr:uid="{75577289-C817-4062-8A07-1B91D5FFB03E}"/>
    <hyperlink ref="V733" r:id="rId406" xr:uid="{A416D724-B252-4DF8-BF8A-16E4F2CCEE73}"/>
    <hyperlink ref="V718" r:id="rId407" xr:uid="{F543CBE9-0208-4CAA-9338-F05A59C9D24F}"/>
    <hyperlink ref="V719" r:id="rId408" xr:uid="{09194133-5161-431A-AA70-D7B74113EFAE}"/>
    <hyperlink ref="V738" r:id="rId409" xr:uid="{A38E9538-6688-434E-B217-251BD74FBD79}"/>
    <hyperlink ref="V735" r:id="rId410" xr:uid="{6BC313C3-94AC-4692-9DA5-142A34313EB1}"/>
    <hyperlink ref="V731" r:id="rId411" xr:uid="{5DCF6058-A5DC-4E79-BBD1-673231F4B8FF}"/>
    <hyperlink ref="V13" r:id="rId412" xr:uid="{19A537A3-FF55-45F5-A37E-E992D0F2673A}"/>
    <hyperlink ref="V740" r:id="rId413" xr:uid="{F677B44D-EB4E-4BF7-A0DE-3D9AF2201865}"/>
    <hyperlink ref="V647" r:id="rId414" xr:uid="{2A90ECCB-9939-46AF-B09B-C088ECB2D473}"/>
    <hyperlink ref="V754" r:id="rId415" xr:uid="{FE07D7FD-3CBE-4626-A703-04F8110C5799}"/>
    <hyperlink ref="V750" r:id="rId416" xr:uid="{57F50421-AB14-4186-B6FD-A66DF64EE610}"/>
    <hyperlink ref="B12" r:id="rId417" xr:uid="{C1FCFE5C-9CB4-4489-BBA6-22F8B93C8DFC}"/>
    <hyperlink ref="B11" r:id="rId418" xr:uid="{2B01510E-4CE2-4204-AB89-C777870EFDE4}"/>
    <hyperlink ref="B10" r:id="rId419" xr:uid="{64B1ABA8-CC05-4ED7-A4FD-05686D2C7EF9}"/>
    <hyperlink ref="B9" r:id="rId420" xr:uid="{9E3156E5-4E47-49D0-8CED-AE01B1E7A474}"/>
    <hyperlink ref="B8" r:id="rId421" xr:uid="{284C6ABF-9490-49EB-A57C-F5F71CE625A0}"/>
    <hyperlink ref="B7" r:id="rId422" xr:uid="{458C6931-CC40-4DC7-9E80-8EC1650EA95E}"/>
    <hyperlink ref="B6" r:id="rId423" xr:uid="{FBFF261A-EC9D-402A-A17A-25A53716BF80}"/>
    <hyperlink ref="B5" r:id="rId424" xr:uid="{529FC9F1-A945-4221-9B39-84C3916BE203}"/>
    <hyperlink ref="B4" r:id="rId425" xr:uid="{AF6F6F2F-145C-4196-A274-28961DD98823}"/>
    <hyperlink ref="B3" r:id="rId426" xr:uid="{116AEE2A-E381-4621-9F67-4CDC371A5752}"/>
    <hyperlink ref="B2" r:id="rId427" xr:uid="{7E0D5E16-4ECC-4260-BC53-5DD321077744}"/>
    <hyperlink ref="B14" r:id="rId428" xr:uid="{2D652653-4F92-4AF7-B016-11B3842CD0FE}"/>
    <hyperlink ref="B18" r:id="rId429" xr:uid="{55459C84-014D-4F32-895D-B6CED73F5912}"/>
    <hyperlink ref="B15" r:id="rId430" xr:uid="{64F69A23-53F9-41B2-A3B6-CF73CD3C9CAF}"/>
    <hyperlink ref="B16" r:id="rId431" xr:uid="{E50821C7-9B78-48D3-8008-249404994BE8}"/>
    <hyperlink ref="B17" r:id="rId432" xr:uid="{163C34F2-3926-44F6-AC09-FCBC9D4E3630}"/>
    <hyperlink ref="B20" r:id="rId433" xr:uid="{80BA478E-B39B-4659-9C12-04A65781B04C}"/>
    <hyperlink ref="B21" r:id="rId434" xr:uid="{39C23770-B7D4-4AA9-AA2C-3A800222D44B}"/>
    <hyperlink ref="B22" r:id="rId435" xr:uid="{69261D18-083E-4C90-A0CA-F32B61748124}"/>
    <hyperlink ref="B23" r:id="rId436" xr:uid="{2C51D0DD-36CD-4E9C-A482-42780375CCAC}"/>
    <hyperlink ref="B24" r:id="rId437" xr:uid="{0188B4EC-C99C-428A-B095-33EF9E0BBBC6}"/>
    <hyperlink ref="B25" r:id="rId438" xr:uid="{6A8053E5-D310-4009-A3FE-3492F7255338}"/>
    <hyperlink ref="B26" r:id="rId439" xr:uid="{B6967C71-D7D3-4A8F-A38F-C1B9D0F284A9}"/>
    <hyperlink ref="B27" r:id="rId440" xr:uid="{2BFD5F2A-42D5-40E8-800A-29FCAC5B93B5}"/>
    <hyperlink ref="B28" r:id="rId441" xr:uid="{642AEC3C-716F-4ABB-9FBC-6BDEB63999D8}"/>
    <hyperlink ref="B29" r:id="rId442" xr:uid="{4F0D284A-3E23-49E4-BB17-0A8A80C4E41C}"/>
    <hyperlink ref="B30" r:id="rId443" xr:uid="{169D31B7-81FB-4D6B-86DC-203973F070CE}"/>
    <hyperlink ref="B31" r:id="rId444" xr:uid="{13A52BF4-8860-4CAD-9679-ADC11A0FDF11}"/>
    <hyperlink ref="B32" r:id="rId445" xr:uid="{1CCAC812-D18F-456E-8C65-457031B61322}"/>
    <hyperlink ref="B33" r:id="rId446" xr:uid="{539F263C-0036-4ADD-B353-CCEEF27AF439}"/>
    <hyperlink ref="B34" r:id="rId447" xr:uid="{7559E304-BB6F-4879-A2CD-B3222347A292}"/>
    <hyperlink ref="B35" r:id="rId448" xr:uid="{44027D15-8909-4919-B150-37B482FA3D5F}"/>
    <hyperlink ref="B231" r:id="rId449" xr:uid="{5477E646-56F3-480A-8391-CBF9C9293705}"/>
    <hyperlink ref="B233" r:id="rId450" xr:uid="{43A809CB-3FDB-498F-B519-E09C782BA2BE}"/>
    <hyperlink ref="B234" r:id="rId451" xr:uid="{809F853F-ADE6-439A-B828-281134D22882}"/>
    <hyperlink ref="B235" r:id="rId452" xr:uid="{C3C1B86D-3C0E-4BFB-B958-771EF1483944}"/>
    <hyperlink ref="B236" r:id="rId453" xr:uid="{D5166247-8508-4015-8248-A7394E002BA7}"/>
    <hyperlink ref="B237" r:id="rId454" xr:uid="{99C83B95-F964-4774-962E-3D3FE9BC3122}"/>
    <hyperlink ref="B238" r:id="rId455" xr:uid="{A45EEECB-5887-45FB-B340-137A8D9D5CC7}"/>
    <hyperlink ref="B239" r:id="rId456" xr:uid="{FCC647BB-3D90-4C2E-9994-B8CB733F4DDA}"/>
    <hyperlink ref="B240" r:id="rId457" xr:uid="{0EC9DF9B-A4A9-462D-9008-F6A54497CFA7}"/>
    <hyperlink ref="B241" r:id="rId458" xr:uid="{2BB3BE4C-88F4-4908-B75C-49CBD82B3577}"/>
    <hyperlink ref="B242" r:id="rId459" xr:uid="{FAB9FE44-8DE6-43F4-8C96-7C189F3A56B8}"/>
    <hyperlink ref="B243" r:id="rId460" xr:uid="{479B72A5-DEAD-4044-B8FB-70185F4156A5}"/>
    <hyperlink ref="B244" r:id="rId461" xr:uid="{B70F4B86-D370-458D-B8A2-21040F59A4B1}"/>
    <hyperlink ref="B245" r:id="rId462" xr:uid="{DABCC6BF-7C77-44C4-B88D-F221793912AA}"/>
    <hyperlink ref="B246" r:id="rId463" xr:uid="{7F8F97CD-26FE-4DE3-8AC5-842F492E0B91}"/>
    <hyperlink ref="B247" r:id="rId464" xr:uid="{D35E9D20-924B-4E5A-B94E-EB35AB31CFE1}"/>
    <hyperlink ref="B248" r:id="rId465" xr:uid="{D0C4CAF4-CEED-472A-B887-D42B5B514A81}"/>
    <hyperlink ref="B249" r:id="rId466" xr:uid="{42C447A9-0702-456F-BEF8-D8D84022EA1B}"/>
    <hyperlink ref="B250" r:id="rId467" xr:uid="{A314B241-8716-4B57-BBA0-72AFFF779B01}"/>
    <hyperlink ref="B251" r:id="rId468" xr:uid="{1F65152D-FCAB-4F50-A64B-860076CD0628}"/>
    <hyperlink ref="B252" r:id="rId469" xr:uid="{3BE4A55D-8802-42E9-BD89-304EEBCE94D7}"/>
    <hyperlink ref="B253" r:id="rId470" xr:uid="{1292F661-F2B7-452D-90C0-B70964208A20}"/>
    <hyperlink ref="B254" r:id="rId471" xr:uid="{E7114224-60A2-4528-98FC-9E4A80360B9D}"/>
    <hyperlink ref="B255" r:id="rId472" xr:uid="{AE9BBF9C-BB8B-48D6-AC69-30673BB77C09}"/>
    <hyperlink ref="B256" r:id="rId473" xr:uid="{13CC5111-9101-4535-B68C-96229CE60397}"/>
    <hyperlink ref="B258" r:id="rId474" xr:uid="{1F5B4E90-3B09-41BA-A8F8-A1EE8906E279}"/>
    <hyperlink ref="B259" r:id="rId475" xr:uid="{2489D96A-FAC3-49AE-AD07-5D85CE61B8A9}"/>
    <hyperlink ref="B260" r:id="rId476" xr:uid="{727E76B1-6D6A-46DA-88C2-0902A9823557}"/>
    <hyperlink ref="B261" r:id="rId477" xr:uid="{E82D486F-9383-44FB-9963-9AD5B4697BD6}"/>
    <hyperlink ref="B262" r:id="rId478" xr:uid="{5E8D6EFA-EF17-457E-9FF2-09B5A76E9B9F}"/>
    <hyperlink ref="B263" r:id="rId479" xr:uid="{8AD8B6FB-7854-4FA9-8900-9494828E7787}"/>
    <hyperlink ref="B264" r:id="rId480" xr:uid="{75BD02A3-3725-496A-816C-4BB051442AB4}"/>
    <hyperlink ref="B265" r:id="rId481" xr:uid="{E4875DC3-ACB2-431F-A87C-BB09F3E8C4C0}"/>
    <hyperlink ref="B266" r:id="rId482" xr:uid="{067577CD-72C2-4D0F-9ED4-B6E5BBAFD87F}"/>
    <hyperlink ref="B267" r:id="rId483" xr:uid="{C23DC3BF-1F27-4608-9898-3B929C830B1D}"/>
    <hyperlink ref="B288" r:id="rId484" xr:uid="{9CC5DAB0-A075-47C3-A1FC-6B49A7989826}"/>
    <hyperlink ref="B289" r:id="rId485" xr:uid="{81BA440B-7D91-486C-A0B7-7B067AD09385}"/>
    <hyperlink ref="B290" r:id="rId486" xr:uid="{A98687A2-C59A-4994-98EC-2592F1F2050B}"/>
    <hyperlink ref="B291" r:id="rId487" xr:uid="{6B2AE938-52D1-44CA-AE04-46C1BEA37097}"/>
    <hyperlink ref="B292" r:id="rId488" xr:uid="{7C580ADB-895D-4087-9C0E-8E23A47CCD1F}"/>
    <hyperlink ref="B293" r:id="rId489" xr:uid="{3B5C18FA-0835-4EDC-A3B3-CAF063562AE5}"/>
    <hyperlink ref="B295" r:id="rId490" xr:uid="{EE084920-FF9E-4F77-8443-C8F75C8ECE84}"/>
    <hyperlink ref="B296" r:id="rId491" xr:uid="{4911F70B-651B-44B8-A9F5-A8C4D408BAFE}"/>
    <hyperlink ref="B297" r:id="rId492" xr:uid="{CE6DDBEF-DDDA-4B2D-9DAE-A1E488109002}"/>
    <hyperlink ref="B298" r:id="rId493" xr:uid="{9C3FF080-4619-4C16-B0E1-5F704A830C20}"/>
    <hyperlink ref="V298" r:id="rId494" xr:uid="{C9D5CFFB-7EA1-4D31-A323-D376812A2392}"/>
    <hyperlink ref="B619" r:id="rId495" xr:uid="{038DE8B5-B638-4891-B3E2-1EB6285DABCA}"/>
    <hyperlink ref="B618" r:id="rId496" xr:uid="{474A6412-136A-4D9B-A25D-CF3EEA27B03D}"/>
    <hyperlink ref="B616" r:id="rId497" xr:uid="{A426E42C-7978-4526-9AE8-6B978E501509}"/>
    <hyperlink ref="B617" r:id="rId498" xr:uid="{13881D60-0474-4BBE-A6EA-637DF6F6E3DB}"/>
    <hyperlink ref="V614" r:id="rId499" xr:uid="{EA309AAB-881D-40E0-9CED-7BF1E99CA7E4}"/>
    <hyperlink ref="B615" r:id="rId500" xr:uid="{BFCB193B-EA66-49B6-B8B5-8CD7507EA946}"/>
    <hyperlink ref="B614" r:id="rId501" xr:uid="{24DFCDD2-7367-424F-92AD-AA0F99783833}"/>
    <hyperlink ref="B620" r:id="rId502" xr:uid="{F2A9AE04-F388-44E2-BCEC-21FC0F4ABAE9}"/>
    <hyperlink ref="V621" r:id="rId503" xr:uid="{186C10EE-C5EC-4651-8EBE-28DDB7BC342F}"/>
    <hyperlink ref="B621" r:id="rId504" xr:uid="{ABB0B756-03C3-4075-8D65-BCF64534BCE6}"/>
    <hyperlink ref="V622" r:id="rId505" xr:uid="{7E1E7513-6866-44CB-B99C-CC9382A88208}"/>
    <hyperlink ref="B622" r:id="rId506" xr:uid="{5B3795E5-6ADB-4FB7-AFC7-57B860C6A5D4}"/>
    <hyperlink ref="V623" r:id="rId507" xr:uid="{BFEF6813-CE60-44C7-94DD-9D1E39945546}"/>
    <hyperlink ref="B623" r:id="rId508" xr:uid="{777E8B45-5C0A-4183-9910-F4E54713E95E}"/>
    <hyperlink ref="B624" r:id="rId509" xr:uid="{371475AF-8AE5-4D1A-A09A-5ED73B8EF26E}"/>
    <hyperlink ref="B625" r:id="rId510" xr:uid="{F5DE1D62-370D-4A7A-9949-3F29804AE738}"/>
    <hyperlink ref="B627" r:id="rId511" xr:uid="{5C0B16C5-9057-42B6-B732-89E54AC43CBD}"/>
    <hyperlink ref="B626" r:id="rId512" xr:uid="{7BDFBBE3-D32B-444B-9D80-3CB14CD83EF6}"/>
    <hyperlink ref="B628" r:id="rId513" xr:uid="{FEB81EE9-5F5F-4431-A8E3-919824B33726}"/>
    <hyperlink ref="B629" r:id="rId514" xr:uid="{BC1D6B68-52AC-400B-AC35-3579C9C5EE63}"/>
    <hyperlink ref="B630" r:id="rId515" xr:uid="{1CD16F03-7820-4CED-987C-1FCD1A2D3A2A}"/>
    <hyperlink ref="B631" r:id="rId516" xr:uid="{CDDA7068-5E6E-400D-BD89-111A224218E2}"/>
    <hyperlink ref="B632" r:id="rId517" xr:uid="{39DD8E17-3753-4845-BEF9-F7AD0CAE0A39}"/>
    <hyperlink ref="B633" r:id="rId518" xr:uid="{1095B787-24B2-4D5E-AF10-2804B66183C1}"/>
    <hyperlink ref="B634" r:id="rId519" xr:uid="{C0DB543F-FBC9-47F6-968E-FAF6E939972B}"/>
    <hyperlink ref="B635" r:id="rId520" xr:uid="{802D1BB2-2367-4C17-B118-BF24F835207F}"/>
    <hyperlink ref="B636" r:id="rId521" xr:uid="{DE30A9E3-65C1-4D8B-828D-8422AE0F57CC}"/>
    <hyperlink ref="B637" r:id="rId522" xr:uid="{B3089AA2-C844-4472-9BE2-806FC0FD6709}"/>
    <hyperlink ref="B641" r:id="rId523" xr:uid="{3381BD3D-CBF2-4808-A09F-9E1747A6CE1F}"/>
    <hyperlink ref="B642" r:id="rId524" xr:uid="{6384F3EA-5191-49C9-9783-E3DCFDE3336E}"/>
    <hyperlink ref="B643" r:id="rId525" xr:uid="{CCE23C4E-10FF-43E9-9A4A-45F07632E594}"/>
    <hyperlink ref="B644" r:id="rId526" xr:uid="{2414888F-E47E-4136-B003-1D39EFEDE239}"/>
    <hyperlink ref="B645" r:id="rId527" xr:uid="{C5209234-9F9E-4CA5-B7ED-1FBEA3D6870B}"/>
    <hyperlink ref="B638" r:id="rId528" xr:uid="{F1427107-3C41-4184-BDBD-F1ADD06136E3}"/>
    <hyperlink ref="B653" r:id="rId529" xr:uid="{FA92D128-F565-432A-A179-4E8C4B65F21B}"/>
    <hyperlink ref="V640" r:id="rId530" xr:uid="{DDBEF35A-1911-4DC0-BB67-85C9F83A35E3}"/>
    <hyperlink ref="B640" r:id="rId531" xr:uid="{E8853F88-0323-4128-9E8D-B07BC4CBB9CB}"/>
    <hyperlink ref="B639" r:id="rId532" xr:uid="{D3E28F81-5204-425E-9833-B03837DCAE7C}"/>
    <hyperlink ref="B612" r:id="rId533" xr:uid="{783E024A-1495-4D83-800A-21E7D71B6070}"/>
    <hyperlink ref="B697" r:id="rId534" xr:uid="{FA70A577-9D84-4731-814B-F9D950709EF8}"/>
    <hyperlink ref="B646" r:id="rId535" xr:uid="{EC4319CD-FA72-4258-B020-AC64D297D719}"/>
    <hyperlink ref="B699" r:id="rId536" xr:uid="{CD2B187B-7406-4624-A1C2-406D9CBD7D36}"/>
    <hyperlink ref="B698" r:id="rId537" xr:uid="{B6CD2B6A-13E5-431E-9647-3C124EC5A5E6}"/>
    <hyperlink ref="B700" r:id="rId538" xr:uid="{0D4FEE76-BE18-4D91-B7F8-F59E78E18EDB}"/>
    <hyperlink ref="B701" r:id="rId539" xr:uid="{FBAE4E48-F6EA-47D3-B3D4-5B2DB8E9C942}"/>
    <hyperlink ref="B702" r:id="rId540" xr:uid="{D8CB2216-35CA-469E-8A30-B9D66A7E57C8}"/>
    <hyperlink ref="B703" r:id="rId541" xr:uid="{626170A5-8613-43CA-A8E9-2CDC81E01A62}"/>
    <hyperlink ref="B705" r:id="rId542" xr:uid="{78171EDC-A633-4E5B-8886-C493BC9B4EFD}"/>
    <hyperlink ref="B706" r:id="rId543" xr:uid="{A9D87145-5AEB-4161-9B1E-0C03B0DD2E70}"/>
    <hyperlink ref="B707" r:id="rId544" xr:uid="{A044E9B7-979F-425A-AA8E-302ECD8CB239}"/>
    <hyperlink ref="B708" r:id="rId545" xr:uid="{085C40AE-0A86-4FB9-AC98-38BCDE469E3F}"/>
    <hyperlink ref="B709" r:id="rId546" xr:uid="{B4071D08-0A4A-45A8-A646-AB208487F366}"/>
    <hyperlink ref="B710" r:id="rId547" xr:uid="{5D913BF6-666A-4717-A754-ED6C614D8525}"/>
    <hyperlink ref="B714" r:id="rId548" xr:uid="{ECE5ABEC-7097-46B3-897F-450181F38CEC}"/>
    <hyperlink ref="B716" r:id="rId549" xr:uid="{211169A4-8DC4-4B16-98A6-A351BF3B4AA0}"/>
    <hyperlink ref="B715" r:id="rId550" xr:uid="{990385DB-2E05-4E98-9C16-EBD3B60A39D9}"/>
    <hyperlink ref="B717" r:id="rId551" xr:uid="{FBF57AF7-D1AA-4F00-913C-5EC5FB3F3A41}"/>
    <hyperlink ref="B712" r:id="rId552" xr:uid="{516A617F-BC93-43AD-88F8-B44B025F6295}"/>
    <hyperlink ref="B725" r:id="rId553" xr:uid="{CE864C27-1C45-48B8-BD78-3F4E24E787DE}"/>
    <hyperlink ref="B726" r:id="rId554" xr:uid="{5C56E07A-13CC-4677-AE10-126C52949FC1}"/>
    <hyperlink ref="B727" r:id="rId555" xr:uid="{885848FD-61DF-4D7B-A6EC-DA5D0C4B9DC3}"/>
    <hyperlink ref="B728" r:id="rId556" xr:uid="{2D14BF1A-7F32-4F24-8B88-1549929314FD}"/>
    <hyperlink ref="B720" r:id="rId557" xr:uid="{BF8F1C16-F9EB-49B1-80BC-D520E6D7641A}"/>
    <hyperlink ref="B721" r:id="rId558" xr:uid="{0ABFE666-2321-466C-8BFC-EA2C78088C8F}"/>
    <hyperlink ref="B722" r:id="rId559" xr:uid="{5DB36F75-49E5-4904-B357-4A625FAA5648}"/>
    <hyperlink ref="B723" r:id="rId560" xr:uid="{70B1A5D6-D30C-451D-9497-9D6D68FCD7D4}"/>
    <hyperlink ref="B724" r:id="rId561" xr:uid="{E0C9B2B6-07B7-4508-867D-3C1B6E6883E0}"/>
    <hyperlink ref="B654" r:id="rId562" xr:uid="{51AC3A60-88EC-4599-A0D4-199696A7AEE5}"/>
    <hyperlink ref="B655" r:id="rId563" xr:uid="{2FAC1E7F-21B0-4D18-82A0-796783C96DD7}"/>
    <hyperlink ref="B652" r:id="rId564" xr:uid="{BC147DDF-EA12-43CE-9821-7AF1203BDC53}"/>
    <hyperlink ref="B656" r:id="rId565" xr:uid="{3F71EFB6-5168-42B1-994E-039CFAAB572F}"/>
    <hyperlink ref="B648" r:id="rId566" xr:uid="{EDAF149E-9F6C-4508-A2E1-20F309454908}"/>
    <hyperlink ref="B649" r:id="rId567" xr:uid="{DE14F39A-753B-4CD9-A15A-58B658549651}"/>
    <hyperlink ref="B650" r:id="rId568" xr:uid="{906C84B3-1614-41AF-A71A-49A13070D38C}"/>
    <hyperlink ref="B651" r:id="rId569" xr:uid="{38A2589E-BD88-4EA8-B3C5-A908AD12DAF7}"/>
    <hyperlink ref="B523" r:id="rId570" xr:uid="{FBA1A994-AE26-455D-87E1-CB0CC71B610B}"/>
    <hyperlink ref="B528" r:id="rId571" xr:uid="{4FDD6F5E-6FCE-4F47-829E-235D207F3B26}"/>
    <hyperlink ref="B529" r:id="rId572" xr:uid="{6CD7D0FC-68E5-4A60-AD45-B0739B12ADF1}"/>
    <hyperlink ref="B530" r:id="rId573" xr:uid="{B12F95D3-C69E-46BA-B241-4C2DDB32435D}"/>
    <hyperlink ref="B531" r:id="rId574" xr:uid="{D6DE99AA-C269-48EC-8378-862247E10294}"/>
    <hyperlink ref="B532" r:id="rId575" xr:uid="{D1439AD1-E3F5-4B09-B945-E94ECAA2304C}"/>
    <hyperlink ref="B533" r:id="rId576" xr:uid="{5AF2FF30-18CB-4484-BD14-B58004CC6B10}"/>
    <hyperlink ref="B534" r:id="rId577" xr:uid="{B53EB1E2-A55E-46FA-8D7C-65BFE7310ED0}"/>
    <hyperlink ref="B535" r:id="rId578" xr:uid="{58F4AE9C-C78B-4845-9D92-C5682C94A46C}"/>
    <hyperlink ref="B536" r:id="rId579" xr:uid="{366DE5D5-EB61-4B46-82B8-649E899E3824}"/>
    <hyperlink ref="B537" r:id="rId580" xr:uid="{1B69853E-1DA2-4F54-8C0F-6A0A1FA69C2B}"/>
    <hyperlink ref="B538" r:id="rId581" xr:uid="{0414279B-ABDB-4D93-B892-20CFA8E83E4E}"/>
    <hyperlink ref="B539" r:id="rId582" xr:uid="{86B61D96-EF13-47C0-851C-275070704E5B}"/>
    <hyperlink ref="B540" r:id="rId583" xr:uid="{3AA8A993-BDFF-4546-97E9-916BA49CDBF9}"/>
    <hyperlink ref="B541" r:id="rId584" xr:uid="{4C4316A3-CF5B-40C8-A00B-8079F5158304}"/>
    <hyperlink ref="B542" r:id="rId585" xr:uid="{2BE98B0D-0CA0-4CB2-A974-4FE417C19BF7}"/>
    <hyperlink ref="B543" r:id="rId586" xr:uid="{5180EA53-042F-42D8-A72C-0D7C7B86528B}"/>
    <hyperlink ref="B549" r:id="rId587" xr:uid="{637EE6A9-3486-4711-ADCA-27CD21544FBE}"/>
    <hyperlink ref="B550" r:id="rId588" xr:uid="{195A8175-1AD4-4E3F-8A81-2AE518315389}"/>
    <hyperlink ref="B551" r:id="rId589" xr:uid="{7165C63B-7ABB-457F-9BBB-1AE7D128B1CC}"/>
    <hyperlink ref="B554" r:id="rId590" xr:uid="{2CC94CDB-6EA0-4A52-B0DD-86BEB9365738}"/>
    <hyperlink ref="B555" r:id="rId591" xr:uid="{3F065681-162F-4647-9592-0CF2E79438E0}"/>
    <hyperlink ref="B516" r:id="rId592" xr:uid="{4DEA063D-14E7-4EE0-B053-1494689EC872}"/>
    <hyperlink ref="B517" r:id="rId593" xr:uid="{4F6EBA9B-A055-48C8-8E5F-BCB63FEEF063}"/>
    <hyperlink ref="B518" r:id="rId594" xr:uid="{2FCD9147-B0B1-4BAE-B6FF-20C190959E8B}"/>
    <hyperlink ref="B522" r:id="rId595" xr:uid="{8618F7AC-D6E9-48DF-B096-AC703811BC1E}"/>
    <hyperlink ref="B512" r:id="rId596" xr:uid="{74E834F0-D719-46E6-BB34-C9714DA61475}"/>
    <hyperlink ref="B513" r:id="rId597" xr:uid="{4B6DFDF3-678D-4DA1-B8B6-35177EC457A5}"/>
    <hyperlink ref="B514" r:id="rId598" xr:uid="{73CC3E54-CDC0-4D5E-ADEC-96636C65E26B}"/>
    <hyperlink ref="B515" r:id="rId599" xr:uid="{BA0E031C-B619-4300-B1D0-78BA6200F634}"/>
    <hyperlink ref="B508" r:id="rId600" xr:uid="{8CE35D3C-4364-4DB1-B81F-67ABAD567697}"/>
    <hyperlink ref="B509" r:id="rId601" xr:uid="{EFD6FCAE-3978-41CC-BFF4-BAAF31BE1E31}"/>
    <hyperlink ref="B510" r:id="rId602" xr:uid="{20FD98B5-0440-4D0C-8007-0DB333776090}"/>
    <hyperlink ref="B511" r:id="rId603" xr:uid="{DD1148EB-409E-46E6-A363-06A953F66B1E}"/>
    <hyperlink ref="B507" r:id="rId604" xr:uid="{AEC0F97E-E054-4170-B0F1-A87108E8763B}"/>
    <hyperlink ref="B506" r:id="rId605" xr:uid="{2983A34C-5482-42B7-B2FE-8568088F68C0}"/>
    <hyperlink ref="B505" r:id="rId606" xr:uid="{749488AE-B908-40B1-ADF8-D1C822E64632}"/>
    <hyperlink ref="B504" r:id="rId607" xr:uid="{DB856CD5-249A-416B-99CC-C1638D95E027}"/>
    <hyperlink ref="B503" r:id="rId608" xr:uid="{B165109F-4EFD-45E4-896E-5B2C528CFC5E}"/>
    <hyperlink ref="B502" r:id="rId609" xr:uid="{B18582D4-EA81-4218-B50A-603058F2D996}"/>
    <hyperlink ref="B501" r:id="rId610" xr:uid="{9D1DF1EB-C396-49F3-A5BF-CD9D81F6BCE9}"/>
    <hyperlink ref="B524" r:id="rId611" xr:uid="{FCD3F36C-17D7-4447-A327-0DEDBC0731A6}"/>
    <hyperlink ref="B525" r:id="rId612" xr:uid="{E0989320-0959-4780-9A27-A2AD4CEF4491}"/>
    <hyperlink ref="B526" r:id="rId613" xr:uid="{88A68352-8CF7-45CF-B158-5F08FDDD7055}"/>
    <hyperlink ref="B452" r:id="rId614" xr:uid="{C87FE5D1-26C4-42FB-BE15-10AA6EF60876}"/>
    <hyperlink ref="B453" r:id="rId615" xr:uid="{2C94517A-BF83-416E-A66A-E097BC8C2197}"/>
    <hyperlink ref="B454" r:id="rId616" xr:uid="{0FE3F182-3C3E-40F4-BBF9-5CC57C377BB6}"/>
    <hyperlink ref="B455" r:id="rId617" xr:uid="{DD4E8BE5-B355-487B-9602-A659FA5D1B39}"/>
    <hyperlink ref="B553" r:id="rId618" xr:uid="{6F991F93-E9AB-465D-991A-5C5E2702D2F1}"/>
    <hyperlink ref="B557" r:id="rId619" xr:uid="{A67A89E8-3286-4017-8136-BC08F230BA44}"/>
    <hyperlink ref="B558" r:id="rId620" xr:uid="{F5F37CB1-C86F-4781-9EA8-44F8444FBD69}"/>
    <hyperlink ref="B559" r:id="rId621" xr:uid="{7606AEC0-8548-49A0-8DA4-D2E370FCFF0C}"/>
    <hyperlink ref="B560" r:id="rId622" xr:uid="{C7E21117-BC6A-4499-88FD-7DED56819696}"/>
    <hyperlink ref="B561" r:id="rId623" xr:uid="{358F3DE1-6F37-44CC-8B49-033613231C2B}"/>
    <hyperlink ref="B562" r:id="rId624" xr:uid="{E9EFDA2B-A3EE-4223-AC03-048371007DF9}"/>
    <hyperlink ref="B563" r:id="rId625" xr:uid="{3942FF79-AEAC-41FD-B5DD-6642C5C3A3D0}"/>
    <hyperlink ref="B565" r:id="rId626" xr:uid="{001671B1-83E7-480A-AB72-74AE09C0C71A}"/>
    <hyperlink ref="B566" r:id="rId627" xr:uid="{A0E8E158-5C0C-49BE-A520-26D748549C12}"/>
    <hyperlink ref="B567" r:id="rId628" xr:uid="{4AA09CED-6E30-4E43-B257-4A87FBDA042C}"/>
    <hyperlink ref="B568" r:id="rId629" xr:uid="{60289159-2F30-4E16-97CB-C7FF299DBDD8}"/>
    <hyperlink ref="B569" r:id="rId630" xr:uid="{63053E3E-F8FF-4491-AACE-8BB1EA9A4DE1}"/>
    <hyperlink ref="B570" r:id="rId631" xr:uid="{BAB1F35E-9D0C-4F25-9F95-DBE20C5713EE}"/>
    <hyperlink ref="B571" r:id="rId632" xr:uid="{EF2C1EF8-5627-4231-82A5-71A6725B14D6}"/>
    <hyperlink ref="B572" r:id="rId633" xr:uid="{4F5ABB72-E78B-4D93-A6F5-643FED865809}"/>
    <hyperlink ref="B573" r:id="rId634" xr:uid="{1178D3C6-BB9D-4236-BDE7-13E6F13EDDE0}"/>
    <hyperlink ref="B574" r:id="rId635" xr:uid="{0065AA42-30F1-4B53-BA77-C32287B1EE93}"/>
    <hyperlink ref="B575" r:id="rId636" xr:uid="{98DF696F-5970-4250-8037-7F5EB029B1DF}"/>
    <hyperlink ref="B576" r:id="rId637" xr:uid="{05062416-B706-4EBF-B908-F33FA2D52019}"/>
    <hyperlink ref="B577" r:id="rId638" xr:uid="{6EA574CD-7D05-4A1D-ADD4-D87CB0E29F68}"/>
    <hyperlink ref="B578" r:id="rId639" xr:uid="{7CDF1A7B-FB6B-43AA-BD6E-810557D6587A}"/>
    <hyperlink ref="B579" r:id="rId640" xr:uid="{12925E6C-8403-4D28-B30D-6AA8A7904F9A}"/>
    <hyperlink ref="B580" r:id="rId641" xr:uid="{74329183-C1E4-4F0B-ABDC-E6799631598A}"/>
    <hyperlink ref="B581" r:id="rId642" xr:uid="{A869C9AF-53D1-42EB-A2F5-9C4385472977}"/>
    <hyperlink ref="B582" r:id="rId643" xr:uid="{4DEDAA57-F807-413F-AC16-4E5A5C0B816B}"/>
    <hyperlink ref="B583" r:id="rId644" xr:uid="{A3382CA8-2117-4754-938E-AD170F3DCA45}"/>
    <hyperlink ref="B584" r:id="rId645" xr:uid="{0B3051A0-3C4D-415D-A81C-AD2EAD76D154}"/>
    <hyperlink ref="B585" r:id="rId646" xr:uid="{50B67329-BE64-4DAC-A40C-2BF16B1B26DD}"/>
    <hyperlink ref="B586" r:id="rId647" xr:uid="{5DA1BDCC-E984-4979-9E9E-26FE370463EA}"/>
    <hyperlink ref="B587" r:id="rId648" xr:uid="{844E86C5-32B0-4B0B-A859-92F13CCE4BDB}"/>
    <hyperlink ref="B590" r:id="rId649" xr:uid="{96D57F98-69D8-4DB6-A660-3EAF6753A335}"/>
    <hyperlink ref="B591" r:id="rId650" xr:uid="{E36286A4-BE34-4626-85DB-3C78141153E7}"/>
    <hyperlink ref="B592" r:id="rId651" xr:uid="{C9479773-2B07-4A54-A9DD-72EA770602A1}"/>
    <hyperlink ref="B593" r:id="rId652" xr:uid="{B17D6CB3-F180-4E7D-8DD2-BA51132C89FD}"/>
    <hyperlink ref="B594" r:id="rId653" xr:uid="{944BEEA2-F0DB-48C8-BF2F-BE811B00D0C2}"/>
    <hyperlink ref="B595" r:id="rId654" xr:uid="{C64580CD-1387-4A54-AACA-1F9199E3BF7C}"/>
    <hyperlink ref="B596" r:id="rId655" xr:uid="{56D15DAC-7CB2-4489-9697-A3C978857281}"/>
    <hyperlink ref="B597" r:id="rId656" xr:uid="{81746959-D30C-402F-96E3-84137D76B6CE}"/>
    <hyperlink ref="B598" r:id="rId657" xr:uid="{7F1B077B-725B-419A-8CC8-591E7AF4D974}"/>
    <hyperlink ref="B599" r:id="rId658" xr:uid="{2F2FA59B-17D3-464C-94E6-334062042AB3}"/>
    <hyperlink ref="B600" r:id="rId659" xr:uid="{83B288C2-2EBF-4F77-BA61-C54C4583E0E7}"/>
    <hyperlink ref="B601" r:id="rId660" xr:uid="{7E9DE5EA-6638-490F-929F-3F61D876CC59}"/>
    <hyperlink ref="B602" r:id="rId661" xr:uid="{5A273629-A543-4F81-9DCB-81125BC4899F}"/>
    <hyperlink ref="B603" r:id="rId662" xr:uid="{A68F81AD-9840-4439-A57E-3F54E6F7E24C}"/>
    <hyperlink ref="B604" r:id="rId663" xr:uid="{BD8C49A8-EDE3-4A28-8B31-0A90FC9FE12D}"/>
    <hyperlink ref="B605" r:id="rId664" xr:uid="{E1F02382-9900-4EFC-B80E-D4730FDD91E8}"/>
    <hyperlink ref="B606" r:id="rId665" xr:uid="{32CAE50E-0FE3-43DF-BF36-94878D35F989}"/>
    <hyperlink ref="B607" r:id="rId666" xr:uid="{F5A999AF-411F-4398-A0E2-41A1543496B3}"/>
    <hyperlink ref="B608" r:id="rId667" xr:uid="{D50AEF89-29E0-4ADC-A5B2-64A9D83AF94F}"/>
    <hyperlink ref="B658" r:id="rId668" xr:uid="{7763F69B-EB20-482E-A591-122CA1CF79A4}"/>
    <hyperlink ref="B659" r:id="rId669" xr:uid="{58AEFF19-C047-47B9-BB07-A3BE5DC17F87}"/>
    <hyperlink ref="B660" r:id="rId670" xr:uid="{0E9BBA27-83F0-4FD0-9FE3-09B97ECD0B28}"/>
    <hyperlink ref="B588" r:id="rId671" xr:uid="{E55F4B90-09B7-42B0-9899-E54269579D49}"/>
    <hyperlink ref="B589" r:id="rId672" xr:uid="{B8866AE1-5989-468B-914A-F7E0BCA77C17}"/>
    <hyperlink ref="B661" r:id="rId673" xr:uid="{E527700A-B9F2-45BE-99C5-D269116F7460}"/>
    <hyperlink ref="B662" r:id="rId674" xr:uid="{3812B345-1400-41E7-9E2D-DF511D2106A5}"/>
    <hyperlink ref="B663" r:id="rId675" xr:uid="{F7082265-E9FD-41C9-BB70-1482B7E5FCD0}"/>
    <hyperlink ref="B664" r:id="rId676" xr:uid="{4FF9E854-A6F8-4536-9375-FCFE50AB2ECD}"/>
    <hyperlink ref="B665" r:id="rId677" xr:uid="{66BB87B2-7683-4A9A-B8D7-1991D41EE4B9}"/>
    <hyperlink ref="B666" r:id="rId678" xr:uid="{9EA4E975-E5D8-4A5F-819E-9974993BE00C}"/>
    <hyperlink ref="B667" r:id="rId679" xr:uid="{2232B199-53B8-45EA-AB40-9BAA9AB129A5}"/>
    <hyperlink ref="B668" r:id="rId680" xr:uid="{6E2C22BD-37CF-49C6-9F39-26786EF534A0}"/>
    <hyperlink ref="B669" r:id="rId681" xr:uid="{ACC47FEB-001F-4271-8EEA-B3AF339F678E}"/>
    <hyperlink ref="B670" r:id="rId682" xr:uid="{DBD7C17F-7D69-4D6A-A24A-969AF508EC51}"/>
    <hyperlink ref="B671" r:id="rId683" xr:uid="{5FB4105E-7979-4019-96F9-B4793302C83B}"/>
    <hyperlink ref="B672" r:id="rId684" xr:uid="{C056508F-07FF-43D0-90CE-4165A0D7EF93}"/>
    <hyperlink ref="B673" r:id="rId685" xr:uid="{2B861875-2BB3-494C-8DC9-24E61FB673C9}"/>
    <hyperlink ref="B674" r:id="rId686" xr:uid="{2914007A-5AA3-4CBE-BC3A-A1E0A333ED8F}"/>
    <hyperlink ref="B675" r:id="rId687" xr:uid="{1EE318EC-B0EC-45E2-ABA4-F2D535A0FA4E}"/>
    <hyperlink ref="B676" r:id="rId688" xr:uid="{3E1DD2F6-4ED7-4350-911F-05F9F68C8910}"/>
    <hyperlink ref="B677" r:id="rId689" xr:uid="{2AA2D54D-5DFD-42E9-BEA4-1AAA6CAA8E15}"/>
    <hyperlink ref="B678" r:id="rId690" xr:uid="{A0E03B47-1DA5-4F73-9C24-68F097EC5D58}"/>
    <hyperlink ref="B679" r:id="rId691" xr:uid="{77D20A55-28E3-4E7B-A52B-CCD80D784ADE}"/>
    <hyperlink ref="B680" r:id="rId692" xr:uid="{7CD09E14-EA81-4BB9-A4CB-9402364C93B7}"/>
    <hyperlink ref="B681" r:id="rId693" xr:uid="{5D74C08D-318F-473E-8484-2D95EFA33EDF}"/>
    <hyperlink ref="B682" r:id="rId694" xr:uid="{18701188-8FAD-441C-83D8-061B6C10AFB4}"/>
    <hyperlink ref="B683" r:id="rId695" xr:uid="{5030DF1F-274A-452F-880D-8E48530094EA}"/>
    <hyperlink ref="B684" r:id="rId696" xr:uid="{0C008377-8E6E-4D42-8DBD-B25A6CB3ABB7}"/>
    <hyperlink ref="B685" r:id="rId697" xr:uid="{140E2642-BCD8-46BB-A891-AB35D2613199}"/>
    <hyperlink ref="B686" r:id="rId698" xr:uid="{B5A39A68-D569-4681-BA5B-E7CB4F5FAD3A}"/>
    <hyperlink ref="B687" r:id="rId699" xr:uid="{A55F7A01-3027-44F0-8FCA-7B2ECC415CBF}"/>
    <hyperlink ref="B688" r:id="rId700" xr:uid="{EF3038FC-926B-4B33-990F-1CB593A7E670}"/>
    <hyperlink ref="B689" r:id="rId701" xr:uid="{02F6E079-6370-499D-B51F-501006FA9F10}"/>
    <hyperlink ref="B690" r:id="rId702" xr:uid="{C82FFCB6-CF35-433B-B2AA-314935BF487D}"/>
    <hyperlink ref="B691" r:id="rId703" xr:uid="{2C424762-7DC7-4450-A620-3848FC994CB7}"/>
    <hyperlink ref="B692" r:id="rId704" xr:uid="{A2AF8FDA-3AFB-4740-8DE5-31886FD1D829}"/>
    <hyperlink ref="B693" r:id="rId705" xr:uid="{4367694B-3CFD-496E-91BF-C9BB98663D19}"/>
    <hyperlink ref="B694" r:id="rId706" xr:uid="{B5E344EF-FC06-4699-AAAB-861AD510FE2A}"/>
    <hyperlink ref="B695" r:id="rId707" xr:uid="{763D9365-1F44-4887-9BBF-F828CCB3B79E}"/>
    <hyperlink ref="B696" r:id="rId708" xr:uid="{948F19CB-E770-43C7-9C32-DC399212FF61}"/>
    <hyperlink ref="B519" r:id="rId709" xr:uid="{E5C6AC33-2A1D-4682-B95B-74FB1675F2AF}"/>
    <hyperlink ref="B520" r:id="rId710" xr:uid="{8C113DD8-6001-4CB3-A52F-DD48CFEA9D16}"/>
    <hyperlink ref="B521" r:id="rId711" xr:uid="{22C89183-CC0F-42B3-AB31-BE01C80AB54A}"/>
    <hyperlink ref="B351" r:id="rId712" xr:uid="{D0096F79-0457-46CE-95CF-FAEE82FABCEC}"/>
    <hyperlink ref="B352" r:id="rId713" xr:uid="{F20E592B-7A94-4F97-B50C-264DB70D8C8E}"/>
    <hyperlink ref="B353" r:id="rId714" xr:uid="{7D90BC48-BB80-4170-A757-00C6E1C377D4}"/>
    <hyperlink ref="B354" r:id="rId715" xr:uid="{0B61965B-81EE-44C5-97BC-B35D098970CB}"/>
    <hyperlink ref="B355" r:id="rId716" xr:uid="{AA3F4176-ADF8-46CF-A298-A70E11636B4F}"/>
    <hyperlink ref="B356" r:id="rId717" xr:uid="{7803956E-1A61-421E-8DA1-5E53C19E2FEF}"/>
    <hyperlink ref="B357" r:id="rId718" xr:uid="{0CF6F1B6-0AE3-48DD-8DCD-80A8CE1F9EB8}"/>
    <hyperlink ref="B358" r:id="rId719" xr:uid="{EDF907C5-B0A2-47BF-A895-511E1E5F564C}"/>
    <hyperlink ref="B359" r:id="rId720" xr:uid="{E73D2B6A-EC4C-48C9-A69B-E3DBC3331B21}"/>
    <hyperlink ref="B360" r:id="rId721" xr:uid="{FDE9B081-B497-4EFC-9C32-FCA63ECA7ACB}"/>
    <hyperlink ref="B361" r:id="rId722" xr:uid="{572AAB07-85B0-4E3A-9BAB-746AABCBE4B2}"/>
    <hyperlink ref="B362" r:id="rId723" xr:uid="{D08CF35D-45D3-4F29-8333-A0F6661F95AE}"/>
    <hyperlink ref="B363" r:id="rId724" xr:uid="{307ACDBB-B262-43BB-A283-C95C8C4EA230}"/>
    <hyperlink ref="B350" r:id="rId725" xr:uid="{F57A71E1-8CCF-4132-92F2-B364B3C7548C}"/>
    <hyperlink ref="B366" r:id="rId726" xr:uid="{1681F901-DE5D-4C2C-9292-CAF1D0A4E5EB}"/>
    <hyperlink ref="B367" r:id="rId727" xr:uid="{57F4BFBC-8121-4432-8FAE-2DDAD3348EBA}"/>
    <hyperlink ref="B368" r:id="rId728" xr:uid="{EE32B6A7-8EAC-4893-84AB-3C8D800F416D}"/>
    <hyperlink ref="B370" r:id="rId729" xr:uid="{5CFBC183-090F-4628-965B-0991162410AE}"/>
    <hyperlink ref="B371" r:id="rId730" xr:uid="{1CB9D6BA-76DD-439F-85EC-FEC1C14BC52A}"/>
    <hyperlink ref="B372" r:id="rId731" xr:uid="{65ED94CC-3B9F-4600-8AAF-EA14630EA039}"/>
    <hyperlink ref="B373" r:id="rId732" xr:uid="{2FD5D4D9-829F-4DAF-A8A2-9F27D6F9EF44}"/>
    <hyperlink ref="B374" r:id="rId733" xr:uid="{593A2019-BB4A-43B0-9A06-2BFCB35DC203}"/>
    <hyperlink ref="B375" r:id="rId734" xr:uid="{EEFD2029-9FA4-419D-A955-1F1F2E82D8C2}"/>
    <hyperlink ref="B376" r:id="rId735" xr:uid="{2E93A917-F8BD-4A58-AD15-49C726142200}"/>
    <hyperlink ref="B377" r:id="rId736" xr:uid="{39CED714-6A3D-4036-BEF3-F6C60B9CC118}"/>
    <hyperlink ref="B378" r:id="rId737" xr:uid="{14A934A0-2C92-495F-9BF6-B4FD76E17CA5}"/>
    <hyperlink ref="B379" r:id="rId738" xr:uid="{EF2D3B64-477E-4F59-85E0-804F621A0CBF}"/>
    <hyperlink ref="B380" r:id="rId739" xr:uid="{C33B927F-9017-4858-952B-3677BC4684E6}"/>
    <hyperlink ref="B381" r:id="rId740" xr:uid="{A78B0DBF-87D1-492B-A117-B31CD6CE0FF6}"/>
    <hyperlink ref="B382" r:id="rId741" xr:uid="{7AE9B5DF-2AA7-40D5-AE6B-3732F23DC088}"/>
    <hyperlink ref="B383" r:id="rId742" xr:uid="{BAD560E7-6E49-4E04-B537-BE46A3595149}"/>
    <hyperlink ref="B384" r:id="rId743" xr:uid="{4454F5FD-6B8D-4507-941E-7A20D7137DE3}"/>
    <hyperlink ref="B385" r:id="rId744" xr:uid="{B4E06284-182C-4D2E-87BF-D40F090E238C}"/>
    <hyperlink ref="B408" r:id="rId745" xr:uid="{C326DF97-4E8B-4884-8C75-390416CFCEF9}"/>
    <hyperlink ref="B409" r:id="rId746" xr:uid="{5CDEE588-2C21-4C8E-9513-2116908E5684}"/>
    <hyperlink ref="B410" r:id="rId747" xr:uid="{525F3542-BB6B-4306-BB95-57EE0D89AB5E}"/>
    <hyperlink ref="B411" r:id="rId748" xr:uid="{090ACF29-D4B0-4F47-A196-68E03CD5ECCA}"/>
    <hyperlink ref="B412" r:id="rId749" xr:uid="{A827743D-BB83-40B3-A14F-6A0B33C26408}"/>
    <hyperlink ref="B413" r:id="rId750" xr:uid="{FC0B585E-601D-4EB4-B699-501C30AEF2DD}"/>
    <hyperlink ref="B414" r:id="rId751" xr:uid="{F52C6E09-9D64-44DA-AB7B-E885DC7CF7F8}"/>
    <hyperlink ref="B415" r:id="rId752" xr:uid="{4E499C6D-265B-43D5-95CA-382301A04FC1}"/>
    <hyperlink ref="B416" r:id="rId753" xr:uid="{D0CEEDDE-2C7A-4CFA-9E63-139EA74376C0}"/>
    <hyperlink ref="B417" r:id="rId754" xr:uid="{A55C1AA5-E90F-4272-ADA1-91125616EE44}"/>
    <hyperlink ref="B268" r:id="rId755" xr:uid="{1BB64170-4989-4FD0-ACEC-34C2D4B7FB36}"/>
    <hyperlink ref="B269" r:id="rId756" xr:uid="{CCD3CE32-579A-45F7-B6B2-8F42CE7F8D8D}"/>
    <hyperlink ref="B270" r:id="rId757" xr:uid="{EBCDE710-3266-4EF4-A578-CE4C4780ADE0}"/>
    <hyperlink ref="B271" r:id="rId758" xr:uid="{3E44E378-08F7-472F-BD82-6F8D9ED53B87}"/>
    <hyperlink ref="B272" r:id="rId759" xr:uid="{382AD828-AF75-4884-883C-1A568C00C1BE}"/>
    <hyperlink ref="B273" r:id="rId760" xr:uid="{59698929-57BC-4628-9E2B-9ADA0DFCBA4E}"/>
    <hyperlink ref="B274" r:id="rId761" xr:uid="{93F07B60-9A47-45E0-9864-DA3599F954F8}"/>
    <hyperlink ref="B275" r:id="rId762" xr:uid="{694DBE98-1A66-4F5E-8E1C-59E176CDFFB8}"/>
    <hyperlink ref="B276" r:id="rId763" xr:uid="{BDF127D1-88ED-45F1-8979-4CCDA39A2E07}"/>
    <hyperlink ref="B277" r:id="rId764" xr:uid="{68F9F893-7CA8-4F1A-AE13-0FE317A74359}"/>
    <hyperlink ref="B278" r:id="rId765" xr:uid="{B04765B7-F030-4224-AC78-C9EE6E46FAED}"/>
    <hyperlink ref="B279" r:id="rId766" xr:uid="{990CF543-B6A0-4F04-BB5F-3460F0515E47}"/>
    <hyperlink ref="B280" r:id="rId767" xr:uid="{89F730F9-B6F5-4CE1-9F8E-07FDFBA35471}"/>
    <hyperlink ref="B281" r:id="rId768" xr:uid="{14970096-965B-456E-A8EF-B527ED66BFD1}"/>
    <hyperlink ref="B282" r:id="rId769" xr:uid="{83F1503F-CBBA-42E0-B0B0-C1B4CCC2D972}"/>
    <hyperlink ref="B283" r:id="rId770" xr:uid="{D07C0498-045F-4FC7-B1F0-EA41E2779C77}"/>
    <hyperlink ref="B284" r:id="rId771" xr:uid="{D7A43CF1-FF8E-43CF-82E5-0143453DA0A7}"/>
    <hyperlink ref="B285" r:id="rId772" xr:uid="{786A523C-E886-43A2-A9FE-253F141EC902}"/>
    <hyperlink ref="B286" r:id="rId773" xr:uid="{A4B22EFB-5850-41FB-8AA4-ED436830C891}"/>
    <hyperlink ref="B287" r:id="rId774" xr:uid="{349FB6D1-879C-486F-891E-09E9B5A72AC5}"/>
    <hyperlink ref="B257" r:id="rId775" xr:uid="{75147A42-0018-4905-BA44-4B4C8291E024}"/>
    <hyperlink ref="B299" r:id="rId776" xr:uid="{C3009322-6B5B-41A2-9F73-56CA41B1A7E8}"/>
    <hyperlink ref="B300" r:id="rId777" xr:uid="{68F82F26-AE94-4FA8-B20F-40CA6C658C15}"/>
    <hyperlink ref="B301" r:id="rId778" xr:uid="{3CCEB68A-CD67-4245-9BA8-EA4DED3A1C88}"/>
    <hyperlink ref="B302" r:id="rId779" xr:uid="{9DFB44C5-EEAF-4412-B828-DED6E4315987}"/>
    <hyperlink ref="B303" r:id="rId780" xr:uid="{776ADC4F-A648-4854-B097-6CD40ADC71C5}"/>
    <hyperlink ref="B304" r:id="rId781" xr:uid="{3A7914F5-EF19-43F0-ABC4-28C691F46F91}"/>
    <hyperlink ref="B305" r:id="rId782" xr:uid="{189C7DAD-3C25-495E-AE8B-F0E78E32C695}"/>
    <hyperlink ref="B306" r:id="rId783" xr:uid="{3C209668-758D-4A12-A9B0-3C06B03FDF9B}"/>
    <hyperlink ref="B307" r:id="rId784" xr:uid="{261C5257-1E87-4241-97A7-49F419CB5E1C}"/>
    <hyperlink ref="B308" r:id="rId785" xr:uid="{E314D67B-0A8B-4EB0-9A9C-A9FCAAEAC634}"/>
    <hyperlink ref="B309" r:id="rId786" xr:uid="{E781E213-BB27-487A-8CAD-3861EEB66334}"/>
    <hyperlink ref="B310" r:id="rId787" xr:uid="{43E2BDCE-0408-44EE-878A-E0F0F061DC26}"/>
    <hyperlink ref="B311" r:id="rId788" xr:uid="{3C7D8863-6A02-429E-884E-51CC987AAA5C}"/>
    <hyperlink ref="B312" r:id="rId789" xr:uid="{F3C6BBEA-B476-4EA6-8A47-E87CF557586C}"/>
    <hyperlink ref="B323" r:id="rId790" xr:uid="{DE46AE70-654C-4C83-8255-01BCC0A3CDAC}"/>
    <hyperlink ref="B324" r:id="rId791" xr:uid="{90CB94C9-FB38-44F5-9EEB-59793F5BDBCF}"/>
    <hyperlink ref="B325" r:id="rId792" xr:uid="{8113E982-47A6-4DD2-B853-92D03529F96E}"/>
    <hyperlink ref="B326" r:id="rId793" xr:uid="{5AEF70A2-7E40-4288-B148-982963D206C7}"/>
    <hyperlink ref="B327" r:id="rId794" xr:uid="{EE87F2E8-71B3-4936-888B-06ED54E6F8D2}"/>
    <hyperlink ref="B328" r:id="rId795" xr:uid="{753748F0-9F44-4FB8-97FA-A2B4760C2113}"/>
    <hyperlink ref="B329" r:id="rId796" xr:uid="{3D80A05F-8298-4914-BD9C-D445F8F98569}"/>
    <hyperlink ref="B330" r:id="rId797" xr:uid="{4989432F-FDFA-4392-96C7-D8118280F821}"/>
    <hyperlink ref="B331" r:id="rId798" xr:uid="{6E9D95DF-EA3F-4FBA-A43D-5723805ABEBB}"/>
    <hyperlink ref="B332" r:id="rId799" xr:uid="{057CF9AC-8CF0-4AC1-8C05-1D7D139C7080}"/>
    <hyperlink ref="B333" r:id="rId800" xr:uid="{A2AD59F7-BA12-48BC-A0A3-179D59B3CF67}"/>
    <hyperlink ref="B334" r:id="rId801" xr:uid="{F5A189CD-1519-4FE2-A56B-C859759B4CC0}"/>
    <hyperlink ref="B335" r:id="rId802" xr:uid="{2EE02C1E-8158-40C3-9304-08350F83C14B}"/>
    <hyperlink ref="B336" r:id="rId803" xr:uid="{4A9734A8-DB23-4BDA-98F2-B5448648C7E5}"/>
    <hyperlink ref="B337" r:id="rId804" xr:uid="{7B3766ED-3F9C-4966-A852-9D182EB3313A}"/>
    <hyperlink ref="B338" r:id="rId805" xr:uid="{5A6F3AAE-D5D6-40BB-A9DC-A9C8099FB03E}"/>
    <hyperlink ref="B339" r:id="rId806" xr:uid="{6B9C0FF5-2AE0-42DC-8DF7-C97ABD47E4B7}"/>
    <hyperlink ref="B340" r:id="rId807" xr:uid="{D7BED264-AEB4-4F26-8658-CBF1086CB170}"/>
    <hyperlink ref="B341" r:id="rId808" xr:uid="{A4A0F093-993A-47D4-A42F-C0D7773BF72B}"/>
    <hyperlink ref="B342" r:id="rId809" xr:uid="{D555B075-E757-4D4C-BDF9-3678BAEDAE8B}"/>
    <hyperlink ref="B343" r:id="rId810" xr:uid="{CA181BF6-A42C-4972-B711-D8116A68D8C0}"/>
    <hyperlink ref="B344" r:id="rId811" xr:uid="{C6D31BE7-5503-4030-8186-729888A676A5}"/>
    <hyperlink ref="B345" r:id="rId812" xr:uid="{3A307D0B-FAF3-4E75-9A47-BAF16967DB48}"/>
    <hyperlink ref="B346" r:id="rId813" xr:uid="{241D251F-DC2E-4C18-8040-4AD474AA06EF}"/>
    <hyperlink ref="B347" r:id="rId814" xr:uid="{6C4D7C2D-5EAF-4332-AC37-5665FDF940E9}"/>
    <hyperlink ref="B348" r:id="rId815" xr:uid="{EFC8F37E-700F-4870-A27A-B22BEFC910D8}"/>
    <hyperlink ref="B349" r:id="rId816" xr:uid="{06882245-969B-4198-840C-AA69250624D3}"/>
    <hyperlink ref="B313" r:id="rId817" xr:uid="{7E5488C7-802E-4292-940C-905AB0BD4019}"/>
    <hyperlink ref="B314" r:id="rId818" xr:uid="{A2CA9A44-731F-46DF-93FD-5507544B4554}"/>
    <hyperlink ref="B448" r:id="rId819" xr:uid="{2319D8F8-D0FA-482A-BB96-C2C42D96892B}"/>
    <hyperlink ref="B406" r:id="rId820" xr:uid="{AC42FB46-A84B-433C-B0F8-74059E3D76FA}"/>
    <hyperlink ref="B404" r:id="rId821" xr:uid="{ABD47D59-1720-440A-9E9C-C20B3E229071}"/>
    <hyperlink ref="B405" r:id="rId822" xr:uid="{A9BFDBAC-350F-4E1C-80D4-7FD13F436A78}"/>
    <hyperlink ref="V402" r:id="rId823" xr:uid="{7F712E3D-46BE-411E-9775-F748D32E1BE3}"/>
    <hyperlink ref="V401" r:id="rId824" xr:uid="{40FAF0DE-962E-4969-A762-436407E5B80A}"/>
    <hyperlink ref="V400" r:id="rId825" xr:uid="{4D21ED67-B1D6-471C-8CDE-1CC8E75D7A28}"/>
    <hyperlink ref="V399" r:id="rId826" xr:uid="{34EFBEC4-C51A-435A-B003-E9C48D2D9756}"/>
    <hyperlink ref="V398" r:id="rId827" xr:uid="{31DF50FA-414B-4A80-93C1-3E1DF296252A}"/>
    <hyperlink ref="V397" r:id="rId828" xr:uid="{B368F59A-DFB3-4085-AD78-CE66B86DA9AE}"/>
    <hyperlink ref="V396" r:id="rId829" xr:uid="{A2398D27-B4C6-4FD7-A7FB-16EE4C0A6C6C}"/>
    <hyperlink ref="V395" r:id="rId830" xr:uid="{F0D001DF-1B27-43E1-97F6-7CD9A6BFBA2A}"/>
    <hyperlink ref="B395" r:id="rId831" xr:uid="{B4939D9D-4860-4359-80F4-09ED6C3B355B}"/>
    <hyperlink ref="B396" r:id="rId832" xr:uid="{8650476D-B584-4B56-ADEF-73ACD146153E}"/>
    <hyperlink ref="B397" r:id="rId833" xr:uid="{1C2758AC-DAB8-4F0A-9F89-09C700C221BC}"/>
    <hyperlink ref="B398" r:id="rId834" xr:uid="{E063C0CB-4A3E-4C87-8438-8BC86A0F125C}"/>
    <hyperlink ref="B399" r:id="rId835" xr:uid="{008684FE-F154-448E-9E30-ECFE4CF63610}"/>
    <hyperlink ref="B400" r:id="rId836" xr:uid="{998C3C25-D93D-4305-A0CA-70DD2C1CED9C}"/>
    <hyperlink ref="B401" r:id="rId837" xr:uid="{9AF204A6-8F78-4F1A-AEDC-1A4CF0FA96C9}"/>
    <hyperlink ref="B402" r:id="rId838" xr:uid="{FCD9DF2C-5A5D-4DA7-A52E-737F13118291}"/>
    <hyperlink ref="B403" r:id="rId839" xr:uid="{A969AC23-EB6E-43E5-9F2D-96410B51C306}"/>
    <hyperlink ref="B387" r:id="rId840" xr:uid="{528F882A-6B92-42B0-804D-E92841894669}"/>
    <hyperlink ref="B388" r:id="rId841" xr:uid="{5A2D0BF2-0E3A-4617-AE48-13F6D7DDC97D}"/>
    <hyperlink ref="B389" r:id="rId842" xr:uid="{A19C1C8B-9667-4FB7-8559-3B92E76E572E}"/>
    <hyperlink ref="B390" r:id="rId843" xr:uid="{A2ECA8A6-1745-470F-886F-F2B6DF1A8536}"/>
    <hyperlink ref="B391" r:id="rId844" xr:uid="{40073054-45F5-4E7E-A5D5-77BD0DD005A5}"/>
    <hyperlink ref="B392" r:id="rId845" xr:uid="{27881B9A-699A-4F58-BD0D-3C6307827073}"/>
    <hyperlink ref="B464" r:id="rId846" xr:uid="{4064B6EF-E6B3-40E7-9717-2CC1A43390A2}"/>
    <hyperlink ref="B465" r:id="rId847" xr:uid="{4D6774CF-6E04-427E-82A2-187CECF45BB5}"/>
    <hyperlink ref="B477" r:id="rId848" xr:uid="{E9456278-4FF6-45DC-BDF8-DC4FE1DD6B31}"/>
  </hyperlinks>
  <pageMargins left="0.7" right="0.7" top="0.75" bottom="0.75" header="0.3" footer="0.3"/>
  <tableParts count="1">
    <tablePart r:id="rId84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6C48-8BD6-4FD5-8F79-264DD349DF7F}">
  <dimension ref="A1:V754"/>
  <sheetViews>
    <sheetView workbookViewId="0">
      <pane ySplit="1" topLeftCell="A12" activePane="bottomLeft" state="frozen"/>
      <selection activeCell="L1" sqref="L1"/>
      <selection pane="bottomLeft" activeCell="C6" sqref="C6"/>
    </sheetView>
  </sheetViews>
  <sheetFormatPr defaultRowHeight="13.2"/>
  <cols>
    <col min="1" max="1" width="12.5546875" style="351" bestFit="1" customWidth="1"/>
    <col min="2" max="2" width="11.88671875" bestFit="1" customWidth="1"/>
    <col min="3" max="3" width="64.21875" bestFit="1" customWidth="1"/>
    <col min="4" max="4" width="46" bestFit="1" customWidth="1"/>
    <col min="5" max="5" width="20.44140625" bestFit="1" customWidth="1"/>
    <col min="6" max="6" width="26.6640625" bestFit="1" customWidth="1"/>
    <col min="7" max="7" width="19.21875" bestFit="1" customWidth="1"/>
    <col min="8" max="8" width="17.77734375" bestFit="1" customWidth="1"/>
    <col min="9" max="9" width="20.44140625" bestFit="1" customWidth="1"/>
    <col min="10" max="10" width="57.109375" bestFit="1" customWidth="1"/>
    <col min="11" max="11" width="19.88671875" customWidth="1"/>
    <col min="12" max="12" width="29.6640625" bestFit="1" customWidth="1"/>
    <col min="13" max="13" width="20.88671875" bestFit="1" customWidth="1"/>
    <col min="14" max="14" width="23.77734375" bestFit="1" customWidth="1"/>
    <col min="15" max="15" width="23.109375" bestFit="1" customWidth="1"/>
    <col min="16" max="16" width="38.44140625" bestFit="1" customWidth="1"/>
    <col min="17" max="17" width="20.88671875" bestFit="1" customWidth="1"/>
    <col min="18" max="18" width="11.77734375" bestFit="1" customWidth="1"/>
    <col min="19" max="19" width="9.33203125" bestFit="1" customWidth="1"/>
    <col min="20" max="20" width="8" bestFit="1" customWidth="1"/>
    <col min="21" max="21" width="12.88671875" bestFit="1" customWidth="1"/>
    <col min="22" max="22" width="15.44140625" bestFit="1" customWidth="1"/>
  </cols>
  <sheetData>
    <row r="1" spans="1:22" ht="13.8">
      <c r="A1" s="353" t="s">
        <v>8285</v>
      </c>
      <c r="B1" s="354" t="s">
        <v>8296</v>
      </c>
      <c r="C1" s="354" t="s">
        <v>8293</v>
      </c>
      <c r="D1" s="354" t="s">
        <v>8286</v>
      </c>
      <c r="E1" s="354" t="s">
        <v>5</v>
      </c>
      <c r="F1" s="354" t="s">
        <v>8292</v>
      </c>
      <c r="G1" s="354" t="s">
        <v>8297</v>
      </c>
      <c r="H1" s="354" t="s">
        <v>8298</v>
      </c>
      <c r="I1" s="354" t="s">
        <v>7</v>
      </c>
      <c r="J1" s="354" t="s">
        <v>8299</v>
      </c>
      <c r="K1" s="355" t="s">
        <v>8287</v>
      </c>
      <c r="L1" s="355" t="s">
        <v>14</v>
      </c>
      <c r="M1" s="354" t="s">
        <v>8284</v>
      </c>
      <c r="N1" s="354" t="s">
        <v>8288</v>
      </c>
      <c r="O1" s="354" t="s">
        <v>8289</v>
      </c>
      <c r="P1" s="354" t="s">
        <v>8300</v>
      </c>
      <c r="Q1" s="354" t="s">
        <v>8301</v>
      </c>
      <c r="R1" s="354" t="s">
        <v>8302</v>
      </c>
      <c r="S1" s="354" t="s">
        <v>8303</v>
      </c>
      <c r="T1" s="354" t="s">
        <v>8304</v>
      </c>
      <c r="U1" s="354" t="s">
        <v>8305</v>
      </c>
      <c r="V1" s="354" t="s">
        <v>8306</v>
      </c>
    </row>
    <row r="2" spans="1:22" ht="16.8">
      <c r="A2" s="356" t="s">
        <v>8309</v>
      </c>
      <c r="B2" s="104">
        <v>103</v>
      </c>
      <c r="C2" s="357" t="s">
        <v>1153</v>
      </c>
      <c r="D2" s="347" t="s">
        <v>8294</v>
      </c>
      <c r="E2" s="358" t="s">
        <v>1155</v>
      </c>
      <c r="F2" s="358" t="s">
        <v>1157</v>
      </c>
      <c r="G2" s="358" t="s">
        <v>71</v>
      </c>
      <c r="H2" s="358" t="s">
        <v>1163</v>
      </c>
      <c r="I2" s="358" t="s">
        <v>1156</v>
      </c>
      <c r="J2" s="358" t="s">
        <v>1158</v>
      </c>
      <c r="K2" s="358" t="s">
        <v>1159</v>
      </c>
      <c r="L2" s="359" t="s">
        <v>1160</v>
      </c>
      <c r="M2" s="358">
        <v>8879316929</v>
      </c>
      <c r="N2" s="360">
        <v>9820045969</v>
      </c>
      <c r="O2" s="358">
        <v>8879316929</v>
      </c>
      <c r="P2" s="361" t="s">
        <v>1154</v>
      </c>
      <c r="Q2" s="378" t="s">
        <v>44</v>
      </c>
      <c r="R2" s="378" t="s">
        <v>47</v>
      </c>
      <c r="S2" s="362" t="s">
        <v>170</v>
      </c>
      <c r="T2" s="362" t="s">
        <v>49</v>
      </c>
      <c r="U2" s="362" t="s">
        <v>1161</v>
      </c>
      <c r="V2" s="362" t="s">
        <v>1162</v>
      </c>
    </row>
    <row r="3" spans="1:22" ht="16.8">
      <c r="A3" s="356" t="s">
        <v>8310</v>
      </c>
      <c r="B3" s="93">
        <v>105</v>
      </c>
      <c r="C3" s="363" t="s">
        <v>1169</v>
      </c>
      <c r="D3" s="347" t="s">
        <v>3207</v>
      </c>
      <c r="E3" s="347" t="s">
        <v>1171</v>
      </c>
      <c r="F3" s="347" t="s">
        <v>1172</v>
      </c>
      <c r="G3" s="347" t="s">
        <v>71</v>
      </c>
      <c r="H3" s="347" t="s">
        <v>1163</v>
      </c>
      <c r="I3" s="347" t="s">
        <v>1156</v>
      </c>
      <c r="J3" s="347" t="s">
        <v>1173</v>
      </c>
      <c r="K3" s="347" t="s">
        <v>1159</v>
      </c>
      <c r="L3" s="364" t="s">
        <v>1160</v>
      </c>
      <c r="M3" s="347">
        <v>8369075554</v>
      </c>
      <c r="N3" s="95" t="s">
        <v>44</v>
      </c>
      <c r="O3" s="347">
        <v>8369075554</v>
      </c>
      <c r="P3" s="365" t="s">
        <v>1170</v>
      </c>
      <c r="Q3" s="95" t="s">
        <v>44</v>
      </c>
      <c r="R3" s="95" t="s">
        <v>47</v>
      </c>
      <c r="S3" s="366" t="s">
        <v>170</v>
      </c>
      <c r="T3" s="366" t="s">
        <v>49</v>
      </c>
      <c r="U3" s="366" t="s">
        <v>1161</v>
      </c>
      <c r="V3" s="366" t="s">
        <v>1162</v>
      </c>
    </row>
    <row r="4" spans="1:22" ht="16.8">
      <c r="A4" s="356" t="s">
        <v>8311</v>
      </c>
      <c r="B4" s="93">
        <v>106</v>
      </c>
      <c r="C4" s="363" t="s">
        <v>1174</v>
      </c>
      <c r="D4" s="347" t="s">
        <v>3210</v>
      </c>
      <c r="E4" s="347" t="s">
        <v>1176</v>
      </c>
      <c r="F4" s="347" t="s">
        <v>1177</v>
      </c>
      <c r="G4" s="347" t="s">
        <v>71</v>
      </c>
      <c r="H4" s="347" t="s">
        <v>1163</v>
      </c>
      <c r="I4" s="347" t="s">
        <v>1156</v>
      </c>
      <c r="J4" s="347" t="s">
        <v>1178</v>
      </c>
      <c r="K4" s="347" t="s">
        <v>1159</v>
      </c>
      <c r="L4" s="364" t="s">
        <v>1160</v>
      </c>
      <c r="M4" s="347">
        <v>9833629934</v>
      </c>
      <c r="N4" s="95" t="s">
        <v>44</v>
      </c>
      <c r="O4" s="347">
        <v>9833629934</v>
      </c>
      <c r="P4" s="365" t="s">
        <v>1175</v>
      </c>
      <c r="Q4" s="95" t="s">
        <v>44</v>
      </c>
      <c r="R4" s="95" t="s">
        <v>47</v>
      </c>
      <c r="S4" s="366" t="s">
        <v>300</v>
      </c>
      <c r="T4" s="366" t="s">
        <v>301</v>
      </c>
      <c r="U4" s="366" t="s">
        <v>1179</v>
      </c>
      <c r="V4" s="366" t="s">
        <v>1162</v>
      </c>
    </row>
    <row r="5" spans="1:22" ht="17.399999999999999" thickBot="1">
      <c r="A5" s="368" t="s">
        <v>8312</v>
      </c>
      <c r="B5" s="369">
        <v>107</v>
      </c>
      <c r="C5" s="370" t="s">
        <v>1180</v>
      </c>
      <c r="D5" s="371" t="s">
        <v>8295</v>
      </c>
      <c r="E5" s="371" t="s">
        <v>1182</v>
      </c>
      <c r="F5" s="371" t="s">
        <v>1183</v>
      </c>
      <c r="G5" s="371" t="s">
        <v>71</v>
      </c>
      <c r="H5" s="371" t="s">
        <v>1163</v>
      </c>
      <c r="I5" s="371" t="s">
        <v>1156</v>
      </c>
      <c r="J5" s="371" t="s">
        <v>1184</v>
      </c>
      <c r="K5" s="371" t="s">
        <v>1159</v>
      </c>
      <c r="L5" s="372" t="s">
        <v>1160</v>
      </c>
      <c r="M5" s="371">
        <v>8104672056</v>
      </c>
      <c r="N5" s="377" t="s">
        <v>44</v>
      </c>
      <c r="O5" s="371">
        <v>8104672056</v>
      </c>
      <c r="P5" s="373" t="s">
        <v>1181</v>
      </c>
      <c r="Q5" s="377" t="s">
        <v>44</v>
      </c>
      <c r="R5" s="377" t="s">
        <v>47</v>
      </c>
      <c r="S5" s="374" t="s">
        <v>311</v>
      </c>
      <c r="T5" s="374" t="s">
        <v>312</v>
      </c>
      <c r="U5" s="374" t="s">
        <v>1185</v>
      </c>
      <c r="V5" s="374" t="s">
        <v>1162</v>
      </c>
    </row>
    <row r="6" spans="1:22" ht="16.8">
      <c r="A6" t="s">
        <v>8313</v>
      </c>
      <c r="B6" s="93">
        <v>126</v>
      </c>
      <c r="C6" s="99" t="s">
        <v>1398</v>
      </c>
      <c r="D6" s="347" t="s">
        <v>3279</v>
      </c>
      <c r="E6" s="347" t="s">
        <v>1400</v>
      </c>
      <c r="F6" s="95" t="s">
        <v>1402</v>
      </c>
      <c r="G6" s="95" t="s">
        <v>1409</v>
      </c>
      <c r="H6" s="95" t="s">
        <v>1410</v>
      </c>
      <c r="I6" s="95" t="s">
        <v>1401</v>
      </c>
      <c r="J6" s="95" t="s">
        <v>1403</v>
      </c>
      <c r="K6" s="96" t="s">
        <v>1404</v>
      </c>
      <c r="L6" s="12" t="s">
        <v>1405</v>
      </c>
      <c r="M6" s="95">
        <v>8657006837</v>
      </c>
      <c r="N6" s="95" t="s">
        <v>44</v>
      </c>
      <c r="O6" s="95">
        <v>8657006837</v>
      </c>
      <c r="P6" s="100" t="s">
        <v>1399</v>
      </c>
      <c r="Q6" s="95" t="s">
        <v>3301</v>
      </c>
      <c r="R6" s="95" t="s">
        <v>47</v>
      </c>
      <c r="S6" s="5" t="s">
        <v>1406</v>
      </c>
      <c r="T6" s="101" t="s">
        <v>49</v>
      </c>
      <c r="U6" s="101" t="s">
        <v>1407</v>
      </c>
      <c r="V6" s="101" t="s">
        <v>1408</v>
      </c>
    </row>
    <row r="7" spans="1:22" ht="16.8">
      <c r="A7" t="s">
        <v>8314</v>
      </c>
      <c r="B7" s="93">
        <v>127</v>
      </c>
      <c r="C7" s="99" t="s">
        <v>1411</v>
      </c>
      <c r="D7" s="347" t="s">
        <v>3266</v>
      </c>
      <c r="E7" s="347" t="s">
        <v>1400</v>
      </c>
      <c r="F7" s="95" t="s">
        <v>1413</v>
      </c>
      <c r="G7" s="95" t="s">
        <v>71</v>
      </c>
      <c r="H7" s="95" t="s">
        <v>1410</v>
      </c>
      <c r="I7" s="95" t="s">
        <v>1401</v>
      </c>
      <c r="J7" s="95" t="s">
        <v>1414</v>
      </c>
      <c r="K7" s="96" t="s">
        <v>1404</v>
      </c>
      <c r="L7" s="12" t="s">
        <v>1405</v>
      </c>
      <c r="M7" s="95">
        <v>7045358783</v>
      </c>
      <c r="N7" s="95" t="s">
        <v>44</v>
      </c>
      <c r="O7" s="95">
        <v>7045358783</v>
      </c>
      <c r="P7" s="100" t="s">
        <v>1412</v>
      </c>
      <c r="Q7" s="95" t="s">
        <v>3301</v>
      </c>
      <c r="R7" s="95" t="s">
        <v>47</v>
      </c>
      <c r="S7" s="5" t="s">
        <v>1415</v>
      </c>
      <c r="T7" s="101" t="s">
        <v>301</v>
      </c>
      <c r="U7" s="101" t="s">
        <v>1416</v>
      </c>
      <c r="V7" s="101" t="s">
        <v>1417</v>
      </c>
    </row>
    <row r="8" spans="1:22" ht="16.8">
      <c r="A8" t="s">
        <v>8315</v>
      </c>
      <c r="B8" s="93">
        <v>128</v>
      </c>
      <c r="C8" s="99" t="s">
        <v>1418</v>
      </c>
      <c r="D8" s="347" t="s">
        <v>3269</v>
      </c>
      <c r="E8" s="347" t="s">
        <v>1400</v>
      </c>
      <c r="F8" s="95" t="s">
        <v>1420</v>
      </c>
      <c r="G8" s="95" t="s">
        <v>71</v>
      </c>
      <c r="H8" s="95" t="s">
        <v>1410</v>
      </c>
      <c r="I8" s="95" t="s">
        <v>1401</v>
      </c>
      <c r="J8" s="95" t="s">
        <v>1421</v>
      </c>
      <c r="K8" s="96" t="s">
        <v>1404</v>
      </c>
      <c r="L8" s="12" t="s">
        <v>1405</v>
      </c>
      <c r="M8" s="95">
        <v>7506407720</v>
      </c>
      <c r="N8" s="95" t="s">
        <v>44</v>
      </c>
      <c r="O8" s="95">
        <v>7506407720</v>
      </c>
      <c r="P8" s="100" t="s">
        <v>1419</v>
      </c>
      <c r="Q8" s="95" t="s">
        <v>3301</v>
      </c>
      <c r="R8" s="95" t="s">
        <v>47</v>
      </c>
      <c r="S8" s="5" t="s">
        <v>1422</v>
      </c>
      <c r="T8" s="101" t="s">
        <v>312</v>
      </c>
      <c r="U8" s="101" t="s">
        <v>1423</v>
      </c>
      <c r="V8" s="101" t="s">
        <v>1424</v>
      </c>
    </row>
    <row r="9" spans="1:22" ht="16.8">
      <c r="A9" t="s">
        <v>8316</v>
      </c>
      <c r="B9" s="93">
        <v>129</v>
      </c>
      <c r="C9" s="99" t="s">
        <v>1425</v>
      </c>
      <c r="D9" s="347" t="s">
        <v>3271</v>
      </c>
      <c r="E9" s="347" t="s">
        <v>1400</v>
      </c>
      <c r="F9" s="95" t="s">
        <v>1427</v>
      </c>
      <c r="G9" s="95" t="s">
        <v>71</v>
      </c>
      <c r="H9" s="95" t="s">
        <v>1410</v>
      </c>
      <c r="I9" s="95" t="s">
        <v>1401</v>
      </c>
      <c r="J9" s="95" t="s">
        <v>1428</v>
      </c>
      <c r="K9" s="96" t="s">
        <v>1404</v>
      </c>
      <c r="L9" s="12" t="s">
        <v>1405</v>
      </c>
      <c r="M9" s="95">
        <v>7506965545</v>
      </c>
      <c r="N9" s="95" t="s">
        <v>44</v>
      </c>
      <c r="O9" s="95">
        <v>7506965545</v>
      </c>
      <c r="P9" s="100" t="s">
        <v>1426</v>
      </c>
      <c r="Q9" s="95" t="s">
        <v>3301</v>
      </c>
      <c r="R9" s="95" t="s">
        <v>47</v>
      </c>
      <c r="S9" s="5" t="s">
        <v>1429</v>
      </c>
      <c r="T9" s="101" t="s">
        <v>322</v>
      </c>
      <c r="U9" s="101" t="s">
        <v>1430</v>
      </c>
      <c r="V9" s="101" t="s">
        <v>1431</v>
      </c>
    </row>
    <row r="10" spans="1:22" ht="16.8">
      <c r="A10" t="s">
        <v>8317</v>
      </c>
      <c r="B10" s="93">
        <v>130</v>
      </c>
      <c r="C10" s="99" t="s">
        <v>1432</v>
      </c>
      <c r="D10" s="347" t="s">
        <v>3273</v>
      </c>
      <c r="E10" s="347" t="s">
        <v>1400</v>
      </c>
      <c r="F10" s="95" t="s">
        <v>1434</v>
      </c>
      <c r="G10" s="95" t="s">
        <v>1440</v>
      </c>
      <c r="H10" s="95" t="s">
        <v>1410</v>
      </c>
      <c r="I10" s="95" t="s">
        <v>1401</v>
      </c>
      <c r="J10" s="95" t="s">
        <v>1435</v>
      </c>
      <c r="K10" s="96" t="s">
        <v>1404</v>
      </c>
      <c r="L10" s="12" t="s">
        <v>1405</v>
      </c>
      <c r="M10" s="95">
        <v>8657968797</v>
      </c>
      <c r="N10" s="95" t="s">
        <v>44</v>
      </c>
      <c r="O10" s="95">
        <v>8657968797</v>
      </c>
      <c r="P10" s="100" t="s">
        <v>1433</v>
      </c>
      <c r="Q10" s="95" t="s">
        <v>3301</v>
      </c>
      <c r="R10" s="95" t="s">
        <v>47</v>
      </c>
      <c r="S10" s="5" t="s">
        <v>1436</v>
      </c>
      <c r="T10" s="101" t="s">
        <v>1437</v>
      </c>
      <c r="U10" s="101" t="s">
        <v>1438</v>
      </c>
      <c r="V10" s="101" t="s">
        <v>1439</v>
      </c>
    </row>
    <row r="11" spans="1:22" ht="16.8">
      <c r="A11" t="s">
        <v>8318</v>
      </c>
      <c r="B11" s="93">
        <v>131</v>
      </c>
      <c r="C11" s="99" t="s">
        <v>1441</v>
      </c>
      <c r="D11" s="347" t="s">
        <v>3275</v>
      </c>
      <c r="E11" s="347" t="s">
        <v>1400</v>
      </c>
      <c r="F11" s="95" t="s">
        <v>1443</v>
      </c>
      <c r="G11" s="95" t="s">
        <v>71</v>
      </c>
      <c r="H11" s="95" t="s">
        <v>1410</v>
      </c>
      <c r="I11" s="95" t="s">
        <v>1401</v>
      </c>
      <c r="J11" s="95" t="s">
        <v>1435</v>
      </c>
      <c r="K11" s="96" t="s">
        <v>1404</v>
      </c>
      <c r="L11" s="12" t="s">
        <v>1405</v>
      </c>
      <c r="M11" s="95">
        <v>8657968796</v>
      </c>
      <c r="N11" s="95" t="s">
        <v>44</v>
      </c>
      <c r="O11" s="95">
        <v>8657968796</v>
      </c>
      <c r="P11" s="100" t="s">
        <v>1442</v>
      </c>
      <c r="Q11" s="95" t="s">
        <v>3301</v>
      </c>
      <c r="R11" s="95" t="s">
        <v>47</v>
      </c>
      <c r="S11" s="5" t="s">
        <v>1444</v>
      </c>
      <c r="T11" s="101" t="s">
        <v>1445</v>
      </c>
      <c r="U11" s="101" t="s">
        <v>1446</v>
      </c>
      <c r="V11" s="101" t="s">
        <v>1447</v>
      </c>
    </row>
    <row r="12" spans="1:22" ht="16.8">
      <c r="A12" t="s">
        <v>8319</v>
      </c>
      <c r="B12" s="93">
        <v>132</v>
      </c>
      <c r="C12" s="94" t="s">
        <v>1448</v>
      </c>
      <c r="D12" s="347" t="s">
        <v>3277</v>
      </c>
      <c r="E12" s="347" t="s">
        <v>1400</v>
      </c>
      <c r="F12" s="95" t="s">
        <v>1450</v>
      </c>
      <c r="G12" s="95" t="s">
        <v>1410</v>
      </c>
      <c r="H12" s="95" t="s">
        <v>1410</v>
      </c>
      <c r="I12" s="95" t="s">
        <v>1401</v>
      </c>
      <c r="J12" s="95" t="s">
        <v>1451</v>
      </c>
      <c r="K12" s="96" t="s">
        <v>1404</v>
      </c>
      <c r="L12" s="12" t="s">
        <v>1405</v>
      </c>
      <c r="M12" s="95">
        <v>8657601586</v>
      </c>
      <c r="N12" s="95" t="s">
        <v>44</v>
      </c>
      <c r="O12" s="95">
        <v>8657601586</v>
      </c>
      <c r="P12" s="100" t="s">
        <v>1449</v>
      </c>
      <c r="Q12" s="95" t="s">
        <v>3301</v>
      </c>
      <c r="R12" s="95" t="s">
        <v>47</v>
      </c>
      <c r="S12" s="5" t="s">
        <v>1452</v>
      </c>
      <c r="T12" s="101" t="s">
        <v>1453</v>
      </c>
      <c r="U12" s="101" t="s">
        <v>1454</v>
      </c>
      <c r="V12" s="101" t="s">
        <v>1455</v>
      </c>
    </row>
    <row r="13" spans="1:22" ht="16.8">
      <c r="A13" t="s">
        <v>8313</v>
      </c>
      <c r="B13" s="93">
        <v>133</v>
      </c>
      <c r="C13" s="99" t="s">
        <v>1398</v>
      </c>
      <c r="D13" s="347" t="s">
        <v>3279</v>
      </c>
      <c r="E13" s="347" t="s">
        <v>1400</v>
      </c>
      <c r="F13" s="95" t="s">
        <v>1402</v>
      </c>
      <c r="G13" s="95" t="s">
        <v>71</v>
      </c>
      <c r="H13" s="95" t="s">
        <v>1410</v>
      </c>
      <c r="I13" s="95" t="s">
        <v>1401</v>
      </c>
      <c r="J13" s="95" t="s">
        <v>1403</v>
      </c>
      <c r="K13" s="96" t="s">
        <v>1404</v>
      </c>
      <c r="L13" s="12" t="s">
        <v>1405</v>
      </c>
      <c r="M13" s="95">
        <v>8657006837</v>
      </c>
      <c r="N13" s="95" t="s">
        <v>44</v>
      </c>
      <c r="O13" s="95">
        <v>8657006837</v>
      </c>
      <c r="P13" s="100" t="s">
        <v>1399</v>
      </c>
      <c r="Q13" s="95" t="s">
        <v>3301</v>
      </c>
      <c r="R13" s="95" t="s">
        <v>47</v>
      </c>
      <c r="S13" s="5" t="s">
        <v>1457</v>
      </c>
      <c r="T13" s="101" t="s">
        <v>1458</v>
      </c>
      <c r="U13" s="101" t="s">
        <v>1459</v>
      </c>
      <c r="V13" s="101" t="s">
        <v>1460</v>
      </c>
    </row>
    <row r="14" spans="1:22" ht="16.8">
      <c r="A14" t="s">
        <v>8320</v>
      </c>
      <c r="B14" s="93">
        <v>134</v>
      </c>
      <c r="C14" s="348" t="s">
        <v>8290</v>
      </c>
      <c r="D14" s="347" t="s">
        <v>8329</v>
      </c>
      <c r="E14" s="347" t="s">
        <v>1400</v>
      </c>
      <c r="F14" s="95" t="s">
        <v>1463</v>
      </c>
      <c r="G14" s="95" t="s">
        <v>71</v>
      </c>
      <c r="H14" s="95" t="s">
        <v>1410</v>
      </c>
      <c r="I14" s="95" t="s">
        <v>1401</v>
      </c>
      <c r="J14" s="95" t="s">
        <v>1464</v>
      </c>
      <c r="K14" s="96" t="s">
        <v>1404</v>
      </c>
      <c r="L14" s="12" t="s">
        <v>1405</v>
      </c>
      <c r="M14" s="95">
        <v>8657913169</v>
      </c>
      <c r="N14" s="95" t="s">
        <v>44</v>
      </c>
      <c r="O14" s="95">
        <v>8657913169</v>
      </c>
      <c r="P14" s="100" t="s">
        <v>1462</v>
      </c>
      <c r="Q14" s="95" t="s">
        <v>3301</v>
      </c>
      <c r="R14" s="95" t="s">
        <v>47</v>
      </c>
      <c r="S14" s="5" t="s">
        <v>1465</v>
      </c>
      <c r="T14" s="101" t="s">
        <v>1466</v>
      </c>
      <c r="U14" s="101" t="s">
        <v>1467</v>
      </c>
      <c r="V14" s="101" t="s">
        <v>1468</v>
      </c>
    </row>
    <row r="15" spans="1:22" ht="16.8">
      <c r="A15" t="s">
        <v>8321</v>
      </c>
      <c r="B15" s="93">
        <v>135</v>
      </c>
      <c r="C15" s="99" t="s">
        <v>1469</v>
      </c>
      <c r="D15" s="347" t="s">
        <v>3283</v>
      </c>
      <c r="E15" s="347" t="s">
        <v>1400</v>
      </c>
      <c r="F15" s="95" t="s">
        <v>1471</v>
      </c>
      <c r="G15" s="95" t="s">
        <v>1477</v>
      </c>
      <c r="H15" s="95" t="s">
        <v>1410</v>
      </c>
      <c r="I15" s="95" t="s">
        <v>1401</v>
      </c>
      <c r="J15" s="95" t="s">
        <v>1472</v>
      </c>
      <c r="K15" s="96" t="s">
        <v>1404</v>
      </c>
      <c r="L15" s="12" t="s">
        <v>1405</v>
      </c>
      <c r="M15" s="95">
        <v>8657052649</v>
      </c>
      <c r="N15" s="95" t="s">
        <v>44</v>
      </c>
      <c r="O15" s="95">
        <v>8657052649</v>
      </c>
      <c r="P15" s="100" t="s">
        <v>1470</v>
      </c>
      <c r="Q15" s="95" t="s">
        <v>3301</v>
      </c>
      <c r="R15" s="95" t="s">
        <v>47</v>
      </c>
      <c r="S15" s="5" t="s">
        <v>1473</v>
      </c>
      <c r="T15" s="101" t="s">
        <v>1474</v>
      </c>
      <c r="U15" s="101" t="s">
        <v>1475</v>
      </c>
      <c r="V15" s="101" t="s">
        <v>1476</v>
      </c>
    </row>
    <row r="16" spans="1:22" ht="16.8">
      <c r="A16" t="s">
        <v>8322</v>
      </c>
      <c r="B16" s="93">
        <v>136</v>
      </c>
      <c r="C16" s="99" t="s">
        <v>1478</v>
      </c>
      <c r="D16" s="347" t="s">
        <v>3285</v>
      </c>
      <c r="E16" s="347" t="s">
        <v>1400</v>
      </c>
      <c r="F16" s="95" t="s">
        <v>1480</v>
      </c>
      <c r="G16" s="95" t="s">
        <v>71</v>
      </c>
      <c r="H16" s="95" t="s">
        <v>1410</v>
      </c>
      <c r="I16" s="95" t="s">
        <v>1401</v>
      </c>
      <c r="J16" s="95" t="s">
        <v>1481</v>
      </c>
      <c r="K16" s="96" t="s">
        <v>1404</v>
      </c>
      <c r="L16" s="12" t="s">
        <v>1405</v>
      </c>
      <c r="M16" s="95">
        <v>8657962271</v>
      </c>
      <c r="N16" s="95" t="s">
        <v>44</v>
      </c>
      <c r="O16" s="95">
        <v>8657962271</v>
      </c>
      <c r="P16" s="100" t="s">
        <v>1479</v>
      </c>
      <c r="Q16" s="95" t="s">
        <v>3301</v>
      </c>
      <c r="R16" s="95" t="s">
        <v>47</v>
      </c>
      <c r="S16" s="5" t="s">
        <v>1482</v>
      </c>
      <c r="T16" s="101" t="s">
        <v>1483</v>
      </c>
      <c r="U16" s="101" t="s">
        <v>1484</v>
      </c>
      <c r="V16" s="101" t="s">
        <v>1485</v>
      </c>
    </row>
    <row r="17" spans="1:22" ht="16.8">
      <c r="A17" t="s">
        <v>8323</v>
      </c>
      <c r="B17" s="93">
        <v>137</v>
      </c>
      <c r="C17" s="99" t="s">
        <v>1486</v>
      </c>
      <c r="D17" s="347" t="s">
        <v>3287</v>
      </c>
      <c r="E17" s="347" t="s">
        <v>1400</v>
      </c>
      <c r="F17" s="95" t="s">
        <v>1488</v>
      </c>
      <c r="G17" s="95" t="s">
        <v>71</v>
      </c>
      <c r="H17" s="95" t="s">
        <v>1410</v>
      </c>
      <c r="I17" s="95" t="s">
        <v>1401</v>
      </c>
      <c r="J17" s="95" t="s">
        <v>78</v>
      </c>
      <c r="K17" s="96" t="s">
        <v>1404</v>
      </c>
      <c r="L17" s="12" t="s">
        <v>1405</v>
      </c>
      <c r="M17" s="95">
        <v>9820989960</v>
      </c>
      <c r="N17" s="95" t="s">
        <v>44</v>
      </c>
      <c r="O17" s="95">
        <v>9820989960</v>
      </c>
      <c r="P17" s="100" t="s">
        <v>1487</v>
      </c>
      <c r="Q17" s="95" t="s">
        <v>3301</v>
      </c>
      <c r="R17" s="95" t="s">
        <v>47</v>
      </c>
      <c r="S17" s="5" t="s">
        <v>1489</v>
      </c>
      <c r="T17" s="101" t="s">
        <v>1490</v>
      </c>
      <c r="U17" s="101" t="s">
        <v>1491</v>
      </c>
      <c r="V17" s="101" t="s">
        <v>1492</v>
      </c>
    </row>
    <row r="18" spans="1:22" ht="16.8">
      <c r="A18" t="s">
        <v>8324</v>
      </c>
      <c r="B18" s="93">
        <v>138</v>
      </c>
      <c r="C18" s="99" t="s">
        <v>1493</v>
      </c>
      <c r="D18" s="347" t="s">
        <v>3289</v>
      </c>
      <c r="E18" s="347" t="s">
        <v>1400</v>
      </c>
      <c r="F18" s="95" t="s">
        <v>1495</v>
      </c>
      <c r="G18" s="95" t="s">
        <v>1501</v>
      </c>
      <c r="H18" s="95" t="s">
        <v>1410</v>
      </c>
      <c r="I18" s="95" t="s">
        <v>1401</v>
      </c>
      <c r="J18" s="95" t="s">
        <v>1496</v>
      </c>
      <c r="K18" s="96" t="s">
        <v>1404</v>
      </c>
      <c r="L18" s="12" t="s">
        <v>1405</v>
      </c>
      <c r="M18" s="95">
        <v>8657031693</v>
      </c>
      <c r="N18" s="95" t="s">
        <v>44</v>
      </c>
      <c r="O18" s="95">
        <v>8657031693</v>
      </c>
      <c r="P18" s="100" t="s">
        <v>1494</v>
      </c>
      <c r="Q18" s="95" t="s">
        <v>3301</v>
      </c>
      <c r="R18" s="95" t="s">
        <v>47</v>
      </c>
      <c r="S18" s="5" t="s">
        <v>1497</v>
      </c>
      <c r="T18" s="101" t="s">
        <v>1498</v>
      </c>
      <c r="U18" s="101" t="s">
        <v>1499</v>
      </c>
      <c r="V18" s="101" t="s">
        <v>1500</v>
      </c>
    </row>
    <row r="19" spans="1:22" ht="16.8">
      <c r="A19" t="s">
        <v>8325</v>
      </c>
      <c r="B19" s="93">
        <v>139</v>
      </c>
      <c r="C19" s="99" t="s">
        <v>1502</v>
      </c>
      <c r="D19" s="347" t="s">
        <v>3291</v>
      </c>
      <c r="E19" s="347" t="s">
        <v>1400</v>
      </c>
      <c r="F19" s="95" t="s">
        <v>1504</v>
      </c>
      <c r="G19" s="95" t="s">
        <v>71</v>
      </c>
      <c r="H19" s="95" t="s">
        <v>1410</v>
      </c>
      <c r="I19" s="95" t="s">
        <v>1401</v>
      </c>
      <c r="J19" s="95" t="s">
        <v>1505</v>
      </c>
      <c r="K19" s="96" t="s">
        <v>1404</v>
      </c>
      <c r="L19" s="12" t="s">
        <v>1405</v>
      </c>
      <c r="M19" s="95">
        <v>8657713033</v>
      </c>
      <c r="N19" s="95" t="s">
        <v>44</v>
      </c>
      <c r="O19" s="95">
        <v>8657713033</v>
      </c>
      <c r="P19" s="100" t="s">
        <v>1503</v>
      </c>
      <c r="Q19" s="95" t="s">
        <v>3301</v>
      </c>
      <c r="R19" s="95" t="s">
        <v>47</v>
      </c>
      <c r="S19" s="5" t="s">
        <v>1506</v>
      </c>
      <c r="T19" s="101" t="s">
        <v>1507</v>
      </c>
      <c r="U19" s="101" t="s">
        <v>1508</v>
      </c>
      <c r="V19" s="101" t="s">
        <v>1509</v>
      </c>
    </row>
    <row r="20" spans="1:22" ht="16.8">
      <c r="A20" t="s">
        <v>8326</v>
      </c>
      <c r="B20" s="93">
        <v>140</v>
      </c>
      <c r="C20" s="348" t="s">
        <v>8291</v>
      </c>
      <c r="D20" s="347" t="s">
        <v>3293</v>
      </c>
      <c r="E20" s="347" t="s">
        <v>1400</v>
      </c>
      <c r="F20" s="95" t="s">
        <v>1512</v>
      </c>
      <c r="G20" s="95" t="s">
        <v>71</v>
      </c>
      <c r="H20" s="95" t="s">
        <v>1410</v>
      </c>
      <c r="I20" s="95" t="s">
        <v>1401</v>
      </c>
      <c r="J20" s="95" t="s">
        <v>1513</v>
      </c>
      <c r="K20" s="96" t="s">
        <v>1404</v>
      </c>
      <c r="L20" s="12" t="s">
        <v>1405</v>
      </c>
      <c r="M20" s="95">
        <v>9819516937</v>
      </c>
      <c r="N20" s="95" t="s">
        <v>44</v>
      </c>
      <c r="O20" s="95">
        <v>9819516937</v>
      </c>
      <c r="P20" s="100" t="s">
        <v>1511</v>
      </c>
      <c r="Q20" s="95" t="s">
        <v>3301</v>
      </c>
      <c r="R20" s="95" t="s">
        <v>47</v>
      </c>
      <c r="S20" s="5" t="s">
        <v>1514</v>
      </c>
      <c r="T20" s="101" t="s">
        <v>1515</v>
      </c>
      <c r="U20" s="101" t="s">
        <v>1516</v>
      </c>
      <c r="V20" s="101" t="s">
        <v>1517</v>
      </c>
    </row>
    <row r="21" spans="1:22" ht="16.8">
      <c r="A21" t="s">
        <v>8314</v>
      </c>
      <c r="B21" s="93">
        <v>141</v>
      </c>
      <c r="C21" s="99" t="s">
        <v>1411</v>
      </c>
      <c r="D21" s="347" t="s">
        <v>3266</v>
      </c>
      <c r="E21" s="347" t="s">
        <v>1400</v>
      </c>
      <c r="F21" s="95" t="s">
        <v>1519</v>
      </c>
      <c r="G21" s="95" t="s">
        <v>1409</v>
      </c>
      <c r="H21" s="95" t="s">
        <v>1410</v>
      </c>
      <c r="I21" s="95" t="s">
        <v>1401</v>
      </c>
      <c r="J21" s="95" t="s">
        <v>1414</v>
      </c>
      <c r="K21" s="96" t="s">
        <v>1404</v>
      </c>
      <c r="L21" s="12" t="s">
        <v>1405</v>
      </c>
      <c r="M21" s="95">
        <v>7045358783</v>
      </c>
      <c r="N21" s="95" t="s">
        <v>44</v>
      </c>
      <c r="O21" s="95">
        <v>7045358783</v>
      </c>
      <c r="P21" s="109" t="s">
        <v>1518</v>
      </c>
      <c r="Q21" s="95" t="s">
        <v>3301</v>
      </c>
      <c r="R21" s="95" t="s">
        <v>47</v>
      </c>
      <c r="S21" s="5" t="s">
        <v>1520</v>
      </c>
      <c r="T21" s="101" t="s">
        <v>1521</v>
      </c>
      <c r="U21" s="101" t="s">
        <v>1522</v>
      </c>
      <c r="V21" s="101" t="s">
        <v>1523</v>
      </c>
    </row>
    <row r="22" spans="1:22" ht="16.8">
      <c r="A22" t="s">
        <v>8327</v>
      </c>
      <c r="B22" s="93">
        <v>142</v>
      </c>
      <c r="C22" s="99" t="s">
        <v>1524</v>
      </c>
      <c r="D22" s="347" t="s">
        <v>3295</v>
      </c>
      <c r="E22" s="347" t="s">
        <v>1400</v>
      </c>
      <c r="F22" s="95" t="s">
        <v>1526</v>
      </c>
      <c r="G22" s="95" t="s">
        <v>71</v>
      </c>
      <c r="H22" s="95" t="s">
        <v>1410</v>
      </c>
      <c r="I22" s="95" t="s">
        <v>1401</v>
      </c>
      <c r="J22" s="95" t="s">
        <v>1527</v>
      </c>
      <c r="K22" s="96" t="s">
        <v>1404</v>
      </c>
      <c r="L22" s="12" t="s">
        <v>1405</v>
      </c>
      <c r="M22" s="95">
        <v>8657962272</v>
      </c>
      <c r="N22" s="95" t="s">
        <v>44</v>
      </c>
      <c r="O22" s="95">
        <v>8657962272</v>
      </c>
      <c r="P22" s="109" t="s">
        <v>1525</v>
      </c>
      <c r="Q22" s="95" t="s">
        <v>3301</v>
      </c>
      <c r="R22" s="95" t="s">
        <v>47</v>
      </c>
      <c r="S22" s="5" t="s">
        <v>1528</v>
      </c>
      <c r="T22" s="101" t="s">
        <v>1529</v>
      </c>
      <c r="U22" s="101" t="s">
        <v>1530</v>
      </c>
      <c r="V22" s="101" t="s">
        <v>1531</v>
      </c>
    </row>
    <row r="23" spans="1:22" ht="17.399999999999999" thickBot="1">
      <c r="A23" s="375" t="s">
        <v>8328</v>
      </c>
      <c r="B23" s="369">
        <v>143</v>
      </c>
      <c r="C23" s="376" t="s">
        <v>1532</v>
      </c>
      <c r="D23" s="371" t="s">
        <v>8330</v>
      </c>
      <c r="E23" s="371" t="s">
        <v>1400</v>
      </c>
      <c r="F23" s="377" t="s">
        <v>8280</v>
      </c>
      <c r="G23" s="377" t="s">
        <v>71</v>
      </c>
      <c r="H23" s="377" t="s">
        <v>1410</v>
      </c>
      <c r="I23" s="377" t="s">
        <v>1401</v>
      </c>
      <c r="J23" s="377" t="s">
        <v>191</v>
      </c>
      <c r="K23" s="371" t="s">
        <v>8281</v>
      </c>
      <c r="L23" s="376" t="s">
        <v>1405</v>
      </c>
      <c r="M23" s="377">
        <f>79260902265</f>
        <v>79260902265</v>
      </c>
      <c r="N23" s="377" t="s">
        <v>44</v>
      </c>
      <c r="O23" s="377">
        <f>79260902265</f>
        <v>79260902265</v>
      </c>
      <c r="P23" s="379" t="s">
        <v>1533</v>
      </c>
      <c r="Q23" s="377" t="s">
        <v>3301</v>
      </c>
      <c r="R23" s="377" t="s">
        <v>47</v>
      </c>
      <c r="S23" s="380" t="s">
        <v>1538</v>
      </c>
      <c r="T23" s="381" t="s">
        <v>1539</v>
      </c>
      <c r="U23" s="381" t="s">
        <v>1540</v>
      </c>
      <c r="V23" s="381" t="s">
        <v>1541</v>
      </c>
    </row>
    <row r="24" spans="1:22" ht="16.8">
      <c r="A24" s="177" t="s">
        <v>8331</v>
      </c>
      <c r="B24" s="176">
        <v>24</v>
      </c>
      <c r="C24" s="15" t="s">
        <v>284</v>
      </c>
      <c r="D24" s="177" t="s">
        <v>285</v>
      </c>
      <c r="E24" s="179" t="s">
        <v>287</v>
      </c>
      <c r="F24" s="382" t="s">
        <v>3000</v>
      </c>
      <c r="G24" s="177" t="s">
        <v>71</v>
      </c>
      <c r="H24" s="177" t="s">
        <v>293</v>
      </c>
      <c r="I24" s="180" t="s">
        <v>288</v>
      </c>
      <c r="J24" s="178"/>
      <c r="K24" s="181" t="s">
        <v>299</v>
      </c>
      <c r="L24" s="179" t="s">
        <v>44</v>
      </c>
    </row>
    <row r="25" spans="1:22" ht="16.8">
      <c r="A25" s="177" t="s">
        <v>8332</v>
      </c>
      <c r="B25" s="176">
        <v>25</v>
      </c>
      <c r="C25" s="15" t="s">
        <v>294</v>
      </c>
      <c r="D25" s="177" t="s">
        <v>295</v>
      </c>
      <c r="E25" s="179" t="s">
        <v>297</v>
      </c>
      <c r="F25" s="180" t="s">
        <v>298</v>
      </c>
      <c r="G25" s="177" t="s">
        <v>71</v>
      </c>
      <c r="H25" s="177" t="s">
        <v>293</v>
      </c>
      <c r="I25" s="180" t="s">
        <v>288</v>
      </c>
      <c r="J25" s="178"/>
      <c r="K25" s="181" t="s">
        <v>299</v>
      </c>
      <c r="L25" s="179" t="s">
        <v>44</v>
      </c>
    </row>
    <row r="26" spans="1:22" ht="16.8">
      <c r="A26" s="177" t="s">
        <v>8333</v>
      </c>
      <c r="B26" s="176">
        <v>26</v>
      </c>
      <c r="C26" s="15" t="s">
        <v>304</v>
      </c>
      <c r="D26" s="177" t="s">
        <v>305</v>
      </c>
      <c r="E26" s="180" t="s">
        <v>307</v>
      </c>
      <c r="F26" s="180" t="s">
        <v>308</v>
      </c>
      <c r="G26" s="177" t="s">
        <v>71</v>
      </c>
      <c r="H26" s="177" t="s">
        <v>293</v>
      </c>
      <c r="I26" s="180" t="s">
        <v>288</v>
      </c>
      <c r="J26" s="180" t="s">
        <v>309</v>
      </c>
      <c r="K26" s="181" t="s">
        <v>299</v>
      </c>
      <c r="L26" s="179" t="s">
        <v>44</v>
      </c>
    </row>
    <row r="27" spans="1:22" ht="16.8">
      <c r="A27" s="177" t="s">
        <v>8334</v>
      </c>
      <c r="B27" s="176">
        <v>27</v>
      </c>
      <c r="C27" s="15" t="s">
        <v>315</v>
      </c>
      <c r="D27" s="177" t="s">
        <v>316</v>
      </c>
      <c r="E27" s="179" t="s">
        <v>318</v>
      </c>
      <c r="F27" s="180" t="s">
        <v>319</v>
      </c>
      <c r="G27" s="177" t="s">
        <v>71</v>
      </c>
      <c r="H27" s="177" t="s">
        <v>293</v>
      </c>
      <c r="I27" s="180" t="s">
        <v>288</v>
      </c>
      <c r="J27" s="178"/>
      <c r="K27" s="181" t="s">
        <v>299</v>
      </c>
      <c r="L27" s="179" t="s">
        <v>44</v>
      </c>
    </row>
    <row r="28" spans="1:22" ht="13.8">
      <c r="A28" s="352"/>
    </row>
    <row r="29" spans="1:22" ht="13.8">
      <c r="A29" s="352"/>
    </row>
    <row r="30" spans="1:22" ht="13.8">
      <c r="A30" s="352"/>
    </row>
    <row r="31" spans="1:22" ht="13.8">
      <c r="A31" s="352"/>
    </row>
    <row r="32" spans="1:22" ht="13.8">
      <c r="A32" s="352"/>
    </row>
    <row r="33" spans="1:1" ht="13.8">
      <c r="A33" s="352"/>
    </row>
    <row r="34" spans="1:1" ht="13.8">
      <c r="A34" s="352"/>
    </row>
    <row r="35" spans="1:1" ht="13.8">
      <c r="A35" s="352"/>
    </row>
    <row r="36" spans="1:1" ht="13.8">
      <c r="A36" s="352"/>
    </row>
    <row r="37" spans="1:1" ht="13.8">
      <c r="A37" s="352"/>
    </row>
    <row r="38" spans="1:1" ht="13.8">
      <c r="A38" s="352"/>
    </row>
    <row r="39" spans="1:1" ht="13.8">
      <c r="A39" s="352"/>
    </row>
    <row r="40" spans="1:1" ht="13.8">
      <c r="A40" s="352"/>
    </row>
    <row r="41" spans="1:1" ht="13.8">
      <c r="A41" s="352"/>
    </row>
    <row r="42" spans="1:1" ht="13.8">
      <c r="A42" s="352"/>
    </row>
    <row r="43" spans="1:1" ht="13.8">
      <c r="A43" s="352"/>
    </row>
    <row r="44" spans="1:1" ht="13.8">
      <c r="A44" s="352"/>
    </row>
    <row r="45" spans="1:1" ht="13.8">
      <c r="A45" s="352"/>
    </row>
    <row r="46" spans="1:1" ht="13.8">
      <c r="A46" s="352"/>
    </row>
    <row r="47" spans="1:1" ht="13.8">
      <c r="A47" s="352"/>
    </row>
    <row r="48" spans="1:1" ht="13.8">
      <c r="A48" s="352"/>
    </row>
    <row r="49" spans="1:1" ht="13.8">
      <c r="A49" s="352"/>
    </row>
    <row r="50" spans="1:1" ht="13.8">
      <c r="A50" s="352"/>
    </row>
    <row r="51" spans="1:1" ht="13.8">
      <c r="A51" s="352"/>
    </row>
    <row r="52" spans="1:1" ht="13.8">
      <c r="A52" s="352"/>
    </row>
    <row r="53" spans="1:1" ht="13.8">
      <c r="A53" s="352"/>
    </row>
    <row r="54" spans="1:1" ht="13.8">
      <c r="A54" s="352"/>
    </row>
    <row r="55" spans="1:1" ht="13.8">
      <c r="A55" s="352"/>
    </row>
    <row r="56" spans="1:1" ht="13.8">
      <c r="A56" s="352"/>
    </row>
    <row r="57" spans="1:1" ht="13.8">
      <c r="A57" s="352"/>
    </row>
    <row r="58" spans="1:1" ht="13.8">
      <c r="A58" s="352"/>
    </row>
    <row r="59" spans="1:1" ht="13.8">
      <c r="A59" s="352"/>
    </row>
    <row r="60" spans="1:1" ht="13.8">
      <c r="A60" s="352"/>
    </row>
    <row r="61" spans="1:1" ht="13.8">
      <c r="A61" s="352"/>
    </row>
    <row r="62" spans="1:1" ht="13.8">
      <c r="A62" s="352"/>
    </row>
    <row r="63" spans="1:1" ht="13.8">
      <c r="A63" s="352"/>
    </row>
    <row r="64" spans="1:1" ht="13.8">
      <c r="A64" s="352"/>
    </row>
    <row r="65" spans="1:1" ht="13.8">
      <c r="A65" s="352"/>
    </row>
    <row r="66" spans="1:1" ht="13.8">
      <c r="A66" s="352"/>
    </row>
    <row r="67" spans="1:1" ht="13.8">
      <c r="A67" s="352"/>
    </row>
    <row r="68" spans="1:1" ht="13.8">
      <c r="A68" s="352"/>
    </row>
    <row r="69" spans="1:1" ht="13.8">
      <c r="A69" s="352"/>
    </row>
    <row r="70" spans="1:1" ht="13.8">
      <c r="A70" s="352"/>
    </row>
    <row r="71" spans="1:1" ht="13.8">
      <c r="A71" s="352"/>
    </row>
    <row r="72" spans="1:1" ht="13.8">
      <c r="A72" s="352"/>
    </row>
    <row r="73" spans="1:1" ht="13.8">
      <c r="A73" s="352"/>
    </row>
    <row r="74" spans="1:1" ht="13.8">
      <c r="A74" s="352"/>
    </row>
    <row r="75" spans="1:1" ht="13.8">
      <c r="A75" s="352"/>
    </row>
    <row r="76" spans="1:1" ht="13.8">
      <c r="A76" s="352"/>
    </row>
    <row r="77" spans="1:1" ht="13.8">
      <c r="A77" s="352"/>
    </row>
    <row r="78" spans="1:1" ht="13.8">
      <c r="A78" s="352"/>
    </row>
    <row r="79" spans="1:1" ht="13.8">
      <c r="A79" s="352"/>
    </row>
    <row r="80" spans="1:1" ht="13.8">
      <c r="A80" s="352"/>
    </row>
    <row r="81" spans="1:1" ht="13.8">
      <c r="A81" s="352"/>
    </row>
    <row r="82" spans="1:1" ht="13.8">
      <c r="A82" s="352"/>
    </row>
    <row r="83" spans="1:1" ht="13.8">
      <c r="A83" s="352"/>
    </row>
    <row r="84" spans="1:1" ht="13.8">
      <c r="A84" s="352"/>
    </row>
    <row r="85" spans="1:1" ht="13.8">
      <c r="A85" s="352"/>
    </row>
    <row r="86" spans="1:1" ht="13.8">
      <c r="A86" s="352"/>
    </row>
    <row r="87" spans="1:1" ht="13.8">
      <c r="A87" s="352"/>
    </row>
    <row r="88" spans="1:1" ht="13.8">
      <c r="A88" s="352"/>
    </row>
    <row r="89" spans="1:1" ht="13.8">
      <c r="A89" s="352"/>
    </row>
    <row r="90" spans="1:1" ht="13.8">
      <c r="A90" s="352"/>
    </row>
    <row r="91" spans="1:1" ht="13.8">
      <c r="A91" s="352"/>
    </row>
    <row r="92" spans="1:1" ht="13.8">
      <c r="A92" s="352"/>
    </row>
    <row r="93" spans="1:1" ht="13.8">
      <c r="A93" s="352"/>
    </row>
    <row r="94" spans="1:1" ht="13.8">
      <c r="A94" s="352"/>
    </row>
    <row r="95" spans="1:1" ht="13.8">
      <c r="A95" s="352"/>
    </row>
    <row r="96" spans="1:1" ht="13.8">
      <c r="A96" s="352"/>
    </row>
    <row r="97" spans="1:1" ht="13.8">
      <c r="A97" s="352"/>
    </row>
    <row r="98" spans="1:1" ht="13.8">
      <c r="A98" s="352"/>
    </row>
    <row r="99" spans="1:1" ht="13.8">
      <c r="A99" s="352"/>
    </row>
    <row r="100" spans="1:1" ht="13.8">
      <c r="A100" s="352"/>
    </row>
    <row r="101" spans="1:1" ht="13.8">
      <c r="A101" s="352"/>
    </row>
    <row r="102" spans="1:1" ht="13.8">
      <c r="A102" s="352"/>
    </row>
    <row r="103" spans="1:1" ht="13.8">
      <c r="A103" s="352"/>
    </row>
    <row r="104" spans="1:1" ht="13.8">
      <c r="A104" s="352"/>
    </row>
    <row r="105" spans="1:1" ht="13.8">
      <c r="A105" s="352"/>
    </row>
    <row r="106" spans="1:1" ht="13.8">
      <c r="A106" s="352"/>
    </row>
    <row r="107" spans="1:1" ht="13.8">
      <c r="A107" s="352"/>
    </row>
    <row r="108" spans="1:1" ht="13.8">
      <c r="A108" s="352"/>
    </row>
    <row r="109" spans="1:1" ht="13.8">
      <c r="A109" s="352"/>
    </row>
    <row r="110" spans="1:1" ht="13.8">
      <c r="A110" s="352"/>
    </row>
    <row r="111" spans="1:1" ht="13.8">
      <c r="A111" s="352"/>
    </row>
    <row r="112" spans="1:1" ht="13.8">
      <c r="A112" s="352"/>
    </row>
    <row r="113" spans="1:1" ht="13.8">
      <c r="A113" s="352"/>
    </row>
    <row r="114" spans="1:1" ht="13.8">
      <c r="A114" s="352"/>
    </row>
    <row r="115" spans="1:1" ht="13.8">
      <c r="A115" s="352"/>
    </row>
    <row r="116" spans="1:1" ht="13.8">
      <c r="A116" s="352"/>
    </row>
    <row r="117" spans="1:1" ht="13.8">
      <c r="A117" s="352"/>
    </row>
    <row r="118" spans="1:1" ht="13.8">
      <c r="A118" s="352"/>
    </row>
    <row r="119" spans="1:1" ht="13.8">
      <c r="A119" s="352"/>
    </row>
    <row r="120" spans="1:1" ht="13.8">
      <c r="A120" s="352"/>
    </row>
    <row r="121" spans="1:1" ht="13.8">
      <c r="A121" s="352"/>
    </row>
    <row r="122" spans="1:1" ht="13.8">
      <c r="A122" s="352"/>
    </row>
    <row r="123" spans="1:1" ht="13.8">
      <c r="A123" s="352"/>
    </row>
    <row r="124" spans="1:1" ht="13.8">
      <c r="A124" s="352"/>
    </row>
    <row r="125" spans="1:1" ht="13.8">
      <c r="A125" s="352"/>
    </row>
    <row r="126" spans="1:1" ht="13.8">
      <c r="A126" s="352"/>
    </row>
    <row r="127" spans="1:1" ht="13.8">
      <c r="A127" s="352"/>
    </row>
    <row r="128" spans="1:1" ht="13.8">
      <c r="A128" s="352"/>
    </row>
    <row r="129" spans="1:1" ht="13.8">
      <c r="A129" s="352"/>
    </row>
    <row r="130" spans="1:1" ht="13.8">
      <c r="A130" s="352"/>
    </row>
    <row r="131" spans="1:1" ht="13.8">
      <c r="A131" s="352"/>
    </row>
    <row r="132" spans="1:1" ht="13.8">
      <c r="A132" s="352"/>
    </row>
    <row r="133" spans="1:1" ht="13.8">
      <c r="A133" s="352"/>
    </row>
    <row r="134" spans="1:1" ht="13.8">
      <c r="A134" s="352"/>
    </row>
    <row r="135" spans="1:1" ht="13.8">
      <c r="A135" s="352"/>
    </row>
    <row r="136" spans="1:1" ht="13.8">
      <c r="A136" s="352"/>
    </row>
    <row r="137" spans="1:1" ht="13.8">
      <c r="A137" s="352"/>
    </row>
    <row r="138" spans="1:1" ht="13.8">
      <c r="A138" s="352"/>
    </row>
    <row r="139" spans="1:1" ht="13.8">
      <c r="A139" s="352"/>
    </row>
    <row r="140" spans="1:1" ht="13.8">
      <c r="A140" s="352"/>
    </row>
    <row r="141" spans="1:1" ht="13.8">
      <c r="A141" s="352"/>
    </row>
    <row r="142" spans="1:1" ht="13.8">
      <c r="A142" s="352"/>
    </row>
    <row r="143" spans="1:1" ht="13.8">
      <c r="A143" s="352"/>
    </row>
    <row r="144" spans="1:1" ht="13.8">
      <c r="A144" s="352"/>
    </row>
    <row r="145" spans="1:1" ht="13.8">
      <c r="A145" s="352"/>
    </row>
    <row r="146" spans="1:1" ht="13.8">
      <c r="A146" s="352"/>
    </row>
    <row r="147" spans="1:1" ht="13.8">
      <c r="A147" s="352"/>
    </row>
    <row r="148" spans="1:1" ht="13.8">
      <c r="A148" s="352"/>
    </row>
    <row r="149" spans="1:1" ht="13.8">
      <c r="A149" s="352"/>
    </row>
    <row r="150" spans="1:1" ht="13.8">
      <c r="A150" s="352"/>
    </row>
    <row r="151" spans="1:1" ht="13.8">
      <c r="A151" s="352"/>
    </row>
    <row r="152" spans="1:1" ht="13.8">
      <c r="A152" s="352"/>
    </row>
    <row r="153" spans="1:1" ht="13.8">
      <c r="A153" s="352"/>
    </row>
    <row r="154" spans="1:1" ht="13.8">
      <c r="A154" s="352"/>
    </row>
    <row r="155" spans="1:1" ht="13.8">
      <c r="A155" s="352"/>
    </row>
    <row r="156" spans="1:1" ht="13.8">
      <c r="A156" s="352"/>
    </row>
    <row r="157" spans="1:1" ht="13.8">
      <c r="A157" s="352"/>
    </row>
    <row r="158" spans="1:1" ht="13.8">
      <c r="A158" s="352"/>
    </row>
    <row r="159" spans="1:1" ht="13.8">
      <c r="A159" s="352"/>
    </row>
    <row r="160" spans="1:1" ht="13.8">
      <c r="A160" s="352"/>
    </row>
    <row r="161" spans="1:1" ht="13.8">
      <c r="A161" s="352"/>
    </row>
    <row r="162" spans="1:1" ht="13.8">
      <c r="A162" s="352"/>
    </row>
    <row r="163" spans="1:1" ht="13.8">
      <c r="A163" s="352"/>
    </row>
    <row r="164" spans="1:1" ht="13.8">
      <c r="A164" s="352"/>
    </row>
    <row r="165" spans="1:1" ht="13.8">
      <c r="A165" s="352"/>
    </row>
    <row r="166" spans="1:1" ht="13.8">
      <c r="A166" s="352"/>
    </row>
    <row r="167" spans="1:1" ht="13.8">
      <c r="A167" s="352"/>
    </row>
    <row r="168" spans="1:1" ht="13.8">
      <c r="A168" s="352"/>
    </row>
    <row r="169" spans="1:1" ht="13.8">
      <c r="A169" s="352"/>
    </row>
    <row r="170" spans="1:1" ht="13.8">
      <c r="A170" s="352"/>
    </row>
    <row r="171" spans="1:1" ht="13.8">
      <c r="A171" s="352"/>
    </row>
    <row r="172" spans="1:1" ht="13.8">
      <c r="A172" s="352"/>
    </row>
    <row r="173" spans="1:1" ht="13.8">
      <c r="A173" s="352"/>
    </row>
    <row r="174" spans="1:1" ht="13.8">
      <c r="A174" s="352"/>
    </row>
    <row r="175" spans="1:1" ht="13.8">
      <c r="A175" s="352"/>
    </row>
    <row r="176" spans="1:1" ht="13.8">
      <c r="A176" s="352"/>
    </row>
    <row r="177" spans="1:1" ht="13.8">
      <c r="A177" s="352"/>
    </row>
    <row r="178" spans="1:1" ht="13.8">
      <c r="A178" s="352"/>
    </row>
    <row r="179" spans="1:1" ht="13.8">
      <c r="A179" s="352"/>
    </row>
    <row r="180" spans="1:1" ht="13.8">
      <c r="A180" s="352"/>
    </row>
    <row r="181" spans="1:1" ht="13.8">
      <c r="A181" s="352"/>
    </row>
    <row r="182" spans="1:1" ht="13.8">
      <c r="A182" s="352"/>
    </row>
    <row r="183" spans="1:1" ht="13.8">
      <c r="A183" s="352"/>
    </row>
    <row r="184" spans="1:1" ht="13.8">
      <c r="A184" s="352"/>
    </row>
    <row r="185" spans="1:1" ht="13.8">
      <c r="A185" s="352"/>
    </row>
    <row r="186" spans="1:1" ht="13.8">
      <c r="A186" s="352"/>
    </row>
    <row r="187" spans="1:1" ht="13.8">
      <c r="A187" s="352"/>
    </row>
    <row r="188" spans="1:1" ht="13.8">
      <c r="A188" s="352"/>
    </row>
    <row r="189" spans="1:1" ht="13.8">
      <c r="A189" s="352"/>
    </row>
    <row r="190" spans="1:1" ht="13.8">
      <c r="A190" s="352"/>
    </row>
    <row r="191" spans="1:1" ht="13.8">
      <c r="A191" s="352"/>
    </row>
    <row r="192" spans="1:1" ht="13.8">
      <c r="A192" s="352"/>
    </row>
    <row r="193" spans="1:1" ht="13.8">
      <c r="A193" s="352"/>
    </row>
    <row r="194" spans="1:1" ht="13.8">
      <c r="A194" s="352"/>
    </row>
    <row r="195" spans="1:1" ht="13.8">
      <c r="A195" s="352"/>
    </row>
    <row r="196" spans="1:1" ht="13.8">
      <c r="A196" s="352"/>
    </row>
    <row r="197" spans="1:1" ht="13.8">
      <c r="A197" s="352"/>
    </row>
    <row r="198" spans="1:1" ht="13.8">
      <c r="A198" s="352"/>
    </row>
    <row r="199" spans="1:1" ht="13.8">
      <c r="A199" s="352"/>
    </row>
    <row r="200" spans="1:1" ht="13.8">
      <c r="A200" s="352"/>
    </row>
    <row r="201" spans="1:1" ht="13.8">
      <c r="A201" s="352"/>
    </row>
    <row r="202" spans="1:1" ht="13.8">
      <c r="A202" s="352"/>
    </row>
    <row r="203" spans="1:1" ht="13.8">
      <c r="A203" s="352"/>
    </row>
    <row r="204" spans="1:1" ht="13.8">
      <c r="A204" s="352"/>
    </row>
    <row r="205" spans="1:1" ht="13.8">
      <c r="A205" s="352"/>
    </row>
    <row r="206" spans="1:1" ht="13.8">
      <c r="A206" s="352"/>
    </row>
    <row r="207" spans="1:1" ht="13.8">
      <c r="A207" s="352"/>
    </row>
    <row r="208" spans="1:1" ht="13.8">
      <c r="A208" s="352"/>
    </row>
    <row r="209" spans="1:1" ht="13.8">
      <c r="A209" s="352"/>
    </row>
    <row r="210" spans="1:1" ht="13.8">
      <c r="A210" s="352"/>
    </row>
    <row r="211" spans="1:1" ht="13.8">
      <c r="A211" s="352"/>
    </row>
    <row r="212" spans="1:1" ht="13.8">
      <c r="A212" s="352"/>
    </row>
    <row r="213" spans="1:1" ht="13.8">
      <c r="A213" s="352"/>
    </row>
    <row r="214" spans="1:1" ht="13.8">
      <c r="A214" s="352"/>
    </row>
    <row r="215" spans="1:1" ht="13.8">
      <c r="A215" s="352"/>
    </row>
    <row r="216" spans="1:1" ht="13.8">
      <c r="A216" s="352"/>
    </row>
    <row r="217" spans="1:1" ht="13.8">
      <c r="A217" s="352"/>
    </row>
    <row r="218" spans="1:1" ht="13.8">
      <c r="A218" s="352"/>
    </row>
    <row r="219" spans="1:1" ht="13.8">
      <c r="A219" s="352"/>
    </row>
    <row r="220" spans="1:1" ht="13.8">
      <c r="A220" s="352"/>
    </row>
    <row r="221" spans="1:1" ht="13.8">
      <c r="A221" s="352"/>
    </row>
    <row r="222" spans="1:1" ht="13.8">
      <c r="A222" s="352"/>
    </row>
    <row r="223" spans="1:1" ht="13.8">
      <c r="A223" s="352"/>
    </row>
    <row r="224" spans="1:1" ht="13.8">
      <c r="A224" s="352"/>
    </row>
    <row r="225" spans="1:1" ht="13.8">
      <c r="A225" s="352"/>
    </row>
    <row r="226" spans="1:1" ht="13.8">
      <c r="A226" s="352"/>
    </row>
    <row r="227" spans="1:1" ht="13.8">
      <c r="A227" s="352"/>
    </row>
    <row r="228" spans="1:1" ht="13.8">
      <c r="A228" s="352"/>
    </row>
    <row r="229" spans="1:1" ht="13.8">
      <c r="A229" s="352"/>
    </row>
    <row r="230" spans="1:1" ht="13.8">
      <c r="A230" s="352"/>
    </row>
    <row r="231" spans="1:1" ht="13.8">
      <c r="A231" s="352"/>
    </row>
    <row r="232" spans="1:1" ht="13.8">
      <c r="A232" s="352"/>
    </row>
    <row r="233" spans="1:1" ht="13.8">
      <c r="A233" s="352"/>
    </row>
    <row r="234" spans="1:1" ht="13.8">
      <c r="A234" s="352"/>
    </row>
    <row r="235" spans="1:1" ht="13.8">
      <c r="A235" s="352"/>
    </row>
    <row r="236" spans="1:1" ht="13.8">
      <c r="A236" s="352"/>
    </row>
    <row r="237" spans="1:1" ht="13.8">
      <c r="A237" s="352"/>
    </row>
    <row r="238" spans="1:1" ht="13.8">
      <c r="A238" s="352"/>
    </row>
    <row r="239" spans="1:1" ht="13.8">
      <c r="A239" s="352"/>
    </row>
    <row r="240" spans="1:1" ht="13.8">
      <c r="A240" s="352"/>
    </row>
    <row r="241" spans="1:1" ht="13.8">
      <c r="A241" s="352"/>
    </row>
    <row r="242" spans="1:1" ht="13.8">
      <c r="A242" s="352"/>
    </row>
    <row r="243" spans="1:1" ht="13.8">
      <c r="A243" s="352"/>
    </row>
    <row r="244" spans="1:1" ht="13.8">
      <c r="A244" s="352"/>
    </row>
    <row r="245" spans="1:1" ht="13.8">
      <c r="A245" s="352"/>
    </row>
    <row r="246" spans="1:1" ht="13.8">
      <c r="A246" s="352"/>
    </row>
    <row r="247" spans="1:1" ht="13.8">
      <c r="A247" s="352"/>
    </row>
    <row r="248" spans="1:1" ht="13.8">
      <c r="A248" s="352"/>
    </row>
    <row r="249" spans="1:1" ht="13.8">
      <c r="A249" s="352"/>
    </row>
    <row r="250" spans="1:1" ht="13.8">
      <c r="A250" s="352"/>
    </row>
    <row r="251" spans="1:1" ht="13.8">
      <c r="A251" s="352"/>
    </row>
    <row r="252" spans="1:1" ht="13.8">
      <c r="A252" s="352"/>
    </row>
    <row r="253" spans="1:1" ht="13.8">
      <c r="A253" s="352"/>
    </row>
    <row r="254" spans="1:1" ht="13.8">
      <c r="A254" s="352"/>
    </row>
    <row r="255" spans="1:1" ht="13.8">
      <c r="A255" s="352"/>
    </row>
    <row r="256" spans="1:1" ht="13.8">
      <c r="A256" s="352"/>
    </row>
    <row r="257" spans="1:1" ht="13.8">
      <c r="A257" s="352"/>
    </row>
    <row r="258" spans="1:1" ht="13.8">
      <c r="A258" s="352"/>
    </row>
    <row r="259" spans="1:1" ht="13.8">
      <c r="A259" s="352"/>
    </row>
    <row r="260" spans="1:1" ht="13.8">
      <c r="A260" s="352"/>
    </row>
    <row r="261" spans="1:1" ht="13.8">
      <c r="A261" s="352"/>
    </row>
    <row r="262" spans="1:1" ht="13.8">
      <c r="A262" s="352"/>
    </row>
    <row r="263" spans="1:1" ht="13.8">
      <c r="A263" s="352"/>
    </row>
    <row r="264" spans="1:1" ht="13.8">
      <c r="A264" s="352"/>
    </row>
    <row r="265" spans="1:1" ht="13.8">
      <c r="A265" s="352"/>
    </row>
    <row r="266" spans="1:1" ht="13.8">
      <c r="A266" s="352"/>
    </row>
    <row r="267" spans="1:1" ht="13.8">
      <c r="A267" s="352"/>
    </row>
    <row r="268" spans="1:1" ht="13.8">
      <c r="A268" s="352"/>
    </row>
    <row r="269" spans="1:1" ht="13.8">
      <c r="A269" s="352"/>
    </row>
    <row r="270" spans="1:1" ht="13.8">
      <c r="A270" s="352"/>
    </row>
    <row r="271" spans="1:1" ht="13.8">
      <c r="A271" s="352"/>
    </row>
    <row r="272" spans="1:1" ht="13.8">
      <c r="A272" s="352"/>
    </row>
    <row r="273" spans="1:1" ht="13.8">
      <c r="A273" s="352"/>
    </row>
    <row r="274" spans="1:1" ht="13.8">
      <c r="A274" s="352"/>
    </row>
    <row r="275" spans="1:1" ht="13.8">
      <c r="A275" s="352"/>
    </row>
    <row r="276" spans="1:1" ht="13.8">
      <c r="A276" s="352"/>
    </row>
    <row r="277" spans="1:1" ht="13.8">
      <c r="A277" s="352"/>
    </row>
    <row r="278" spans="1:1" ht="13.8">
      <c r="A278" s="352"/>
    </row>
    <row r="279" spans="1:1" ht="13.8">
      <c r="A279" s="352"/>
    </row>
    <row r="280" spans="1:1" ht="13.8">
      <c r="A280" s="352"/>
    </row>
    <row r="281" spans="1:1" ht="13.8">
      <c r="A281" s="352"/>
    </row>
    <row r="282" spans="1:1" ht="13.8">
      <c r="A282" s="352"/>
    </row>
    <row r="283" spans="1:1" ht="13.8">
      <c r="A283" s="352"/>
    </row>
    <row r="284" spans="1:1" ht="13.8">
      <c r="A284" s="352"/>
    </row>
    <row r="285" spans="1:1" ht="13.8">
      <c r="A285" s="352"/>
    </row>
    <row r="286" spans="1:1" ht="13.8">
      <c r="A286" s="352"/>
    </row>
    <row r="287" spans="1:1" ht="13.8">
      <c r="A287" s="352"/>
    </row>
    <row r="288" spans="1:1" ht="13.8">
      <c r="A288" s="352"/>
    </row>
    <row r="289" spans="1:1" ht="13.8">
      <c r="A289" s="352"/>
    </row>
    <row r="290" spans="1:1" ht="13.8">
      <c r="A290" s="352"/>
    </row>
    <row r="291" spans="1:1" ht="13.8">
      <c r="A291" s="352"/>
    </row>
    <row r="292" spans="1:1" ht="13.8">
      <c r="A292" s="352"/>
    </row>
    <row r="293" spans="1:1" ht="13.8">
      <c r="A293" s="352"/>
    </row>
    <row r="294" spans="1:1" ht="13.8">
      <c r="A294" s="352"/>
    </row>
    <row r="295" spans="1:1" ht="13.8">
      <c r="A295" s="352"/>
    </row>
    <row r="296" spans="1:1" ht="13.8">
      <c r="A296" s="352"/>
    </row>
    <row r="297" spans="1:1" ht="13.8">
      <c r="A297" s="352"/>
    </row>
    <row r="298" spans="1:1" ht="13.8">
      <c r="A298" s="352"/>
    </row>
    <row r="299" spans="1:1" ht="13.8">
      <c r="A299" s="352"/>
    </row>
    <row r="300" spans="1:1" ht="13.8">
      <c r="A300" s="352"/>
    </row>
    <row r="301" spans="1:1" ht="13.8">
      <c r="A301" s="352"/>
    </row>
    <row r="302" spans="1:1" ht="13.8">
      <c r="A302" s="352"/>
    </row>
    <row r="303" spans="1:1" ht="13.8">
      <c r="A303" s="352"/>
    </row>
    <row r="304" spans="1:1" ht="13.8">
      <c r="A304" s="352"/>
    </row>
    <row r="305" spans="1:1" ht="13.8">
      <c r="A305" s="352"/>
    </row>
    <row r="306" spans="1:1" ht="13.8">
      <c r="A306" s="352"/>
    </row>
    <row r="307" spans="1:1" ht="13.8">
      <c r="A307" s="352"/>
    </row>
    <row r="308" spans="1:1" ht="13.8">
      <c r="A308" s="352"/>
    </row>
    <row r="309" spans="1:1" ht="13.8">
      <c r="A309" s="352"/>
    </row>
    <row r="310" spans="1:1" ht="13.8">
      <c r="A310" s="352"/>
    </row>
    <row r="311" spans="1:1" ht="13.8">
      <c r="A311" s="352"/>
    </row>
    <row r="312" spans="1:1" ht="13.8">
      <c r="A312" s="352"/>
    </row>
    <row r="313" spans="1:1" ht="13.8">
      <c r="A313" s="352"/>
    </row>
    <row r="314" spans="1:1" ht="13.8">
      <c r="A314" s="352"/>
    </row>
    <row r="315" spans="1:1" ht="13.8">
      <c r="A315" s="352"/>
    </row>
    <row r="316" spans="1:1" ht="13.8">
      <c r="A316" s="352"/>
    </row>
    <row r="317" spans="1:1" ht="13.8">
      <c r="A317" s="352"/>
    </row>
    <row r="318" spans="1:1" ht="13.8">
      <c r="A318" s="352"/>
    </row>
    <row r="319" spans="1:1" ht="13.8">
      <c r="A319" s="352"/>
    </row>
    <row r="320" spans="1:1" ht="13.8">
      <c r="A320" s="352"/>
    </row>
    <row r="321" spans="1:1" ht="13.8">
      <c r="A321" s="352"/>
    </row>
    <row r="322" spans="1:1" ht="13.8">
      <c r="A322" s="352"/>
    </row>
    <row r="323" spans="1:1" ht="13.8">
      <c r="A323" s="352"/>
    </row>
    <row r="324" spans="1:1" ht="13.8">
      <c r="A324" s="352"/>
    </row>
    <row r="325" spans="1:1" ht="13.8">
      <c r="A325" s="352"/>
    </row>
    <row r="326" spans="1:1" ht="13.8">
      <c r="A326" s="352"/>
    </row>
    <row r="327" spans="1:1" ht="13.8">
      <c r="A327" s="352"/>
    </row>
    <row r="328" spans="1:1" ht="13.8">
      <c r="A328" s="352"/>
    </row>
    <row r="329" spans="1:1" ht="13.8">
      <c r="A329" s="352"/>
    </row>
    <row r="330" spans="1:1" ht="13.8">
      <c r="A330" s="352"/>
    </row>
    <row r="331" spans="1:1" ht="13.8">
      <c r="A331" s="352"/>
    </row>
    <row r="332" spans="1:1" ht="13.8">
      <c r="A332" s="352"/>
    </row>
    <row r="333" spans="1:1" ht="13.8">
      <c r="A333" s="352"/>
    </row>
    <row r="334" spans="1:1" ht="13.8">
      <c r="A334" s="352"/>
    </row>
    <row r="335" spans="1:1" ht="13.8">
      <c r="A335" s="352"/>
    </row>
    <row r="336" spans="1:1" ht="13.8">
      <c r="A336" s="352"/>
    </row>
    <row r="337" spans="1:1" ht="13.8">
      <c r="A337" s="352"/>
    </row>
    <row r="338" spans="1:1" ht="13.8">
      <c r="A338" s="352"/>
    </row>
    <row r="339" spans="1:1" ht="13.8">
      <c r="A339" s="352"/>
    </row>
    <row r="340" spans="1:1" ht="13.8">
      <c r="A340" s="352"/>
    </row>
    <row r="341" spans="1:1" ht="13.8">
      <c r="A341" s="352"/>
    </row>
    <row r="342" spans="1:1" ht="13.8">
      <c r="A342" s="352"/>
    </row>
    <row r="343" spans="1:1" ht="13.8">
      <c r="A343" s="352"/>
    </row>
    <row r="344" spans="1:1" ht="13.8">
      <c r="A344" s="352"/>
    </row>
    <row r="345" spans="1:1" ht="13.8">
      <c r="A345" s="352"/>
    </row>
    <row r="346" spans="1:1" ht="13.8">
      <c r="A346" s="352"/>
    </row>
    <row r="347" spans="1:1" ht="13.8">
      <c r="A347" s="352"/>
    </row>
    <row r="348" spans="1:1" ht="13.8">
      <c r="A348" s="352"/>
    </row>
    <row r="349" spans="1:1" ht="13.8">
      <c r="A349" s="352"/>
    </row>
    <row r="350" spans="1:1" ht="13.8">
      <c r="A350" s="352"/>
    </row>
    <row r="351" spans="1:1" ht="13.8">
      <c r="A351" s="352"/>
    </row>
    <row r="352" spans="1:1" ht="13.8">
      <c r="A352" s="352"/>
    </row>
    <row r="353" spans="1:1" ht="13.8">
      <c r="A353" s="352"/>
    </row>
    <row r="354" spans="1:1" ht="13.8">
      <c r="A354" s="352"/>
    </row>
    <row r="355" spans="1:1" ht="13.8">
      <c r="A355" s="352"/>
    </row>
    <row r="356" spans="1:1" ht="13.8">
      <c r="A356" s="352"/>
    </row>
    <row r="357" spans="1:1" ht="13.8">
      <c r="A357" s="352"/>
    </row>
    <row r="358" spans="1:1" ht="13.8">
      <c r="A358" s="352"/>
    </row>
    <row r="359" spans="1:1" ht="13.8">
      <c r="A359" s="352"/>
    </row>
    <row r="360" spans="1:1" ht="13.8">
      <c r="A360" s="352"/>
    </row>
    <row r="361" spans="1:1" ht="13.8">
      <c r="A361" s="352"/>
    </row>
    <row r="362" spans="1:1" ht="13.8">
      <c r="A362" s="352"/>
    </row>
    <row r="363" spans="1:1" ht="13.8">
      <c r="A363" s="352"/>
    </row>
    <row r="364" spans="1:1" ht="13.8">
      <c r="A364" s="352"/>
    </row>
    <row r="365" spans="1:1" ht="13.8">
      <c r="A365" s="352"/>
    </row>
    <row r="366" spans="1:1" ht="13.8">
      <c r="A366" s="352"/>
    </row>
    <row r="367" spans="1:1" ht="13.8">
      <c r="A367" s="352"/>
    </row>
    <row r="368" spans="1:1" ht="13.8">
      <c r="A368" s="352"/>
    </row>
    <row r="369" spans="1:1" ht="13.8">
      <c r="A369" s="352"/>
    </row>
    <row r="370" spans="1:1" ht="13.8">
      <c r="A370" s="352"/>
    </row>
    <row r="371" spans="1:1" ht="13.8">
      <c r="A371" s="352"/>
    </row>
    <row r="372" spans="1:1" ht="13.8">
      <c r="A372" s="352"/>
    </row>
    <row r="373" spans="1:1" ht="13.8">
      <c r="A373" s="352"/>
    </row>
    <row r="374" spans="1:1" ht="13.8">
      <c r="A374" s="352"/>
    </row>
    <row r="375" spans="1:1" ht="13.8">
      <c r="A375" s="352"/>
    </row>
    <row r="376" spans="1:1" ht="13.8">
      <c r="A376" s="352"/>
    </row>
    <row r="377" spans="1:1" ht="13.8">
      <c r="A377" s="352"/>
    </row>
    <row r="378" spans="1:1" ht="13.8">
      <c r="A378" s="352"/>
    </row>
    <row r="379" spans="1:1" ht="13.8">
      <c r="A379" s="352"/>
    </row>
    <row r="380" spans="1:1" ht="13.8">
      <c r="A380" s="352"/>
    </row>
    <row r="381" spans="1:1" ht="13.8">
      <c r="A381" s="352"/>
    </row>
    <row r="382" spans="1:1" ht="13.8">
      <c r="A382" s="352"/>
    </row>
    <row r="383" spans="1:1" ht="13.8">
      <c r="A383" s="352"/>
    </row>
    <row r="384" spans="1:1" ht="13.8">
      <c r="A384" s="352"/>
    </row>
    <row r="385" spans="1:1" ht="13.8">
      <c r="A385" s="352"/>
    </row>
    <row r="386" spans="1:1" ht="13.8">
      <c r="A386" s="352"/>
    </row>
    <row r="387" spans="1:1" ht="13.8">
      <c r="A387" s="352"/>
    </row>
    <row r="388" spans="1:1" ht="13.8">
      <c r="A388" s="352"/>
    </row>
    <row r="389" spans="1:1" ht="13.8">
      <c r="A389" s="352"/>
    </row>
    <row r="390" spans="1:1" ht="13.8">
      <c r="A390" s="352"/>
    </row>
    <row r="391" spans="1:1" ht="13.8">
      <c r="A391" s="352"/>
    </row>
    <row r="392" spans="1:1" ht="13.8">
      <c r="A392" s="352"/>
    </row>
    <row r="393" spans="1:1" ht="13.8">
      <c r="A393" s="352"/>
    </row>
    <row r="394" spans="1:1" ht="13.8">
      <c r="A394" s="352"/>
    </row>
    <row r="395" spans="1:1" ht="13.8">
      <c r="A395" s="352"/>
    </row>
    <row r="396" spans="1:1" ht="13.8">
      <c r="A396" s="352"/>
    </row>
    <row r="397" spans="1:1" ht="13.8">
      <c r="A397" s="352"/>
    </row>
    <row r="398" spans="1:1" ht="13.8">
      <c r="A398" s="352"/>
    </row>
    <row r="399" spans="1:1" ht="13.8">
      <c r="A399" s="352"/>
    </row>
    <row r="400" spans="1:1" ht="13.8">
      <c r="A400" s="352"/>
    </row>
    <row r="401" spans="1:1" ht="13.8">
      <c r="A401" s="352"/>
    </row>
    <row r="402" spans="1:1" ht="13.8">
      <c r="A402" s="352"/>
    </row>
    <row r="403" spans="1:1" ht="13.8">
      <c r="A403" s="352"/>
    </row>
    <row r="404" spans="1:1" ht="13.8">
      <c r="A404" s="352"/>
    </row>
    <row r="405" spans="1:1" ht="13.8">
      <c r="A405" s="352"/>
    </row>
    <row r="406" spans="1:1" ht="13.8">
      <c r="A406" s="352"/>
    </row>
    <row r="407" spans="1:1" ht="13.8">
      <c r="A407" s="352"/>
    </row>
    <row r="408" spans="1:1" ht="13.8">
      <c r="A408" s="352"/>
    </row>
    <row r="409" spans="1:1" ht="13.8">
      <c r="A409" s="352"/>
    </row>
    <row r="410" spans="1:1" ht="13.8">
      <c r="A410" s="352"/>
    </row>
    <row r="411" spans="1:1" ht="13.8">
      <c r="A411" s="352"/>
    </row>
    <row r="412" spans="1:1" ht="13.8">
      <c r="A412" s="352"/>
    </row>
    <row r="413" spans="1:1" ht="13.8">
      <c r="A413" s="352"/>
    </row>
    <row r="414" spans="1:1" ht="13.8">
      <c r="A414" s="352"/>
    </row>
    <row r="415" spans="1:1" ht="13.8">
      <c r="A415" s="352"/>
    </row>
    <row r="416" spans="1:1" ht="13.8">
      <c r="A416" s="352"/>
    </row>
    <row r="417" spans="1:1" ht="13.8">
      <c r="A417" s="352"/>
    </row>
    <row r="418" spans="1:1" ht="13.8">
      <c r="A418" s="352"/>
    </row>
    <row r="419" spans="1:1" ht="13.8">
      <c r="A419" s="352"/>
    </row>
    <row r="420" spans="1:1" ht="13.8">
      <c r="A420" s="352"/>
    </row>
    <row r="421" spans="1:1" ht="13.8">
      <c r="A421" s="352"/>
    </row>
    <row r="422" spans="1:1" ht="13.8">
      <c r="A422" s="352"/>
    </row>
    <row r="423" spans="1:1" ht="13.8">
      <c r="A423" s="352"/>
    </row>
    <row r="424" spans="1:1" ht="13.8">
      <c r="A424" s="352"/>
    </row>
    <row r="425" spans="1:1" ht="13.8">
      <c r="A425" s="352"/>
    </row>
    <row r="426" spans="1:1" ht="13.8">
      <c r="A426" s="352"/>
    </row>
    <row r="427" spans="1:1" ht="13.8">
      <c r="A427" s="352"/>
    </row>
    <row r="428" spans="1:1" ht="13.8">
      <c r="A428" s="352"/>
    </row>
    <row r="429" spans="1:1" ht="13.8">
      <c r="A429" s="352"/>
    </row>
    <row r="430" spans="1:1" ht="13.8">
      <c r="A430" s="352"/>
    </row>
    <row r="431" spans="1:1" ht="13.8">
      <c r="A431" s="352"/>
    </row>
    <row r="432" spans="1:1" ht="13.8">
      <c r="A432" s="352"/>
    </row>
    <row r="433" spans="1:1" ht="13.8">
      <c r="A433" s="352"/>
    </row>
    <row r="434" spans="1:1" ht="13.8">
      <c r="A434" s="352"/>
    </row>
    <row r="435" spans="1:1" ht="13.8">
      <c r="A435" s="352"/>
    </row>
    <row r="436" spans="1:1" ht="13.8">
      <c r="A436" s="352"/>
    </row>
    <row r="437" spans="1:1" ht="13.8">
      <c r="A437" s="352"/>
    </row>
    <row r="438" spans="1:1" ht="13.8">
      <c r="A438" s="352"/>
    </row>
    <row r="439" spans="1:1" ht="13.8">
      <c r="A439" s="352"/>
    </row>
    <row r="440" spans="1:1" ht="13.8">
      <c r="A440" s="352"/>
    </row>
    <row r="441" spans="1:1" ht="13.8">
      <c r="A441" s="352"/>
    </row>
    <row r="442" spans="1:1" ht="13.8">
      <c r="A442" s="352"/>
    </row>
    <row r="443" spans="1:1" ht="13.8">
      <c r="A443" s="352"/>
    </row>
    <row r="444" spans="1:1" ht="13.8">
      <c r="A444" s="352"/>
    </row>
    <row r="445" spans="1:1" ht="13.8">
      <c r="A445" s="352"/>
    </row>
    <row r="446" spans="1:1" ht="13.8">
      <c r="A446" s="352"/>
    </row>
    <row r="447" spans="1:1" ht="13.8">
      <c r="A447" s="352"/>
    </row>
    <row r="448" spans="1:1" ht="13.8">
      <c r="A448" s="352"/>
    </row>
    <row r="449" spans="1:1" ht="13.8">
      <c r="A449" s="352"/>
    </row>
    <row r="450" spans="1:1" ht="13.8">
      <c r="A450" s="352"/>
    </row>
    <row r="451" spans="1:1" ht="13.8">
      <c r="A451" s="352"/>
    </row>
    <row r="452" spans="1:1" ht="13.8">
      <c r="A452" s="352"/>
    </row>
    <row r="453" spans="1:1" ht="13.8">
      <c r="A453" s="352"/>
    </row>
    <row r="454" spans="1:1" ht="13.8">
      <c r="A454" s="352"/>
    </row>
    <row r="455" spans="1:1" ht="13.8">
      <c r="A455" s="352"/>
    </row>
    <row r="456" spans="1:1" ht="13.8">
      <c r="A456" s="352"/>
    </row>
    <row r="457" spans="1:1" ht="13.8">
      <c r="A457" s="352"/>
    </row>
    <row r="458" spans="1:1" ht="13.8">
      <c r="A458" s="352"/>
    </row>
    <row r="459" spans="1:1" ht="13.8">
      <c r="A459" s="352"/>
    </row>
    <row r="460" spans="1:1" ht="13.8">
      <c r="A460" s="352"/>
    </row>
    <row r="461" spans="1:1" ht="13.8">
      <c r="A461" s="352"/>
    </row>
    <row r="462" spans="1:1" ht="13.8">
      <c r="A462" s="352"/>
    </row>
    <row r="463" spans="1:1" ht="13.8">
      <c r="A463" s="352"/>
    </row>
    <row r="464" spans="1:1" ht="13.8">
      <c r="A464" s="352"/>
    </row>
    <row r="465" spans="1:1" ht="13.8">
      <c r="A465" s="352"/>
    </row>
    <row r="466" spans="1:1" ht="13.8">
      <c r="A466" s="352"/>
    </row>
    <row r="467" spans="1:1" ht="13.8">
      <c r="A467" s="352"/>
    </row>
    <row r="468" spans="1:1" ht="13.8">
      <c r="A468" s="352"/>
    </row>
    <row r="469" spans="1:1" ht="13.8">
      <c r="A469" s="352"/>
    </row>
    <row r="470" spans="1:1" ht="13.8">
      <c r="A470" s="352"/>
    </row>
    <row r="471" spans="1:1" ht="13.8">
      <c r="A471" s="352"/>
    </row>
    <row r="472" spans="1:1" ht="13.8">
      <c r="A472" s="352"/>
    </row>
    <row r="473" spans="1:1" ht="13.8">
      <c r="A473" s="352"/>
    </row>
    <row r="474" spans="1:1" ht="13.8">
      <c r="A474" s="352"/>
    </row>
    <row r="475" spans="1:1" ht="13.8">
      <c r="A475" s="352"/>
    </row>
    <row r="476" spans="1:1" ht="13.8">
      <c r="A476" s="352"/>
    </row>
    <row r="477" spans="1:1" ht="13.8">
      <c r="A477" s="352"/>
    </row>
    <row r="478" spans="1:1" ht="13.8">
      <c r="A478" s="352"/>
    </row>
    <row r="479" spans="1:1" ht="13.8">
      <c r="A479" s="352"/>
    </row>
    <row r="480" spans="1:1" ht="13.8">
      <c r="A480" s="352"/>
    </row>
    <row r="481" spans="1:1" ht="13.8">
      <c r="A481" s="352"/>
    </row>
    <row r="482" spans="1:1" ht="13.8">
      <c r="A482" s="352"/>
    </row>
    <row r="483" spans="1:1" ht="13.8">
      <c r="A483" s="352"/>
    </row>
    <row r="484" spans="1:1" ht="13.8">
      <c r="A484" s="352"/>
    </row>
    <row r="485" spans="1:1" ht="13.8">
      <c r="A485" s="352"/>
    </row>
    <row r="486" spans="1:1" ht="13.8">
      <c r="A486" s="352"/>
    </row>
    <row r="487" spans="1:1" ht="13.8">
      <c r="A487" s="352"/>
    </row>
    <row r="488" spans="1:1" ht="13.8">
      <c r="A488" s="352"/>
    </row>
    <row r="489" spans="1:1" ht="13.8">
      <c r="A489" s="352"/>
    </row>
    <row r="490" spans="1:1" ht="13.8">
      <c r="A490" s="352"/>
    </row>
    <row r="491" spans="1:1" ht="13.8">
      <c r="A491" s="352"/>
    </row>
    <row r="492" spans="1:1" ht="13.8">
      <c r="A492" s="352"/>
    </row>
    <row r="493" spans="1:1" ht="13.8">
      <c r="A493" s="352"/>
    </row>
    <row r="494" spans="1:1" ht="13.8">
      <c r="A494" s="352"/>
    </row>
    <row r="495" spans="1:1" ht="13.8">
      <c r="A495" s="352"/>
    </row>
    <row r="496" spans="1:1" ht="13.8">
      <c r="A496" s="352"/>
    </row>
    <row r="497" spans="1:1" ht="13.8">
      <c r="A497" s="352"/>
    </row>
    <row r="498" spans="1:1" ht="13.8">
      <c r="A498" s="352"/>
    </row>
    <row r="499" spans="1:1" ht="13.8">
      <c r="A499" s="352"/>
    </row>
    <row r="500" spans="1:1" ht="13.8">
      <c r="A500" s="352"/>
    </row>
    <row r="501" spans="1:1" ht="13.8">
      <c r="A501" s="352"/>
    </row>
    <row r="502" spans="1:1" ht="13.8">
      <c r="A502" s="352"/>
    </row>
    <row r="503" spans="1:1" ht="13.8">
      <c r="A503" s="352"/>
    </row>
    <row r="504" spans="1:1" ht="13.8">
      <c r="A504" s="352"/>
    </row>
    <row r="505" spans="1:1" ht="13.8">
      <c r="A505" s="352"/>
    </row>
    <row r="506" spans="1:1" ht="13.8">
      <c r="A506" s="352"/>
    </row>
    <row r="507" spans="1:1" ht="13.8">
      <c r="A507" s="352"/>
    </row>
    <row r="508" spans="1:1" ht="13.8">
      <c r="A508" s="352"/>
    </row>
    <row r="509" spans="1:1" ht="13.8">
      <c r="A509" s="352"/>
    </row>
    <row r="510" spans="1:1" ht="13.8">
      <c r="A510" s="352"/>
    </row>
    <row r="511" spans="1:1" ht="13.8">
      <c r="A511" s="352"/>
    </row>
    <row r="512" spans="1:1" ht="13.8">
      <c r="A512" s="352"/>
    </row>
    <row r="513" spans="1:1" ht="13.8">
      <c r="A513" s="352"/>
    </row>
    <row r="514" spans="1:1" ht="13.8">
      <c r="A514" s="352"/>
    </row>
    <row r="515" spans="1:1" ht="13.8">
      <c r="A515" s="352"/>
    </row>
    <row r="516" spans="1:1" ht="13.8">
      <c r="A516" s="352"/>
    </row>
    <row r="517" spans="1:1" ht="13.8">
      <c r="A517" s="352"/>
    </row>
    <row r="518" spans="1:1" ht="13.8">
      <c r="A518" s="352"/>
    </row>
    <row r="519" spans="1:1" ht="13.8">
      <c r="A519" s="352"/>
    </row>
    <row r="520" spans="1:1" ht="13.8">
      <c r="A520" s="352"/>
    </row>
    <row r="521" spans="1:1" ht="13.8">
      <c r="A521" s="352"/>
    </row>
    <row r="522" spans="1:1" ht="13.8">
      <c r="A522" s="352"/>
    </row>
    <row r="523" spans="1:1" ht="13.8">
      <c r="A523" s="352"/>
    </row>
    <row r="524" spans="1:1" ht="13.8">
      <c r="A524" s="352"/>
    </row>
    <row r="525" spans="1:1" ht="13.8">
      <c r="A525" s="352"/>
    </row>
    <row r="526" spans="1:1" ht="13.8">
      <c r="A526" s="352"/>
    </row>
    <row r="527" spans="1:1" ht="13.8">
      <c r="A527" s="352"/>
    </row>
    <row r="528" spans="1:1" ht="13.8">
      <c r="A528" s="352"/>
    </row>
    <row r="529" spans="1:1" ht="13.8">
      <c r="A529" s="352"/>
    </row>
    <row r="530" spans="1:1" ht="13.8">
      <c r="A530" s="352"/>
    </row>
    <row r="531" spans="1:1" ht="13.8">
      <c r="A531" s="352"/>
    </row>
    <row r="532" spans="1:1" ht="13.8">
      <c r="A532" s="352"/>
    </row>
    <row r="533" spans="1:1" ht="13.8">
      <c r="A533" s="352"/>
    </row>
    <row r="534" spans="1:1" ht="13.8">
      <c r="A534" s="352"/>
    </row>
    <row r="535" spans="1:1" ht="13.8">
      <c r="A535" s="352"/>
    </row>
    <row r="536" spans="1:1" ht="13.8">
      <c r="A536" s="352"/>
    </row>
    <row r="537" spans="1:1" ht="13.8">
      <c r="A537" s="352"/>
    </row>
    <row r="538" spans="1:1" ht="13.8">
      <c r="A538" s="352"/>
    </row>
    <row r="539" spans="1:1" ht="13.8">
      <c r="A539" s="352"/>
    </row>
    <row r="540" spans="1:1" ht="13.8">
      <c r="A540" s="352"/>
    </row>
    <row r="541" spans="1:1" ht="13.8">
      <c r="A541" s="352"/>
    </row>
    <row r="542" spans="1:1" ht="13.8">
      <c r="A542" s="352"/>
    </row>
    <row r="543" spans="1:1" ht="13.8">
      <c r="A543" s="352"/>
    </row>
    <row r="544" spans="1:1" ht="13.8">
      <c r="A544" s="352"/>
    </row>
    <row r="545" spans="1:1" ht="13.8">
      <c r="A545" s="352"/>
    </row>
    <row r="546" spans="1:1" ht="13.8">
      <c r="A546" s="352"/>
    </row>
    <row r="547" spans="1:1" ht="13.8">
      <c r="A547" s="352"/>
    </row>
    <row r="548" spans="1:1" ht="13.8">
      <c r="A548" s="352"/>
    </row>
    <row r="549" spans="1:1" ht="13.8">
      <c r="A549" s="352"/>
    </row>
    <row r="550" spans="1:1" ht="13.8">
      <c r="A550" s="352"/>
    </row>
    <row r="551" spans="1:1" ht="13.8">
      <c r="A551" s="352"/>
    </row>
    <row r="552" spans="1:1" ht="13.8">
      <c r="A552" s="352"/>
    </row>
    <row r="553" spans="1:1" ht="13.8">
      <c r="A553" s="352"/>
    </row>
    <row r="554" spans="1:1" ht="13.8">
      <c r="A554" s="352"/>
    </row>
    <row r="555" spans="1:1" ht="13.8">
      <c r="A555" s="352"/>
    </row>
    <row r="556" spans="1:1" ht="13.8">
      <c r="A556" s="352"/>
    </row>
    <row r="557" spans="1:1" ht="13.8">
      <c r="A557" s="352"/>
    </row>
    <row r="558" spans="1:1" ht="13.8">
      <c r="A558" s="352"/>
    </row>
    <row r="559" spans="1:1" ht="13.8">
      <c r="A559" s="352"/>
    </row>
    <row r="560" spans="1:1" ht="13.8">
      <c r="A560" s="352"/>
    </row>
    <row r="561" spans="1:1" ht="13.8">
      <c r="A561" s="352"/>
    </row>
    <row r="562" spans="1:1" ht="13.8">
      <c r="A562" s="352"/>
    </row>
    <row r="563" spans="1:1" ht="13.8">
      <c r="A563" s="352"/>
    </row>
    <row r="564" spans="1:1" ht="13.8">
      <c r="A564" s="352"/>
    </row>
    <row r="565" spans="1:1" ht="13.8">
      <c r="A565" s="352"/>
    </row>
    <row r="566" spans="1:1" ht="13.8">
      <c r="A566" s="352"/>
    </row>
    <row r="567" spans="1:1" ht="13.8">
      <c r="A567" s="352"/>
    </row>
    <row r="568" spans="1:1" ht="13.8">
      <c r="A568" s="352"/>
    </row>
    <row r="569" spans="1:1" ht="13.8">
      <c r="A569" s="352"/>
    </row>
    <row r="570" spans="1:1" ht="13.8">
      <c r="A570" s="352"/>
    </row>
    <row r="571" spans="1:1" ht="13.8">
      <c r="A571" s="352"/>
    </row>
    <row r="572" spans="1:1" ht="13.8">
      <c r="A572" s="352"/>
    </row>
    <row r="573" spans="1:1" ht="13.8">
      <c r="A573" s="352"/>
    </row>
    <row r="574" spans="1:1" ht="13.8">
      <c r="A574" s="352"/>
    </row>
    <row r="575" spans="1:1" ht="13.8">
      <c r="A575" s="352"/>
    </row>
    <row r="576" spans="1:1" ht="13.8">
      <c r="A576" s="352"/>
    </row>
    <row r="577" spans="1:1" ht="13.8">
      <c r="A577" s="352"/>
    </row>
    <row r="578" spans="1:1" ht="13.8">
      <c r="A578" s="352"/>
    </row>
    <row r="579" spans="1:1" ht="13.8">
      <c r="A579" s="352"/>
    </row>
    <row r="580" spans="1:1" ht="13.8">
      <c r="A580" s="352"/>
    </row>
    <row r="581" spans="1:1" ht="13.8">
      <c r="A581" s="352"/>
    </row>
    <row r="582" spans="1:1" ht="13.8">
      <c r="A582" s="352"/>
    </row>
    <row r="583" spans="1:1" ht="13.8">
      <c r="A583" s="352"/>
    </row>
    <row r="584" spans="1:1" ht="13.8">
      <c r="A584" s="352"/>
    </row>
    <row r="585" spans="1:1" ht="13.8">
      <c r="A585" s="352"/>
    </row>
    <row r="586" spans="1:1" ht="13.8">
      <c r="A586" s="352"/>
    </row>
    <row r="587" spans="1:1" ht="13.8">
      <c r="A587" s="352"/>
    </row>
    <row r="588" spans="1:1" ht="13.8">
      <c r="A588" s="352"/>
    </row>
    <row r="589" spans="1:1" ht="13.8">
      <c r="A589" s="352"/>
    </row>
    <row r="590" spans="1:1" ht="13.8">
      <c r="A590" s="352"/>
    </row>
    <row r="591" spans="1:1" ht="13.8">
      <c r="A591" s="352"/>
    </row>
    <row r="592" spans="1:1" ht="13.8">
      <c r="A592" s="352"/>
    </row>
    <row r="593" spans="1:1" ht="13.8">
      <c r="A593" s="352"/>
    </row>
    <row r="594" spans="1:1" ht="13.8">
      <c r="A594" s="352"/>
    </row>
    <row r="595" spans="1:1" ht="13.8">
      <c r="A595" s="352"/>
    </row>
    <row r="596" spans="1:1" ht="13.8">
      <c r="A596" s="352"/>
    </row>
    <row r="597" spans="1:1" ht="13.8">
      <c r="A597" s="352"/>
    </row>
    <row r="598" spans="1:1" ht="13.8">
      <c r="A598" s="352"/>
    </row>
    <row r="599" spans="1:1" ht="13.8">
      <c r="A599" s="352"/>
    </row>
    <row r="600" spans="1:1" ht="13.8">
      <c r="A600" s="352"/>
    </row>
    <row r="601" spans="1:1" ht="13.8">
      <c r="A601" s="352"/>
    </row>
    <row r="602" spans="1:1" ht="13.8">
      <c r="A602" s="352"/>
    </row>
    <row r="603" spans="1:1" ht="13.8">
      <c r="A603" s="352"/>
    </row>
    <row r="604" spans="1:1" ht="13.8">
      <c r="A604" s="352"/>
    </row>
    <row r="605" spans="1:1" ht="13.8">
      <c r="A605" s="352"/>
    </row>
    <row r="606" spans="1:1" ht="13.8">
      <c r="A606" s="352"/>
    </row>
    <row r="607" spans="1:1" ht="13.8">
      <c r="A607" s="352"/>
    </row>
    <row r="608" spans="1:1" ht="13.8">
      <c r="A608" s="352"/>
    </row>
    <row r="609" spans="1:1" ht="13.8">
      <c r="A609" s="352"/>
    </row>
    <row r="610" spans="1:1" ht="13.8">
      <c r="A610" s="352"/>
    </row>
    <row r="611" spans="1:1" ht="13.8">
      <c r="A611" s="352"/>
    </row>
    <row r="612" spans="1:1" ht="13.8">
      <c r="A612" s="352"/>
    </row>
    <row r="613" spans="1:1" ht="13.8">
      <c r="A613" s="352"/>
    </row>
    <row r="614" spans="1:1" ht="13.8">
      <c r="A614" s="352"/>
    </row>
    <row r="615" spans="1:1" ht="13.8">
      <c r="A615" s="352"/>
    </row>
    <row r="616" spans="1:1" ht="13.8">
      <c r="A616" s="352"/>
    </row>
    <row r="617" spans="1:1" ht="13.8">
      <c r="A617" s="352"/>
    </row>
    <row r="618" spans="1:1" ht="13.8">
      <c r="A618" s="352"/>
    </row>
    <row r="619" spans="1:1" ht="13.8">
      <c r="A619" s="352"/>
    </row>
    <row r="620" spans="1:1" ht="13.8">
      <c r="A620" s="352"/>
    </row>
    <row r="621" spans="1:1" ht="13.8">
      <c r="A621" s="352"/>
    </row>
    <row r="622" spans="1:1" ht="13.8">
      <c r="A622" s="352"/>
    </row>
    <row r="623" spans="1:1" ht="13.8">
      <c r="A623" s="352"/>
    </row>
    <row r="624" spans="1:1" ht="13.8">
      <c r="A624" s="352"/>
    </row>
    <row r="625" spans="1:1" ht="13.8">
      <c r="A625" s="352"/>
    </row>
    <row r="626" spans="1:1" ht="13.8">
      <c r="A626" s="352"/>
    </row>
    <row r="627" spans="1:1" ht="13.8">
      <c r="A627" s="352"/>
    </row>
    <row r="628" spans="1:1" ht="13.8">
      <c r="A628" s="352"/>
    </row>
    <row r="629" spans="1:1" ht="13.8">
      <c r="A629" s="352"/>
    </row>
    <row r="630" spans="1:1" ht="13.8">
      <c r="A630" s="352"/>
    </row>
    <row r="631" spans="1:1" ht="13.8">
      <c r="A631" s="352"/>
    </row>
    <row r="632" spans="1:1" ht="13.8">
      <c r="A632" s="352"/>
    </row>
    <row r="633" spans="1:1" ht="13.8">
      <c r="A633" s="352"/>
    </row>
    <row r="634" spans="1:1" ht="13.8">
      <c r="A634" s="352"/>
    </row>
    <row r="635" spans="1:1" ht="13.8">
      <c r="A635" s="352"/>
    </row>
    <row r="636" spans="1:1" ht="13.8">
      <c r="A636" s="352"/>
    </row>
    <row r="637" spans="1:1" ht="13.8">
      <c r="A637" s="352"/>
    </row>
    <row r="638" spans="1:1" ht="13.8">
      <c r="A638" s="352"/>
    </row>
    <row r="639" spans="1:1" ht="13.8">
      <c r="A639" s="352"/>
    </row>
    <row r="640" spans="1:1" ht="13.8">
      <c r="A640" s="352"/>
    </row>
    <row r="641" spans="1:1" ht="13.8">
      <c r="A641" s="352"/>
    </row>
    <row r="642" spans="1:1" ht="13.8">
      <c r="A642" s="352"/>
    </row>
    <row r="643" spans="1:1" ht="13.8">
      <c r="A643" s="352"/>
    </row>
    <row r="644" spans="1:1" ht="13.8">
      <c r="A644" s="352"/>
    </row>
    <row r="645" spans="1:1" ht="13.8">
      <c r="A645" s="352"/>
    </row>
    <row r="646" spans="1:1" ht="13.8">
      <c r="A646" s="352"/>
    </row>
    <row r="647" spans="1:1" ht="13.8">
      <c r="A647" s="352"/>
    </row>
    <row r="648" spans="1:1" ht="13.8">
      <c r="A648" s="352"/>
    </row>
    <row r="649" spans="1:1" ht="13.8">
      <c r="A649" s="352"/>
    </row>
    <row r="650" spans="1:1" ht="13.8">
      <c r="A650" s="352"/>
    </row>
    <row r="651" spans="1:1" ht="13.8">
      <c r="A651" s="352"/>
    </row>
    <row r="652" spans="1:1" ht="13.8">
      <c r="A652" s="352"/>
    </row>
    <row r="653" spans="1:1" ht="13.8">
      <c r="A653" s="352"/>
    </row>
    <row r="654" spans="1:1" ht="13.8">
      <c r="A654" s="352"/>
    </row>
    <row r="655" spans="1:1" ht="13.8">
      <c r="A655" s="352"/>
    </row>
    <row r="656" spans="1:1" ht="13.8">
      <c r="A656" s="352"/>
    </row>
    <row r="657" spans="1:1" ht="13.8">
      <c r="A657" s="352"/>
    </row>
    <row r="658" spans="1:1" ht="13.8">
      <c r="A658" s="352"/>
    </row>
    <row r="659" spans="1:1" ht="13.8">
      <c r="A659" s="352"/>
    </row>
    <row r="660" spans="1:1" ht="13.8">
      <c r="A660" s="352"/>
    </row>
    <row r="661" spans="1:1" ht="13.8">
      <c r="A661" s="352"/>
    </row>
    <row r="662" spans="1:1" ht="13.8">
      <c r="A662" s="352"/>
    </row>
    <row r="663" spans="1:1" ht="13.8">
      <c r="A663" s="352"/>
    </row>
    <row r="664" spans="1:1" ht="13.8">
      <c r="A664" s="352"/>
    </row>
    <row r="665" spans="1:1" ht="13.8">
      <c r="A665" s="352"/>
    </row>
    <row r="666" spans="1:1" ht="13.8">
      <c r="A666" s="352"/>
    </row>
    <row r="667" spans="1:1" ht="13.8">
      <c r="A667" s="352"/>
    </row>
    <row r="668" spans="1:1" ht="13.8">
      <c r="A668" s="352"/>
    </row>
    <row r="669" spans="1:1" ht="13.8">
      <c r="A669" s="352"/>
    </row>
    <row r="670" spans="1:1" ht="13.8">
      <c r="A670" s="352"/>
    </row>
    <row r="671" spans="1:1" ht="13.8">
      <c r="A671" s="352"/>
    </row>
    <row r="672" spans="1:1" ht="13.8">
      <c r="A672" s="352"/>
    </row>
    <row r="673" spans="1:1" ht="13.8">
      <c r="A673" s="352"/>
    </row>
    <row r="674" spans="1:1" ht="13.8">
      <c r="A674" s="352"/>
    </row>
    <row r="675" spans="1:1" ht="13.8">
      <c r="A675" s="352"/>
    </row>
    <row r="676" spans="1:1" ht="13.8">
      <c r="A676" s="352"/>
    </row>
    <row r="677" spans="1:1" ht="13.8">
      <c r="A677" s="352"/>
    </row>
    <row r="678" spans="1:1" ht="13.8">
      <c r="A678" s="352"/>
    </row>
    <row r="679" spans="1:1" ht="13.8">
      <c r="A679" s="352"/>
    </row>
    <row r="680" spans="1:1" ht="13.8">
      <c r="A680" s="352"/>
    </row>
    <row r="681" spans="1:1" ht="13.8">
      <c r="A681" s="352"/>
    </row>
    <row r="682" spans="1:1" ht="13.8">
      <c r="A682" s="352"/>
    </row>
    <row r="683" spans="1:1" ht="13.8">
      <c r="A683" s="352"/>
    </row>
    <row r="684" spans="1:1" ht="13.8">
      <c r="A684" s="352"/>
    </row>
    <row r="685" spans="1:1" ht="13.8">
      <c r="A685" s="352"/>
    </row>
    <row r="686" spans="1:1" ht="13.8">
      <c r="A686" s="352"/>
    </row>
    <row r="687" spans="1:1" ht="13.8">
      <c r="A687" s="352"/>
    </row>
    <row r="688" spans="1:1" ht="13.8">
      <c r="A688" s="352"/>
    </row>
    <row r="689" spans="1:1" ht="13.8">
      <c r="A689" s="352"/>
    </row>
    <row r="690" spans="1:1" ht="13.8">
      <c r="A690" s="352"/>
    </row>
    <row r="691" spans="1:1" ht="13.8">
      <c r="A691" s="352"/>
    </row>
    <row r="692" spans="1:1" ht="13.8">
      <c r="A692" s="352"/>
    </row>
    <row r="693" spans="1:1" ht="13.8">
      <c r="A693" s="352"/>
    </row>
    <row r="694" spans="1:1" ht="13.8">
      <c r="A694" s="352"/>
    </row>
    <row r="695" spans="1:1" ht="13.8">
      <c r="A695" s="352"/>
    </row>
    <row r="696" spans="1:1" ht="13.8">
      <c r="A696" s="352"/>
    </row>
    <row r="697" spans="1:1" ht="13.8">
      <c r="A697" s="352"/>
    </row>
    <row r="698" spans="1:1" ht="13.8">
      <c r="A698" s="352"/>
    </row>
    <row r="699" spans="1:1" ht="13.8">
      <c r="A699" s="352"/>
    </row>
    <row r="700" spans="1:1" ht="13.8">
      <c r="A700" s="352"/>
    </row>
    <row r="701" spans="1:1" ht="13.8">
      <c r="A701" s="352"/>
    </row>
    <row r="702" spans="1:1" ht="13.8">
      <c r="A702" s="352"/>
    </row>
    <row r="703" spans="1:1" ht="13.8">
      <c r="A703" s="352"/>
    </row>
    <row r="704" spans="1:1" ht="13.8">
      <c r="A704" s="352"/>
    </row>
    <row r="705" spans="1:1" ht="13.8">
      <c r="A705" s="352"/>
    </row>
    <row r="706" spans="1:1" ht="13.8">
      <c r="A706" s="352"/>
    </row>
    <row r="707" spans="1:1" ht="13.8">
      <c r="A707" s="352"/>
    </row>
    <row r="708" spans="1:1" ht="13.8">
      <c r="A708" s="352"/>
    </row>
    <row r="709" spans="1:1" ht="13.8">
      <c r="A709" s="352"/>
    </row>
    <row r="710" spans="1:1" ht="13.8">
      <c r="A710" s="352"/>
    </row>
    <row r="711" spans="1:1" ht="13.8">
      <c r="A711" s="352"/>
    </row>
    <row r="712" spans="1:1" ht="13.8">
      <c r="A712" s="352"/>
    </row>
    <row r="713" spans="1:1" ht="13.8">
      <c r="A713" s="352"/>
    </row>
    <row r="714" spans="1:1" ht="13.8">
      <c r="A714" s="352"/>
    </row>
    <row r="715" spans="1:1" ht="13.8">
      <c r="A715" s="352"/>
    </row>
    <row r="716" spans="1:1" ht="13.8">
      <c r="A716" s="352"/>
    </row>
    <row r="717" spans="1:1" ht="13.8">
      <c r="A717" s="352"/>
    </row>
    <row r="718" spans="1:1" ht="13.8">
      <c r="A718" s="352"/>
    </row>
    <row r="719" spans="1:1" ht="13.8">
      <c r="A719" s="352"/>
    </row>
    <row r="720" spans="1:1" ht="13.8">
      <c r="A720" s="352"/>
    </row>
    <row r="721" spans="1:1" ht="13.8">
      <c r="A721" s="352"/>
    </row>
    <row r="722" spans="1:1" ht="13.8">
      <c r="A722" s="352"/>
    </row>
    <row r="723" spans="1:1" ht="13.8">
      <c r="A723" s="352"/>
    </row>
    <row r="724" spans="1:1" ht="13.8">
      <c r="A724" s="352"/>
    </row>
    <row r="725" spans="1:1" ht="13.8">
      <c r="A725" s="352"/>
    </row>
    <row r="726" spans="1:1" ht="13.8">
      <c r="A726" s="352"/>
    </row>
    <row r="727" spans="1:1" ht="13.8">
      <c r="A727" s="352"/>
    </row>
    <row r="728" spans="1:1" ht="13.8">
      <c r="A728" s="352"/>
    </row>
    <row r="729" spans="1:1" ht="13.8">
      <c r="A729" s="352"/>
    </row>
    <row r="730" spans="1:1" ht="13.8">
      <c r="A730" s="352"/>
    </row>
    <row r="731" spans="1:1" ht="13.8">
      <c r="A731" s="352"/>
    </row>
    <row r="732" spans="1:1" ht="13.8">
      <c r="A732" s="352"/>
    </row>
    <row r="733" spans="1:1" ht="13.8">
      <c r="A733" s="352"/>
    </row>
    <row r="734" spans="1:1" ht="13.8">
      <c r="A734" s="352"/>
    </row>
    <row r="735" spans="1:1" ht="13.8">
      <c r="A735" s="352"/>
    </row>
    <row r="736" spans="1:1" ht="13.8">
      <c r="A736" s="352"/>
    </row>
    <row r="737" spans="1:1" ht="13.8">
      <c r="A737" s="352"/>
    </row>
    <row r="738" spans="1:1" ht="13.8">
      <c r="A738" s="352"/>
    </row>
    <row r="739" spans="1:1" ht="13.8">
      <c r="A739" s="352"/>
    </row>
    <row r="740" spans="1:1" ht="13.8">
      <c r="A740" s="352"/>
    </row>
    <row r="741" spans="1:1" ht="13.8">
      <c r="A741" s="352"/>
    </row>
    <row r="742" spans="1:1" ht="13.8">
      <c r="A742" s="352"/>
    </row>
    <row r="743" spans="1:1" ht="13.8">
      <c r="A743" s="352"/>
    </row>
    <row r="744" spans="1:1" ht="13.8">
      <c r="A744" s="352"/>
    </row>
    <row r="745" spans="1:1" ht="13.8">
      <c r="A745" s="352"/>
    </row>
    <row r="746" spans="1:1" ht="13.8">
      <c r="A746" s="352"/>
    </row>
    <row r="747" spans="1:1" ht="13.8">
      <c r="A747" s="352"/>
    </row>
    <row r="748" spans="1:1" ht="13.8">
      <c r="A748" s="352"/>
    </row>
    <row r="749" spans="1:1" ht="13.8">
      <c r="A749" s="352"/>
    </row>
    <row r="750" spans="1:1" ht="13.8">
      <c r="A750" s="352"/>
    </row>
    <row r="751" spans="1:1" ht="13.8">
      <c r="A751" s="352"/>
    </row>
    <row r="752" spans="1:1" ht="13.8">
      <c r="A752" s="352"/>
    </row>
    <row r="753" spans="1:1" ht="13.8">
      <c r="A753" s="352"/>
    </row>
    <row r="754" spans="1:1" ht="13.8">
      <c r="A754" s="352"/>
    </row>
  </sheetData>
  <hyperlinks>
    <hyperlink ref="L2" r:id="rId1" xr:uid="{5C613B11-0AAC-400F-A6F4-8B1BD3260F82}"/>
    <hyperlink ref="L3" r:id="rId2" xr:uid="{D10CC7A5-386A-4F84-9368-ACE7898781E3}"/>
    <hyperlink ref="L4" r:id="rId3" xr:uid="{1ACD8035-B65F-4464-907F-C21982287A57}"/>
    <hyperlink ref="L5" r:id="rId4" xr:uid="{63AE7153-A5C4-4E27-BE41-C46AAB027BEE}"/>
    <hyperlink ref="P3" r:id="rId5" xr:uid="{79D266CA-3F5B-4444-BA34-3383C4AE8CEE}"/>
    <hyperlink ref="P4" r:id="rId6" xr:uid="{B404A202-433D-4A77-8C11-2FF2BA4A9A53}"/>
    <hyperlink ref="P5" r:id="rId7" xr:uid="{C1523D8E-2F52-4F39-9969-57E939EA8DFA}"/>
    <hyperlink ref="L6" r:id="rId8" xr:uid="{403C97C6-9144-4178-BB87-853D0C221F21}"/>
    <hyperlink ref="L7" r:id="rId9" xr:uid="{9C137D46-A0CB-4B63-AAC6-59C70C4F6BE6}"/>
    <hyperlink ref="L8" r:id="rId10" xr:uid="{510B89A3-FD76-4771-8BA8-4ED617752CD6}"/>
    <hyperlink ref="L9" r:id="rId11" xr:uid="{1FA7E32F-E120-4BEA-8E64-0A0D6E8EFC52}"/>
    <hyperlink ref="L10" r:id="rId12" xr:uid="{259EB2AB-068E-4F0B-A383-98E57CD99FE1}"/>
    <hyperlink ref="L11" r:id="rId13" xr:uid="{3F59D24C-A978-438C-85E7-11C280773151}"/>
    <hyperlink ref="L12" r:id="rId14" xr:uid="{B8946E9F-0C8A-495C-A67E-39328411B1C9}"/>
    <hyperlink ref="L13" r:id="rId15" xr:uid="{C13826C1-95D5-4FCF-8E6A-BAFDC0EC45D9}"/>
    <hyperlink ref="L14" r:id="rId16" xr:uid="{90C44589-FE0E-443B-BCD8-EA42F8F3ABA6}"/>
    <hyperlink ref="L15" r:id="rId17" xr:uid="{AC77F321-5F36-4946-BD53-F639BACC348F}"/>
    <hyperlink ref="L16" r:id="rId18" xr:uid="{790A36E8-A34E-43C0-903C-9CD2847C58EF}"/>
    <hyperlink ref="L17" r:id="rId19" xr:uid="{866CAD7A-5F0B-4444-AE32-0FAEF5D94A7F}"/>
    <hyperlink ref="L18" r:id="rId20" xr:uid="{AFEF609D-F37F-4D25-852E-7F7880B0017A}"/>
    <hyperlink ref="L19" r:id="rId21" xr:uid="{BB97C2CD-ED44-44ED-9AAA-0B2A1DEE08C0}"/>
    <hyperlink ref="L20" r:id="rId22" xr:uid="{BA2268E6-93E4-48BE-8714-2EA56B712FB9}"/>
    <hyperlink ref="L21" r:id="rId23" xr:uid="{45382E8E-0C49-497E-8F86-187B7BC25CAB}"/>
    <hyperlink ref="L22" r:id="rId24" xr:uid="{11BA0E28-AE6B-4E06-91BF-535D761644E1}"/>
    <hyperlink ref="L23" r:id="rId25" xr:uid="{72A646A9-56C8-498F-B5BA-2B0534761BA0}"/>
    <hyperlink ref="P6" r:id="rId26" xr:uid="{83A0B600-82CB-48E5-95A9-0906CD9306C9}"/>
    <hyperlink ref="P7" r:id="rId27" xr:uid="{38591FC0-B5C1-475D-8C4F-4F37B590A4E4}"/>
    <hyperlink ref="P8" r:id="rId28" xr:uid="{E3AC878E-64E0-41DB-88C1-5352FAF7D5F5}"/>
    <hyperlink ref="P9" r:id="rId29" xr:uid="{0833D915-DA02-4801-8032-E5CF22E1A927}"/>
    <hyperlink ref="P10" r:id="rId30" xr:uid="{F037BF4F-C072-4E5B-9DD7-264938D35C74}"/>
    <hyperlink ref="P11" r:id="rId31" xr:uid="{643030D0-295A-4561-9601-97529427D419}"/>
    <hyperlink ref="P12" r:id="rId32" xr:uid="{87DFAB4C-870F-4FD7-80EA-5495FEF1917F}"/>
    <hyperlink ref="P13" r:id="rId33" xr:uid="{70242B8D-4701-4A48-B662-861D91C63402}"/>
    <hyperlink ref="P14" r:id="rId34" xr:uid="{BF1F4300-C27B-453F-AFB6-B0AF108AAC4C}"/>
    <hyperlink ref="P15" r:id="rId35" xr:uid="{EAFF76D3-E640-46D6-A233-2FA349B89DB3}"/>
    <hyperlink ref="P16" r:id="rId36" xr:uid="{C975CE77-76DE-4A46-9A26-69ABF0A3D573}"/>
    <hyperlink ref="P17" r:id="rId37" xr:uid="{A10438EB-AB83-41FB-B66E-445ADDF81B81}"/>
    <hyperlink ref="P18" r:id="rId38" xr:uid="{7096B414-659F-4225-9EBE-309CD36B5F05}"/>
    <hyperlink ref="P19" r:id="rId39" xr:uid="{1CD734EB-555B-495A-B98E-D5A91A5121BC}"/>
    <hyperlink ref="P20" r:id="rId40" xr:uid="{A8CD3D80-77DD-4243-84F3-A5E86A37EDF5}"/>
    <hyperlink ref="P21" r:id="rId41" xr:uid="{8A3E53DC-2D89-4953-95EC-2884892F6F57}"/>
    <hyperlink ref="P22" r:id="rId42" xr:uid="{FED2E03F-DFA9-4B14-B793-E2E9A229FC3C}"/>
    <hyperlink ref="P23" r:id="rId43" xr:uid="{18449F5F-5A7F-4B77-9E65-14A8706169BA}"/>
    <hyperlink ref="C27" r:id="rId44" xr:uid="{3F076756-C360-44B2-B348-5CA27DBE3B75}"/>
    <hyperlink ref="C26" r:id="rId45" xr:uid="{B047845A-51D2-42A7-B06C-02B97798FFBA}"/>
    <hyperlink ref="C25" r:id="rId46" xr:uid="{7EE8293F-3FE6-4999-A73F-68E0323A1409}"/>
    <hyperlink ref="C24" r:id="rId47" xr:uid="{0F577D1D-6650-4B91-8AA1-C4FA2237A24C}"/>
    <hyperlink ref="C23" r:id="rId48" xr:uid="{52FE9FF7-174B-4D63-8FD5-E881CA57B586}"/>
    <hyperlink ref="C22" r:id="rId49" xr:uid="{62B74B1C-52CF-413D-A415-8925A741D06D}"/>
    <hyperlink ref="C21" r:id="rId50" xr:uid="{A7A179BD-5579-42CE-B3BF-012331D62F40}"/>
    <hyperlink ref="C20" r:id="rId51" xr:uid="{DCCA2F6D-4D39-4A06-A622-3EE85D4FC6AA}"/>
    <hyperlink ref="C19" r:id="rId52" xr:uid="{BDC9467D-CBCC-4699-9FD3-31AB0B4AACAC}"/>
    <hyperlink ref="C18" r:id="rId53" xr:uid="{6AB743D6-077A-4CFD-9744-4B8FD30D8919}"/>
    <hyperlink ref="C17" r:id="rId54" xr:uid="{3FA28EEA-3164-46D6-9A7A-3E74D955387C}"/>
    <hyperlink ref="C16" r:id="rId55" xr:uid="{3B4CFFD3-30FD-4033-92F9-9342A5F6164C}"/>
    <hyperlink ref="C15" r:id="rId56" xr:uid="{8ECA01E2-4FDB-458A-B773-6B2F3A9C43DF}"/>
    <hyperlink ref="C14" r:id="rId57" xr:uid="{AEC6183C-4FEB-40FB-AC32-7ADB2F37D63D}"/>
    <hyperlink ref="C13" r:id="rId58" xr:uid="{C3E5F3B2-DD79-4595-A73F-84EF6C07D29B}"/>
    <hyperlink ref="C12" r:id="rId59" xr:uid="{80381C06-EE9F-416C-9B0C-AEB84B0DA5E5}"/>
    <hyperlink ref="C11" r:id="rId60" xr:uid="{EBB21C19-9373-42BF-ABCF-AC227D485726}"/>
    <hyperlink ref="C10" r:id="rId61" xr:uid="{F4D67DF9-005A-4141-A30C-3FF0BA64904F}"/>
    <hyperlink ref="C9" r:id="rId62" xr:uid="{FD7AF252-11B0-47E9-B743-53BCBC3C5010}"/>
    <hyperlink ref="C8" r:id="rId63" xr:uid="{97257B81-6FA5-41C8-9BD4-A77BB68B4508}"/>
    <hyperlink ref="C7" r:id="rId64" xr:uid="{F16ECF01-A256-42DF-83EE-612C59D6DC07}"/>
    <hyperlink ref="C6" r:id="rId65" xr:uid="{D5526482-D29F-4017-A9A4-8A2D0DF5ADD9}"/>
    <hyperlink ref="C5" r:id="rId66" xr:uid="{3C6CDB34-D3AA-4DA5-9746-23A02BF18046}"/>
    <hyperlink ref="C4" r:id="rId67" xr:uid="{4374EC16-7B70-4099-A768-051B1B34BAF7}"/>
    <hyperlink ref="C3" r:id="rId68" xr:uid="{ECFF03B7-8B42-472E-B520-D5F8015CEE90}"/>
    <hyperlink ref="C2" r:id="rId69" xr:uid="{66A440A3-13BD-457E-AC12-B237FB47B0B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37"/>
  <sheetViews>
    <sheetView workbookViewId="0">
      <pane ySplit="1" topLeftCell="A8" activePane="bottomLeft" state="frozen"/>
      <selection pane="bottomLeft" activeCell="C24" sqref="C24"/>
    </sheetView>
  </sheetViews>
  <sheetFormatPr defaultColWidth="12.6640625" defaultRowHeight="15.75" customHeight="1"/>
  <cols>
    <col min="1" max="1" width="7.21875" customWidth="1"/>
    <col min="2" max="2" width="13.109375" customWidth="1"/>
    <col min="3" max="3" width="83.33203125" bestFit="1" customWidth="1"/>
    <col min="4" max="4" width="58.6640625" customWidth="1"/>
    <col min="7" max="7" width="18.21875" customWidth="1"/>
    <col min="8" max="8" width="13.44140625" bestFit="1" customWidth="1"/>
    <col min="9" max="9" width="37.33203125" bestFit="1" customWidth="1"/>
    <col min="14" max="14" width="13.33203125" bestFit="1" customWidth="1"/>
  </cols>
  <sheetData>
    <row r="1" spans="1:42" ht="20.25" customHeight="1">
      <c r="A1" s="2" t="s">
        <v>1</v>
      </c>
      <c r="B1" s="2"/>
      <c r="C1" s="2"/>
      <c r="D1" s="2" t="s">
        <v>639</v>
      </c>
      <c r="E1" s="2" t="s">
        <v>8285</v>
      </c>
      <c r="F1" s="2" t="s">
        <v>4</v>
      </c>
      <c r="G1" s="2" t="s">
        <v>5</v>
      </c>
      <c r="H1" s="2" t="s">
        <v>6</v>
      </c>
      <c r="I1" s="2" t="s">
        <v>7</v>
      </c>
      <c r="J1" s="2" t="s">
        <v>8</v>
      </c>
      <c r="K1" s="2" t="s">
        <v>9</v>
      </c>
      <c r="L1" s="2" t="s">
        <v>10</v>
      </c>
      <c r="M1" s="2" t="s">
        <v>11</v>
      </c>
      <c r="N1" s="1" t="s">
        <v>12</v>
      </c>
      <c r="O1" s="2" t="s">
        <v>13</v>
      </c>
      <c r="P1" s="2" t="s">
        <v>14</v>
      </c>
      <c r="Q1" s="2" t="s">
        <v>15</v>
      </c>
      <c r="R1" s="2" t="s">
        <v>16</v>
      </c>
      <c r="S1" s="3" t="s">
        <v>17</v>
      </c>
      <c r="T1" s="3" t="s">
        <v>18</v>
      </c>
      <c r="U1" s="3" t="s">
        <v>19</v>
      </c>
      <c r="V1" s="3" t="s">
        <v>20</v>
      </c>
      <c r="W1" s="4" t="s">
        <v>21</v>
      </c>
      <c r="X1" s="4" t="s">
        <v>22</v>
      </c>
      <c r="Y1" s="5" t="s">
        <v>23</v>
      </c>
      <c r="Z1" s="5" t="s">
        <v>24</v>
      </c>
      <c r="AA1" s="5" t="s">
        <v>25</v>
      </c>
      <c r="AB1" s="5" t="s">
        <v>26</v>
      </c>
      <c r="AC1" s="5" t="s">
        <v>27</v>
      </c>
      <c r="AD1" s="5"/>
      <c r="AE1" s="5" t="s">
        <v>28</v>
      </c>
      <c r="AF1" s="5"/>
      <c r="AG1" s="5" t="s">
        <v>29</v>
      </c>
      <c r="AH1" s="5"/>
      <c r="AI1" s="5" t="s">
        <v>30</v>
      </c>
      <c r="AJ1" s="5"/>
      <c r="AK1" s="5" t="s">
        <v>31</v>
      </c>
      <c r="AL1" s="5"/>
      <c r="AM1" s="5" t="s">
        <v>32</v>
      </c>
      <c r="AN1" s="5"/>
      <c r="AO1" s="5" t="s">
        <v>33</v>
      </c>
      <c r="AP1" s="5"/>
    </row>
    <row r="2" spans="1:42" ht="20.25" customHeight="1">
      <c r="A2" s="25">
        <v>56</v>
      </c>
      <c r="B2" s="70" t="s">
        <v>130</v>
      </c>
      <c r="C2" s="26" t="s">
        <v>641</v>
      </c>
      <c r="D2" s="28" t="s">
        <v>642</v>
      </c>
      <c r="E2" s="28">
        <v>823</v>
      </c>
      <c r="F2" s="29" t="s">
        <v>643</v>
      </c>
      <c r="G2" s="30" t="s">
        <v>644</v>
      </c>
      <c r="H2" s="29" t="s">
        <v>39</v>
      </c>
      <c r="I2" s="30" t="s">
        <v>645</v>
      </c>
      <c r="J2" s="30" t="s">
        <v>646</v>
      </c>
      <c r="K2" s="30" t="s">
        <v>647</v>
      </c>
      <c r="L2" s="30" t="s">
        <v>44</v>
      </c>
      <c r="M2" s="31">
        <v>9833788744</v>
      </c>
      <c r="N2" s="29" t="s">
        <v>44</v>
      </c>
      <c r="O2" s="31">
        <v>9833788744</v>
      </c>
      <c r="P2" s="30" t="s">
        <v>44</v>
      </c>
      <c r="Q2" s="29" t="s">
        <v>648</v>
      </c>
      <c r="R2" s="25" t="s">
        <v>47</v>
      </c>
      <c r="S2" s="29" t="s">
        <v>395</v>
      </c>
      <c r="T2" s="29" t="s">
        <v>395</v>
      </c>
      <c r="U2" s="29" t="s">
        <v>395</v>
      </c>
      <c r="V2" s="29" t="s">
        <v>395</v>
      </c>
      <c r="W2" s="28" t="s">
        <v>71</v>
      </c>
      <c r="X2" s="28" t="s">
        <v>71</v>
      </c>
      <c r="Y2" s="25"/>
      <c r="Z2" s="25"/>
      <c r="AA2" s="25"/>
      <c r="AB2" s="25"/>
      <c r="AC2" s="25"/>
      <c r="AD2" s="25"/>
      <c r="AE2" s="25"/>
      <c r="AF2" s="25"/>
      <c r="AG2" s="25"/>
      <c r="AH2" s="25"/>
      <c r="AI2" s="25"/>
      <c r="AJ2" s="25"/>
      <c r="AK2" s="25"/>
      <c r="AL2" s="25"/>
      <c r="AM2" s="25"/>
      <c r="AN2" s="25"/>
      <c r="AO2" s="25"/>
      <c r="AP2" s="25"/>
    </row>
    <row r="3" spans="1:42" ht="13.8">
      <c r="A3" s="25">
        <v>57</v>
      </c>
      <c r="B3" s="70" t="s">
        <v>130</v>
      </c>
      <c r="C3" s="26" t="s">
        <v>649</v>
      </c>
      <c r="D3" s="28" t="s">
        <v>650</v>
      </c>
      <c r="E3" s="28">
        <v>824</v>
      </c>
      <c r="F3" s="29" t="s">
        <v>651</v>
      </c>
      <c r="G3" s="30" t="s">
        <v>652</v>
      </c>
      <c r="H3" s="29" t="s">
        <v>39</v>
      </c>
      <c r="I3" s="29" t="s">
        <v>44</v>
      </c>
      <c r="J3" s="30" t="s">
        <v>653</v>
      </c>
      <c r="K3" s="30" t="s">
        <v>44</v>
      </c>
      <c r="L3" s="30" t="s">
        <v>44</v>
      </c>
      <c r="M3" s="63">
        <v>9945309551</v>
      </c>
      <c r="N3" s="29" t="s">
        <v>44</v>
      </c>
      <c r="O3" s="63">
        <v>9945309551</v>
      </c>
      <c r="P3" s="30" t="s">
        <v>44</v>
      </c>
      <c r="Q3" s="30" t="s">
        <v>44</v>
      </c>
      <c r="R3" s="25" t="s">
        <v>47</v>
      </c>
      <c r="S3" s="51" t="s">
        <v>464</v>
      </c>
      <c r="T3" s="51" t="s">
        <v>465</v>
      </c>
      <c r="U3" s="51" t="s">
        <v>466</v>
      </c>
      <c r="V3" s="51" t="s">
        <v>465</v>
      </c>
      <c r="W3" s="28" t="s">
        <v>71</v>
      </c>
      <c r="X3" s="28" t="s">
        <v>71</v>
      </c>
      <c r="Y3" s="25"/>
      <c r="Z3" s="25"/>
      <c r="AA3" s="25"/>
      <c r="AB3" s="25"/>
      <c r="AC3" s="25"/>
      <c r="AD3" s="25"/>
      <c r="AE3" s="25"/>
      <c r="AF3" s="25"/>
      <c r="AG3" s="25"/>
      <c r="AH3" s="25"/>
      <c r="AI3" s="25"/>
      <c r="AJ3" s="25"/>
      <c r="AK3" s="25"/>
      <c r="AL3" s="25"/>
      <c r="AM3" s="25"/>
      <c r="AN3" s="25"/>
      <c r="AO3" s="25"/>
      <c r="AP3" s="25"/>
    </row>
    <row r="4" spans="1:42" ht="13.8">
      <c r="A4" s="6">
        <v>58</v>
      </c>
      <c r="B4" s="71" t="s">
        <v>130</v>
      </c>
      <c r="C4" s="7" t="s">
        <v>654</v>
      </c>
      <c r="D4" s="16" t="s">
        <v>655</v>
      </c>
      <c r="E4" s="17">
        <v>825</v>
      </c>
      <c r="F4" s="72" t="s">
        <v>656</v>
      </c>
      <c r="G4" s="19" t="s">
        <v>657</v>
      </c>
      <c r="H4" s="18" t="s">
        <v>39</v>
      </c>
      <c r="I4" s="19" t="s">
        <v>658</v>
      </c>
      <c r="J4" s="19" t="s">
        <v>659</v>
      </c>
      <c r="K4" s="19" t="s">
        <v>660</v>
      </c>
      <c r="L4" s="19" t="s">
        <v>44</v>
      </c>
      <c r="M4" s="73">
        <v>9321234527</v>
      </c>
      <c r="N4" s="18" t="s">
        <v>44</v>
      </c>
      <c r="O4" s="73">
        <v>9321234527</v>
      </c>
      <c r="P4" s="22" t="s">
        <v>661</v>
      </c>
      <c r="Q4" s="19" t="s">
        <v>44</v>
      </c>
      <c r="R4" s="6" t="s">
        <v>47</v>
      </c>
      <c r="S4" s="18" t="s">
        <v>395</v>
      </c>
      <c r="T4" s="18" t="s">
        <v>395</v>
      </c>
      <c r="U4" s="18" t="s">
        <v>395</v>
      </c>
      <c r="V4" s="18" t="s">
        <v>395</v>
      </c>
      <c r="W4" s="17" t="s">
        <v>71</v>
      </c>
      <c r="X4" s="17" t="s">
        <v>71</v>
      </c>
      <c r="Y4" s="6"/>
      <c r="Z4" s="6"/>
      <c r="AA4" s="6"/>
      <c r="AB4" s="6"/>
      <c r="AC4" s="6"/>
      <c r="AD4" s="6"/>
      <c r="AE4" s="6"/>
      <c r="AF4" s="6"/>
      <c r="AG4" s="6"/>
      <c r="AH4" s="6"/>
      <c r="AI4" s="6"/>
      <c r="AJ4" s="6"/>
      <c r="AK4" s="6"/>
      <c r="AL4" s="6"/>
      <c r="AM4" s="6"/>
      <c r="AN4" s="6"/>
      <c r="AO4" s="6"/>
      <c r="AP4" s="6"/>
    </row>
    <row r="5" spans="1:42" ht="16.8">
      <c r="A5" s="25">
        <v>59</v>
      </c>
      <c r="B5" s="70" t="s">
        <v>130</v>
      </c>
      <c r="C5" s="26" t="s">
        <v>662</v>
      </c>
      <c r="D5" s="28" t="s">
        <v>663</v>
      </c>
      <c r="E5" s="28">
        <v>828</v>
      </c>
      <c r="F5" s="29" t="s">
        <v>664</v>
      </c>
      <c r="G5" s="30" t="s">
        <v>665</v>
      </c>
      <c r="H5" s="29" t="s">
        <v>39</v>
      </c>
      <c r="I5" s="31" t="s">
        <v>666</v>
      </c>
      <c r="J5" s="30" t="s">
        <v>667</v>
      </c>
      <c r="K5" s="31" t="s">
        <v>668</v>
      </c>
      <c r="L5" s="30" t="s">
        <v>44</v>
      </c>
      <c r="M5" s="30">
        <v>9820720122</v>
      </c>
      <c r="N5" s="29">
        <v>9372006943</v>
      </c>
      <c r="O5" s="30">
        <v>9820720122</v>
      </c>
      <c r="P5" s="33" t="s">
        <v>669</v>
      </c>
      <c r="Q5" s="29" t="s">
        <v>670</v>
      </c>
      <c r="R5" s="25" t="s">
        <v>47</v>
      </c>
      <c r="S5" s="51" t="s">
        <v>170</v>
      </c>
      <c r="T5" s="51" t="s">
        <v>49</v>
      </c>
      <c r="U5" s="51" t="s">
        <v>671</v>
      </c>
      <c r="V5" s="51" t="s">
        <v>672</v>
      </c>
      <c r="W5" s="28" t="s">
        <v>71</v>
      </c>
      <c r="X5" s="28" t="s">
        <v>71</v>
      </c>
      <c r="Y5" s="25"/>
      <c r="Z5" s="25"/>
      <c r="AA5" s="25"/>
      <c r="AB5" s="25"/>
      <c r="AC5" s="25"/>
      <c r="AD5" s="25"/>
      <c r="AE5" s="25"/>
      <c r="AF5" s="25"/>
      <c r="AG5" s="25"/>
      <c r="AH5" s="25"/>
      <c r="AI5" s="25"/>
      <c r="AJ5" s="25"/>
      <c r="AK5" s="25"/>
      <c r="AL5" s="25"/>
      <c r="AM5" s="25"/>
      <c r="AN5" s="25"/>
      <c r="AO5" s="25"/>
      <c r="AP5" s="25"/>
    </row>
    <row r="6" spans="1:42" ht="16.8">
      <c r="A6" s="25">
        <v>60</v>
      </c>
      <c r="B6" s="70" t="s">
        <v>130</v>
      </c>
      <c r="C6" s="26" t="s">
        <v>673</v>
      </c>
      <c r="D6" s="28" t="s">
        <v>674</v>
      </c>
      <c r="E6" s="28">
        <v>829</v>
      </c>
      <c r="F6" s="29" t="s">
        <v>675</v>
      </c>
      <c r="G6" s="30" t="s">
        <v>676</v>
      </c>
      <c r="H6" s="29" t="s">
        <v>39</v>
      </c>
      <c r="I6" s="31" t="s">
        <v>677</v>
      </c>
      <c r="J6" s="30" t="s">
        <v>678</v>
      </c>
      <c r="K6" s="30" t="s">
        <v>534</v>
      </c>
      <c r="L6" s="30" t="s">
        <v>679</v>
      </c>
      <c r="M6" s="31">
        <v>9833533469</v>
      </c>
      <c r="N6" s="29">
        <v>8779305431</v>
      </c>
      <c r="O6" s="31">
        <v>9833533469</v>
      </c>
      <c r="P6" s="33" t="s">
        <v>680</v>
      </c>
      <c r="Q6" s="30" t="s">
        <v>44</v>
      </c>
      <c r="R6" s="25" t="s">
        <v>47</v>
      </c>
      <c r="S6" s="51" t="s">
        <v>681</v>
      </c>
      <c r="T6" s="51" t="s">
        <v>682</v>
      </c>
      <c r="U6" s="51" t="s">
        <v>683</v>
      </c>
      <c r="V6" s="51" t="s">
        <v>684</v>
      </c>
      <c r="W6" s="28" t="s">
        <v>71</v>
      </c>
      <c r="X6" s="28" t="s">
        <v>71</v>
      </c>
      <c r="Y6" s="25"/>
      <c r="Z6" s="25"/>
      <c r="AA6" s="25"/>
      <c r="AB6" s="25"/>
      <c r="AC6" s="25"/>
      <c r="AD6" s="25"/>
      <c r="AE6" s="25"/>
      <c r="AF6" s="25"/>
      <c r="AG6" s="25"/>
      <c r="AH6" s="25"/>
      <c r="AI6" s="25"/>
      <c r="AJ6" s="25"/>
      <c r="AK6" s="25"/>
      <c r="AL6" s="25"/>
      <c r="AM6" s="25"/>
      <c r="AN6" s="25"/>
      <c r="AO6" s="25"/>
      <c r="AP6" s="25"/>
    </row>
    <row r="7" spans="1:42" ht="16.8">
      <c r="A7" s="25">
        <v>61</v>
      </c>
      <c r="B7" s="70" t="s">
        <v>130</v>
      </c>
      <c r="C7" s="26" t="s">
        <v>685</v>
      </c>
      <c r="D7" s="28" t="s">
        <v>686</v>
      </c>
      <c r="E7" s="28">
        <v>830</v>
      </c>
      <c r="F7" s="29" t="s">
        <v>687</v>
      </c>
      <c r="G7" s="31" t="s">
        <v>688</v>
      </c>
      <c r="H7" s="29" t="s">
        <v>39</v>
      </c>
      <c r="I7" s="31" t="s">
        <v>689</v>
      </c>
      <c r="J7" s="31" t="s">
        <v>690</v>
      </c>
      <c r="K7" s="31" t="s">
        <v>42</v>
      </c>
      <c r="L7" s="59" t="s">
        <v>691</v>
      </c>
      <c r="M7" s="31">
        <v>9870942711</v>
      </c>
      <c r="N7" s="29" t="s">
        <v>44</v>
      </c>
      <c r="O7" s="31">
        <v>9870942711</v>
      </c>
      <c r="P7" s="30" t="s">
        <v>44</v>
      </c>
      <c r="Q7" s="62" t="s">
        <v>692</v>
      </c>
      <c r="R7" s="25" t="s">
        <v>47</v>
      </c>
      <c r="S7" s="51" t="s">
        <v>170</v>
      </c>
      <c r="T7" s="51" t="s">
        <v>49</v>
      </c>
      <c r="U7" s="51" t="s">
        <v>197</v>
      </c>
      <c r="V7" s="51" t="s">
        <v>49</v>
      </c>
      <c r="W7" s="28" t="s">
        <v>71</v>
      </c>
      <c r="X7" s="28" t="s">
        <v>693</v>
      </c>
      <c r="Y7" s="25"/>
      <c r="Z7" s="25"/>
      <c r="AA7" s="25"/>
      <c r="AB7" s="25"/>
      <c r="AC7" s="25"/>
      <c r="AD7" s="25"/>
      <c r="AE7" s="25"/>
      <c r="AF7" s="25"/>
      <c r="AG7" s="25"/>
      <c r="AH7" s="25"/>
      <c r="AI7" s="25"/>
      <c r="AJ7" s="25"/>
      <c r="AK7" s="25"/>
      <c r="AL7" s="25"/>
      <c r="AM7" s="25"/>
      <c r="AN7" s="25"/>
      <c r="AO7" s="25"/>
      <c r="AP7" s="25"/>
    </row>
    <row r="8" spans="1:42" ht="16.8">
      <c r="A8" s="25">
        <v>62</v>
      </c>
      <c r="B8" s="70" t="s">
        <v>130</v>
      </c>
      <c r="C8" s="26" t="s">
        <v>694</v>
      </c>
      <c r="D8" s="28" t="s">
        <v>695</v>
      </c>
      <c r="E8" s="28">
        <v>831</v>
      </c>
      <c r="F8" s="60" t="s">
        <v>696</v>
      </c>
      <c r="G8" s="31" t="s">
        <v>697</v>
      </c>
      <c r="H8" s="29" t="s">
        <v>39</v>
      </c>
      <c r="I8" s="31" t="s">
        <v>689</v>
      </c>
      <c r="J8" s="31" t="s">
        <v>698</v>
      </c>
      <c r="K8" s="31" t="s">
        <v>42</v>
      </c>
      <c r="L8" s="59" t="s">
        <v>691</v>
      </c>
      <c r="M8" s="31">
        <v>8976864436</v>
      </c>
      <c r="N8" s="54">
        <v>7021627453</v>
      </c>
      <c r="O8" s="31">
        <v>8976864436</v>
      </c>
      <c r="P8" s="30" t="s">
        <v>44</v>
      </c>
      <c r="Q8" s="62" t="s">
        <v>692</v>
      </c>
      <c r="R8" s="25" t="s">
        <v>47</v>
      </c>
      <c r="S8" s="51" t="s">
        <v>300</v>
      </c>
      <c r="T8" s="51" t="s">
        <v>301</v>
      </c>
      <c r="U8" s="51" t="s">
        <v>699</v>
      </c>
      <c r="V8" s="51" t="s">
        <v>301</v>
      </c>
      <c r="W8" s="28" t="s">
        <v>71</v>
      </c>
      <c r="X8" s="28" t="s">
        <v>693</v>
      </c>
      <c r="Y8" s="25"/>
      <c r="Z8" s="25"/>
      <c r="AA8" s="25"/>
      <c r="AB8" s="25"/>
      <c r="AC8" s="25"/>
      <c r="AD8" s="25"/>
      <c r="AE8" s="25"/>
      <c r="AF8" s="25"/>
      <c r="AG8" s="25"/>
      <c r="AH8" s="25"/>
      <c r="AI8" s="25"/>
      <c r="AJ8" s="25"/>
      <c r="AK8" s="25"/>
      <c r="AL8" s="25"/>
      <c r="AM8" s="25"/>
      <c r="AN8" s="25"/>
      <c r="AO8" s="25"/>
      <c r="AP8" s="25"/>
    </row>
    <row r="9" spans="1:42" ht="13.8">
      <c r="A9" s="25">
        <v>63</v>
      </c>
      <c r="B9" s="70" t="s">
        <v>130</v>
      </c>
      <c r="C9" s="26" t="s">
        <v>700</v>
      </c>
      <c r="D9" s="28" t="s">
        <v>701</v>
      </c>
      <c r="E9" s="28">
        <v>833</v>
      </c>
      <c r="F9" s="74" t="s">
        <v>702</v>
      </c>
      <c r="G9" s="75" t="s">
        <v>703</v>
      </c>
      <c r="H9" s="29" t="s">
        <v>39</v>
      </c>
      <c r="I9" s="75" t="s">
        <v>704</v>
      </c>
      <c r="J9" s="75" t="s">
        <v>705</v>
      </c>
      <c r="K9" s="75" t="s">
        <v>706</v>
      </c>
      <c r="L9" s="30" t="s">
        <v>44</v>
      </c>
      <c r="M9" s="75">
        <v>8169607878</v>
      </c>
      <c r="N9" s="29" t="s">
        <v>44</v>
      </c>
      <c r="O9" s="75">
        <v>8169607878</v>
      </c>
      <c r="P9" s="30" t="s">
        <v>44</v>
      </c>
      <c r="Q9" s="74" t="s">
        <v>707</v>
      </c>
      <c r="R9" s="25" t="s">
        <v>47</v>
      </c>
      <c r="S9" s="29" t="s">
        <v>395</v>
      </c>
      <c r="T9" s="29" t="s">
        <v>395</v>
      </c>
      <c r="U9" s="29" t="s">
        <v>395</v>
      </c>
      <c r="V9" s="29" t="s">
        <v>395</v>
      </c>
      <c r="W9" s="28" t="s">
        <v>71</v>
      </c>
      <c r="X9" s="28" t="s">
        <v>561</v>
      </c>
      <c r="Y9" s="25"/>
      <c r="Z9" s="25"/>
      <c r="AA9" s="25"/>
      <c r="AB9" s="25"/>
      <c r="AC9" s="25"/>
      <c r="AD9" s="25"/>
      <c r="AE9" s="25"/>
      <c r="AF9" s="25"/>
      <c r="AG9" s="25"/>
      <c r="AH9" s="25"/>
      <c r="AI9" s="25"/>
      <c r="AJ9" s="25"/>
      <c r="AK9" s="25"/>
      <c r="AL9" s="25"/>
      <c r="AM9" s="25"/>
      <c r="AN9" s="25"/>
      <c r="AO9" s="25"/>
      <c r="AP9" s="25"/>
    </row>
    <row r="10" spans="1:42" ht="16.8">
      <c r="A10" s="25">
        <v>64</v>
      </c>
      <c r="B10" s="70" t="s">
        <v>708</v>
      </c>
      <c r="C10" s="26" t="s">
        <v>709</v>
      </c>
      <c r="D10" s="28" t="s">
        <v>710</v>
      </c>
      <c r="E10" s="28">
        <v>835</v>
      </c>
      <c r="F10" s="60" t="s">
        <v>711</v>
      </c>
      <c r="G10" s="31" t="s">
        <v>712</v>
      </c>
      <c r="H10" s="29" t="s">
        <v>39</v>
      </c>
      <c r="I10" s="31" t="s">
        <v>710</v>
      </c>
      <c r="J10" s="31" t="s">
        <v>713</v>
      </c>
      <c r="K10" s="31" t="s">
        <v>507</v>
      </c>
      <c r="L10" s="30" t="s">
        <v>714</v>
      </c>
      <c r="M10" s="31">
        <v>7666820738</v>
      </c>
      <c r="N10" s="54">
        <v>9324725176</v>
      </c>
      <c r="O10" s="31">
        <v>7666820738</v>
      </c>
      <c r="P10" s="29"/>
      <c r="Q10" s="76" t="s">
        <v>715</v>
      </c>
      <c r="R10" s="25" t="s">
        <v>47</v>
      </c>
      <c r="S10" s="29" t="s">
        <v>716</v>
      </c>
      <c r="T10" s="51" t="s">
        <v>48</v>
      </c>
      <c r="U10" s="51" t="s">
        <v>717</v>
      </c>
      <c r="V10" s="51" t="s">
        <v>718</v>
      </c>
      <c r="W10" s="28" t="s">
        <v>71</v>
      </c>
      <c r="X10" s="28" t="s">
        <v>71</v>
      </c>
      <c r="Y10" s="25"/>
      <c r="Z10" s="25"/>
      <c r="AA10" s="25"/>
      <c r="AB10" s="25"/>
      <c r="AC10" s="25"/>
      <c r="AD10" s="25"/>
      <c r="AE10" s="25"/>
      <c r="AF10" s="25"/>
      <c r="AG10" s="25"/>
      <c r="AH10" s="25"/>
      <c r="AI10" s="25"/>
      <c r="AJ10" s="25"/>
      <c r="AK10" s="25"/>
      <c r="AL10" s="25"/>
      <c r="AM10" s="25"/>
      <c r="AN10" s="25"/>
      <c r="AO10" s="25"/>
      <c r="AP10" s="25"/>
    </row>
    <row r="11" spans="1:42" ht="16.8">
      <c r="A11" s="25">
        <v>65</v>
      </c>
      <c r="B11" s="70" t="s">
        <v>708</v>
      </c>
      <c r="C11" s="26" t="s">
        <v>719</v>
      </c>
      <c r="D11" s="28" t="s">
        <v>720</v>
      </c>
      <c r="E11" s="28">
        <v>836</v>
      </c>
      <c r="F11" s="77" t="s">
        <v>721</v>
      </c>
      <c r="G11" s="78" t="s">
        <v>722</v>
      </c>
      <c r="H11" s="29" t="s">
        <v>39</v>
      </c>
      <c r="I11" s="79" t="s">
        <v>723</v>
      </c>
      <c r="J11" s="79" t="s">
        <v>724</v>
      </c>
      <c r="K11" s="79" t="s">
        <v>725</v>
      </c>
      <c r="L11" s="79" t="s">
        <v>726</v>
      </c>
      <c r="M11" s="79">
        <v>7021480916</v>
      </c>
      <c r="N11" s="29" t="s">
        <v>44</v>
      </c>
      <c r="O11" s="79">
        <v>7021480916</v>
      </c>
      <c r="P11" s="30" t="s">
        <v>44</v>
      </c>
      <c r="Q11" s="30" t="s">
        <v>44</v>
      </c>
      <c r="R11" s="25" t="s">
        <v>47</v>
      </c>
      <c r="S11" s="51" t="s">
        <v>727</v>
      </c>
      <c r="T11" s="51" t="s">
        <v>728</v>
      </c>
      <c r="U11" s="51" t="s">
        <v>727</v>
      </c>
      <c r="V11" s="51" t="s">
        <v>728</v>
      </c>
      <c r="W11" s="28" t="s">
        <v>71</v>
      </c>
      <c r="X11" s="28" t="s">
        <v>71</v>
      </c>
      <c r="Y11" s="25"/>
      <c r="Z11" s="25"/>
      <c r="AA11" s="25"/>
      <c r="AB11" s="25"/>
      <c r="AC11" s="25"/>
      <c r="AD11" s="25"/>
      <c r="AE11" s="25"/>
      <c r="AF11" s="25"/>
      <c r="AG11" s="25"/>
      <c r="AH11" s="25"/>
      <c r="AI11" s="25"/>
      <c r="AJ11" s="25"/>
      <c r="AK11" s="25"/>
      <c r="AL11" s="25"/>
      <c r="AM11" s="25"/>
      <c r="AN11" s="25"/>
      <c r="AO11" s="25"/>
      <c r="AP11" s="25"/>
    </row>
    <row r="12" spans="1:42" ht="16.8">
      <c r="A12" s="6">
        <v>66</v>
      </c>
      <c r="B12" s="71" t="s">
        <v>130</v>
      </c>
      <c r="C12" s="7" t="s">
        <v>729</v>
      </c>
      <c r="D12" s="17" t="s">
        <v>730</v>
      </c>
      <c r="E12" s="17">
        <v>837</v>
      </c>
      <c r="F12" s="80" t="s">
        <v>731</v>
      </c>
      <c r="G12" s="20" t="s">
        <v>732</v>
      </c>
      <c r="H12" s="18" t="s">
        <v>39</v>
      </c>
      <c r="I12" s="20" t="s">
        <v>733</v>
      </c>
      <c r="J12" s="20" t="s">
        <v>734</v>
      </c>
      <c r="K12" s="20" t="s">
        <v>78</v>
      </c>
      <c r="L12" s="18"/>
      <c r="M12" s="20">
        <f>491633243522</f>
        <v>491633243522</v>
      </c>
      <c r="N12" s="18" t="s">
        <v>44</v>
      </c>
      <c r="O12" s="20">
        <f>491633243522</f>
        <v>491633243522</v>
      </c>
      <c r="P12" s="19" t="s">
        <v>44</v>
      </c>
      <c r="Q12" s="19" t="s">
        <v>44</v>
      </c>
      <c r="R12" s="6" t="s">
        <v>47</v>
      </c>
      <c r="S12" s="18" t="s">
        <v>395</v>
      </c>
      <c r="T12" s="18" t="s">
        <v>395</v>
      </c>
      <c r="U12" s="18" t="s">
        <v>395</v>
      </c>
      <c r="V12" s="18" t="s">
        <v>395</v>
      </c>
      <c r="W12" s="17" t="s">
        <v>71</v>
      </c>
      <c r="X12" s="17" t="s">
        <v>71</v>
      </c>
      <c r="Y12" s="6"/>
      <c r="Z12" s="6"/>
      <c r="AA12" s="6"/>
      <c r="AB12" s="6"/>
      <c r="AC12" s="6"/>
      <c r="AD12" s="6"/>
      <c r="AE12" s="6"/>
      <c r="AF12" s="6"/>
      <c r="AG12" s="6"/>
      <c r="AH12" s="6"/>
      <c r="AI12" s="6"/>
      <c r="AJ12" s="6"/>
      <c r="AK12" s="6"/>
      <c r="AL12" s="6"/>
      <c r="AM12" s="6"/>
      <c r="AN12" s="6"/>
      <c r="AO12" s="6"/>
      <c r="AP12" s="6"/>
    </row>
    <row r="13" spans="1:42" ht="15.6">
      <c r="A13" s="25">
        <v>67</v>
      </c>
      <c r="B13" s="70" t="s">
        <v>130</v>
      </c>
      <c r="C13" s="26" t="s">
        <v>735</v>
      </c>
      <c r="D13" s="28" t="s">
        <v>736</v>
      </c>
      <c r="E13" s="28">
        <v>838</v>
      </c>
      <c r="F13" s="81" t="s">
        <v>737</v>
      </c>
      <c r="G13" s="82" t="s">
        <v>738</v>
      </c>
      <c r="H13" s="29" t="s">
        <v>39</v>
      </c>
      <c r="I13" s="82" t="s">
        <v>739</v>
      </c>
      <c r="J13" s="82" t="s">
        <v>740</v>
      </c>
      <c r="K13" s="82" t="s">
        <v>260</v>
      </c>
      <c r="L13" s="83" t="s">
        <v>741</v>
      </c>
      <c r="M13" s="82">
        <v>7977755253</v>
      </c>
      <c r="N13" s="29" t="s">
        <v>44</v>
      </c>
      <c r="O13" s="82">
        <v>7977755253</v>
      </c>
      <c r="P13" s="33" t="s">
        <v>742</v>
      </c>
      <c r="Q13" s="84" t="s">
        <v>743</v>
      </c>
      <c r="R13" s="25" t="s">
        <v>47</v>
      </c>
      <c r="S13" s="51" t="s">
        <v>49</v>
      </c>
      <c r="T13" s="51" t="s">
        <v>48</v>
      </c>
      <c r="U13" s="51" t="s">
        <v>744</v>
      </c>
      <c r="V13" s="51" t="s">
        <v>745</v>
      </c>
      <c r="W13" s="28" t="s">
        <v>71</v>
      </c>
      <c r="X13" s="28" t="s">
        <v>746</v>
      </c>
      <c r="Y13" s="25"/>
      <c r="Z13" s="25"/>
      <c r="AA13" s="25"/>
      <c r="AB13" s="25"/>
      <c r="AC13" s="25"/>
      <c r="AD13" s="25"/>
      <c r="AE13" s="25"/>
      <c r="AF13" s="25"/>
      <c r="AG13" s="25"/>
      <c r="AH13" s="25"/>
      <c r="AI13" s="25"/>
      <c r="AJ13" s="25"/>
      <c r="AK13" s="25"/>
      <c r="AL13" s="25"/>
      <c r="AM13" s="25"/>
      <c r="AN13" s="25"/>
      <c r="AO13" s="25"/>
      <c r="AP13" s="25"/>
    </row>
    <row r="14" spans="1:42" ht="16.8">
      <c r="A14" s="25">
        <v>68</v>
      </c>
      <c r="B14" s="70" t="s">
        <v>130</v>
      </c>
      <c r="C14" s="26" t="s">
        <v>747</v>
      </c>
      <c r="D14" s="28" t="s">
        <v>748</v>
      </c>
      <c r="E14" s="28">
        <v>839</v>
      </c>
      <c r="F14" s="60" t="s">
        <v>749</v>
      </c>
      <c r="G14" s="31" t="s">
        <v>750</v>
      </c>
      <c r="H14" s="29" t="s">
        <v>39</v>
      </c>
      <c r="I14" s="31" t="s">
        <v>751</v>
      </c>
      <c r="J14" s="31" t="s">
        <v>752</v>
      </c>
      <c r="K14" s="31" t="s">
        <v>534</v>
      </c>
      <c r="L14" s="59" t="s">
        <v>753</v>
      </c>
      <c r="M14" s="31">
        <v>9920489374</v>
      </c>
      <c r="N14" s="29" t="s">
        <v>44</v>
      </c>
      <c r="O14" s="31">
        <v>9920489374</v>
      </c>
      <c r="P14" s="33" t="s">
        <v>754</v>
      </c>
      <c r="Q14" s="76" t="s">
        <v>755</v>
      </c>
      <c r="R14" s="25" t="s">
        <v>47</v>
      </c>
      <c r="S14" s="51" t="s">
        <v>170</v>
      </c>
      <c r="T14" s="51" t="s">
        <v>49</v>
      </c>
      <c r="U14" s="51" t="s">
        <v>756</v>
      </c>
      <c r="V14" s="51" t="s">
        <v>48</v>
      </c>
      <c r="W14" s="28" t="s">
        <v>757</v>
      </c>
      <c r="X14" s="28" t="s">
        <v>758</v>
      </c>
      <c r="Y14" s="25"/>
      <c r="Z14" s="25"/>
      <c r="AA14" s="25"/>
      <c r="AB14" s="25"/>
      <c r="AC14" s="25"/>
      <c r="AD14" s="25"/>
      <c r="AE14" s="25"/>
      <c r="AF14" s="25"/>
      <c r="AG14" s="25"/>
      <c r="AH14" s="25"/>
      <c r="AI14" s="25"/>
      <c r="AJ14" s="25"/>
      <c r="AK14" s="25"/>
      <c r="AL14" s="25"/>
      <c r="AM14" s="25"/>
      <c r="AN14" s="25"/>
      <c r="AO14" s="25"/>
      <c r="AP14" s="25"/>
    </row>
    <row r="15" spans="1:42" ht="16.8">
      <c r="A15" s="6">
        <v>69</v>
      </c>
      <c r="B15" s="71" t="s">
        <v>708</v>
      </c>
      <c r="C15" s="15" t="s">
        <v>759</v>
      </c>
      <c r="D15" s="17" t="s">
        <v>760</v>
      </c>
      <c r="E15" s="17">
        <v>869</v>
      </c>
      <c r="F15" s="80" t="s">
        <v>761</v>
      </c>
      <c r="G15" s="20" t="s">
        <v>762</v>
      </c>
      <c r="H15" s="18" t="s">
        <v>39</v>
      </c>
      <c r="I15" s="19" t="s">
        <v>763</v>
      </c>
      <c r="J15" s="20" t="s">
        <v>764</v>
      </c>
      <c r="K15" s="19" t="s">
        <v>44</v>
      </c>
      <c r="L15" s="19" t="s">
        <v>44</v>
      </c>
      <c r="M15" s="20">
        <v>9987599943</v>
      </c>
      <c r="N15" s="18" t="s">
        <v>44</v>
      </c>
      <c r="O15" s="20">
        <v>9987599943</v>
      </c>
      <c r="P15" s="19" t="s">
        <v>44</v>
      </c>
      <c r="Q15" s="85" t="s">
        <v>765</v>
      </c>
      <c r="R15" s="6" t="s">
        <v>47</v>
      </c>
      <c r="S15" s="18" t="s">
        <v>395</v>
      </c>
      <c r="T15" s="18" t="s">
        <v>395</v>
      </c>
      <c r="U15" s="18" t="s">
        <v>395</v>
      </c>
      <c r="V15" s="18" t="s">
        <v>395</v>
      </c>
      <c r="W15" s="17" t="s">
        <v>71</v>
      </c>
      <c r="X15" s="17" t="s">
        <v>71</v>
      </c>
      <c r="Y15" s="6"/>
      <c r="Z15" s="6"/>
      <c r="AA15" s="6"/>
      <c r="AB15" s="6"/>
      <c r="AC15" s="6"/>
      <c r="AD15" s="6"/>
      <c r="AE15" s="6"/>
      <c r="AF15" s="6"/>
      <c r="AG15" s="6"/>
      <c r="AH15" s="6"/>
      <c r="AI15" s="6"/>
      <c r="AJ15" s="6"/>
      <c r="AK15" s="6"/>
      <c r="AL15" s="6"/>
      <c r="AM15" s="6"/>
      <c r="AN15" s="6"/>
      <c r="AO15" s="6"/>
      <c r="AP15" s="6"/>
    </row>
    <row r="16" spans="1:42" ht="16.8">
      <c r="A16" s="6">
        <v>70</v>
      </c>
      <c r="B16" s="71" t="s">
        <v>130</v>
      </c>
      <c r="C16" s="15" t="s">
        <v>766</v>
      </c>
      <c r="D16" s="17" t="s">
        <v>767</v>
      </c>
      <c r="E16" s="17">
        <v>870</v>
      </c>
      <c r="F16" s="80" t="s">
        <v>768</v>
      </c>
      <c r="G16" s="20" t="s">
        <v>769</v>
      </c>
      <c r="H16" s="18" t="s">
        <v>39</v>
      </c>
      <c r="I16" s="20" t="s">
        <v>770</v>
      </c>
      <c r="J16" s="20" t="s">
        <v>771</v>
      </c>
      <c r="K16" s="20" t="s">
        <v>772</v>
      </c>
      <c r="L16" s="86" t="s">
        <v>773</v>
      </c>
      <c r="M16" s="20">
        <v>9892841461</v>
      </c>
      <c r="N16" s="18" t="s">
        <v>44</v>
      </c>
      <c r="O16" s="20">
        <v>9892841461</v>
      </c>
      <c r="P16" s="22" t="s">
        <v>774</v>
      </c>
      <c r="Q16" s="85" t="s">
        <v>775</v>
      </c>
      <c r="R16" s="6" t="s">
        <v>47</v>
      </c>
      <c r="S16" s="45" t="s">
        <v>49</v>
      </c>
      <c r="T16" s="45" t="s">
        <v>776</v>
      </c>
      <c r="U16" s="45" t="s">
        <v>777</v>
      </c>
      <c r="V16" s="45" t="s">
        <v>778</v>
      </c>
      <c r="W16" s="17" t="s">
        <v>779</v>
      </c>
      <c r="X16" s="17" t="s">
        <v>780</v>
      </c>
      <c r="Y16" s="6"/>
      <c r="Z16" s="6"/>
      <c r="AA16" s="6"/>
      <c r="AB16" s="6"/>
      <c r="AC16" s="6"/>
      <c r="AD16" s="6"/>
      <c r="AE16" s="6"/>
      <c r="AF16" s="6"/>
      <c r="AG16" s="6"/>
      <c r="AH16" s="6"/>
      <c r="AI16" s="6"/>
      <c r="AJ16" s="6"/>
      <c r="AK16" s="6"/>
      <c r="AL16" s="6"/>
      <c r="AM16" s="6"/>
      <c r="AN16" s="6"/>
      <c r="AO16" s="6"/>
      <c r="AP16" s="6"/>
    </row>
    <row r="17" spans="1:42" ht="16.8">
      <c r="A17" s="6">
        <v>71</v>
      </c>
      <c r="B17" s="71" t="s">
        <v>708</v>
      </c>
      <c r="C17" s="15" t="s">
        <v>781</v>
      </c>
      <c r="D17" s="17" t="s">
        <v>782</v>
      </c>
      <c r="E17" s="17">
        <v>871</v>
      </c>
      <c r="F17" s="80" t="s">
        <v>783</v>
      </c>
      <c r="G17" s="20" t="s">
        <v>784</v>
      </c>
      <c r="H17" s="18" t="s">
        <v>39</v>
      </c>
      <c r="I17" s="20" t="s">
        <v>785</v>
      </c>
      <c r="J17" s="20" t="s">
        <v>786</v>
      </c>
      <c r="K17" s="20" t="s">
        <v>787</v>
      </c>
      <c r="L17" s="86" t="s">
        <v>788</v>
      </c>
      <c r="M17" s="20">
        <v>9967535390</v>
      </c>
      <c r="N17" s="18" t="s">
        <v>44</v>
      </c>
      <c r="O17" s="20">
        <v>9967535390</v>
      </c>
      <c r="P17" s="22" t="s">
        <v>789</v>
      </c>
      <c r="Q17" s="87" t="s">
        <v>790</v>
      </c>
      <c r="R17" s="6" t="s">
        <v>47</v>
      </c>
      <c r="S17" s="45" t="s">
        <v>791</v>
      </c>
      <c r="T17" s="45" t="s">
        <v>792</v>
      </c>
      <c r="U17" s="45" t="s">
        <v>793</v>
      </c>
      <c r="V17" s="45" t="s">
        <v>794</v>
      </c>
      <c r="W17" s="17" t="s">
        <v>71</v>
      </c>
      <c r="X17" s="17" t="s">
        <v>71</v>
      </c>
      <c r="Y17" s="6"/>
      <c r="Z17" s="6"/>
      <c r="AA17" s="6"/>
      <c r="AB17" s="6"/>
      <c r="AC17" s="6"/>
      <c r="AD17" s="6"/>
      <c r="AE17" s="6"/>
      <c r="AF17" s="6"/>
      <c r="AG17" s="6"/>
      <c r="AH17" s="6"/>
      <c r="AI17" s="6"/>
      <c r="AJ17" s="6"/>
      <c r="AK17" s="6"/>
      <c r="AL17" s="6"/>
      <c r="AM17" s="6"/>
      <c r="AN17" s="6"/>
      <c r="AO17" s="6"/>
      <c r="AP17" s="6"/>
    </row>
    <row r="18" spans="1:42" ht="16.8">
      <c r="A18" s="6">
        <v>72</v>
      </c>
      <c r="B18" s="71" t="s">
        <v>708</v>
      </c>
      <c r="C18" s="15" t="s">
        <v>795</v>
      </c>
      <c r="D18" s="17" t="s">
        <v>796</v>
      </c>
      <c r="E18" s="17">
        <v>872</v>
      </c>
      <c r="F18" s="80" t="s">
        <v>797</v>
      </c>
      <c r="G18" s="20" t="s">
        <v>798</v>
      </c>
      <c r="H18" s="18" t="s">
        <v>39</v>
      </c>
      <c r="I18" s="20" t="s">
        <v>785</v>
      </c>
      <c r="J18" s="20" t="s">
        <v>799</v>
      </c>
      <c r="K18" s="20" t="s">
        <v>800</v>
      </c>
      <c r="L18" s="86" t="s">
        <v>801</v>
      </c>
      <c r="M18" s="20">
        <v>9967535389</v>
      </c>
      <c r="N18" s="18" t="s">
        <v>44</v>
      </c>
      <c r="O18" s="20">
        <v>9967535389</v>
      </c>
      <c r="P18" s="22" t="s">
        <v>789</v>
      </c>
      <c r="Q18" s="87" t="s">
        <v>802</v>
      </c>
      <c r="R18" s="6" t="s">
        <v>47</v>
      </c>
      <c r="S18" s="45" t="s">
        <v>803</v>
      </c>
      <c r="T18" s="45" t="s">
        <v>792</v>
      </c>
      <c r="U18" s="45" t="s">
        <v>793</v>
      </c>
      <c r="V18" s="45" t="s">
        <v>794</v>
      </c>
      <c r="W18" s="17" t="s">
        <v>71</v>
      </c>
      <c r="X18" s="17" t="s">
        <v>71</v>
      </c>
      <c r="Y18" s="6"/>
      <c r="Z18" s="6"/>
      <c r="AA18" s="6"/>
      <c r="AB18" s="6"/>
      <c r="AC18" s="6"/>
      <c r="AD18" s="6"/>
      <c r="AE18" s="6"/>
      <c r="AF18" s="6"/>
      <c r="AG18" s="6"/>
      <c r="AH18" s="6"/>
      <c r="AI18" s="6"/>
      <c r="AJ18" s="6"/>
      <c r="AK18" s="6"/>
      <c r="AL18" s="6"/>
      <c r="AM18" s="6"/>
      <c r="AN18" s="6"/>
      <c r="AO18" s="6"/>
      <c r="AP18" s="6"/>
    </row>
    <row r="19" spans="1:42" ht="16.8">
      <c r="A19" s="6">
        <v>73</v>
      </c>
      <c r="B19" s="71" t="s">
        <v>708</v>
      </c>
      <c r="C19" s="15" t="s">
        <v>804</v>
      </c>
      <c r="D19" s="17" t="s">
        <v>805</v>
      </c>
      <c r="E19" s="17">
        <v>873</v>
      </c>
      <c r="F19" s="80" t="s">
        <v>806</v>
      </c>
      <c r="G19" s="20" t="s">
        <v>807</v>
      </c>
      <c r="H19" s="18" t="s">
        <v>39</v>
      </c>
      <c r="I19" s="20" t="s">
        <v>808</v>
      </c>
      <c r="J19" s="20" t="s">
        <v>809</v>
      </c>
      <c r="K19" s="20" t="s">
        <v>810</v>
      </c>
      <c r="L19" s="86" t="s">
        <v>811</v>
      </c>
      <c r="M19" s="20">
        <v>8459952541</v>
      </c>
      <c r="N19" s="18" t="s">
        <v>44</v>
      </c>
      <c r="O19" s="20">
        <v>8459952541</v>
      </c>
      <c r="P19" s="19" t="s">
        <v>44</v>
      </c>
      <c r="Q19" s="85" t="s">
        <v>812</v>
      </c>
      <c r="R19" s="6" t="s">
        <v>47</v>
      </c>
      <c r="S19" s="18" t="s">
        <v>395</v>
      </c>
      <c r="T19" s="18" t="s">
        <v>395</v>
      </c>
      <c r="U19" s="18" t="s">
        <v>395</v>
      </c>
      <c r="V19" s="18" t="s">
        <v>395</v>
      </c>
      <c r="W19" s="17" t="s">
        <v>71</v>
      </c>
      <c r="X19" s="17" t="s">
        <v>71</v>
      </c>
      <c r="Y19" s="6"/>
      <c r="Z19" s="6"/>
      <c r="AA19" s="6"/>
      <c r="AB19" s="6"/>
      <c r="AC19" s="6"/>
      <c r="AD19" s="6"/>
      <c r="AE19" s="6"/>
      <c r="AF19" s="6"/>
      <c r="AG19" s="6"/>
      <c r="AH19" s="6"/>
      <c r="AI19" s="6"/>
      <c r="AJ19" s="6"/>
      <c r="AK19" s="6"/>
      <c r="AL19" s="6"/>
      <c r="AM19" s="6"/>
      <c r="AN19" s="6"/>
      <c r="AO19" s="6"/>
      <c r="AP19" s="6"/>
    </row>
    <row r="20" spans="1:42" ht="16.8">
      <c r="A20" s="6">
        <v>74</v>
      </c>
      <c r="B20" s="71" t="s">
        <v>708</v>
      </c>
      <c r="C20" s="15" t="s">
        <v>813</v>
      </c>
      <c r="D20" s="17" t="s">
        <v>814</v>
      </c>
      <c r="E20" s="17">
        <v>875</v>
      </c>
      <c r="F20" s="80" t="s">
        <v>815</v>
      </c>
      <c r="G20" s="20" t="s">
        <v>816</v>
      </c>
      <c r="H20" s="18" t="s">
        <v>39</v>
      </c>
      <c r="I20" s="20" t="s">
        <v>817</v>
      </c>
      <c r="J20" s="20" t="s">
        <v>818</v>
      </c>
      <c r="K20" s="20" t="s">
        <v>819</v>
      </c>
      <c r="L20" s="86" t="s">
        <v>820</v>
      </c>
      <c r="M20" s="20">
        <v>919987595883</v>
      </c>
      <c r="N20" s="61">
        <v>8779500452</v>
      </c>
      <c r="O20" s="20">
        <v>919987595883</v>
      </c>
      <c r="P20" s="22" t="s">
        <v>821</v>
      </c>
      <c r="Q20" s="87" t="s">
        <v>822</v>
      </c>
      <c r="R20" s="6" t="s">
        <v>47</v>
      </c>
      <c r="S20" s="45" t="s">
        <v>823</v>
      </c>
      <c r="T20" s="45" t="s">
        <v>824</v>
      </c>
      <c r="U20" s="45" t="s">
        <v>825</v>
      </c>
      <c r="V20" s="45" t="s">
        <v>630</v>
      </c>
      <c r="W20" s="17" t="s">
        <v>71</v>
      </c>
      <c r="X20" s="17" t="s">
        <v>71</v>
      </c>
      <c r="Y20" s="6"/>
      <c r="Z20" s="6"/>
      <c r="AA20" s="6"/>
      <c r="AB20" s="6"/>
      <c r="AC20" s="6"/>
      <c r="AD20" s="6"/>
      <c r="AE20" s="6"/>
      <c r="AF20" s="6"/>
      <c r="AG20" s="6"/>
      <c r="AH20" s="6"/>
      <c r="AI20" s="6"/>
      <c r="AJ20" s="6"/>
      <c r="AK20" s="6"/>
      <c r="AL20" s="6"/>
      <c r="AM20" s="6"/>
      <c r="AN20" s="6"/>
      <c r="AO20" s="6"/>
      <c r="AP20" s="6"/>
    </row>
    <row r="21" spans="1:42" ht="16.8">
      <c r="A21" s="25">
        <v>75</v>
      </c>
      <c r="B21" s="70" t="s">
        <v>130</v>
      </c>
      <c r="C21" s="26" t="s">
        <v>826</v>
      </c>
      <c r="D21" s="28" t="s">
        <v>827</v>
      </c>
      <c r="E21" s="28">
        <v>877</v>
      </c>
      <c r="F21" s="60" t="s">
        <v>828</v>
      </c>
      <c r="G21" s="31" t="s">
        <v>829</v>
      </c>
      <c r="H21" s="29" t="s">
        <v>39</v>
      </c>
      <c r="I21" s="31" t="s">
        <v>830</v>
      </c>
      <c r="J21" s="31" t="s">
        <v>831</v>
      </c>
      <c r="K21" s="31" t="s">
        <v>832</v>
      </c>
      <c r="L21" s="59" t="s">
        <v>833</v>
      </c>
      <c r="M21" s="31">
        <v>9820562470</v>
      </c>
      <c r="N21" s="54">
        <v>9820058563</v>
      </c>
      <c r="O21" s="31">
        <v>9820562470</v>
      </c>
      <c r="P21" s="30" t="s">
        <v>44</v>
      </c>
      <c r="Q21" s="62" t="s">
        <v>834</v>
      </c>
      <c r="R21" s="25" t="s">
        <v>47</v>
      </c>
      <c r="S21" s="51" t="s">
        <v>835</v>
      </c>
      <c r="T21" s="51" t="s">
        <v>836</v>
      </c>
      <c r="U21" s="51" t="s">
        <v>837</v>
      </c>
      <c r="V21" s="51" t="s">
        <v>838</v>
      </c>
      <c r="W21" s="28" t="s">
        <v>71</v>
      </c>
      <c r="X21" s="28" t="s">
        <v>839</v>
      </c>
      <c r="Y21" s="25"/>
      <c r="Z21" s="25"/>
      <c r="AA21" s="25"/>
      <c r="AB21" s="25"/>
      <c r="AC21" s="25"/>
      <c r="AD21" s="25"/>
      <c r="AE21" s="25"/>
      <c r="AF21" s="25"/>
      <c r="AG21" s="25"/>
      <c r="AH21" s="25"/>
      <c r="AI21" s="25"/>
      <c r="AJ21" s="25"/>
      <c r="AK21" s="25"/>
      <c r="AL21" s="25"/>
      <c r="AM21" s="25"/>
      <c r="AN21" s="25"/>
      <c r="AO21" s="25"/>
      <c r="AP21" s="25"/>
    </row>
    <row r="22" spans="1:42" ht="16.8">
      <c r="A22" s="25">
        <v>76</v>
      </c>
      <c r="B22" s="70" t="s">
        <v>840</v>
      </c>
      <c r="C22" s="26" t="s">
        <v>841</v>
      </c>
      <c r="D22" s="27" t="s">
        <v>842</v>
      </c>
      <c r="E22" s="28">
        <v>878</v>
      </c>
      <c r="F22" s="60" t="s">
        <v>843</v>
      </c>
      <c r="G22" s="31" t="s">
        <v>844</v>
      </c>
      <c r="H22" s="29" t="s">
        <v>39</v>
      </c>
      <c r="I22" s="31" t="s">
        <v>845</v>
      </c>
      <c r="J22" s="31" t="s">
        <v>846</v>
      </c>
      <c r="K22" s="31" t="s">
        <v>534</v>
      </c>
      <c r="L22" s="59" t="s">
        <v>847</v>
      </c>
      <c r="M22" s="31">
        <v>9821558801</v>
      </c>
      <c r="N22" s="54">
        <v>7977280660</v>
      </c>
      <c r="O22" s="31">
        <v>9821558801</v>
      </c>
      <c r="P22" s="33" t="s">
        <v>848</v>
      </c>
      <c r="Q22" s="62" t="s">
        <v>849</v>
      </c>
      <c r="R22" s="25" t="s">
        <v>47</v>
      </c>
      <c r="S22" s="51" t="s">
        <v>850</v>
      </c>
      <c r="T22" s="51" t="s">
        <v>49</v>
      </c>
      <c r="U22" s="51" t="s">
        <v>851</v>
      </c>
      <c r="V22" s="51" t="s">
        <v>852</v>
      </c>
      <c r="W22" s="28" t="s">
        <v>71</v>
      </c>
      <c r="X22" s="28" t="s">
        <v>853</v>
      </c>
      <c r="Y22" s="25"/>
      <c r="Z22" s="25"/>
      <c r="AA22" s="25"/>
      <c r="AB22" s="25"/>
      <c r="AC22" s="28" t="s">
        <v>854</v>
      </c>
      <c r="AD22" s="28" t="s">
        <v>855</v>
      </c>
      <c r="AE22" s="28" t="s">
        <v>856</v>
      </c>
      <c r="AF22" s="28" t="s">
        <v>857</v>
      </c>
      <c r="AG22" s="28" t="s">
        <v>858</v>
      </c>
      <c r="AH22" s="28" t="s">
        <v>859</v>
      </c>
      <c r="AI22" s="25"/>
      <c r="AJ22" s="25"/>
      <c r="AK22" s="25"/>
      <c r="AL22" s="25"/>
      <c r="AM22" s="25"/>
      <c r="AN22" s="25"/>
      <c r="AO22" s="25"/>
      <c r="AP22" s="25"/>
    </row>
    <row r="23" spans="1:42" ht="16.8">
      <c r="A23" s="25">
        <v>77</v>
      </c>
      <c r="B23" s="70" t="s">
        <v>130</v>
      </c>
      <c r="C23" s="26" t="s">
        <v>860</v>
      </c>
      <c r="D23" s="28" t="s">
        <v>861</v>
      </c>
      <c r="E23" s="28">
        <v>879</v>
      </c>
      <c r="F23" s="60" t="s">
        <v>862</v>
      </c>
      <c r="G23" s="31" t="s">
        <v>863</v>
      </c>
      <c r="H23" s="29" t="s">
        <v>39</v>
      </c>
      <c r="I23" s="31" t="s">
        <v>864</v>
      </c>
      <c r="J23" s="31" t="s">
        <v>865</v>
      </c>
      <c r="K23" s="31" t="s">
        <v>345</v>
      </c>
      <c r="L23" s="59" t="s">
        <v>866</v>
      </c>
      <c r="M23" s="31">
        <v>9223319777</v>
      </c>
      <c r="N23" s="29" t="s">
        <v>44</v>
      </c>
      <c r="O23" s="31">
        <v>9223319777</v>
      </c>
      <c r="P23" s="33" t="s">
        <v>867</v>
      </c>
      <c r="Q23" s="62" t="s">
        <v>868</v>
      </c>
      <c r="R23" s="25" t="s">
        <v>47</v>
      </c>
      <c r="S23" s="51" t="s">
        <v>869</v>
      </c>
      <c r="T23" s="51" t="s">
        <v>870</v>
      </c>
      <c r="U23" s="51" t="s">
        <v>871</v>
      </c>
      <c r="V23" s="51" t="s">
        <v>872</v>
      </c>
      <c r="W23" s="28" t="s">
        <v>71</v>
      </c>
      <c r="X23" s="28" t="s">
        <v>873</v>
      </c>
      <c r="Y23" s="25"/>
      <c r="Z23" s="25"/>
      <c r="AA23" s="25"/>
      <c r="AB23" s="25"/>
      <c r="AC23" s="25"/>
      <c r="AD23" s="25"/>
      <c r="AE23" s="25"/>
      <c r="AF23" s="25"/>
      <c r="AG23" s="25"/>
      <c r="AH23" s="25"/>
      <c r="AI23" s="25"/>
      <c r="AJ23" s="25"/>
      <c r="AK23" s="25"/>
      <c r="AL23" s="25"/>
      <c r="AM23" s="25"/>
      <c r="AN23" s="25"/>
      <c r="AO23" s="25"/>
      <c r="AP23" s="25"/>
    </row>
    <row r="24" spans="1:42" ht="16.8">
      <c r="A24" s="25">
        <v>78</v>
      </c>
      <c r="B24" s="70" t="s">
        <v>874</v>
      </c>
      <c r="C24" s="88" t="s">
        <v>875</v>
      </c>
      <c r="D24" s="31" t="s">
        <v>876</v>
      </c>
      <c r="E24" s="27">
        <v>880</v>
      </c>
      <c r="F24" s="29" t="s">
        <v>44</v>
      </c>
      <c r="G24" s="31" t="s">
        <v>876</v>
      </c>
      <c r="H24" s="29" t="s">
        <v>39</v>
      </c>
      <c r="I24" s="31" t="s">
        <v>877</v>
      </c>
      <c r="J24" s="31" t="s">
        <v>865</v>
      </c>
      <c r="K24" s="31" t="s">
        <v>878</v>
      </c>
      <c r="L24" s="30" t="s">
        <v>879</v>
      </c>
      <c r="M24" s="30">
        <v>9223319777</v>
      </c>
      <c r="N24" s="54">
        <v>9594319777</v>
      </c>
      <c r="O24" s="30">
        <v>9223319777</v>
      </c>
      <c r="P24" s="58" t="s">
        <v>880</v>
      </c>
      <c r="Q24" s="62" t="s">
        <v>881</v>
      </c>
      <c r="R24" s="25" t="s">
        <v>47</v>
      </c>
      <c r="S24" s="51" t="s">
        <v>170</v>
      </c>
      <c r="T24" s="51" t="s">
        <v>882</v>
      </c>
      <c r="U24" s="51" t="s">
        <v>883</v>
      </c>
      <c r="V24" s="51" t="s">
        <v>48</v>
      </c>
      <c r="W24" s="28" t="s">
        <v>71</v>
      </c>
      <c r="X24" s="28" t="s">
        <v>71</v>
      </c>
      <c r="Y24" s="25"/>
      <c r="Z24" s="25"/>
      <c r="AA24" s="25"/>
      <c r="AB24" s="25"/>
      <c r="AC24" s="25"/>
      <c r="AD24" s="25"/>
      <c r="AE24" s="25"/>
      <c r="AF24" s="25"/>
      <c r="AG24" s="25"/>
      <c r="AH24" s="25"/>
      <c r="AI24" s="25"/>
      <c r="AJ24" s="25"/>
      <c r="AK24" s="25"/>
      <c r="AL24" s="25"/>
      <c r="AM24" s="25"/>
      <c r="AN24" s="25"/>
      <c r="AO24" s="25"/>
      <c r="AP24" s="25"/>
    </row>
    <row r="25" spans="1:42" ht="16.8">
      <c r="A25" s="25">
        <v>79</v>
      </c>
      <c r="B25" s="70" t="s">
        <v>708</v>
      </c>
      <c r="C25" s="58" t="s">
        <v>884</v>
      </c>
      <c r="D25" s="27" t="s">
        <v>885</v>
      </c>
      <c r="E25" s="28">
        <v>881</v>
      </c>
      <c r="F25" s="60" t="s">
        <v>886</v>
      </c>
      <c r="G25" s="31" t="s">
        <v>887</v>
      </c>
      <c r="H25" s="29" t="s">
        <v>39</v>
      </c>
      <c r="I25" s="31" t="s">
        <v>888</v>
      </c>
      <c r="J25" s="31" t="s">
        <v>889</v>
      </c>
      <c r="K25" s="31" t="s">
        <v>890</v>
      </c>
      <c r="L25" s="59" t="s">
        <v>891</v>
      </c>
      <c r="M25" s="31">
        <v>9920966561</v>
      </c>
      <c r="N25" s="29" t="s">
        <v>44</v>
      </c>
      <c r="O25" s="31">
        <v>9920966561</v>
      </c>
      <c r="P25" s="30" t="s">
        <v>44</v>
      </c>
      <c r="Q25" s="30" t="s">
        <v>44</v>
      </c>
      <c r="R25" s="25" t="s">
        <v>47</v>
      </c>
      <c r="S25" s="51" t="s">
        <v>892</v>
      </c>
      <c r="T25" s="51" t="s">
        <v>49</v>
      </c>
      <c r="U25" s="51" t="s">
        <v>197</v>
      </c>
      <c r="V25" s="51" t="s">
        <v>49</v>
      </c>
      <c r="W25" s="28" t="s">
        <v>893</v>
      </c>
      <c r="X25" s="28" t="s">
        <v>894</v>
      </c>
      <c r="Y25" s="25"/>
      <c r="Z25" s="25"/>
      <c r="AA25" s="25"/>
      <c r="AB25" s="25"/>
      <c r="AC25" s="25"/>
      <c r="AD25" s="25"/>
      <c r="AE25" s="25"/>
      <c r="AF25" s="25"/>
      <c r="AG25" s="25"/>
      <c r="AH25" s="25"/>
      <c r="AI25" s="25"/>
      <c r="AJ25" s="25"/>
      <c r="AK25" s="25"/>
      <c r="AL25" s="25"/>
      <c r="AM25" s="25"/>
      <c r="AN25" s="25"/>
      <c r="AO25" s="25"/>
      <c r="AP25" s="25"/>
    </row>
    <row r="26" spans="1:42" ht="16.8">
      <c r="A26" s="25">
        <v>80</v>
      </c>
      <c r="B26" s="70" t="s">
        <v>130</v>
      </c>
      <c r="C26" s="26" t="s">
        <v>895</v>
      </c>
      <c r="D26" s="27" t="s">
        <v>896</v>
      </c>
      <c r="E26" s="27">
        <v>882</v>
      </c>
      <c r="F26" s="60" t="s">
        <v>897</v>
      </c>
      <c r="G26" s="31" t="s">
        <v>898</v>
      </c>
      <c r="H26" s="29" t="s">
        <v>39</v>
      </c>
      <c r="I26" s="31" t="s">
        <v>899</v>
      </c>
      <c r="J26" s="31" t="s">
        <v>900</v>
      </c>
      <c r="K26" s="31" t="s">
        <v>345</v>
      </c>
      <c r="L26" s="59" t="s">
        <v>901</v>
      </c>
      <c r="M26" s="31">
        <v>9137509343</v>
      </c>
      <c r="N26" s="29" t="s">
        <v>44</v>
      </c>
      <c r="O26" s="31">
        <v>9137509343</v>
      </c>
      <c r="P26" s="33" t="s">
        <v>902</v>
      </c>
      <c r="Q26" s="62" t="s">
        <v>903</v>
      </c>
      <c r="R26" s="25" t="s">
        <v>47</v>
      </c>
      <c r="S26" s="51" t="s">
        <v>904</v>
      </c>
      <c r="T26" s="51" t="s">
        <v>905</v>
      </c>
      <c r="U26" s="51" t="s">
        <v>906</v>
      </c>
      <c r="V26" s="51" t="s">
        <v>907</v>
      </c>
      <c r="W26" s="28" t="s">
        <v>908</v>
      </c>
      <c r="X26" s="28" t="s">
        <v>71</v>
      </c>
      <c r="Y26" s="25"/>
      <c r="Z26" s="25"/>
      <c r="AA26" s="25"/>
      <c r="AB26" s="25"/>
      <c r="AC26" s="25"/>
      <c r="AD26" s="25"/>
      <c r="AE26" s="25"/>
      <c r="AF26" s="25"/>
      <c r="AG26" s="25"/>
      <c r="AH26" s="25"/>
      <c r="AI26" s="25"/>
      <c r="AJ26" s="25"/>
      <c r="AK26" s="25"/>
      <c r="AL26" s="25"/>
      <c r="AM26" s="25"/>
      <c r="AN26" s="25"/>
      <c r="AO26" s="25"/>
      <c r="AP26" s="25"/>
    </row>
    <row r="27" spans="1:42" ht="13.8">
      <c r="A27" s="25">
        <v>81</v>
      </c>
      <c r="B27" s="70" t="s">
        <v>708</v>
      </c>
      <c r="C27" s="26" t="s">
        <v>909</v>
      </c>
      <c r="D27" s="28" t="s">
        <v>910</v>
      </c>
      <c r="E27" s="27">
        <v>884</v>
      </c>
      <c r="F27" s="33" t="s">
        <v>911</v>
      </c>
      <c r="G27" s="30" t="s">
        <v>912</v>
      </c>
      <c r="H27" s="29" t="s">
        <v>39</v>
      </c>
      <c r="I27" s="30" t="s">
        <v>913</v>
      </c>
      <c r="J27" s="30" t="s">
        <v>914</v>
      </c>
      <c r="K27" s="30" t="s">
        <v>915</v>
      </c>
      <c r="L27" s="50" t="s">
        <v>916</v>
      </c>
      <c r="M27" s="30">
        <v>7276787924</v>
      </c>
      <c r="N27" s="29" t="s">
        <v>44</v>
      </c>
      <c r="O27" s="30">
        <v>7276787924</v>
      </c>
      <c r="P27" s="33" t="s">
        <v>917</v>
      </c>
      <c r="Q27" s="30" t="s">
        <v>44</v>
      </c>
      <c r="R27" s="25" t="s">
        <v>47</v>
      </c>
      <c r="S27" s="51" t="s">
        <v>918</v>
      </c>
      <c r="T27" s="51" t="s">
        <v>919</v>
      </c>
      <c r="U27" s="51" t="s">
        <v>920</v>
      </c>
      <c r="V27" s="51" t="s">
        <v>48</v>
      </c>
      <c r="W27" s="28" t="s">
        <v>71</v>
      </c>
      <c r="X27" s="28" t="s">
        <v>921</v>
      </c>
      <c r="Y27" s="25"/>
      <c r="Z27" s="25"/>
      <c r="AA27" s="25"/>
      <c r="AB27" s="25"/>
      <c r="AC27" s="25"/>
      <c r="AD27" s="25"/>
      <c r="AE27" s="25"/>
      <c r="AF27" s="25"/>
      <c r="AG27" s="25"/>
      <c r="AH27" s="25"/>
      <c r="AI27" s="25"/>
      <c r="AJ27" s="25"/>
      <c r="AK27" s="25"/>
      <c r="AL27" s="25"/>
      <c r="AM27" s="25"/>
      <c r="AN27" s="25"/>
      <c r="AO27" s="25"/>
      <c r="AP27" s="25"/>
    </row>
    <row r="28" spans="1:42" ht="16.8">
      <c r="A28" s="25">
        <v>82</v>
      </c>
      <c r="B28" s="70" t="s">
        <v>922</v>
      </c>
      <c r="C28" s="26" t="s">
        <v>923</v>
      </c>
      <c r="D28" s="28" t="s">
        <v>924</v>
      </c>
      <c r="E28" s="28">
        <v>886</v>
      </c>
      <c r="F28" s="60" t="s">
        <v>925</v>
      </c>
      <c r="G28" s="31" t="s">
        <v>926</v>
      </c>
      <c r="H28" s="29" t="s">
        <v>39</v>
      </c>
      <c r="I28" s="31" t="s">
        <v>927</v>
      </c>
      <c r="J28" s="31" t="s">
        <v>928</v>
      </c>
      <c r="K28" s="31" t="s">
        <v>929</v>
      </c>
      <c r="L28" s="30" t="s">
        <v>44</v>
      </c>
      <c r="M28" s="31">
        <v>9833267644</v>
      </c>
      <c r="N28" s="29" t="s">
        <v>44</v>
      </c>
      <c r="O28" s="31">
        <v>9833267644</v>
      </c>
      <c r="P28" s="30" t="s">
        <v>44</v>
      </c>
      <c r="Q28" s="30" t="s">
        <v>44</v>
      </c>
      <c r="R28" s="25" t="s">
        <v>47</v>
      </c>
      <c r="S28" s="51" t="s">
        <v>930</v>
      </c>
      <c r="T28" s="51" t="s">
        <v>931</v>
      </c>
      <c r="U28" s="51" t="s">
        <v>197</v>
      </c>
      <c r="V28" s="51" t="s">
        <v>49</v>
      </c>
      <c r="W28" s="28" t="s">
        <v>71</v>
      </c>
      <c r="X28" s="28" t="s">
        <v>932</v>
      </c>
      <c r="Y28" s="25"/>
      <c r="Z28" s="25"/>
      <c r="AA28" s="25"/>
      <c r="AB28" s="25"/>
      <c r="AC28" s="25"/>
      <c r="AD28" s="25"/>
      <c r="AE28" s="25"/>
      <c r="AF28" s="25"/>
      <c r="AG28" s="25"/>
      <c r="AH28" s="25"/>
      <c r="AI28" s="25"/>
      <c r="AJ28" s="25"/>
      <c r="AK28" s="25"/>
      <c r="AL28" s="25"/>
      <c r="AM28" s="25"/>
      <c r="AN28" s="25"/>
      <c r="AO28" s="25"/>
      <c r="AP28" s="25"/>
    </row>
    <row r="29" spans="1:42" ht="16.8">
      <c r="A29" s="25">
        <v>83</v>
      </c>
      <c r="B29" s="70" t="s">
        <v>922</v>
      </c>
      <c r="C29" s="26" t="s">
        <v>933</v>
      </c>
      <c r="D29" s="28" t="s">
        <v>934</v>
      </c>
      <c r="E29" s="28">
        <v>887</v>
      </c>
      <c r="F29" s="60" t="s">
        <v>935</v>
      </c>
      <c r="G29" s="31" t="s">
        <v>936</v>
      </c>
      <c r="H29" s="29" t="s">
        <v>39</v>
      </c>
      <c r="I29" s="31" t="s">
        <v>927</v>
      </c>
      <c r="J29" s="31" t="s">
        <v>937</v>
      </c>
      <c r="K29" s="31" t="s">
        <v>929</v>
      </c>
      <c r="L29" s="30" t="s">
        <v>44</v>
      </c>
      <c r="M29" s="31">
        <v>9769640262</v>
      </c>
      <c r="N29" s="29" t="s">
        <v>44</v>
      </c>
      <c r="O29" s="31">
        <v>9769640262</v>
      </c>
      <c r="P29" s="30" t="s">
        <v>44</v>
      </c>
      <c r="Q29" s="30" t="s">
        <v>44</v>
      </c>
      <c r="R29" s="25" t="s">
        <v>47</v>
      </c>
      <c r="S29" s="51" t="s">
        <v>938</v>
      </c>
      <c r="T29" s="51" t="s">
        <v>939</v>
      </c>
      <c r="U29" s="51" t="s">
        <v>699</v>
      </c>
      <c r="V29" s="51" t="s">
        <v>301</v>
      </c>
      <c r="W29" s="28" t="s">
        <v>940</v>
      </c>
      <c r="X29" s="28" t="s">
        <v>941</v>
      </c>
      <c r="Y29" s="25"/>
      <c r="Z29" s="25"/>
      <c r="AA29" s="25"/>
      <c r="AB29" s="25"/>
      <c r="AC29" s="25"/>
      <c r="AD29" s="25"/>
      <c r="AE29" s="25"/>
      <c r="AF29" s="25"/>
      <c r="AG29" s="25"/>
      <c r="AH29" s="25"/>
      <c r="AI29" s="25"/>
      <c r="AJ29" s="25"/>
      <c r="AK29" s="25"/>
      <c r="AL29" s="25"/>
      <c r="AM29" s="25"/>
      <c r="AN29" s="25"/>
      <c r="AO29" s="25"/>
      <c r="AP29" s="25"/>
    </row>
    <row r="30" spans="1:42" ht="15.6">
      <c r="A30" s="25">
        <v>84</v>
      </c>
      <c r="B30" s="70" t="s">
        <v>942</v>
      </c>
      <c r="C30" s="26" t="s">
        <v>943</v>
      </c>
      <c r="D30" s="28" t="s">
        <v>944</v>
      </c>
      <c r="E30" s="28">
        <v>889</v>
      </c>
      <c r="F30" s="81" t="s">
        <v>945</v>
      </c>
      <c r="G30" s="82" t="s">
        <v>946</v>
      </c>
      <c r="H30" s="29" t="s">
        <v>39</v>
      </c>
      <c r="I30" s="82" t="s">
        <v>947</v>
      </c>
      <c r="J30" s="82" t="s">
        <v>948</v>
      </c>
      <c r="K30" s="82" t="s">
        <v>207</v>
      </c>
      <c r="L30" s="30" t="s">
        <v>44</v>
      </c>
      <c r="M30" s="82">
        <v>71589616375</v>
      </c>
      <c r="N30" s="89">
        <v>9956282828</v>
      </c>
      <c r="O30" s="82">
        <v>71589616375</v>
      </c>
      <c r="P30" s="30" t="s">
        <v>44</v>
      </c>
      <c r="Q30" s="84" t="s">
        <v>949</v>
      </c>
      <c r="R30" s="25" t="s">
        <v>47</v>
      </c>
      <c r="S30" s="51" t="s">
        <v>170</v>
      </c>
      <c r="T30" s="51" t="s">
        <v>950</v>
      </c>
      <c r="U30" s="51" t="s">
        <v>197</v>
      </c>
      <c r="V30" s="51" t="s">
        <v>49</v>
      </c>
      <c r="W30" s="28" t="s">
        <v>951</v>
      </c>
      <c r="X30" s="28" t="s">
        <v>952</v>
      </c>
      <c r="Y30" s="25"/>
      <c r="Z30" s="25"/>
      <c r="AA30" s="25"/>
      <c r="AB30" s="25"/>
      <c r="AC30" s="25"/>
      <c r="AD30" s="25"/>
      <c r="AE30" s="25"/>
      <c r="AF30" s="25"/>
      <c r="AG30" s="25"/>
      <c r="AH30" s="25"/>
      <c r="AI30" s="25"/>
      <c r="AJ30" s="25"/>
      <c r="AK30" s="25"/>
      <c r="AL30" s="25"/>
      <c r="AM30" s="25"/>
      <c r="AN30" s="25"/>
      <c r="AO30" s="25"/>
      <c r="AP30" s="25"/>
    </row>
    <row r="31" spans="1:42" ht="16.8">
      <c r="A31" s="25">
        <v>85</v>
      </c>
      <c r="B31" s="70" t="s">
        <v>942</v>
      </c>
      <c r="C31" s="26" t="s">
        <v>953</v>
      </c>
      <c r="D31" s="28" t="s">
        <v>954</v>
      </c>
      <c r="E31" s="28">
        <v>892</v>
      </c>
      <c r="F31" s="60" t="s">
        <v>955</v>
      </c>
      <c r="G31" s="31" t="s">
        <v>956</v>
      </c>
      <c r="H31" s="29" t="s">
        <v>39</v>
      </c>
      <c r="I31" s="31" t="s">
        <v>957</v>
      </c>
      <c r="J31" s="31" t="s">
        <v>958</v>
      </c>
      <c r="K31" s="31" t="s">
        <v>959</v>
      </c>
      <c r="L31" s="59" t="s">
        <v>960</v>
      </c>
      <c r="M31" s="31">
        <v>9082114554</v>
      </c>
      <c r="N31" s="54">
        <v>9833003609</v>
      </c>
      <c r="O31" s="31">
        <v>9082114554</v>
      </c>
      <c r="P31" s="30" t="s">
        <v>44</v>
      </c>
      <c r="Q31" s="76" t="s">
        <v>961</v>
      </c>
      <c r="R31" s="25" t="s">
        <v>47</v>
      </c>
      <c r="S31" s="51" t="s">
        <v>170</v>
      </c>
      <c r="T31" s="51" t="s">
        <v>49</v>
      </c>
      <c r="U31" s="51" t="s">
        <v>962</v>
      </c>
      <c r="V31" s="51" t="s">
        <v>963</v>
      </c>
      <c r="W31" s="28" t="s">
        <v>71</v>
      </c>
      <c r="X31" s="28" t="s">
        <v>964</v>
      </c>
      <c r="Y31" s="25"/>
      <c r="Z31" s="25"/>
      <c r="AA31" s="25"/>
      <c r="AB31" s="25"/>
      <c r="AC31" s="25"/>
      <c r="AD31" s="25"/>
      <c r="AE31" s="25"/>
      <c r="AF31" s="25"/>
      <c r="AG31" s="25"/>
      <c r="AH31" s="25"/>
      <c r="AI31" s="25"/>
      <c r="AJ31" s="25"/>
      <c r="AK31" s="25"/>
      <c r="AL31" s="25"/>
      <c r="AM31" s="25"/>
      <c r="AN31" s="25"/>
      <c r="AO31" s="25"/>
      <c r="AP31" s="25"/>
    </row>
    <row r="32" spans="1:42" ht="16.8">
      <c r="A32" s="25">
        <v>86</v>
      </c>
      <c r="B32" s="70" t="s">
        <v>130</v>
      </c>
      <c r="C32" s="26" t="s">
        <v>965</v>
      </c>
      <c r="D32" s="27" t="s">
        <v>966</v>
      </c>
      <c r="E32" s="25">
        <v>893</v>
      </c>
      <c r="F32" s="29" t="s">
        <v>44</v>
      </c>
      <c r="G32" s="30" t="s">
        <v>967</v>
      </c>
      <c r="H32" s="29" t="s">
        <v>39</v>
      </c>
      <c r="I32" s="31" t="s">
        <v>968</v>
      </c>
      <c r="J32" s="30" t="s">
        <v>968</v>
      </c>
      <c r="K32" s="31" t="s">
        <v>969</v>
      </c>
      <c r="L32" s="50" t="s">
        <v>970</v>
      </c>
      <c r="M32" s="29"/>
      <c r="N32" s="29" t="s">
        <v>44</v>
      </c>
      <c r="O32" s="30" t="s">
        <v>44</v>
      </c>
      <c r="P32" s="33" t="s">
        <v>971</v>
      </c>
      <c r="Q32" s="62" t="s">
        <v>972</v>
      </c>
      <c r="R32" s="25" t="s">
        <v>47</v>
      </c>
      <c r="S32" s="51" t="s">
        <v>973</v>
      </c>
      <c r="T32" s="51" t="s">
        <v>974</v>
      </c>
      <c r="U32" s="51" t="s">
        <v>975</v>
      </c>
      <c r="V32" s="51" t="s">
        <v>976</v>
      </c>
      <c r="W32" s="28" t="s">
        <v>71</v>
      </c>
      <c r="X32" s="28" t="s">
        <v>977</v>
      </c>
      <c r="Y32" s="25"/>
      <c r="Z32" s="25"/>
      <c r="AA32" s="25"/>
      <c r="AB32" s="25"/>
      <c r="AC32" s="25"/>
      <c r="AD32" s="25"/>
      <c r="AE32" s="25"/>
      <c r="AF32" s="25"/>
      <c r="AG32" s="25"/>
      <c r="AH32" s="25"/>
      <c r="AI32" s="25"/>
      <c r="AJ32" s="25"/>
      <c r="AK32" s="25"/>
      <c r="AL32" s="25"/>
      <c r="AM32" s="25"/>
      <c r="AN32" s="25"/>
      <c r="AO32" s="25"/>
      <c r="AP32" s="25"/>
    </row>
    <row r="33" spans="1:42" ht="16.8">
      <c r="A33" s="25">
        <v>87</v>
      </c>
      <c r="B33" s="70" t="s">
        <v>130</v>
      </c>
      <c r="C33" s="26" t="s">
        <v>978</v>
      </c>
      <c r="D33" s="27" t="s">
        <v>979</v>
      </c>
      <c r="E33" s="28">
        <v>894</v>
      </c>
      <c r="F33" s="60" t="s">
        <v>980</v>
      </c>
      <c r="G33" s="31" t="s">
        <v>981</v>
      </c>
      <c r="H33" s="29" t="s">
        <v>39</v>
      </c>
      <c r="I33" s="31" t="s">
        <v>982</v>
      </c>
      <c r="J33" s="31" t="s">
        <v>983</v>
      </c>
      <c r="K33" s="31" t="s">
        <v>984</v>
      </c>
      <c r="L33" s="59" t="s">
        <v>985</v>
      </c>
      <c r="M33" s="31">
        <v>9892770777</v>
      </c>
      <c r="N33" s="54">
        <v>9820374521</v>
      </c>
      <c r="O33" s="31">
        <v>9892770777</v>
      </c>
      <c r="P33" s="33" t="s">
        <v>986</v>
      </c>
      <c r="Q33" s="76" t="s">
        <v>987</v>
      </c>
      <c r="R33" s="25" t="s">
        <v>47</v>
      </c>
      <c r="S33" s="51" t="s">
        <v>988</v>
      </c>
      <c r="T33" s="51" t="s">
        <v>49</v>
      </c>
      <c r="U33" s="51" t="s">
        <v>989</v>
      </c>
      <c r="V33" s="51" t="s">
        <v>990</v>
      </c>
      <c r="W33" s="28" t="s">
        <v>71</v>
      </c>
      <c r="X33" s="28" t="s">
        <v>991</v>
      </c>
      <c r="Y33" s="25"/>
      <c r="Z33" s="25"/>
      <c r="AA33" s="25"/>
      <c r="AB33" s="25"/>
      <c r="AC33" s="25"/>
      <c r="AD33" s="25"/>
      <c r="AE33" s="25"/>
      <c r="AF33" s="25"/>
      <c r="AG33" s="25"/>
      <c r="AH33" s="25"/>
      <c r="AI33" s="25"/>
      <c r="AJ33" s="25"/>
      <c r="AK33" s="25"/>
      <c r="AL33" s="25"/>
      <c r="AM33" s="25"/>
      <c r="AN33" s="25"/>
      <c r="AO33" s="25"/>
      <c r="AP33" s="25"/>
    </row>
    <row r="34" spans="1:42" ht="16.8">
      <c r="A34" s="25">
        <v>88</v>
      </c>
      <c r="B34" s="70" t="s">
        <v>942</v>
      </c>
      <c r="C34" s="26" t="s">
        <v>992</v>
      </c>
      <c r="D34" s="28" t="s">
        <v>993</v>
      </c>
      <c r="E34" s="28">
        <v>895</v>
      </c>
      <c r="F34" s="60" t="s">
        <v>994</v>
      </c>
      <c r="G34" s="31" t="s">
        <v>995</v>
      </c>
      <c r="H34" s="29" t="s">
        <v>39</v>
      </c>
      <c r="I34" s="31" t="s">
        <v>996</v>
      </c>
      <c r="J34" s="31" t="s">
        <v>997</v>
      </c>
      <c r="K34" s="31" t="s">
        <v>998</v>
      </c>
      <c r="L34" s="59" t="s">
        <v>999</v>
      </c>
      <c r="M34" s="31">
        <v>771804071</v>
      </c>
      <c r="N34" s="54">
        <v>9820179271</v>
      </c>
      <c r="O34" s="31">
        <v>771804071</v>
      </c>
      <c r="P34" s="30" t="s">
        <v>44</v>
      </c>
      <c r="Q34" s="30" t="s">
        <v>44</v>
      </c>
      <c r="R34" s="25" t="s">
        <v>47</v>
      </c>
      <c r="S34" s="51" t="s">
        <v>1000</v>
      </c>
      <c r="T34" s="51" t="s">
        <v>49</v>
      </c>
      <c r="U34" s="51" t="s">
        <v>671</v>
      </c>
      <c r="V34" s="51" t="s">
        <v>1001</v>
      </c>
      <c r="W34" s="28" t="s">
        <v>71</v>
      </c>
      <c r="X34" s="28" t="s">
        <v>1002</v>
      </c>
      <c r="Y34" s="25"/>
      <c r="Z34" s="25"/>
      <c r="AA34" s="25"/>
      <c r="AB34" s="25"/>
      <c r="AC34" s="25"/>
      <c r="AD34" s="25"/>
      <c r="AE34" s="25"/>
      <c r="AF34" s="25"/>
      <c r="AG34" s="25"/>
      <c r="AH34" s="25"/>
      <c r="AI34" s="25"/>
      <c r="AJ34" s="25"/>
      <c r="AK34" s="25"/>
      <c r="AL34" s="25"/>
      <c r="AM34" s="25"/>
      <c r="AN34" s="25"/>
      <c r="AO34" s="25"/>
      <c r="AP34" s="25"/>
    </row>
    <row r="35" spans="1:42" ht="16.8">
      <c r="A35" s="25">
        <v>89</v>
      </c>
      <c r="B35" s="70" t="s">
        <v>942</v>
      </c>
      <c r="C35" s="26" t="s">
        <v>1003</v>
      </c>
      <c r="D35" s="28" t="s">
        <v>1004</v>
      </c>
      <c r="E35" s="28">
        <v>898</v>
      </c>
      <c r="F35" s="60" t="s">
        <v>1005</v>
      </c>
      <c r="G35" s="31" t="s">
        <v>1006</v>
      </c>
      <c r="H35" s="29" t="s">
        <v>39</v>
      </c>
      <c r="I35" s="31" t="s">
        <v>1007</v>
      </c>
      <c r="J35" s="31" t="s">
        <v>1008</v>
      </c>
      <c r="K35" s="31" t="s">
        <v>1009</v>
      </c>
      <c r="L35" s="30" t="s">
        <v>1010</v>
      </c>
      <c r="M35" s="31">
        <v>7506608316</v>
      </c>
      <c r="N35" s="54">
        <v>7506608316</v>
      </c>
      <c r="O35" s="31">
        <v>7506608316</v>
      </c>
      <c r="P35" s="30" t="s">
        <v>44</v>
      </c>
      <c r="Q35" s="30" t="s">
        <v>44</v>
      </c>
      <c r="R35" s="25" t="s">
        <v>47</v>
      </c>
      <c r="S35" s="51" t="s">
        <v>170</v>
      </c>
      <c r="T35" s="51" t="s">
        <v>1011</v>
      </c>
      <c r="U35" s="51" t="s">
        <v>1012</v>
      </c>
      <c r="V35" s="51" t="s">
        <v>93</v>
      </c>
      <c r="W35" s="28" t="s">
        <v>71</v>
      </c>
      <c r="X35" s="28" t="s">
        <v>1013</v>
      </c>
      <c r="Y35" s="25"/>
      <c r="Z35" s="25"/>
      <c r="AA35" s="25"/>
      <c r="AB35" s="25"/>
      <c r="AC35" s="25"/>
      <c r="AD35" s="25"/>
      <c r="AE35" s="25"/>
      <c r="AF35" s="25"/>
      <c r="AG35" s="25"/>
      <c r="AH35" s="25"/>
      <c r="AI35" s="25"/>
      <c r="AJ35" s="25"/>
      <c r="AK35" s="25"/>
      <c r="AL35" s="25"/>
      <c r="AM35" s="25"/>
      <c r="AN35" s="25"/>
      <c r="AO35" s="25"/>
      <c r="AP35" s="25"/>
    </row>
    <row r="36" spans="1:42" ht="16.8">
      <c r="A36" s="25">
        <v>90</v>
      </c>
      <c r="B36" s="70" t="s">
        <v>942</v>
      </c>
      <c r="C36" s="26" t="s">
        <v>1014</v>
      </c>
      <c r="D36" s="28" t="s">
        <v>1015</v>
      </c>
      <c r="E36" s="28">
        <v>899</v>
      </c>
      <c r="F36" s="29" t="s">
        <v>1016</v>
      </c>
      <c r="G36" s="31" t="s">
        <v>1017</v>
      </c>
      <c r="H36" s="29" t="s">
        <v>39</v>
      </c>
      <c r="I36" s="31" t="s">
        <v>1018</v>
      </c>
      <c r="J36" s="31" t="s">
        <v>1019</v>
      </c>
      <c r="K36" s="31" t="s">
        <v>1020</v>
      </c>
      <c r="L36" s="59" t="s">
        <v>1021</v>
      </c>
      <c r="M36" s="31">
        <v>9833664646</v>
      </c>
      <c r="N36" s="29" t="s">
        <v>44</v>
      </c>
      <c r="O36" s="31">
        <v>9833664646</v>
      </c>
      <c r="P36" s="33" t="s">
        <v>1022</v>
      </c>
      <c r="Q36" s="76" t="s">
        <v>1023</v>
      </c>
      <c r="R36" s="25" t="s">
        <v>47</v>
      </c>
      <c r="S36" s="51" t="s">
        <v>170</v>
      </c>
      <c r="T36" s="51" t="s">
        <v>49</v>
      </c>
      <c r="U36" s="51" t="s">
        <v>1024</v>
      </c>
      <c r="V36" s="51" t="s">
        <v>869</v>
      </c>
      <c r="W36" s="28" t="s">
        <v>1025</v>
      </c>
      <c r="X36" s="28" t="s">
        <v>1026</v>
      </c>
      <c r="Y36" s="25"/>
      <c r="Z36" s="25"/>
      <c r="AA36" s="25"/>
      <c r="AB36" s="25"/>
      <c r="AC36" s="25"/>
      <c r="AD36" s="25"/>
      <c r="AE36" s="25"/>
      <c r="AF36" s="25"/>
      <c r="AG36" s="25"/>
      <c r="AH36" s="25"/>
      <c r="AI36" s="25"/>
      <c r="AJ36" s="25"/>
      <c r="AK36" s="25"/>
      <c r="AL36" s="25"/>
      <c r="AM36" s="25"/>
      <c r="AN36" s="25"/>
      <c r="AO36" s="25"/>
      <c r="AP36" s="25"/>
    </row>
    <row r="37" spans="1:42" ht="16.8">
      <c r="A37" s="25">
        <v>91</v>
      </c>
      <c r="B37" s="70" t="s">
        <v>942</v>
      </c>
      <c r="C37" s="26" t="s">
        <v>1027</v>
      </c>
      <c r="D37" s="28" t="s">
        <v>1028</v>
      </c>
      <c r="E37" s="28">
        <v>900</v>
      </c>
      <c r="F37" s="60" t="s">
        <v>1029</v>
      </c>
      <c r="G37" s="31" t="s">
        <v>1030</v>
      </c>
      <c r="H37" s="29" t="s">
        <v>39</v>
      </c>
      <c r="I37" s="31" t="s">
        <v>1031</v>
      </c>
      <c r="J37" s="31" t="s">
        <v>1032</v>
      </c>
      <c r="K37" s="31" t="s">
        <v>534</v>
      </c>
      <c r="L37" s="59" t="s">
        <v>1033</v>
      </c>
      <c r="M37" s="31">
        <v>7021902696</v>
      </c>
      <c r="N37" s="54">
        <v>9930120232</v>
      </c>
      <c r="O37" s="31">
        <v>7021902696</v>
      </c>
      <c r="P37" s="33" t="s">
        <v>1034</v>
      </c>
      <c r="Q37" s="30" t="s">
        <v>44</v>
      </c>
      <c r="R37" s="25" t="s">
        <v>47</v>
      </c>
      <c r="S37" s="51" t="s">
        <v>170</v>
      </c>
      <c r="T37" s="51" t="s">
        <v>49</v>
      </c>
      <c r="U37" s="51" t="s">
        <v>1035</v>
      </c>
      <c r="V37" s="51" t="s">
        <v>49</v>
      </c>
      <c r="W37" s="25"/>
      <c r="X37" s="25"/>
      <c r="Y37" s="25"/>
      <c r="Z37" s="25"/>
      <c r="AA37" s="25"/>
      <c r="AB37" s="25"/>
      <c r="AC37" s="27" t="s">
        <v>1036</v>
      </c>
      <c r="AD37" s="28" t="s">
        <v>1037</v>
      </c>
      <c r="AE37" s="28" t="s">
        <v>1038</v>
      </c>
      <c r="AF37" s="28" t="s">
        <v>1039</v>
      </c>
      <c r="AG37" s="28" t="s">
        <v>1040</v>
      </c>
      <c r="AH37" s="28" t="s">
        <v>1041</v>
      </c>
      <c r="AI37" s="28" t="s">
        <v>1042</v>
      </c>
      <c r="AJ37" s="28" t="s">
        <v>1043</v>
      </c>
      <c r="AK37" s="28" t="s">
        <v>1044</v>
      </c>
      <c r="AL37" s="28" t="s">
        <v>1045</v>
      </c>
      <c r="AM37" s="28" t="s">
        <v>1046</v>
      </c>
      <c r="AN37" s="28" t="s">
        <v>1047</v>
      </c>
      <c r="AO37" s="28" t="s">
        <v>1048</v>
      </c>
      <c r="AP37" s="28" t="s">
        <v>1049</v>
      </c>
    </row>
  </sheetData>
  <hyperlinks>
    <hyperlink ref="C2" r:id="rId1" xr:uid="{00000000-0004-0000-0200-000000000000}"/>
    <hyperlink ref="C3" r:id="rId2" xr:uid="{00000000-0004-0000-0200-000001000000}"/>
    <hyperlink ref="C4" r:id="rId3" xr:uid="{00000000-0004-0000-0200-000002000000}"/>
    <hyperlink ref="F4" r:id="rId4" xr:uid="{00000000-0004-0000-0200-000003000000}"/>
    <hyperlink ref="P4" r:id="rId5" xr:uid="{00000000-0004-0000-0200-000004000000}"/>
    <hyperlink ref="C5" r:id="rId6" xr:uid="{00000000-0004-0000-0200-000005000000}"/>
    <hyperlink ref="P5" r:id="rId7" xr:uid="{00000000-0004-0000-0200-000006000000}"/>
    <hyperlink ref="C6" r:id="rId8" xr:uid="{00000000-0004-0000-0200-000007000000}"/>
    <hyperlink ref="P6" r:id="rId9" xr:uid="{00000000-0004-0000-0200-000008000000}"/>
    <hyperlink ref="C7" r:id="rId10" xr:uid="{00000000-0004-0000-0200-000009000000}"/>
    <hyperlink ref="C8" r:id="rId11" xr:uid="{00000000-0004-0000-0200-00000A000000}"/>
    <hyperlink ref="F8" r:id="rId12" xr:uid="{00000000-0004-0000-0200-00000B000000}"/>
    <hyperlink ref="C9" r:id="rId13" xr:uid="{00000000-0004-0000-0200-00000C000000}"/>
    <hyperlink ref="F9" r:id="rId14" xr:uid="{00000000-0004-0000-0200-00000D000000}"/>
    <hyperlink ref="Q9" r:id="rId15" xr:uid="{00000000-0004-0000-0200-00000E000000}"/>
    <hyperlink ref="C10" r:id="rId16" xr:uid="{00000000-0004-0000-0200-00000F000000}"/>
    <hyperlink ref="F10" r:id="rId17" xr:uid="{00000000-0004-0000-0200-000010000000}"/>
    <hyperlink ref="Q10" r:id="rId18" xr:uid="{00000000-0004-0000-0200-000011000000}"/>
    <hyperlink ref="C11" r:id="rId19" xr:uid="{00000000-0004-0000-0200-000012000000}"/>
    <hyperlink ref="F11" r:id="rId20" xr:uid="{00000000-0004-0000-0200-000013000000}"/>
    <hyperlink ref="C12" r:id="rId21" xr:uid="{00000000-0004-0000-0200-000014000000}"/>
    <hyperlink ref="F12" r:id="rId22" xr:uid="{00000000-0004-0000-0200-000015000000}"/>
    <hyperlink ref="C13" r:id="rId23" xr:uid="{00000000-0004-0000-0200-000016000000}"/>
    <hyperlink ref="F13" r:id="rId24" xr:uid="{00000000-0004-0000-0200-000017000000}"/>
    <hyperlink ref="P13" r:id="rId25" xr:uid="{00000000-0004-0000-0200-000018000000}"/>
    <hyperlink ref="Q13" r:id="rId26" xr:uid="{00000000-0004-0000-0200-000019000000}"/>
    <hyperlink ref="C14" r:id="rId27" xr:uid="{00000000-0004-0000-0200-00001A000000}"/>
    <hyperlink ref="F14" r:id="rId28" xr:uid="{00000000-0004-0000-0200-00001B000000}"/>
    <hyperlink ref="P14" r:id="rId29" xr:uid="{00000000-0004-0000-0200-00001C000000}"/>
    <hyperlink ref="Q14" r:id="rId30" xr:uid="{00000000-0004-0000-0200-00001D000000}"/>
    <hyperlink ref="C15" r:id="rId31" xr:uid="{00000000-0004-0000-0200-00001E000000}"/>
    <hyperlink ref="F15" r:id="rId32" xr:uid="{00000000-0004-0000-0200-00001F000000}"/>
    <hyperlink ref="C16" r:id="rId33" xr:uid="{00000000-0004-0000-0200-000020000000}"/>
    <hyperlink ref="F16" r:id="rId34" xr:uid="{00000000-0004-0000-0200-000021000000}"/>
    <hyperlink ref="P16" r:id="rId35" xr:uid="{00000000-0004-0000-0200-000022000000}"/>
    <hyperlink ref="C17" r:id="rId36" xr:uid="{00000000-0004-0000-0200-000023000000}"/>
    <hyperlink ref="F17" r:id="rId37" xr:uid="{00000000-0004-0000-0200-000024000000}"/>
    <hyperlink ref="P17" r:id="rId38" xr:uid="{00000000-0004-0000-0200-000025000000}"/>
    <hyperlink ref="Q17" r:id="rId39" xr:uid="{00000000-0004-0000-0200-000026000000}"/>
    <hyperlink ref="C18" r:id="rId40" xr:uid="{00000000-0004-0000-0200-000027000000}"/>
    <hyperlink ref="F18" r:id="rId41" xr:uid="{00000000-0004-0000-0200-000028000000}"/>
    <hyperlink ref="P18" r:id="rId42" xr:uid="{00000000-0004-0000-0200-000029000000}"/>
    <hyperlink ref="Q18" r:id="rId43" xr:uid="{00000000-0004-0000-0200-00002A000000}"/>
    <hyperlink ref="C19" r:id="rId44" xr:uid="{00000000-0004-0000-0200-00002B000000}"/>
    <hyperlink ref="F19" r:id="rId45" xr:uid="{00000000-0004-0000-0200-00002C000000}"/>
    <hyperlink ref="C20" r:id="rId46" xr:uid="{00000000-0004-0000-0200-00002D000000}"/>
    <hyperlink ref="F20" r:id="rId47" xr:uid="{00000000-0004-0000-0200-00002E000000}"/>
    <hyperlink ref="P20" r:id="rId48" xr:uid="{00000000-0004-0000-0200-00002F000000}"/>
    <hyperlink ref="Q20" r:id="rId49" xr:uid="{00000000-0004-0000-0200-000030000000}"/>
    <hyperlink ref="C21" r:id="rId50" xr:uid="{00000000-0004-0000-0200-000031000000}"/>
    <hyperlink ref="F21" r:id="rId51" xr:uid="{00000000-0004-0000-0200-000032000000}"/>
    <hyperlink ref="C22" r:id="rId52" xr:uid="{00000000-0004-0000-0200-000033000000}"/>
    <hyperlink ref="F22" r:id="rId53" xr:uid="{00000000-0004-0000-0200-000034000000}"/>
    <hyperlink ref="P22" r:id="rId54" xr:uid="{00000000-0004-0000-0200-000035000000}"/>
    <hyperlink ref="C23" r:id="rId55" xr:uid="{00000000-0004-0000-0200-000036000000}"/>
    <hyperlink ref="F23" r:id="rId56" xr:uid="{00000000-0004-0000-0200-000037000000}"/>
    <hyperlink ref="P23" r:id="rId57" xr:uid="{00000000-0004-0000-0200-000038000000}"/>
    <hyperlink ref="C24" r:id="rId58" xr:uid="{00000000-0004-0000-0200-000039000000}"/>
    <hyperlink ref="P24" r:id="rId59" xr:uid="{00000000-0004-0000-0200-00003A000000}"/>
    <hyperlink ref="C25" r:id="rId60" xr:uid="{00000000-0004-0000-0200-00003B000000}"/>
    <hyperlink ref="F25" r:id="rId61" xr:uid="{00000000-0004-0000-0200-00003C000000}"/>
    <hyperlink ref="C26" r:id="rId62" xr:uid="{00000000-0004-0000-0200-00003D000000}"/>
    <hyperlink ref="F26" r:id="rId63" xr:uid="{00000000-0004-0000-0200-00003E000000}"/>
    <hyperlink ref="P26" r:id="rId64" xr:uid="{00000000-0004-0000-0200-00003F000000}"/>
    <hyperlink ref="C27" r:id="rId65" xr:uid="{00000000-0004-0000-0200-000040000000}"/>
    <hyperlink ref="F27" r:id="rId66" xr:uid="{00000000-0004-0000-0200-000041000000}"/>
    <hyperlink ref="P27" r:id="rId67" xr:uid="{00000000-0004-0000-0200-000042000000}"/>
    <hyperlink ref="C28" r:id="rId68" xr:uid="{00000000-0004-0000-0200-000043000000}"/>
    <hyperlink ref="F28" r:id="rId69" xr:uid="{00000000-0004-0000-0200-000044000000}"/>
    <hyperlink ref="C29" r:id="rId70" xr:uid="{00000000-0004-0000-0200-000045000000}"/>
    <hyperlink ref="F29" r:id="rId71" xr:uid="{00000000-0004-0000-0200-000046000000}"/>
    <hyperlink ref="C30" r:id="rId72" xr:uid="{00000000-0004-0000-0200-000047000000}"/>
    <hyperlink ref="F30" r:id="rId73" xr:uid="{00000000-0004-0000-0200-000048000000}"/>
    <hyperlink ref="Q30" r:id="rId74" xr:uid="{00000000-0004-0000-0200-000049000000}"/>
    <hyperlink ref="C31" r:id="rId75" xr:uid="{00000000-0004-0000-0200-00004A000000}"/>
    <hyperlink ref="F31" r:id="rId76" xr:uid="{00000000-0004-0000-0200-00004B000000}"/>
    <hyperlink ref="Q31" r:id="rId77" xr:uid="{00000000-0004-0000-0200-00004C000000}"/>
    <hyperlink ref="C32" r:id="rId78" xr:uid="{00000000-0004-0000-0200-00004D000000}"/>
    <hyperlink ref="P32" r:id="rId79" xr:uid="{00000000-0004-0000-0200-00004E000000}"/>
    <hyperlink ref="C33" r:id="rId80" xr:uid="{00000000-0004-0000-0200-00004F000000}"/>
    <hyperlink ref="F33" r:id="rId81" xr:uid="{00000000-0004-0000-0200-000050000000}"/>
    <hyperlink ref="P33" r:id="rId82" xr:uid="{00000000-0004-0000-0200-000051000000}"/>
    <hyperlink ref="Q33" r:id="rId83" xr:uid="{00000000-0004-0000-0200-000052000000}"/>
    <hyperlink ref="C34" r:id="rId84" xr:uid="{00000000-0004-0000-0200-000053000000}"/>
    <hyperlink ref="F34" r:id="rId85" xr:uid="{00000000-0004-0000-0200-000054000000}"/>
    <hyperlink ref="C35" r:id="rId86" xr:uid="{00000000-0004-0000-0200-000055000000}"/>
    <hyperlink ref="F35" r:id="rId87" xr:uid="{00000000-0004-0000-0200-000056000000}"/>
    <hyperlink ref="C36" r:id="rId88" xr:uid="{00000000-0004-0000-0200-000057000000}"/>
    <hyperlink ref="P36" r:id="rId89" xr:uid="{00000000-0004-0000-0200-000058000000}"/>
    <hyperlink ref="Q36" r:id="rId90" xr:uid="{00000000-0004-0000-0200-000059000000}"/>
    <hyperlink ref="C37" r:id="rId91" xr:uid="{00000000-0004-0000-0200-00005A000000}"/>
    <hyperlink ref="F37" r:id="rId92" xr:uid="{00000000-0004-0000-0200-00005B000000}"/>
    <hyperlink ref="P37" r:id="rId93" xr:uid="{00000000-0004-0000-0200-00005C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AP62"/>
  <sheetViews>
    <sheetView topLeftCell="A6" workbookViewId="0">
      <selection activeCell="S61" sqref="S61:V62"/>
    </sheetView>
  </sheetViews>
  <sheetFormatPr defaultColWidth="12.6640625" defaultRowHeight="15.75" customHeight="1"/>
  <cols>
    <col min="3" max="3" width="60.109375" customWidth="1"/>
    <col min="7" max="7" width="20.21875" customWidth="1"/>
  </cols>
  <sheetData>
    <row r="3" spans="1:42" ht="13.8">
      <c r="A3" s="90"/>
      <c r="B3" s="90" t="s">
        <v>1</v>
      </c>
      <c r="C3" s="2" t="s">
        <v>639</v>
      </c>
      <c r="D3" s="2" t="s">
        <v>640</v>
      </c>
      <c r="E3" s="2" t="s">
        <v>1050</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c r="AE3" s="5" t="s">
        <v>28</v>
      </c>
      <c r="AF3" s="5"/>
      <c r="AG3" s="5" t="s">
        <v>29</v>
      </c>
      <c r="AH3" s="5"/>
      <c r="AI3" s="5" t="s">
        <v>30</v>
      </c>
      <c r="AJ3" s="5"/>
      <c r="AK3" s="5" t="s">
        <v>31</v>
      </c>
      <c r="AL3" s="5"/>
      <c r="AM3" s="5" t="s">
        <v>32</v>
      </c>
      <c r="AN3" s="5"/>
      <c r="AO3" s="5" t="s">
        <v>33</v>
      </c>
      <c r="AP3" s="5"/>
    </row>
    <row r="4" spans="1:42" ht="13.8">
      <c r="A4" s="25" t="s">
        <v>2147</v>
      </c>
      <c r="B4" s="25">
        <v>200</v>
      </c>
      <c r="C4" s="58" t="s">
        <v>2148</v>
      </c>
      <c r="D4" s="25">
        <v>1197</v>
      </c>
      <c r="E4" s="25"/>
      <c r="F4" s="138" t="s">
        <v>2149</v>
      </c>
      <c r="G4" s="30" t="s">
        <v>2150</v>
      </c>
      <c r="H4" s="25"/>
      <c r="I4" s="113" t="s">
        <v>2151</v>
      </c>
      <c r="J4" s="113" t="s">
        <v>2152</v>
      </c>
      <c r="K4" s="113" t="s">
        <v>2153</v>
      </c>
      <c r="L4" s="139" t="s">
        <v>2154</v>
      </c>
      <c r="M4" s="30">
        <v>9819338777</v>
      </c>
      <c r="N4" s="123">
        <v>2235654270</v>
      </c>
      <c r="O4" s="113">
        <v>9819338777</v>
      </c>
      <c r="P4" s="33" t="s">
        <v>2155</v>
      </c>
      <c r="Q4" s="141" t="s">
        <v>2156</v>
      </c>
      <c r="R4" s="25" t="s">
        <v>47</v>
      </c>
      <c r="S4" s="51" t="s">
        <v>48</v>
      </c>
      <c r="T4" s="51" t="s">
        <v>49</v>
      </c>
      <c r="U4" s="51" t="s">
        <v>49</v>
      </c>
      <c r="V4" s="51" t="s">
        <v>48</v>
      </c>
      <c r="W4" s="28" t="s">
        <v>71</v>
      </c>
      <c r="X4" s="28" t="s">
        <v>2157</v>
      </c>
      <c r="Y4" s="25"/>
      <c r="Z4" s="25"/>
      <c r="AA4" s="25"/>
      <c r="AB4" s="25"/>
      <c r="AC4" s="25"/>
      <c r="AD4" s="25"/>
      <c r="AE4" s="25"/>
      <c r="AF4" s="25"/>
      <c r="AG4" s="25"/>
      <c r="AH4" s="25"/>
      <c r="AI4" s="25"/>
      <c r="AJ4" s="25"/>
      <c r="AK4" s="25"/>
      <c r="AL4" s="25"/>
      <c r="AM4" s="25"/>
      <c r="AN4" s="25"/>
      <c r="AO4" s="25"/>
      <c r="AP4" s="25"/>
    </row>
    <row r="5" spans="1:42" ht="13.8">
      <c r="A5" s="25" t="s">
        <v>2147</v>
      </c>
      <c r="B5" s="25">
        <v>201</v>
      </c>
      <c r="C5" s="58" t="s">
        <v>2158</v>
      </c>
      <c r="D5" s="25">
        <v>1198</v>
      </c>
      <c r="E5" s="25"/>
      <c r="F5" s="138" t="s">
        <v>2159</v>
      </c>
      <c r="G5" s="30" t="s">
        <v>2160</v>
      </c>
      <c r="H5" s="25"/>
      <c r="I5" s="113" t="s">
        <v>2161</v>
      </c>
      <c r="J5" s="113" t="s">
        <v>2162</v>
      </c>
      <c r="K5" s="113" t="s">
        <v>534</v>
      </c>
      <c r="L5" s="30" t="s">
        <v>44</v>
      </c>
      <c r="M5" s="113">
        <v>9867380759</v>
      </c>
      <c r="N5" s="29" t="s">
        <v>44</v>
      </c>
      <c r="O5" s="113">
        <v>9867380759</v>
      </c>
      <c r="P5" s="30" t="s">
        <v>44</v>
      </c>
      <c r="Q5" s="129" t="s">
        <v>2163</v>
      </c>
      <c r="R5" s="25" t="s">
        <v>47</v>
      </c>
      <c r="S5" s="51" t="s">
        <v>1804</v>
      </c>
      <c r="T5" s="51" t="s">
        <v>49</v>
      </c>
      <c r="U5" s="51" t="s">
        <v>49</v>
      </c>
      <c r="V5" s="51" t="s">
        <v>2164</v>
      </c>
      <c r="W5" s="28" t="s">
        <v>71</v>
      </c>
      <c r="X5" s="28" t="s">
        <v>2165</v>
      </c>
      <c r="Y5" s="25"/>
      <c r="Z5" s="25"/>
      <c r="AA5" s="25"/>
      <c r="AB5" s="25"/>
      <c r="AC5" s="25"/>
      <c r="AD5" s="25"/>
      <c r="AE5" s="25"/>
      <c r="AF5" s="25"/>
      <c r="AG5" s="25"/>
      <c r="AH5" s="25"/>
      <c r="AI5" s="25"/>
      <c r="AJ5" s="25"/>
      <c r="AK5" s="25"/>
      <c r="AL5" s="25"/>
      <c r="AM5" s="25"/>
      <c r="AN5" s="25"/>
      <c r="AO5" s="25"/>
      <c r="AP5" s="25"/>
    </row>
    <row r="6" spans="1:42" ht="13.8">
      <c r="A6" s="25" t="s">
        <v>2147</v>
      </c>
      <c r="B6" s="25">
        <v>202</v>
      </c>
      <c r="C6" s="58" t="s">
        <v>2166</v>
      </c>
      <c r="D6" s="25">
        <v>1199</v>
      </c>
      <c r="E6" s="25"/>
      <c r="F6" s="138" t="s">
        <v>2167</v>
      </c>
      <c r="G6" s="30" t="s">
        <v>2168</v>
      </c>
      <c r="H6" s="25"/>
      <c r="I6" s="113" t="s">
        <v>2169</v>
      </c>
      <c r="J6" s="30" t="s">
        <v>2170</v>
      </c>
      <c r="K6" s="113" t="s">
        <v>507</v>
      </c>
      <c r="L6" s="30" t="s">
        <v>44</v>
      </c>
      <c r="M6" s="113">
        <v>8369464157</v>
      </c>
      <c r="N6" s="123" t="s">
        <v>2171</v>
      </c>
      <c r="O6" s="113">
        <v>8369464157</v>
      </c>
      <c r="P6" s="33" t="s">
        <v>2172</v>
      </c>
      <c r="Q6" s="30" t="s">
        <v>44</v>
      </c>
      <c r="R6" s="25" t="s">
        <v>47</v>
      </c>
      <c r="S6" s="51" t="s">
        <v>170</v>
      </c>
      <c r="T6" s="51" t="s">
        <v>49</v>
      </c>
      <c r="U6" s="51" t="s">
        <v>197</v>
      </c>
      <c r="V6" s="51" t="s">
        <v>49</v>
      </c>
      <c r="W6" s="28" t="s">
        <v>71</v>
      </c>
      <c r="X6" s="28" t="s">
        <v>2173</v>
      </c>
      <c r="Y6" s="25"/>
      <c r="Z6" s="25"/>
      <c r="AA6" s="25"/>
      <c r="AB6" s="25"/>
      <c r="AC6" s="28" t="s">
        <v>2174</v>
      </c>
      <c r="AD6" s="28" t="s">
        <v>2175</v>
      </c>
      <c r="AE6" s="28" t="s">
        <v>2176</v>
      </c>
      <c r="AF6" s="28" t="s">
        <v>2177</v>
      </c>
      <c r="AG6" s="28" t="s">
        <v>2178</v>
      </c>
      <c r="AH6" s="28" t="s">
        <v>2179</v>
      </c>
      <c r="AI6" s="28" t="s">
        <v>2180</v>
      </c>
      <c r="AJ6" s="28" t="s">
        <v>2181</v>
      </c>
      <c r="AK6" s="28" t="s">
        <v>2182</v>
      </c>
      <c r="AL6" s="28" t="s">
        <v>2183</v>
      </c>
      <c r="AM6" s="28" t="s">
        <v>2184</v>
      </c>
      <c r="AN6" s="28" t="s">
        <v>2185</v>
      </c>
      <c r="AO6" s="28" t="s">
        <v>2186</v>
      </c>
      <c r="AP6" s="28" t="s">
        <v>2187</v>
      </c>
    </row>
    <row r="7" spans="1:42" ht="13.8">
      <c r="A7" s="25" t="s">
        <v>2147</v>
      </c>
      <c r="B7" s="25">
        <v>203</v>
      </c>
      <c r="C7" s="58" t="s">
        <v>2188</v>
      </c>
      <c r="D7" s="25">
        <v>1200</v>
      </c>
      <c r="E7" s="25"/>
      <c r="F7" s="138" t="s">
        <v>2189</v>
      </c>
      <c r="G7" s="30" t="s">
        <v>2190</v>
      </c>
      <c r="H7" s="25"/>
      <c r="I7" s="113" t="s">
        <v>2191</v>
      </c>
      <c r="J7" s="113" t="s">
        <v>2192</v>
      </c>
      <c r="K7" s="113" t="s">
        <v>1191</v>
      </c>
      <c r="L7" s="30" t="s">
        <v>44</v>
      </c>
      <c r="M7" s="113">
        <v>9830056475</v>
      </c>
      <c r="N7" s="29" t="s">
        <v>44</v>
      </c>
      <c r="O7" s="113">
        <v>9830056475</v>
      </c>
      <c r="P7" s="30" t="s">
        <v>44</v>
      </c>
      <c r="Q7" s="30" t="s">
        <v>44</v>
      </c>
      <c r="R7" s="25" t="s">
        <v>47</v>
      </c>
      <c r="S7" s="29" t="s">
        <v>395</v>
      </c>
      <c r="T7" s="29" t="s">
        <v>395</v>
      </c>
      <c r="U7" s="29" t="s">
        <v>395</v>
      </c>
      <c r="V7" s="29" t="s">
        <v>395</v>
      </c>
      <c r="W7" s="28" t="s">
        <v>71</v>
      </c>
      <c r="X7" s="28" t="s">
        <v>2193</v>
      </c>
      <c r="Y7" s="25"/>
      <c r="Z7" s="25"/>
      <c r="AA7" s="25"/>
      <c r="AB7" s="25"/>
      <c r="AC7" s="25"/>
      <c r="AD7" s="25"/>
      <c r="AE7" s="25"/>
      <c r="AF7" s="25"/>
      <c r="AG7" s="25"/>
      <c r="AH7" s="25"/>
      <c r="AI7" s="25"/>
      <c r="AJ7" s="25"/>
      <c r="AK7" s="25"/>
      <c r="AL7" s="25"/>
      <c r="AM7" s="25"/>
      <c r="AN7" s="25"/>
      <c r="AO7" s="25"/>
      <c r="AP7" s="25"/>
    </row>
    <row r="8" spans="1:42" ht="15.75" customHeight="1">
      <c r="A8" s="25" t="s">
        <v>2147</v>
      </c>
      <c r="B8" s="25">
        <v>204</v>
      </c>
      <c r="C8" s="58" t="s">
        <v>2194</v>
      </c>
      <c r="D8" s="25">
        <v>1201</v>
      </c>
      <c r="E8" s="25"/>
      <c r="F8" s="81" t="s">
        <v>2195</v>
      </c>
      <c r="G8" s="82" t="s">
        <v>2196</v>
      </c>
      <c r="H8" s="25"/>
      <c r="I8" s="82" t="s">
        <v>2197</v>
      </c>
      <c r="J8" s="82" t="s">
        <v>2198</v>
      </c>
      <c r="K8" s="82" t="s">
        <v>929</v>
      </c>
      <c r="L8" s="83" t="s">
        <v>2199</v>
      </c>
      <c r="M8" s="82">
        <v>9773304882</v>
      </c>
      <c r="N8" s="29" t="s">
        <v>44</v>
      </c>
      <c r="O8" s="82">
        <v>9773304882</v>
      </c>
      <c r="P8" s="30" t="s">
        <v>44</v>
      </c>
      <c r="Q8" s="30" t="s">
        <v>44</v>
      </c>
      <c r="R8" s="25" t="s">
        <v>47</v>
      </c>
      <c r="S8" s="51" t="s">
        <v>48</v>
      </c>
      <c r="T8" s="51" t="s">
        <v>2200</v>
      </c>
      <c r="U8" s="51" t="s">
        <v>2200</v>
      </c>
      <c r="V8" s="51" t="s">
        <v>2201</v>
      </c>
      <c r="W8" s="28" t="s">
        <v>71</v>
      </c>
      <c r="X8" s="28" t="s">
        <v>2202</v>
      </c>
      <c r="Y8" s="25"/>
      <c r="Z8" s="25"/>
      <c r="AA8" s="25"/>
      <c r="AB8" s="25"/>
      <c r="AC8" s="25"/>
      <c r="AD8" s="25"/>
      <c r="AE8" s="25"/>
      <c r="AF8" s="25"/>
      <c r="AG8" s="25"/>
      <c r="AH8" s="25"/>
      <c r="AI8" s="25"/>
      <c r="AJ8" s="25"/>
      <c r="AK8" s="25"/>
      <c r="AL8" s="25"/>
      <c r="AM8" s="25"/>
      <c r="AN8" s="25"/>
      <c r="AO8" s="25"/>
      <c r="AP8" s="25"/>
    </row>
    <row r="9" spans="1:42" ht="15.75" customHeight="1">
      <c r="A9" s="25" t="s">
        <v>2147</v>
      </c>
      <c r="B9" s="25">
        <v>205</v>
      </c>
      <c r="C9" s="58" t="s">
        <v>2203</v>
      </c>
      <c r="D9" s="25">
        <v>1202</v>
      </c>
      <c r="E9" s="25"/>
      <c r="F9" s="81" t="s">
        <v>2204</v>
      </c>
      <c r="G9" s="30" t="s">
        <v>2205</v>
      </c>
      <c r="H9" s="25"/>
      <c r="I9" s="82" t="s">
        <v>2197</v>
      </c>
      <c r="J9" s="113" t="s">
        <v>2206</v>
      </c>
      <c r="K9" s="82" t="s">
        <v>929</v>
      </c>
      <c r="L9" s="83" t="s">
        <v>2199</v>
      </c>
      <c r="M9" s="30">
        <v>9773304882</v>
      </c>
      <c r="N9" s="29" t="s">
        <v>44</v>
      </c>
      <c r="O9" s="30">
        <v>9773304882</v>
      </c>
      <c r="P9" s="30" t="s">
        <v>44</v>
      </c>
      <c r="Q9" s="30" t="s">
        <v>44</v>
      </c>
      <c r="R9" s="25" t="s">
        <v>47</v>
      </c>
      <c r="S9" s="51" t="s">
        <v>48</v>
      </c>
      <c r="T9" s="51" t="s">
        <v>2207</v>
      </c>
      <c r="U9" s="51" t="s">
        <v>2207</v>
      </c>
      <c r="V9" s="51" t="s">
        <v>2208</v>
      </c>
      <c r="W9" s="28" t="s">
        <v>71</v>
      </c>
      <c r="X9" s="28" t="s">
        <v>2202</v>
      </c>
      <c r="Y9" s="25"/>
      <c r="Z9" s="25"/>
      <c r="AA9" s="25"/>
      <c r="AB9" s="25"/>
      <c r="AC9" s="25"/>
      <c r="AD9" s="25"/>
      <c r="AE9" s="25"/>
      <c r="AF9" s="25"/>
      <c r="AG9" s="25"/>
      <c r="AH9" s="25"/>
      <c r="AI9" s="25"/>
      <c r="AJ9" s="25"/>
      <c r="AK9" s="25"/>
      <c r="AL9" s="25"/>
      <c r="AM9" s="25"/>
      <c r="AN9" s="25"/>
      <c r="AO9" s="25"/>
      <c r="AP9" s="25"/>
    </row>
    <row r="10" spans="1:42" ht="15.75" customHeight="1">
      <c r="A10" s="25"/>
      <c r="B10" s="25">
        <v>206</v>
      </c>
      <c r="C10" s="58" t="s">
        <v>2209</v>
      </c>
      <c r="D10" s="25">
        <v>1203</v>
      </c>
      <c r="E10" s="25"/>
      <c r="F10" s="81" t="s">
        <v>2210</v>
      </c>
      <c r="G10" s="82" t="s">
        <v>2211</v>
      </c>
      <c r="H10" s="25"/>
      <c r="I10" s="82" t="s">
        <v>2212</v>
      </c>
      <c r="J10" s="82" t="s">
        <v>2213</v>
      </c>
      <c r="K10" s="82" t="s">
        <v>42</v>
      </c>
      <c r="L10" s="83" t="s">
        <v>2214</v>
      </c>
      <c r="M10" s="82">
        <v>9820065040</v>
      </c>
      <c r="N10" s="89">
        <v>9324285712</v>
      </c>
      <c r="O10" s="82">
        <v>9820065040</v>
      </c>
      <c r="P10" s="33" t="s">
        <v>2215</v>
      </c>
      <c r="Q10" s="142" t="s">
        <v>2216</v>
      </c>
      <c r="R10" s="25" t="s">
        <v>47</v>
      </c>
      <c r="S10" s="51" t="s">
        <v>2012</v>
      </c>
      <c r="T10" s="51" t="s">
        <v>49</v>
      </c>
      <c r="U10" s="51" t="s">
        <v>2217</v>
      </c>
      <c r="V10" s="51" t="s">
        <v>48</v>
      </c>
      <c r="W10" s="28" t="s">
        <v>71</v>
      </c>
      <c r="X10" s="28" t="s">
        <v>2218</v>
      </c>
      <c r="Y10" s="25"/>
      <c r="Z10" s="25"/>
      <c r="AA10" s="25"/>
      <c r="AB10" s="25"/>
      <c r="AC10" s="28" t="s">
        <v>2219</v>
      </c>
      <c r="AD10" s="28" t="s">
        <v>2220</v>
      </c>
      <c r="AE10" s="28" t="s">
        <v>2221</v>
      </c>
      <c r="AF10" s="28" t="s">
        <v>2222</v>
      </c>
      <c r="AG10" s="28" t="s">
        <v>2223</v>
      </c>
      <c r="AH10" s="28" t="s">
        <v>2224</v>
      </c>
      <c r="AI10" s="28" t="s">
        <v>2225</v>
      </c>
      <c r="AJ10" s="28" t="s">
        <v>2226</v>
      </c>
      <c r="AK10" s="28" t="s">
        <v>2227</v>
      </c>
      <c r="AL10" s="28" t="s">
        <v>2228</v>
      </c>
      <c r="AM10" s="28" t="s">
        <v>2229</v>
      </c>
      <c r="AN10" s="28" t="s">
        <v>2230</v>
      </c>
      <c r="AO10" s="28" t="s">
        <v>2231</v>
      </c>
      <c r="AP10" s="28" t="s">
        <v>2232</v>
      </c>
    </row>
    <row r="11" spans="1:42" ht="15.75" customHeight="1">
      <c r="A11" s="25"/>
      <c r="B11" s="25">
        <v>207</v>
      </c>
      <c r="C11" s="58" t="s">
        <v>2233</v>
      </c>
      <c r="D11" s="25">
        <v>1204</v>
      </c>
      <c r="E11" s="25"/>
      <c r="F11" s="81" t="s">
        <v>2234</v>
      </c>
      <c r="G11" s="82" t="s">
        <v>2235</v>
      </c>
      <c r="H11" s="25"/>
      <c r="I11" s="82" t="s">
        <v>2212</v>
      </c>
      <c r="J11" s="82" t="s">
        <v>2236</v>
      </c>
      <c r="K11" s="82" t="s">
        <v>42</v>
      </c>
      <c r="L11" s="83" t="s">
        <v>2214</v>
      </c>
      <c r="M11" s="82">
        <v>9324285712</v>
      </c>
      <c r="N11" s="89">
        <v>9820065040</v>
      </c>
      <c r="O11" s="82">
        <v>9324285712</v>
      </c>
      <c r="P11" s="33" t="s">
        <v>2215</v>
      </c>
      <c r="Q11" s="30" t="s">
        <v>44</v>
      </c>
      <c r="R11" s="25" t="s">
        <v>47</v>
      </c>
      <c r="S11" s="51" t="s">
        <v>2237</v>
      </c>
      <c r="T11" s="51" t="s">
        <v>301</v>
      </c>
      <c r="U11" s="51" t="s">
        <v>2238</v>
      </c>
      <c r="V11" s="51" t="s">
        <v>48</v>
      </c>
      <c r="W11" s="28" t="s">
        <v>71</v>
      </c>
      <c r="X11" s="28" t="s">
        <v>2218</v>
      </c>
      <c r="Y11" s="25"/>
      <c r="Z11" s="25"/>
      <c r="AA11" s="25"/>
      <c r="AB11" s="25"/>
      <c r="AC11" s="28" t="s">
        <v>2219</v>
      </c>
      <c r="AD11" s="28" t="s">
        <v>2220</v>
      </c>
      <c r="AE11" s="28" t="s">
        <v>2221</v>
      </c>
      <c r="AF11" s="28" t="s">
        <v>2222</v>
      </c>
      <c r="AG11" s="28" t="s">
        <v>2223</v>
      </c>
      <c r="AH11" s="28" t="s">
        <v>2224</v>
      </c>
      <c r="AI11" s="28" t="s">
        <v>2225</v>
      </c>
      <c r="AJ11" s="28" t="s">
        <v>2226</v>
      </c>
      <c r="AK11" s="28" t="s">
        <v>2227</v>
      </c>
      <c r="AL11" s="28" t="s">
        <v>2228</v>
      </c>
      <c r="AM11" s="28" t="s">
        <v>2229</v>
      </c>
      <c r="AN11" s="28" t="s">
        <v>2230</v>
      </c>
      <c r="AO11" s="28" t="s">
        <v>2231</v>
      </c>
      <c r="AP11" s="28" t="s">
        <v>2232</v>
      </c>
    </row>
    <row r="12" spans="1:42" ht="13.8">
      <c r="A12" s="25" t="s">
        <v>2239</v>
      </c>
      <c r="B12" s="25">
        <v>208</v>
      </c>
      <c r="C12" s="58" t="s">
        <v>2240</v>
      </c>
      <c r="D12" s="25">
        <v>1205</v>
      </c>
      <c r="E12" s="25"/>
      <c r="F12" s="138" t="s">
        <v>2241</v>
      </c>
      <c r="G12" s="30" t="s">
        <v>2242</v>
      </c>
      <c r="H12" s="25"/>
      <c r="I12" s="113" t="s">
        <v>2243</v>
      </c>
      <c r="J12" s="113" t="s">
        <v>2244</v>
      </c>
      <c r="K12" s="113" t="s">
        <v>507</v>
      </c>
      <c r="L12" s="139" t="s">
        <v>2245</v>
      </c>
      <c r="M12" s="113">
        <v>9820488881</v>
      </c>
      <c r="N12" s="29" t="s">
        <v>44</v>
      </c>
      <c r="O12" s="113">
        <v>9820488881</v>
      </c>
      <c r="P12" s="29"/>
      <c r="Q12" s="141" t="s">
        <v>2246</v>
      </c>
      <c r="R12" s="25" t="s">
        <v>47</v>
      </c>
      <c r="S12" s="29" t="s">
        <v>395</v>
      </c>
      <c r="T12" s="29" t="s">
        <v>395</v>
      </c>
      <c r="U12" s="29" t="s">
        <v>395</v>
      </c>
      <c r="V12" s="29" t="s">
        <v>395</v>
      </c>
      <c r="W12" s="28" t="s">
        <v>71</v>
      </c>
      <c r="X12" s="28" t="s">
        <v>2247</v>
      </c>
      <c r="Y12" s="25"/>
      <c r="Z12" s="25"/>
      <c r="AA12" s="25"/>
      <c r="AB12" s="25"/>
      <c r="AC12" s="25"/>
      <c r="AD12" s="25"/>
      <c r="AE12" s="25"/>
      <c r="AF12" s="25"/>
      <c r="AG12" s="25"/>
      <c r="AH12" s="25"/>
      <c r="AI12" s="25"/>
      <c r="AJ12" s="25"/>
      <c r="AK12" s="25"/>
      <c r="AL12" s="25"/>
      <c r="AM12" s="25"/>
      <c r="AN12" s="25"/>
      <c r="AO12" s="25"/>
      <c r="AP12" s="25"/>
    </row>
    <row r="13" spans="1:42" ht="15.75" customHeight="1">
      <c r="A13" s="25"/>
      <c r="B13" s="25">
        <v>209</v>
      </c>
      <c r="C13" s="58" t="s">
        <v>2248</v>
      </c>
      <c r="D13" s="25">
        <v>1206</v>
      </c>
      <c r="E13" s="25"/>
      <c r="F13" s="143" t="s">
        <v>2249</v>
      </c>
      <c r="G13" s="124" t="s">
        <v>2250</v>
      </c>
      <c r="H13" s="25"/>
      <c r="I13" s="124" t="s">
        <v>2251</v>
      </c>
      <c r="J13" s="124" t="s">
        <v>2252</v>
      </c>
      <c r="K13" s="124" t="s">
        <v>191</v>
      </c>
      <c r="L13" s="127" t="s">
        <v>2253</v>
      </c>
      <c r="M13" s="124">
        <v>9820574070</v>
      </c>
      <c r="N13" s="128">
        <v>9082084426</v>
      </c>
      <c r="O13" s="124">
        <v>9820574070</v>
      </c>
      <c r="P13" s="33" t="s">
        <v>2254</v>
      </c>
      <c r="Q13" s="30" t="s">
        <v>44</v>
      </c>
      <c r="R13" s="25" t="s">
        <v>47</v>
      </c>
      <c r="S13" s="51" t="s">
        <v>170</v>
      </c>
      <c r="T13" s="51" t="s">
        <v>49</v>
      </c>
      <c r="U13" s="51" t="s">
        <v>2255</v>
      </c>
      <c r="V13" s="51" t="s">
        <v>794</v>
      </c>
      <c r="W13" s="28" t="s">
        <v>71</v>
      </c>
      <c r="X13" s="28" t="s">
        <v>2256</v>
      </c>
      <c r="Y13" s="25"/>
      <c r="Z13" s="25"/>
      <c r="AA13" s="25"/>
      <c r="AB13" s="25"/>
      <c r="AC13" s="28" t="s">
        <v>2257</v>
      </c>
      <c r="AD13" s="28" t="s">
        <v>2258</v>
      </c>
      <c r="AE13" s="28" t="s">
        <v>2259</v>
      </c>
      <c r="AF13" s="28" t="s">
        <v>2260</v>
      </c>
      <c r="AG13" s="28" t="s">
        <v>2261</v>
      </c>
      <c r="AH13" s="28" t="s">
        <v>2262</v>
      </c>
      <c r="AI13" s="28" t="s">
        <v>2263</v>
      </c>
      <c r="AJ13" s="28" t="s">
        <v>2264</v>
      </c>
      <c r="AK13" s="28" t="s">
        <v>2265</v>
      </c>
      <c r="AL13" s="28" t="s">
        <v>2266</v>
      </c>
      <c r="AM13" s="28" t="s">
        <v>2267</v>
      </c>
      <c r="AN13" s="28" t="s">
        <v>2268</v>
      </c>
      <c r="AO13" s="25"/>
      <c r="AP13" s="25"/>
    </row>
    <row r="14" spans="1:42" ht="15.75" customHeight="1">
      <c r="A14" s="25" t="s">
        <v>2239</v>
      </c>
      <c r="B14" s="25">
        <v>210</v>
      </c>
      <c r="C14" s="58" t="s">
        <v>2269</v>
      </c>
      <c r="D14" s="25">
        <v>1207</v>
      </c>
      <c r="E14" s="25"/>
      <c r="F14" s="138" t="s">
        <v>2270</v>
      </c>
      <c r="G14" s="124" t="s">
        <v>2250</v>
      </c>
      <c r="H14" s="25"/>
      <c r="I14" s="113" t="s">
        <v>2271</v>
      </c>
      <c r="J14" s="113" t="s">
        <v>2252</v>
      </c>
      <c r="K14" s="29"/>
      <c r="L14" s="139" t="s">
        <v>2272</v>
      </c>
      <c r="M14" s="113">
        <v>9082084426</v>
      </c>
      <c r="N14" s="123">
        <v>9820574070</v>
      </c>
      <c r="O14" s="113">
        <v>9082084426</v>
      </c>
      <c r="P14" s="33" t="s">
        <v>2273</v>
      </c>
      <c r="Q14" s="30" t="s">
        <v>44</v>
      </c>
      <c r="R14" s="25" t="s">
        <v>47</v>
      </c>
      <c r="S14" s="51" t="s">
        <v>170</v>
      </c>
      <c r="T14" s="51" t="s">
        <v>49</v>
      </c>
      <c r="U14" s="51" t="s">
        <v>2274</v>
      </c>
      <c r="V14" s="51" t="s">
        <v>2275</v>
      </c>
      <c r="W14" s="28" t="s">
        <v>71</v>
      </c>
      <c r="X14" s="28" t="s">
        <v>71</v>
      </c>
      <c r="Y14" s="25"/>
      <c r="Z14" s="25"/>
      <c r="AA14" s="25"/>
      <c r="AB14" s="25"/>
      <c r="AC14" s="28" t="s">
        <v>2276</v>
      </c>
      <c r="AD14" s="28" t="s">
        <v>2277</v>
      </c>
      <c r="AE14" s="28" t="s">
        <v>2278</v>
      </c>
      <c r="AF14" s="28" t="s">
        <v>2279</v>
      </c>
      <c r="AG14" s="28" t="s">
        <v>854</v>
      </c>
      <c r="AH14" s="28" t="s">
        <v>2280</v>
      </c>
      <c r="AI14" s="25"/>
      <c r="AJ14" s="25"/>
      <c r="AK14" s="25"/>
      <c r="AL14" s="25"/>
      <c r="AM14" s="25"/>
      <c r="AN14" s="25"/>
      <c r="AO14" s="25"/>
      <c r="AP14" s="25"/>
    </row>
    <row r="15" spans="1:42" ht="13.8">
      <c r="A15" s="25" t="s">
        <v>2239</v>
      </c>
      <c r="B15" s="25">
        <v>211</v>
      </c>
      <c r="C15" s="58" t="s">
        <v>2281</v>
      </c>
      <c r="D15" s="25">
        <v>1208</v>
      </c>
      <c r="E15" s="25"/>
      <c r="F15" s="55" t="s">
        <v>2282</v>
      </c>
      <c r="G15" s="56" t="s">
        <v>2283</v>
      </c>
      <c r="H15" s="25"/>
      <c r="I15" s="56" t="s">
        <v>2284</v>
      </c>
      <c r="J15" s="56" t="s">
        <v>2285</v>
      </c>
      <c r="K15" s="56" t="s">
        <v>2286</v>
      </c>
      <c r="L15" s="115" t="s">
        <v>2287</v>
      </c>
      <c r="M15" s="56">
        <v>9930182255</v>
      </c>
      <c r="N15" s="29" t="s">
        <v>44</v>
      </c>
      <c r="O15" s="56">
        <v>9930182255</v>
      </c>
      <c r="P15" s="30" t="s">
        <v>44</v>
      </c>
      <c r="Q15" s="30" t="s">
        <v>44</v>
      </c>
      <c r="R15" s="25" t="s">
        <v>47</v>
      </c>
      <c r="S15" s="51" t="s">
        <v>170</v>
      </c>
      <c r="T15" s="51" t="s">
        <v>49</v>
      </c>
      <c r="U15" s="51" t="s">
        <v>2288</v>
      </c>
      <c r="V15" s="51" t="s">
        <v>170</v>
      </c>
      <c r="W15" s="28" t="s">
        <v>71</v>
      </c>
      <c r="X15" s="28" t="s">
        <v>71</v>
      </c>
      <c r="Y15" s="25"/>
      <c r="Z15" s="25"/>
      <c r="AA15" s="25"/>
      <c r="AB15" s="25"/>
      <c r="AC15" s="25"/>
      <c r="AD15" s="25"/>
      <c r="AE15" s="25"/>
      <c r="AF15" s="25"/>
      <c r="AG15" s="25"/>
      <c r="AH15" s="25"/>
      <c r="AI15" s="25"/>
      <c r="AJ15" s="25"/>
      <c r="AK15" s="25"/>
      <c r="AL15" s="25"/>
      <c r="AM15" s="25"/>
      <c r="AN15" s="25"/>
      <c r="AO15" s="25"/>
      <c r="AP15" s="25"/>
    </row>
    <row r="16" spans="1:42" ht="13.8">
      <c r="A16" s="6" t="s">
        <v>2289</v>
      </c>
      <c r="B16" s="6">
        <v>212</v>
      </c>
      <c r="C16" s="44" t="s">
        <v>2290</v>
      </c>
      <c r="D16" s="6">
        <v>1209</v>
      </c>
      <c r="E16" s="6"/>
      <c r="F16" s="107" t="s">
        <v>2291</v>
      </c>
      <c r="G16" s="19" t="s">
        <v>2292</v>
      </c>
      <c r="H16" s="6"/>
      <c r="I16" s="108" t="s">
        <v>2293</v>
      </c>
      <c r="J16" s="108" t="s">
        <v>2294</v>
      </c>
      <c r="K16" s="108" t="s">
        <v>507</v>
      </c>
      <c r="L16" s="19" t="s">
        <v>44</v>
      </c>
      <c r="M16" s="108">
        <v>9220778904</v>
      </c>
      <c r="N16" s="144">
        <v>9702196056</v>
      </c>
      <c r="O16" s="108">
        <v>9220778904</v>
      </c>
      <c r="P16" s="19" t="s">
        <v>44</v>
      </c>
      <c r="Q16" s="19" t="s">
        <v>44</v>
      </c>
      <c r="R16" s="6" t="s">
        <v>47</v>
      </c>
      <c r="S16" s="18" t="s">
        <v>395</v>
      </c>
      <c r="T16" s="18" t="s">
        <v>395</v>
      </c>
      <c r="U16" s="18" t="s">
        <v>395</v>
      </c>
      <c r="V16" s="18" t="s">
        <v>395</v>
      </c>
      <c r="W16" s="17" t="s">
        <v>71</v>
      </c>
      <c r="X16" s="17" t="s">
        <v>2295</v>
      </c>
      <c r="Y16" s="6"/>
      <c r="Z16" s="6"/>
      <c r="AA16" s="6"/>
      <c r="AB16" s="6"/>
      <c r="AC16" s="6"/>
      <c r="AD16" s="6"/>
      <c r="AE16" s="6"/>
      <c r="AF16" s="6"/>
      <c r="AG16" s="6"/>
      <c r="AH16" s="6"/>
      <c r="AI16" s="6"/>
      <c r="AJ16" s="6"/>
      <c r="AK16" s="6"/>
      <c r="AL16" s="6"/>
      <c r="AM16" s="6"/>
      <c r="AN16" s="6"/>
      <c r="AO16" s="6"/>
      <c r="AP16" s="6"/>
    </row>
    <row r="17" spans="1:42" ht="15.75" customHeight="1">
      <c r="A17" s="25" t="s">
        <v>2289</v>
      </c>
      <c r="B17" s="25">
        <v>213</v>
      </c>
      <c r="C17" s="58" t="s">
        <v>2296</v>
      </c>
      <c r="D17" s="25">
        <v>1210</v>
      </c>
      <c r="E17" s="25"/>
      <c r="F17" s="143" t="s">
        <v>2297</v>
      </c>
      <c r="G17" s="124" t="s">
        <v>2298</v>
      </c>
      <c r="H17" s="25"/>
      <c r="I17" s="124" t="s">
        <v>2299</v>
      </c>
      <c r="J17" s="124" t="s">
        <v>2300</v>
      </c>
      <c r="K17" s="124" t="s">
        <v>2301</v>
      </c>
      <c r="L17" s="127" t="s">
        <v>2302</v>
      </c>
      <c r="M17" s="124">
        <v>9819201521</v>
      </c>
      <c r="N17" s="29" t="s">
        <v>44</v>
      </c>
      <c r="O17" s="124">
        <v>9819201521</v>
      </c>
      <c r="P17" s="30" t="s">
        <v>44</v>
      </c>
      <c r="Q17" s="30" t="s">
        <v>44</v>
      </c>
      <c r="R17" s="25" t="s">
        <v>47</v>
      </c>
      <c r="S17" s="51" t="s">
        <v>170</v>
      </c>
      <c r="T17" s="51" t="s">
        <v>2303</v>
      </c>
      <c r="U17" s="51" t="s">
        <v>2304</v>
      </c>
      <c r="V17" s="51" t="s">
        <v>1911</v>
      </c>
      <c r="W17" s="28" t="s">
        <v>2305</v>
      </c>
      <c r="X17" s="28" t="s">
        <v>2306</v>
      </c>
      <c r="Y17" s="25"/>
      <c r="Z17" s="25"/>
      <c r="AA17" s="25"/>
      <c r="AB17" s="25"/>
      <c r="AC17" s="25"/>
      <c r="AD17" s="25"/>
      <c r="AE17" s="25"/>
      <c r="AF17" s="25"/>
      <c r="AG17" s="25"/>
      <c r="AH17" s="25"/>
      <c r="AI17" s="25"/>
      <c r="AJ17" s="25"/>
      <c r="AK17" s="25"/>
      <c r="AL17" s="25"/>
      <c r="AM17" s="25"/>
      <c r="AN17" s="25"/>
      <c r="AO17" s="25"/>
      <c r="AP17" s="25"/>
    </row>
    <row r="18" spans="1:42" ht="15.75" customHeight="1">
      <c r="A18" s="25" t="s">
        <v>2289</v>
      </c>
      <c r="B18" s="25">
        <v>214</v>
      </c>
      <c r="C18" s="58" t="s">
        <v>2307</v>
      </c>
      <c r="D18" s="25">
        <v>1211</v>
      </c>
      <c r="E18" s="25"/>
      <c r="F18" s="143" t="s">
        <v>2308</v>
      </c>
      <c r="G18" s="124" t="s">
        <v>2309</v>
      </c>
      <c r="H18" s="25"/>
      <c r="I18" s="124" t="s">
        <v>2310</v>
      </c>
      <c r="J18" s="124" t="s">
        <v>2311</v>
      </c>
      <c r="K18" s="124" t="s">
        <v>534</v>
      </c>
      <c r="L18" s="127" t="s">
        <v>2312</v>
      </c>
      <c r="M18" s="124">
        <v>9819824233</v>
      </c>
      <c r="N18" s="29" t="s">
        <v>44</v>
      </c>
      <c r="O18" s="124">
        <v>9819824233</v>
      </c>
      <c r="P18" s="30" t="s">
        <v>44</v>
      </c>
      <c r="Q18" s="30" t="s">
        <v>44</v>
      </c>
      <c r="R18" s="25" t="s">
        <v>47</v>
      </c>
      <c r="S18" s="51" t="s">
        <v>2313</v>
      </c>
      <c r="T18" s="51" t="s">
        <v>49</v>
      </c>
      <c r="U18" s="51" t="s">
        <v>2314</v>
      </c>
      <c r="V18" s="51" t="s">
        <v>2315</v>
      </c>
      <c r="W18" s="28" t="s">
        <v>71</v>
      </c>
      <c r="X18" s="28" t="s">
        <v>71</v>
      </c>
      <c r="Y18" s="25"/>
      <c r="Z18" s="25"/>
      <c r="AA18" s="25"/>
      <c r="AB18" s="25"/>
      <c r="AC18" s="28" t="s">
        <v>2316</v>
      </c>
      <c r="AD18" s="28" t="s">
        <v>2317</v>
      </c>
      <c r="AE18" s="28" t="s">
        <v>2318</v>
      </c>
      <c r="AF18" s="28" t="s">
        <v>2319</v>
      </c>
      <c r="AG18" s="28" t="s">
        <v>2320</v>
      </c>
      <c r="AH18" s="28" t="s">
        <v>2321</v>
      </c>
      <c r="AI18" s="28" t="s">
        <v>2322</v>
      </c>
      <c r="AJ18" s="28" t="s">
        <v>2323</v>
      </c>
      <c r="AK18" s="25"/>
      <c r="AL18" s="25"/>
      <c r="AM18" s="25"/>
      <c r="AN18" s="25"/>
      <c r="AO18" s="25"/>
      <c r="AP18" s="25"/>
    </row>
    <row r="19" spans="1:42" ht="13.8">
      <c r="A19" s="25" t="s">
        <v>2289</v>
      </c>
      <c r="B19" s="25">
        <v>215</v>
      </c>
      <c r="C19" s="58" t="s">
        <v>2324</v>
      </c>
      <c r="D19" s="25">
        <v>1212</v>
      </c>
      <c r="E19" s="25"/>
      <c r="F19" s="138" t="s">
        <v>2325</v>
      </c>
      <c r="G19" s="30" t="s">
        <v>2326</v>
      </c>
      <c r="H19" s="25"/>
      <c r="I19" s="113" t="s">
        <v>2327</v>
      </c>
      <c r="J19" s="113" t="s">
        <v>2328</v>
      </c>
      <c r="K19" s="113" t="s">
        <v>545</v>
      </c>
      <c r="L19" s="139" t="s">
        <v>2329</v>
      </c>
      <c r="M19" s="113">
        <v>9323735972</v>
      </c>
      <c r="N19" s="123">
        <v>9699077599</v>
      </c>
      <c r="O19" s="113">
        <v>9323735972</v>
      </c>
      <c r="P19" s="30" t="s">
        <v>44</v>
      </c>
      <c r="Q19" s="30" t="s">
        <v>44</v>
      </c>
      <c r="R19" s="25" t="s">
        <v>47</v>
      </c>
      <c r="S19" s="51" t="s">
        <v>170</v>
      </c>
      <c r="T19" s="51" t="s">
        <v>49</v>
      </c>
      <c r="U19" s="51" t="s">
        <v>197</v>
      </c>
      <c r="V19" s="51" t="s">
        <v>49</v>
      </c>
      <c r="W19" s="28" t="s">
        <v>71</v>
      </c>
      <c r="X19" s="28" t="s">
        <v>71</v>
      </c>
      <c r="Y19" s="25"/>
      <c r="Z19" s="25"/>
      <c r="AA19" s="25"/>
      <c r="AB19" s="25"/>
      <c r="AC19" s="25"/>
      <c r="AD19" s="25"/>
      <c r="AE19" s="25"/>
      <c r="AF19" s="25"/>
      <c r="AG19" s="25"/>
      <c r="AH19" s="25"/>
      <c r="AI19" s="25"/>
      <c r="AJ19" s="25"/>
      <c r="AK19" s="25"/>
      <c r="AL19" s="25"/>
      <c r="AM19" s="25"/>
      <c r="AN19" s="25"/>
      <c r="AO19" s="25"/>
      <c r="AP19" s="25"/>
    </row>
    <row r="20" spans="1:42" ht="13.8">
      <c r="A20" s="6" t="s">
        <v>2239</v>
      </c>
      <c r="B20" s="6">
        <v>216</v>
      </c>
      <c r="C20" s="44" t="s">
        <v>2330</v>
      </c>
      <c r="D20" s="6">
        <v>1214</v>
      </c>
      <c r="E20" s="6"/>
      <c r="F20" s="107" t="s">
        <v>2331</v>
      </c>
      <c r="G20" s="19" t="s">
        <v>2332</v>
      </c>
      <c r="H20" s="6"/>
      <c r="I20" s="108" t="s">
        <v>2333</v>
      </c>
      <c r="J20" s="108" t="s">
        <v>2334</v>
      </c>
      <c r="K20" s="108" t="s">
        <v>2073</v>
      </c>
      <c r="L20" s="18"/>
      <c r="M20" s="108">
        <v>7219460020</v>
      </c>
      <c r="N20" s="18" t="s">
        <v>44</v>
      </c>
      <c r="O20" s="108">
        <v>7219460020</v>
      </c>
      <c r="P20" s="19" t="s">
        <v>44</v>
      </c>
      <c r="Q20" s="145" t="s">
        <v>2335</v>
      </c>
      <c r="R20" s="6" t="s">
        <v>47</v>
      </c>
      <c r="S20" s="45" t="s">
        <v>2336</v>
      </c>
      <c r="T20" s="45" t="s">
        <v>48</v>
      </c>
      <c r="U20" s="45" t="s">
        <v>2337</v>
      </c>
      <c r="V20" s="45" t="s">
        <v>2336</v>
      </c>
      <c r="W20" s="17" t="s">
        <v>71</v>
      </c>
      <c r="X20" s="17" t="s">
        <v>2338</v>
      </c>
      <c r="Y20" s="6"/>
      <c r="Z20" s="6"/>
      <c r="AA20" s="6"/>
      <c r="AB20" s="6"/>
      <c r="AC20" s="6"/>
      <c r="AD20" s="6"/>
      <c r="AE20" s="6"/>
      <c r="AF20" s="6"/>
      <c r="AG20" s="6"/>
      <c r="AH20" s="6"/>
      <c r="AI20" s="6"/>
      <c r="AJ20" s="6"/>
      <c r="AK20" s="6"/>
      <c r="AL20" s="6"/>
      <c r="AM20" s="6"/>
      <c r="AN20" s="6"/>
      <c r="AO20" s="6"/>
      <c r="AP20" s="6"/>
    </row>
    <row r="21" spans="1:42" ht="15.75" customHeight="1">
      <c r="A21" s="25" t="s">
        <v>2239</v>
      </c>
      <c r="B21" s="25">
        <v>217</v>
      </c>
      <c r="C21" s="58" t="s">
        <v>2339</v>
      </c>
      <c r="D21" s="25">
        <v>1215</v>
      </c>
      <c r="E21" s="25"/>
      <c r="F21" s="143" t="s">
        <v>2340</v>
      </c>
      <c r="G21" s="124" t="s">
        <v>2341</v>
      </c>
      <c r="H21" s="25"/>
      <c r="I21" s="124" t="s">
        <v>2342</v>
      </c>
      <c r="J21" s="124" t="s">
        <v>2343</v>
      </c>
      <c r="K21" s="124" t="s">
        <v>2344</v>
      </c>
      <c r="L21" s="127" t="s">
        <v>2345</v>
      </c>
      <c r="M21" s="124">
        <v>7666286662</v>
      </c>
      <c r="N21" s="128">
        <v>7738959333</v>
      </c>
      <c r="O21" s="124">
        <v>7666286662</v>
      </c>
      <c r="P21" s="30" t="s">
        <v>44</v>
      </c>
      <c r="Q21" s="30" t="s">
        <v>44</v>
      </c>
      <c r="R21" s="25" t="s">
        <v>47</v>
      </c>
      <c r="S21" s="51" t="s">
        <v>2346</v>
      </c>
      <c r="T21" s="51" t="s">
        <v>907</v>
      </c>
      <c r="U21" s="51" t="s">
        <v>49</v>
      </c>
      <c r="V21" s="51" t="s">
        <v>48</v>
      </c>
      <c r="W21" s="28" t="s">
        <v>71</v>
      </c>
      <c r="X21" s="28" t="s">
        <v>71</v>
      </c>
      <c r="Y21" s="25"/>
      <c r="Z21" s="25"/>
      <c r="AA21" s="25"/>
      <c r="AB21" s="25"/>
      <c r="AC21" s="25"/>
      <c r="AD21" s="25"/>
      <c r="AE21" s="25"/>
      <c r="AF21" s="25"/>
      <c r="AG21" s="25"/>
      <c r="AH21" s="25"/>
      <c r="AI21" s="25"/>
      <c r="AJ21" s="25"/>
      <c r="AK21" s="25"/>
      <c r="AL21" s="25"/>
      <c r="AM21" s="25"/>
      <c r="AN21" s="25"/>
      <c r="AO21" s="25"/>
      <c r="AP21" s="25"/>
    </row>
    <row r="22" spans="1:42" ht="15.75" customHeight="1">
      <c r="A22" s="6" t="s">
        <v>2239</v>
      </c>
      <c r="B22" s="6">
        <v>218</v>
      </c>
      <c r="C22" s="44" t="s">
        <v>2347</v>
      </c>
      <c r="D22" s="6">
        <v>1217</v>
      </c>
      <c r="E22" s="6"/>
      <c r="F22" s="146" t="s">
        <v>2348</v>
      </c>
      <c r="G22" s="147" t="s">
        <v>2349</v>
      </c>
      <c r="H22" s="6"/>
      <c r="I22" s="147" t="s">
        <v>44</v>
      </c>
      <c r="J22" s="147" t="s">
        <v>2350</v>
      </c>
      <c r="K22" s="147" t="s">
        <v>2351</v>
      </c>
      <c r="L22" s="148" t="s">
        <v>2352</v>
      </c>
      <c r="M22" s="147">
        <v>9819879642</v>
      </c>
      <c r="N22" s="18" t="s">
        <v>44</v>
      </c>
      <c r="O22" s="147">
        <v>9819879642</v>
      </c>
      <c r="P22" s="19" t="s">
        <v>44</v>
      </c>
      <c r="Q22" s="19" t="s">
        <v>44</v>
      </c>
      <c r="R22" s="6" t="s">
        <v>47</v>
      </c>
      <c r="S22" s="45" t="s">
        <v>170</v>
      </c>
      <c r="T22" s="45" t="s">
        <v>49</v>
      </c>
      <c r="U22" s="45" t="s">
        <v>49</v>
      </c>
      <c r="V22" s="45" t="s">
        <v>2353</v>
      </c>
      <c r="W22" s="17" t="s">
        <v>71</v>
      </c>
      <c r="X22" s="17" t="s">
        <v>2354</v>
      </c>
      <c r="Y22" s="6"/>
      <c r="Z22" s="6"/>
      <c r="AA22" s="6"/>
      <c r="AB22" s="6"/>
      <c r="AC22" s="6"/>
      <c r="AD22" s="6"/>
      <c r="AE22" s="6"/>
      <c r="AF22" s="6"/>
      <c r="AG22" s="6"/>
      <c r="AH22" s="6"/>
      <c r="AI22" s="6"/>
      <c r="AJ22" s="6"/>
      <c r="AK22" s="6"/>
      <c r="AL22" s="6"/>
      <c r="AM22" s="6"/>
      <c r="AN22" s="6"/>
      <c r="AO22" s="6"/>
      <c r="AP22" s="6"/>
    </row>
    <row r="23" spans="1:42" ht="15.75" customHeight="1">
      <c r="A23" s="25" t="s">
        <v>130</v>
      </c>
      <c r="B23" s="25">
        <v>219</v>
      </c>
      <c r="C23" s="58" t="s">
        <v>2355</v>
      </c>
      <c r="D23" s="25">
        <v>1221</v>
      </c>
      <c r="E23" s="25"/>
      <c r="F23" s="81" t="s">
        <v>2356</v>
      </c>
      <c r="G23" s="82" t="s">
        <v>2357</v>
      </c>
      <c r="H23" s="25"/>
      <c r="I23" s="82" t="s">
        <v>2358</v>
      </c>
      <c r="J23" s="82" t="s">
        <v>2359</v>
      </c>
      <c r="K23" s="82" t="s">
        <v>191</v>
      </c>
      <c r="L23" s="83" t="s">
        <v>2360</v>
      </c>
      <c r="M23" s="82">
        <v>9821359662</v>
      </c>
      <c r="N23" s="89">
        <v>2245119258</v>
      </c>
      <c r="O23" s="82">
        <v>9821359662</v>
      </c>
      <c r="P23" s="30" t="s">
        <v>44</v>
      </c>
      <c r="Q23" s="30" t="s">
        <v>44</v>
      </c>
      <c r="R23" s="25" t="s">
        <v>47</v>
      </c>
      <c r="S23" s="51" t="s">
        <v>2361</v>
      </c>
      <c r="T23" s="51" t="s">
        <v>2362</v>
      </c>
      <c r="U23" s="51" t="s">
        <v>2363</v>
      </c>
      <c r="V23" s="51" t="s">
        <v>48</v>
      </c>
      <c r="W23" s="28" t="s">
        <v>71</v>
      </c>
      <c r="X23" s="28" t="s">
        <v>2364</v>
      </c>
      <c r="Y23" s="25"/>
      <c r="Z23" s="25"/>
      <c r="AA23" s="25"/>
      <c r="AB23" s="25"/>
      <c r="AC23" s="25"/>
      <c r="AD23" s="25"/>
      <c r="AE23" s="25"/>
      <c r="AF23" s="25"/>
      <c r="AG23" s="25"/>
      <c r="AH23" s="25"/>
      <c r="AI23" s="25"/>
      <c r="AJ23" s="25"/>
      <c r="AK23" s="25"/>
      <c r="AL23" s="25"/>
      <c r="AM23" s="25"/>
      <c r="AN23" s="25"/>
      <c r="AO23" s="25"/>
      <c r="AP23" s="25"/>
    </row>
    <row r="24" spans="1:42" ht="13.8">
      <c r="A24" s="2"/>
      <c r="B24" s="2">
        <v>220</v>
      </c>
      <c r="C24" s="94" t="s">
        <v>2365</v>
      </c>
      <c r="D24" s="149">
        <v>1223</v>
      </c>
      <c r="F24" s="150" t="s">
        <v>2366</v>
      </c>
      <c r="G24" s="151" t="s">
        <v>2367</v>
      </c>
      <c r="I24" s="10" t="s">
        <v>2368</v>
      </c>
      <c r="J24" s="151" t="s">
        <v>2369</v>
      </c>
      <c r="K24" s="151" t="s">
        <v>2370</v>
      </c>
      <c r="L24" s="10" t="s">
        <v>44</v>
      </c>
      <c r="M24" s="10" t="s">
        <v>44</v>
      </c>
      <c r="N24" s="9" t="s">
        <v>44</v>
      </c>
      <c r="O24" s="10" t="s">
        <v>44</v>
      </c>
      <c r="P24" s="10" t="s">
        <v>44</v>
      </c>
      <c r="Q24" s="10" t="s">
        <v>44</v>
      </c>
      <c r="R24" s="2" t="s">
        <v>47</v>
      </c>
      <c r="S24" s="105" t="s">
        <v>973</v>
      </c>
      <c r="T24" s="105" t="s">
        <v>2371</v>
      </c>
      <c r="U24" s="105" t="s">
        <v>2372</v>
      </c>
      <c r="V24" s="105" t="s">
        <v>2373</v>
      </c>
      <c r="W24" s="4" t="s">
        <v>71</v>
      </c>
      <c r="X24" s="4" t="s">
        <v>2364</v>
      </c>
    </row>
    <row r="25" spans="1:42" ht="13.8">
      <c r="A25" s="2"/>
      <c r="B25" s="2">
        <v>221</v>
      </c>
      <c r="C25" s="94" t="s">
        <v>2374</v>
      </c>
      <c r="D25" s="149">
        <v>1225</v>
      </c>
      <c r="F25" s="109" t="s">
        <v>2375</v>
      </c>
      <c r="G25" s="151" t="s">
        <v>2367</v>
      </c>
      <c r="I25" s="10" t="s">
        <v>2368</v>
      </c>
      <c r="J25" s="110" t="s">
        <v>2376</v>
      </c>
      <c r="K25" s="110" t="s">
        <v>78</v>
      </c>
      <c r="L25" s="10" t="s">
        <v>44</v>
      </c>
      <c r="M25" s="10" t="s">
        <v>44</v>
      </c>
      <c r="N25" s="9" t="s">
        <v>44</v>
      </c>
      <c r="O25" s="10" t="s">
        <v>44</v>
      </c>
      <c r="P25" s="10" t="s">
        <v>44</v>
      </c>
      <c r="Q25" s="10" t="s">
        <v>44</v>
      </c>
      <c r="R25" s="2" t="s">
        <v>47</v>
      </c>
      <c r="S25" s="105" t="s">
        <v>973</v>
      </c>
      <c r="T25" s="105" t="s">
        <v>2377</v>
      </c>
      <c r="U25" s="105" t="s">
        <v>2378</v>
      </c>
      <c r="V25" s="105" t="s">
        <v>2373</v>
      </c>
      <c r="W25" s="4" t="s">
        <v>71</v>
      </c>
      <c r="X25" s="4" t="s">
        <v>2364</v>
      </c>
    </row>
    <row r="26" spans="1:42" ht="13.8">
      <c r="A26" s="2"/>
      <c r="B26" s="2">
        <v>222</v>
      </c>
      <c r="C26" s="94" t="s">
        <v>2379</v>
      </c>
      <c r="D26" s="149">
        <v>1224</v>
      </c>
      <c r="F26" s="109" t="s">
        <v>2380</v>
      </c>
      <c r="G26" s="151" t="s">
        <v>2367</v>
      </c>
      <c r="I26" s="10" t="s">
        <v>2368</v>
      </c>
      <c r="J26" s="110" t="s">
        <v>2381</v>
      </c>
      <c r="K26" s="110" t="s">
        <v>78</v>
      </c>
      <c r="L26" s="10" t="s">
        <v>44</v>
      </c>
      <c r="M26" s="10" t="s">
        <v>44</v>
      </c>
      <c r="N26" s="9" t="s">
        <v>44</v>
      </c>
      <c r="O26" s="10" t="s">
        <v>44</v>
      </c>
      <c r="P26" s="10" t="s">
        <v>44</v>
      </c>
      <c r="Q26" s="10" t="s">
        <v>44</v>
      </c>
      <c r="R26" s="2" t="s">
        <v>47</v>
      </c>
      <c r="S26" s="105" t="s">
        <v>973</v>
      </c>
      <c r="T26" s="105" t="s">
        <v>2382</v>
      </c>
      <c r="U26" s="105" t="s">
        <v>2383</v>
      </c>
      <c r="V26" s="105" t="s">
        <v>2373</v>
      </c>
      <c r="W26" s="4" t="s">
        <v>71</v>
      </c>
      <c r="X26" s="4" t="s">
        <v>2364</v>
      </c>
    </row>
    <row r="27" spans="1:42" ht="13.8">
      <c r="A27" s="2"/>
      <c r="B27" s="2">
        <v>223</v>
      </c>
      <c r="C27" s="94" t="s">
        <v>2384</v>
      </c>
      <c r="D27" s="149">
        <v>1223</v>
      </c>
      <c r="F27" s="109" t="s">
        <v>2385</v>
      </c>
      <c r="G27" s="151" t="s">
        <v>2367</v>
      </c>
      <c r="I27" s="10" t="s">
        <v>2368</v>
      </c>
      <c r="J27" s="110" t="s">
        <v>2386</v>
      </c>
      <c r="K27" s="110" t="s">
        <v>191</v>
      </c>
      <c r="L27" s="10" t="s">
        <v>44</v>
      </c>
      <c r="M27" s="10" t="s">
        <v>44</v>
      </c>
      <c r="N27" s="9" t="s">
        <v>44</v>
      </c>
      <c r="O27" s="10" t="s">
        <v>44</v>
      </c>
      <c r="P27" s="10" t="s">
        <v>44</v>
      </c>
      <c r="Q27" s="10" t="s">
        <v>44</v>
      </c>
      <c r="R27" s="2" t="s">
        <v>47</v>
      </c>
      <c r="S27" s="105" t="s">
        <v>973</v>
      </c>
      <c r="T27" s="105" t="s">
        <v>2387</v>
      </c>
      <c r="U27" s="105" t="s">
        <v>2388</v>
      </c>
      <c r="V27" s="105" t="s">
        <v>2373</v>
      </c>
      <c r="W27" s="4" t="s">
        <v>71</v>
      </c>
      <c r="X27" s="4" t="s">
        <v>2364</v>
      </c>
    </row>
    <row r="28" spans="1:42" ht="13.8">
      <c r="A28" s="2"/>
      <c r="B28" s="2">
        <v>224</v>
      </c>
      <c r="C28" s="94" t="s">
        <v>2389</v>
      </c>
      <c r="D28" s="149">
        <v>1222</v>
      </c>
      <c r="F28" s="109" t="s">
        <v>2390</v>
      </c>
      <c r="G28" s="151" t="s">
        <v>2367</v>
      </c>
      <c r="I28" s="10" t="s">
        <v>2368</v>
      </c>
      <c r="J28" s="110" t="s">
        <v>2391</v>
      </c>
      <c r="K28" s="110" t="s">
        <v>2392</v>
      </c>
      <c r="L28" s="10" t="s">
        <v>44</v>
      </c>
      <c r="M28" s="10" t="s">
        <v>44</v>
      </c>
      <c r="N28" s="9" t="s">
        <v>44</v>
      </c>
      <c r="O28" s="10" t="s">
        <v>44</v>
      </c>
      <c r="P28" s="10" t="s">
        <v>44</v>
      </c>
      <c r="Q28" s="10" t="s">
        <v>44</v>
      </c>
      <c r="R28" s="2" t="s">
        <v>47</v>
      </c>
      <c r="S28" s="105" t="s">
        <v>973</v>
      </c>
      <c r="T28" s="105" t="s">
        <v>2393</v>
      </c>
      <c r="U28" s="105" t="s">
        <v>2394</v>
      </c>
      <c r="V28" s="105" t="s">
        <v>2373</v>
      </c>
      <c r="W28" s="4" t="s">
        <v>71</v>
      </c>
      <c r="X28" s="4" t="s">
        <v>2395</v>
      </c>
    </row>
    <row r="29" spans="1:42" ht="13.8">
      <c r="A29" s="6"/>
      <c r="B29" s="6">
        <v>225</v>
      </c>
      <c r="C29" s="44" t="s">
        <v>2396</v>
      </c>
      <c r="D29" s="6">
        <v>1228</v>
      </c>
      <c r="E29" s="6"/>
      <c r="F29" s="107" t="s">
        <v>2397</v>
      </c>
      <c r="G29" s="19" t="s">
        <v>2398</v>
      </c>
      <c r="H29" s="6"/>
      <c r="I29" s="108" t="s">
        <v>2399</v>
      </c>
      <c r="J29" s="108" t="s">
        <v>2400</v>
      </c>
      <c r="K29" s="108" t="s">
        <v>191</v>
      </c>
      <c r="L29" s="152" t="s">
        <v>2401</v>
      </c>
      <c r="M29" s="108">
        <v>9820561214</v>
      </c>
      <c r="N29" s="18" t="s">
        <v>44</v>
      </c>
      <c r="O29" s="108">
        <v>9820561214</v>
      </c>
      <c r="P29" s="19" t="s">
        <v>44</v>
      </c>
      <c r="Q29" s="19" t="s">
        <v>44</v>
      </c>
      <c r="R29" s="6" t="s">
        <v>47</v>
      </c>
      <c r="S29" s="45" t="s">
        <v>170</v>
      </c>
      <c r="T29" s="45" t="s">
        <v>49</v>
      </c>
      <c r="U29" s="45" t="s">
        <v>2402</v>
      </c>
      <c r="V29" s="45" t="s">
        <v>48</v>
      </c>
      <c r="W29" s="17" t="s">
        <v>71</v>
      </c>
      <c r="X29" s="17" t="s">
        <v>2403</v>
      </c>
      <c r="Y29" s="6"/>
      <c r="Z29" s="6"/>
      <c r="AA29" s="6"/>
      <c r="AB29" s="6"/>
      <c r="AC29" s="6"/>
      <c r="AD29" s="6"/>
      <c r="AE29" s="6"/>
      <c r="AF29" s="6"/>
      <c r="AG29" s="6"/>
      <c r="AH29" s="6"/>
      <c r="AI29" s="6"/>
      <c r="AJ29" s="6"/>
      <c r="AK29" s="6"/>
      <c r="AL29" s="6"/>
      <c r="AM29" s="6"/>
      <c r="AN29" s="6"/>
      <c r="AO29" s="6"/>
      <c r="AP29" s="6"/>
    </row>
    <row r="30" spans="1:42" ht="13.8">
      <c r="A30" s="6"/>
      <c r="B30" s="6">
        <v>226</v>
      </c>
      <c r="C30" s="44" t="s">
        <v>2404</v>
      </c>
      <c r="D30" s="6">
        <v>1229</v>
      </c>
      <c r="E30" s="6"/>
      <c r="F30" s="135" t="s">
        <v>2405</v>
      </c>
      <c r="G30" s="111" t="s">
        <v>2406</v>
      </c>
      <c r="H30" s="6"/>
      <c r="I30" s="111" t="s">
        <v>2407</v>
      </c>
      <c r="J30" s="111" t="s">
        <v>2408</v>
      </c>
      <c r="K30" s="111" t="s">
        <v>534</v>
      </c>
      <c r="L30" s="19" t="s">
        <v>44</v>
      </c>
      <c r="M30" s="111">
        <v>9821324699</v>
      </c>
      <c r="N30" s="18" t="s">
        <v>44</v>
      </c>
      <c r="O30" s="111">
        <v>9821324699</v>
      </c>
      <c r="P30" s="19" t="s">
        <v>44</v>
      </c>
      <c r="Q30" s="153" t="s">
        <v>2409</v>
      </c>
      <c r="R30" s="6" t="s">
        <v>47</v>
      </c>
      <c r="S30" s="45" t="s">
        <v>2410</v>
      </c>
      <c r="T30" s="45" t="s">
        <v>49</v>
      </c>
      <c r="U30" s="45" t="s">
        <v>2411</v>
      </c>
      <c r="V30" s="45" t="s">
        <v>1995</v>
      </c>
      <c r="W30" s="17" t="s">
        <v>71</v>
      </c>
      <c r="X30" s="17" t="s">
        <v>2412</v>
      </c>
      <c r="Y30" s="6"/>
      <c r="Z30" s="6"/>
      <c r="AA30" s="6"/>
      <c r="AB30" s="6"/>
      <c r="AC30" s="6"/>
      <c r="AD30" s="6"/>
      <c r="AE30" s="6"/>
      <c r="AF30" s="6"/>
      <c r="AG30" s="6"/>
      <c r="AH30" s="6"/>
      <c r="AI30" s="6"/>
      <c r="AJ30" s="6"/>
      <c r="AK30" s="6"/>
      <c r="AL30" s="6"/>
      <c r="AM30" s="6"/>
      <c r="AN30" s="6"/>
      <c r="AO30" s="6"/>
      <c r="AP30" s="6"/>
    </row>
    <row r="31" spans="1:42" ht="13.8">
      <c r="A31" s="6"/>
      <c r="B31" s="6">
        <v>227</v>
      </c>
      <c r="C31" s="44" t="s">
        <v>2413</v>
      </c>
      <c r="D31" s="6">
        <v>1230</v>
      </c>
      <c r="E31" s="6"/>
      <c r="F31" s="107" t="s">
        <v>2414</v>
      </c>
      <c r="G31" s="19" t="s">
        <v>2415</v>
      </c>
      <c r="H31" s="6"/>
      <c r="I31" s="108" t="s">
        <v>2416</v>
      </c>
      <c r="J31" s="108" t="s">
        <v>2417</v>
      </c>
      <c r="K31" s="19" t="s">
        <v>1693</v>
      </c>
      <c r="L31" s="152" t="s">
        <v>2418</v>
      </c>
      <c r="M31" s="108">
        <v>9820149620</v>
      </c>
      <c r="N31" s="144">
        <v>9820439944</v>
      </c>
      <c r="O31" s="108">
        <v>9820149620</v>
      </c>
      <c r="P31" s="19" t="s">
        <v>44</v>
      </c>
      <c r="Q31" s="19" t="s">
        <v>44</v>
      </c>
      <c r="R31" s="6" t="s">
        <v>47</v>
      </c>
      <c r="S31" s="45" t="s">
        <v>170</v>
      </c>
      <c r="T31" s="45" t="s">
        <v>49</v>
      </c>
      <c r="U31" s="45" t="s">
        <v>2419</v>
      </c>
      <c r="V31" s="45" t="s">
        <v>2055</v>
      </c>
      <c r="W31" s="17" t="s">
        <v>71</v>
      </c>
      <c r="X31" s="17" t="s">
        <v>2420</v>
      </c>
      <c r="Y31" s="6"/>
      <c r="Z31" s="6"/>
      <c r="AA31" s="6"/>
      <c r="AB31" s="6"/>
      <c r="AC31" s="6"/>
      <c r="AD31" s="6"/>
      <c r="AE31" s="6"/>
      <c r="AF31" s="6"/>
      <c r="AG31" s="6"/>
      <c r="AH31" s="6"/>
      <c r="AI31" s="6"/>
      <c r="AJ31" s="6"/>
      <c r="AK31" s="6"/>
      <c r="AL31" s="6"/>
      <c r="AM31" s="6"/>
      <c r="AN31" s="6"/>
      <c r="AO31" s="6"/>
      <c r="AP31" s="6"/>
    </row>
    <row r="32" spans="1:42" ht="13.8">
      <c r="A32" s="6"/>
      <c r="B32" s="6">
        <v>228</v>
      </c>
      <c r="C32" s="44" t="s">
        <v>2421</v>
      </c>
      <c r="D32" s="6">
        <v>1231</v>
      </c>
      <c r="E32" s="6"/>
      <c r="F32" s="133" t="s">
        <v>2422</v>
      </c>
      <c r="G32" s="121" t="s">
        <v>2423</v>
      </c>
      <c r="H32" s="6"/>
      <c r="I32" s="121" t="s">
        <v>2424</v>
      </c>
      <c r="J32" s="121" t="s">
        <v>2425</v>
      </c>
      <c r="K32" s="121" t="s">
        <v>2426</v>
      </c>
      <c r="L32" s="19" t="s">
        <v>44</v>
      </c>
      <c r="M32" s="121">
        <v>9370795843</v>
      </c>
      <c r="N32" s="18" t="s">
        <v>44</v>
      </c>
      <c r="O32" s="121">
        <v>9370795843</v>
      </c>
      <c r="P32" s="19" t="s">
        <v>44</v>
      </c>
      <c r="Q32" s="19" t="s">
        <v>44</v>
      </c>
      <c r="R32" s="6" t="s">
        <v>47</v>
      </c>
      <c r="S32" s="45" t="s">
        <v>2427</v>
      </c>
      <c r="T32" s="45" t="s">
        <v>49</v>
      </c>
      <c r="U32" s="45" t="s">
        <v>49</v>
      </c>
      <c r="V32" s="45" t="s">
        <v>48</v>
      </c>
      <c r="W32" s="17" t="s">
        <v>71</v>
      </c>
      <c r="X32" s="17" t="s">
        <v>2428</v>
      </c>
      <c r="Y32" s="6"/>
      <c r="Z32" s="6"/>
      <c r="AA32" s="6"/>
      <c r="AB32" s="6"/>
      <c r="AC32" s="6"/>
      <c r="AD32" s="6"/>
      <c r="AE32" s="6"/>
      <c r="AF32" s="6"/>
      <c r="AG32" s="6"/>
      <c r="AH32" s="6"/>
      <c r="AI32" s="6"/>
      <c r="AJ32" s="6"/>
      <c r="AK32" s="6"/>
      <c r="AL32" s="6"/>
      <c r="AM32" s="6"/>
      <c r="AN32" s="6"/>
      <c r="AO32" s="6"/>
      <c r="AP32" s="6"/>
    </row>
    <row r="33" spans="1:42" ht="13.8">
      <c r="A33" s="25" t="s">
        <v>708</v>
      </c>
      <c r="B33" s="25">
        <v>324</v>
      </c>
      <c r="C33" s="58" t="s">
        <v>2429</v>
      </c>
      <c r="D33" s="25">
        <v>1232</v>
      </c>
      <c r="E33" s="25"/>
      <c r="F33" s="29" t="s">
        <v>2430</v>
      </c>
      <c r="G33" s="154" t="s">
        <v>2431</v>
      </c>
      <c r="H33" s="25"/>
      <c r="I33" s="154" t="s">
        <v>2432</v>
      </c>
      <c r="J33" s="154" t="s">
        <v>2433</v>
      </c>
      <c r="K33" s="154" t="s">
        <v>534</v>
      </c>
      <c r="L33" s="155" t="s">
        <v>2434</v>
      </c>
      <c r="M33" s="154">
        <v>9321887125</v>
      </c>
      <c r="N33" s="29" t="s">
        <v>44</v>
      </c>
      <c r="O33" s="154">
        <v>9321887125</v>
      </c>
      <c r="P33" s="33" t="s">
        <v>2435</v>
      </c>
      <c r="Q33" s="30" t="s">
        <v>44</v>
      </c>
      <c r="R33" s="25" t="s">
        <v>47</v>
      </c>
      <c r="S33" s="51" t="s">
        <v>170</v>
      </c>
      <c r="T33" s="51" t="s">
        <v>49</v>
      </c>
      <c r="U33" s="51" t="s">
        <v>2436</v>
      </c>
      <c r="V33" s="51" t="s">
        <v>170</v>
      </c>
      <c r="W33" s="28" t="s">
        <v>71</v>
      </c>
      <c r="X33" s="28" t="s">
        <v>2437</v>
      </c>
      <c r="Y33" s="25"/>
      <c r="Z33" s="25"/>
      <c r="AA33" s="25"/>
      <c r="AB33" s="25"/>
      <c r="AC33" s="25"/>
      <c r="AD33" s="25"/>
      <c r="AE33" s="25"/>
      <c r="AF33" s="25"/>
      <c r="AG33" s="25"/>
      <c r="AH33" s="25"/>
      <c r="AI33" s="25"/>
      <c r="AJ33" s="25"/>
      <c r="AK33" s="25"/>
      <c r="AL33" s="25"/>
      <c r="AM33" s="25"/>
      <c r="AN33" s="25"/>
      <c r="AO33" s="25"/>
      <c r="AP33" s="25"/>
    </row>
    <row r="34" spans="1:42" ht="13.8">
      <c r="A34" s="25"/>
      <c r="B34" s="25">
        <v>325</v>
      </c>
      <c r="C34" s="58" t="s">
        <v>2438</v>
      </c>
      <c r="D34" s="25">
        <v>1233</v>
      </c>
      <c r="E34" s="25"/>
      <c r="F34" s="156" t="s">
        <v>2439</v>
      </c>
      <c r="G34" s="154" t="s">
        <v>2440</v>
      </c>
      <c r="H34" s="25"/>
      <c r="I34" s="154" t="s">
        <v>2441</v>
      </c>
      <c r="J34" s="154" t="s">
        <v>2442</v>
      </c>
      <c r="K34" s="154" t="s">
        <v>116</v>
      </c>
      <c r="L34" s="155" t="s">
        <v>2443</v>
      </c>
      <c r="M34" s="154">
        <v>9930880788</v>
      </c>
      <c r="N34" s="157">
        <v>9821533996</v>
      </c>
      <c r="O34" s="154">
        <v>9930880788</v>
      </c>
      <c r="P34" s="33" t="s">
        <v>2444</v>
      </c>
      <c r="Q34" s="158" t="s">
        <v>2445</v>
      </c>
      <c r="R34" s="25" t="s">
        <v>47</v>
      </c>
      <c r="S34" s="51" t="s">
        <v>170</v>
      </c>
      <c r="T34" s="51" t="s">
        <v>49</v>
      </c>
      <c r="U34" s="51" t="s">
        <v>2446</v>
      </c>
      <c r="V34" s="51" t="s">
        <v>1617</v>
      </c>
      <c r="W34" s="28" t="s">
        <v>71</v>
      </c>
      <c r="X34" s="28" t="s">
        <v>2447</v>
      </c>
      <c r="Y34" s="25"/>
      <c r="Z34" s="25"/>
      <c r="AA34" s="25"/>
      <c r="AB34" s="25"/>
      <c r="AC34" s="25"/>
      <c r="AD34" s="25"/>
      <c r="AE34" s="25"/>
      <c r="AF34" s="25"/>
      <c r="AG34" s="25"/>
      <c r="AH34" s="25"/>
      <c r="AI34" s="25"/>
      <c r="AJ34" s="25"/>
      <c r="AK34" s="25"/>
      <c r="AL34" s="25"/>
      <c r="AM34" s="25"/>
      <c r="AN34" s="25"/>
      <c r="AO34" s="25"/>
      <c r="AP34" s="25"/>
    </row>
    <row r="35" spans="1:42" ht="13.8">
      <c r="A35" s="25"/>
      <c r="B35" s="25">
        <v>326</v>
      </c>
      <c r="C35" s="58" t="s">
        <v>2448</v>
      </c>
      <c r="D35" s="25">
        <v>1234</v>
      </c>
      <c r="E35" s="25"/>
      <c r="F35" s="74" t="s">
        <v>2449</v>
      </c>
      <c r="G35" s="75" t="s">
        <v>2450</v>
      </c>
      <c r="H35" s="25"/>
      <c r="I35" s="75" t="s">
        <v>2451</v>
      </c>
      <c r="J35" s="75" t="s">
        <v>2452</v>
      </c>
      <c r="K35" s="75" t="s">
        <v>507</v>
      </c>
      <c r="L35" s="30" t="s">
        <v>44</v>
      </c>
      <c r="M35" s="75">
        <v>8668290535</v>
      </c>
      <c r="N35" s="29" t="s">
        <v>44</v>
      </c>
      <c r="O35" s="75">
        <v>8668290535</v>
      </c>
      <c r="P35" s="30" t="s">
        <v>44</v>
      </c>
      <c r="Q35" s="30" t="s">
        <v>44</v>
      </c>
      <c r="R35" s="25" t="s">
        <v>47</v>
      </c>
      <c r="S35" s="51" t="s">
        <v>48</v>
      </c>
      <c r="T35" s="51" t="s">
        <v>49</v>
      </c>
      <c r="U35" s="51" t="s">
        <v>49</v>
      </c>
      <c r="V35" s="51" t="s">
        <v>2453</v>
      </c>
      <c r="W35" s="28" t="s">
        <v>71</v>
      </c>
      <c r="X35" s="28" t="s">
        <v>2454</v>
      </c>
      <c r="Y35" s="25"/>
      <c r="Z35" s="25"/>
      <c r="AA35" s="25"/>
      <c r="AB35" s="25"/>
      <c r="AC35" s="25"/>
      <c r="AD35" s="25"/>
      <c r="AE35" s="25"/>
      <c r="AF35" s="25"/>
      <c r="AG35" s="25"/>
      <c r="AH35" s="25"/>
      <c r="AI35" s="25"/>
      <c r="AJ35" s="25"/>
      <c r="AK35" s="25"/>
      <c r="AL35" s="25"/>
      <c r="AM35" s="25"/>
      <c r="AN35" s="25"/>
      <c r="AO35" s="25"/>
      <c r="AP35" s="25"/>
    </row>
    <row r="36" spans="1:42" ht="15.6">
      <c r="A36" s="25"/>
      <c r="B36" s="25">
        <v>327</v>
      </c>
      <c r="C36" s="58" t="s">
        <v>2455</v>
      </c>
      <c r="D36" s="25">
        <v>1235</v>
      </c>
      <c r="E36" s="25"/>
      <c r="F36" s="81" t="s">
        <v>2456</v>
      </c>
      <c r="G36" s="82" t="s">
        <v>2457</v>
      </c>
      <c r="H36" s="25"/>
      <c r="I36" s="82" t="s">
        <v>2458</v>
      </c>
      <c r="J36" s="82" t="s">
        <v>2459</v>
      </c>
      <c r="K36" s="82" t="s">
        <v>2460</v>
      </c>
      <c r="L36" s="83" t="s">
        <v>2461</v>
      </c>
      <c r="M36" s="82">
        <v>8108055577</v>
      </c>
      <c r="N36" s="29" t="s">
        <v>44</v>
      </c>
      <c r="O36" s="82">
        <v>8108055577</v>
      </c>
      <c r="P36" s="30" t="s">
        <v>44</v>
      </c>
      <c r="Q36" s="30" t="s">
        <v>44</v>
      </c>
      <c r="R36" s="25" t="s">
        <v>47</v>
      </c>
      <c r="S36" s="51" t="s">
        <v>170</v>
      </c>
      <c r="T36" s="51" t="s">
        <v>49</v>
      </c>
      <c r="U36" s="51" t="s">
        <v>2462</v>
      </c>
      <c r="V36" s="51" t="s">
        <v>2453</v>
      </c>
      <c r="W36" s="28" t="s">
        <v>71</v>
      </c>
      <c r="X36" s="28" t="s">
        <v>2454</v>
      </c>
      <c r="Y36" s="25"/>
      <c r="Z36" s="25"/>
      <c r="AA36" s="25"/>
      <c r="AB36" s="25"/>
      <c r="AC36" s="25"/>
      <c r="AD36" s="25"/>
      <c r="AE36" s="25"/>
      <c r="AF36" s="25"/>
      <c r="AG36" s="25"/>
      <c r="AH36" s="25"/>
      <c r="AI36" s="25"/>
      <c r="AJ36" s="25"/>
      <c r="AK36" s="25"/>
      <c r="AL36" s="25"/>
      <c r="AM36" s="25"/>
      <c r="AN36" s="25"/>
      <c r="AO36" s="25"/>
      <c r="AP36" s="25"/>
    </row>
    <row r="37" spans="1:42" ht="15.6">
      <c r="A37" s="25"/>
      <c r="B37" s="25">
        <v>328</v>
      </c>
      <c r="C37" s="58" t="s">
        <v>2463</v>
      </c>
      <c r="D37" s="25">
        <v>1236</v>
      </c>
      <c r="E37" s="25"/>
      <c r="F37" s="81" t="s">
        <v>2464</v>
      </c>
      <c r="G37" s="82" t="s">
        <v>2465</v>
      </c>
      <c r="H37" s="25"/>
      <c r="I37" s="82" t="s">
        <v>2458</v>
      </c>
      <c r="J37" s="82" t="s">
        <v>2466</v>
      </c>
      <c r="K37" s="82" t="s">
        <v>2460</v>
      </c>
      <c r="L37" s="83" t="s">
        <v>2461</v>
      </c>
      <c r="M37" s="82">
        <v>9833110483</v>
      </c>
      <c r="N37" s="89">
        <v>8108055577</v>
      </c>
      <c r="O37" s="82">
        <v>9833110483</v>
      </c>
      <c r="P37" s="30" t="s">
        <v>44</v>
      </c>
      <c r="Q37" s="30" t="s">
        <v>44</v>
      </c>
      <c r="R37" s="25" t="s">
        <v>47</v>
      </c>
      <c r="S37" s="51" t="s">
        <v>300</v>
      </c>
      <c r="T37" s="51" t="s">
        <v>301</v>
      </c>
      <c r="U37" s="51" t="s">
        <v>2462</v>
      </c>
      <c r="V37" s="51" t="s">
        <v>2467</v>
      </c>
      <c r="W37" s="28" t="s">
        <v>71</v>
      </c>
      <c r="X37" s="28" t="s">
        <v>71</v>
      </c>
      <c r="Y37" s="25"/>
      <c r="Z37" s="25"/>
      <c r="AA37" s="25"/>
      <c r="AB37" s="25"/>
      <c r="AC37" s="25"/>
      <c r="AD37" s="25"/>
      <c r="AE37" s="25"/>
      <c r="AF37" s="25"/>
      <c r="AG37" s="25"/>
      <c r="AH37" s="25"/>
      <c r="AI37" s="25"/>
      <c r="AJ37" s="25"/>
      <c r="AK37" s="25"/>
      <c r="AL37" s="25"/>
      <c r="AM37" s="25"/>
      <c r="AN37" s="25"/>
      <c r="AO37" s="25"/>
      <c r="AP37" s="25"/>
    </row>
    <row r="38" spans="1:42" ht="16.8">
      <c r="A38" s="6"/>
      <c r="B38" s="6">
        <v>329</v>
      </c>
      <c r="C38" s="349" t="s">
        <v>2468</v>
      </c>
      <c r="D38" s="6">
        <v>1237</v>
      </c>
      <c r="E38" s="6"/>
      <c r="F38" s="80" t="s">
        <v>2469</v>
      </c>
      <c r="G38" s="20" t="s">
        <v>2470</v>
      </c>
      <c r="H38" s="6"/>
      <c r="I38" s="20" t="s">
        <v>2471</v>
      </c>
      <c r="J38" s="20" t="s">
        <v>2472</v>
      </c>
      <c r="K38" s="20" t="s">
        <v>2473</v>
      </c>
      <c r="L38" s="86" t="s">
        <v>2474</v>
      </c>
      <c r="M38" s="20">
        <v>9323115729</v>
      </c>
      <c r="N38" s="18" t="s">
        <v>44</v>
      </c>
      <c r="O38" s="20">
        <v>9323115729</v>
      </c>
      <c r="P38" s="19" t="s">
        <v>44</v>
      </c>
      <c r="Q38" s="19" t="s">
        <v>44</v>
      </c>
      <c r="R38" s="6" t="s">
        <v>47</v>
      </c>
      <c r="S38" s="18" t="s">
        <v>395</v>
      </c>
      <c r="T38" s="18" t="s">
        <v>395</v>
      </c>
      <c r="U38" s="18" t="s">
        <v>395</v>
      </c>
      <c r="V38" s="18" t="s">
        <v>395</v>
      </c>
      <c r="W38" s="17" t="s">
        <v>71</v>
      </c>
      <c r="X38" s="17" t="s">
        <v>2475</v>
      </c>
      <c r="Y38" s="6"/>
      <c r="Z38" s="6"/>
      <c r="AA38" s="6"/>
      <c r="AB38" s="6"/>
      <c r="AC38" s="6"/>
      <c r="AD38" s="6"/>
      <c r="AE38" s="6"/>
      <c r="AF38" s="6"/>
      <c r="AG38" s="6"/>
      <c r="AH38" s="6"/>
      <c r="AI38" s="6"/>
      <c r="AJ38" s="6"/>
      <c r="AK38" s="6"/>
      <c r="AL38" s="6"/>
      <c r="AM38" s="6"/>
      <c r="AN38" s="6"/>
      <c r="AO38" s="6"/>
      <c r="AP38" s="6"/>
    </row>
    <row r="39" spans="1:42" ht="16.8">
      <c r="A39" s="25"/>
      <c r="B39" s="25">
        <v>330</v>
      </c>
      <c r="C39" s="58" t="s">
        <v>2476</v>
      </c>
      <c r="D39" s="25">
        <v>1238</v>
      </c>
      <c r="E39" s="25"/>
      <c r="F39" s="159" t="s">
        <v>2477</v>
      </c>
      <c r="G39" s="160" t="s">
        <v>2478</v>
      </c>
      <c r="H39" s="25"/>
      <c r="I39" s="160" t="s">
        <v>2479</v>
      </c>
      <c r="J39" s="160" t="s">
        <v>2479</v>
      </c>
      <c r="K39" s="160" t="s">
        <v>534</v>
      </c>
      <c r="L39" s="161" t="s">
        <v>2480</v>
      </c>
      <c r="M39" s="160">
        <v>9870279593</v>
      </c>
      <c r="N39" s="162">
        <v>9870279593</v>
      </c>
      <c r="O39" s="160">
        <v>9870279593</v>
      </c>
      <c r="P39" s="30" t="s">
        <v>44</v>
      </c>
      <c r="Q39" s="30" t="s">
        <v>44</v>
      </c>
      <c r="R39" s="25" t="s">
        <v>47</v>
      </c>
      <c r="S39" s="51" t="s">
        <v>170</v>
      </c>
      <c r="T39" s="51" t="s">
        <v>49</v>
      </c>
      <c r="U39" s="51" t="s">
        <v>49</v>
      </c>
      <c r="V39" s="51" t="s">
        <v>48</v>
      </c>
      <c r="W39" s="28" t="s">
        <v>71</v>
      </c>
      <c r="X39" s="28" t="s">
        <v>2481</v>
      </c>
      <c r="Y39" s="25"/>
      <c r="Z39" s="25"/>
      <c r="AA39" s="25"/>
      <c r="AB39" s="25"/>
      <c r="AC39" s="25"/>
      <c r="AD39" s="25"/>
      <c r="AE39" s="25"/>
      <c r="AF39" s="25"/>
      <c r="AG39" s="25"/>
      <c r="AH39" s="25"/>
      <c r="AI39" s="25"/>
      <c r="AJ39" s="25"/>
      <c r="AK39" s="25"/>
      <c r="AL39" s="25"/>
      <c r="AM39" s="25"/>
      <c r="AN39" s="25"/>
      <c r="AO39" s="25"/>
      <c r="AP39" s="25"/>
    </row>
    <row r="40" spans="1:42" ht="15.6">
      <c r="A40" s="25"/>
      <c r="B40" s="25">
        <v>331</v>
      </c>
      <c r="C40" s="58" t="s">
        <v>2482</v>
      </c>
      <c r="D40" s="25">
        <v>1239</v>
      </c>
      <c r="E40" s="25"/>
      <c r="F40" s="81" t="s">
        <v>2483</v>
      </c>
      <c r="G40" s="82" t="s">
        <v>2484</v>
      </c>
      <c r="H40" s="25"/>
      <c r="I40" s="82" t="s">
        <v>2485</v>
      </c>
      <c r="J40" s="82" t="s">
        <v>2486</v>
      </c>
      <c r="K40" s="82" t="s">
        <v>507</v>
      </c>
      <c r="L40" s="30" t="s">
        <v>44</v>
      </c>
      <c r="M40" s="82">
        <v>9324433535</v>
      </c>
      <c r="N40" s="89">
        <v>8828484435</v>
      </c>
      <c r="O40" s="82">
        <v>9324433535</v>
      </c>
      <c r="P40" s="30" t="s">
        <v>44</v>
      </c>
      <c r="Q40" s="30" t="s">
        <v>44</v>
      </c>
      <c r="R40" s="25" t="s">
        <v>47</v>
      </c>
      <c r="S40" s="51" t="s">
        <v>170</v>
      </c>
      <c r="T40" s="51" t="s">
        <v>49</v>
      </c>
      <c r="U40" s="51" t="s">
        <v>2487</v>
      </c>
      <c r="V40" s="51" t="s">
        <v>48</v>
      </c>
      <c r="W40" s="28" t="s">
        <v>71</v>
      </c>
      <c r="X40" s="28" t="s">
        <v>2488</v>
      </c>
      <c r="Y40" s="25"/>
      <c r="Z40" s="25"/>
      <c r="AA40" s="25"/>
      <c r="AB40" s="25"/>
      <c r="AC40" s="25"/>
      <c r="AD40" s="25"/>
      <c r="AE40" s="25"/>
      <c r="AF40" s="25"/>
      <c r="AG40" s="25"/>
      <c r="AH40" s="25"/>
      <c r="AI40" s="25"/>
      <c r="AJ40" s="25"/>
      <c r="AK40" s="25"/>
      <c r="AL40" s="25"/>
      <c r="AM40" s="25"/>
      <c r="AN40" s="25"/>
      <c r="AO40" s="25"/>
      <c r="AP40" s="25"/>
    </row>
    <row r="41" spans="1:42" ht="15.6">
      <c r="A41" s="25"/>
      <c r="B41" s="25">
        <v>332</v>
      </c>
      <c r="C41" s="58" t="s">
        <v>2489</v>
      </c>
      <c r="D41" s="25">
        <v>1240</v>
      </c>
      <c r="E41" s="25"/>
      <c r="F41" s="81" t="s">
        <v>2490</v>
      </c>
      <c r="G41" s="82" t="s">
        <v>2491</v>
      </c>
      <c r="H41" s="25"/>
      <c r="I41" s="82" t="s">
        <v>2492</v>
      </c>
      <c r="J41" s="82" t="s">
        <v>2493</v>
      </c>
      <c r="K41" s="82" t="s">
        <v>116</v>
      </c>
      <c r="L41" s="30" t="s">
        <v>44</v>
      </c>
      <c r="M41" s="82">
        <v>9920366493</v>
      </c>
      <c r="N41" s="29" t="s">
        <v>44</v>
      </c>
      <c r="O41" s="82">
        <v>9920366493</v>
      </c>
      <c r="P41" s="30" t="s">
        <v>44</v>
      </c>
      <c r="Q41" s="30" t="s">
        <v>44</v>
      </c>
      <c r="R41" s="25" t="s">
        <v>47</v>
      </c>
      <c r="S41" s="51" t="s">
        <v>170</v>
      </c>
      <c r="T41" s="51" t="s">
        <v>49</v>
      </c>
      <c r="U41" s="51" t="s">
        <v>2494</v>
      </c>
      <c r="V41" s="51" t="s">
        <v>2495</v>
      </c>
      <c r="W41" s="28" t="s">
        <v>71</v>
      </c>
      <c r="X41" s="28" t="s">
        <v>2496</v>
      </c>
      <c r="Y41" s="25"/>
      <c r="Z41" s="25"/>
      <c r="AA41" s="25"/>
      <c r="AB41" s="25"/>
      <c r="AC41" s="25"/>
      <c r="AD41" s="25"/>
      <c r="AE41" s="25"/>
      <c r="AF41" s="25"/>
      <c r="AG41" s="25"/>
      <c r="AH41" s="25"/>
      <c r="AI41" s="25"/>
      <c r="AJ41" s="25"/>
      <c r="AK41" s="25"/>
      <c r="AL41" s="25"/>
      <c r="AM41" s="25"/>
      <c r="AN41" s="25"/>
      <c r="AO41" s="25"/>
      <c r="AP41" s="25"/>
    </row>
    <row r="42" spans="1:42" ht="15.6">
      <c r="A42" s="25"/>
      <c r="B42" s="25">
        <v>333</v>
      </c>
      <c r="C42" s="58" t="s">
        <v>2497</v>
      </c>
      <c r="D42" s="25">
        <v>1241</v>
      </c>
      <c r="E42" s="25"/>
      <c r="F42" s="81" t="s">
        <v>2498</v>
      </c>
      <c r="G42" s="82" t="s">
        <v>2499</v>
      </c>
      <c r="H42" s="25"/>
      <c r="I42" s="82" t="s">
        <v>2500</v>
      </c>
      <c r="J42" s="82" t="s">
        <v>2501</v>
      </c>
      <c r="K42" s="82" t="s">
        <v>1009</v>
      </c>
      <c r="L42" s="30" t="s">
        <v>44</v>
      </c>
      <c r="M42" s="82">
        <v>7696719671</v>
      </c>
      <c r="N42" s="29" t="s">
        <v>44</v>
      </c>
      <c r="O42" s="82">
        <v>7696719671</v>
      </c>
      <c r="P42" s="30" t="s">
        <v>44</v>
      </c>
      <c r="Q42" s="30" t="s">
        <v>44</v>
      </c>
      <c r="R42" s="25" t="s">
        <v>47</v>
      </c>
      <c r="S42" s="51" t="s">
        <v>2502</v>
      </c>
      <c r="T42" s="51" t="s">
        <v>1995</v>
      </c>
      <c r="U42" s="51" t="s">
        <v>2503</v>
      </c>
      <c r="V42" s="51" t="s">
        <v>2504</v>
      </c>
      <c r="W42" s="28" t="s">
        <v>71</v>
      </c>
      <c r="X42" s="28" t="s">
        <v>71</v>
      </c>
      <c r="Y42" s="25"/>
      <c r="Z42" s="25"/>
      <c r="AA42" s="25"/>
      <c r="AB42" s="25"/>
      <c r="AC42" s="25"/>
      <c r="AD42" s="25"/>
      <c r="AE42" s="25"/>
      <c r="AF42" s="25"/>
      <c r="AG42" s="25"/>
      <c r="AH42" s="25"/>
      <c r="AI42" s="25"/>
      <c r="AJ42" s="25"/>
      <c r="AK42" s="25"/>
      <c r="AL42" s="25"/>
      <c r="AM42" s="25"/>
      <c r="AN42" s="25"/>
      <c r="AO42" s="25"/>
      <c r="AP42" s="25"/>
    </row>
    <row r="43" spans="1:42" ht="13.8">
      <c r="A43" s="25" t="s">
        <v>2505</v>
      </c>
      <c r="B43" s="25">
        <v>334</v>
      </c>
      <c r="C43" s="58" t="s">
        <v>2506</v>
      </c>
      <c r="D43" s="25">
        <v>1248</v>
      </c>
      <c r="E43" s="25"/>
      <c r="F43" s="138" t="s">
        <v>2507</v>
      </c>
      <c r="G43" s="30" t="s">
        <v>2508</v>
      </c>
      <c r="H43" s="25"/>
      <c r="I43" s="30" t="s">
        <v>44</v>
      </c>
      <c r="J43" s="113" t="s">
        <v>2509</v>
      </c>
      <c r="K43" s="30" t="s">
        <v>44</v>
      </c>
      <c r="L43" s="30" t="s">
        <v>44</v>
      </c>
      <c r="M43" s="113">
        <v>8291139581</v>
      </c>
      <c r="N43" s="123">
        <v>7021189961</v>
      </c>
      <c r="O43" s="113">
        <v>8291139581</v>
      </c>
      <c r="P43" s="30" t="s">
        <v>44</v>
      </c>
      <c r="Q43" s="30" t="s">
        <v>44</v>
      </c>
      <c r="R43" s="25" t="s">
        <v>47</v>
      </c>
      <c r="S43" s="29" t="s">
        <v>395</v>
      </c>
      <c r="T43" s="29" t="s">
        <v>395</v>
      </c>
      <c r="U43" s="29" t="s">
        <v>395</v>
      </c>
      <c r="V43" s="29" t="s">
        <v>395</v>
      </c>
      <c r="W43" s="28" t="s">
        <v>71</v>
      </c>
      <c r="X43" s="28" t="s">
        <v>71</v>
      </c>
      <c r="Y43" s="25"/>
      <c r="Z43" s="25"/>
      <c r="AA43" s="25"/>
      <c r="AB43" s="25"/>
      <c r="AC43" s="25"/>
      <c r="AD43" s="25"/>
      <c r="AE43" s="25"/>
      <c r="AF43" s="25"/>
      <c r="AG43" s="25"/>
      <c r="AH43" s="25"/>
      <c r="AI43" s="25"/>
      <c r="AJ43" s="25"/>
      <c r="AK43" s="25"/>
      <c r="AL43" s="25"/>
      <c r="AM43" s="25"/>
      <c r="AN43" s="25"/>
      <c r="AO43" s="25"/>
      <c r="AP43" s="25"/>
    </row>
    <row r="44" spans="1:42" ht="13.8">
      <c r="A44" s="25"/>
      <c r="B44" s="25">
        <v>335</v>
      </c>
      <c r="C44" s="58" t="s">
        <v>2510</v>
      </c>
      <c r="D44" s="25">
        <v>1249</v>
      </c>
      <c r="E44" s="25"/>
      <c r="F44" s="138" t="s">
        <v>2511</v>
      </c>
      <c r="G44" s="30" t="s">
        <v>2512</v>
      </c>
      <c r="H44" s="25"/>
      <c r="I44" s="113" t="s">
        <v>2513</v>
      </c>
      <c r="J44" s="113" t="s">
        <v>2514</v>
      </c>
      <c r="K44" s="113" t="s">
        <v>2515</v>
      </c>
      <c r="L44" s="30" t="s">
        <v>44</v>
      </c>
      <c r="M44" s="113">
        <v>9769003397</v>
      </c>
      <c r="N44" s="29" t="s">
        <v>44</v>
      </c>
      <c r="O44" s="113">
        <v>9769003397</v>
      </c>
      <c r="P44" s="30" t="s">
        <v>44</v>
      </c>
      <c r="Q44" s="30" t="s">
        <v>44</v>
      </c>
      <c r="R44" s="25" t="s">
        <v>47</v>
      </c>
      <c r="S44" s="29" t="s">
        <v>395</v>
      </c>
      <c r="T44" s="29" t="s">
        <v>395</v>
      </c>
      <c r="U44" s="29" t="s">
        <v>395</v>
      </c>
      <c r="V44" s="29" t="s">
        <v>395</v>
      </c>
      <c r="W44" s="28" t="s">
        <v>71</v>
      </c>
      <c r="X44" s="28" t="s">
        <v>2516</v>
      </c>
      <c r="Y44" s="25"/>
      <c r="Z44" s="25"/>
      <c r="AA44" s="25"/>
      <c r="AB44" s="25"/>
      <c r="AC44" s="25"/>
      <c r="AD44" s="25"/>
      <c r="AE44" s="25"/>
      <c r="AF44" s="25"/>
      <c r="AG44" s="25"/>
      <c r="AH44" s="25"/>
      <c r="AI44" s="25"/>
      <c r="AJ44" s="25"/>
      <c r="AK44" s="25"/>
      <c r="AL44" s="25"/>
      <c r="AM44" s="25"/>
      <c r="AN44" s="25"/>
      <c r="AO44" s="25"/>
      <c r="AP44" s="25"/>
    </row>
    <row r="45" spans="1:42" ht="14.4">
      <c r="A45" s="25"/>
      <c r="B45" s="25">
        <v>336</v>
      </c>
      <c r="C45" s="29" t="s">
        <v>2517</v>
      </c>
      <c r="D45" s="25">
        <v>1279</v>
      </c>
      <c r="E45" s="25"/>
      <c r="F45" s="143" t="s">
        <v>2518</v>
      </c>
      <c r="G45" s="124" t="s">
        <v>2519</v>
      </c>
      <c r="H45" s="25"/>
      <c r="I45" s="124" t="s">
        <v>2520</v>
      </c>
      <c r="J45" s="124" t="s">
        <v>2521</v>
      </c>
      <c r="K45" s="124" t="s">
        <v>2522</v>
      </c>
      <c r="L45" s="127" t="s">
        <v>2523</v>
      </c>
      <c r="M45" s="124">
        <v>9323881334</v>
      </c>
      <c r="N45" s="29" t="s">
        <v>44</v>
      </c>
      <c r="O45" s="124">
        <v>9323881334</v>
      </c>
      <c r="P45" s="33" t="s">
        <v>2524</v>
      </c>
      <c r="Q45" s="30" t="s">
        <v>44</v>
      </c>
      <c r="R45" s="25" t="s">
        <v>47</v>
      </c>
      <c r="S45" s="29" t="s">
        <v>395</v>
      </c>
      <c r="T45" s="29" t="s">
        <v>395</v>
      </c>
      <c r="U45" s="29" t="s">
        <v>395</v>
      </c>
      <c r="V45" s="29" t="s">
        <v>395</v>
      </c>
      <c r="W45" s="28" t="s">
        <v>71</v>
      </c>
      <c r="X45" s="28" t="s">
        <v>71</v>
      </c>
      <c r="Y45" s="25"/>
      <c r="Z45" s="25"/>
      <c r="AA45" s="25"/>
      <c r="AB45" s="25"/>
      <c r="AC45" s="25"/>
      <c r="AD45" s="25"/>
      <c r="AE45" s="25"/>
      <c r="AF45" s="25"/>
      <c r="AG45" s="25"/>
      <c r="AH45" s="25"/>
      <c r="AI45" s="25"/>
      <c r="AJ45" s="25"/>
      <c r="AK45" s="25"/>
      <c r="AL45" s="25"/>
      <c r="AM45" s="25"/>
      <c r="AN45" s="25"/>
      <c r="AO45" s="25"/>
      <c r="AP45" s="25"/>
    </row>
    <row r="46" spans="1:42" ht="13.8">
      <c r="A46" s="25"/>
      <c r="B46" s="25">
        <v>337</v>
      </c>
      <c r="C46" s="58" t="s">
        <v>2525</v>
      </c>
      <c r="D46" s="25">
        <v>1252</v>
      </c>
      <c r="E46" s="25"/>
      <c r="F46" s="138" t="s">
        <v>2526</v>
      </c>
      <c r="G46" s="30" t="s">
        <v>2527</v>
      </c>
      <c r="H46" s="25"/>
      <c r="I46" s="30" t="s">
        <v>1109</v>
      </c>
      <c r="J46" s="113" t="s">
        <v>2528</v>
      </c>
      <c r="K46" s="113" t="s">
        <v>42</v>
      </c>
      <c r="L46" s="30" t="s">
        <v>44</v>
      </c>
      <c r="M46" s="113">
        <v>9821073129</v>
      </c>
      <c r="N46" s="29" t="s">
        <v>44</v>
      </c>
      <c r="O46" s="113">
        <v>9821073129</v>
      </c>
      <c r="P46" s="30" t="s">
        <v>44</v>
      </c>
      <c r="Q46" s="30" t="s">
        <v>44</v>
      </c>
      <c r="R46" s="25" t="s">
        <v>47</v>
      </c>
      <c r="S46" s="29" t="s">
        <v>395</v>
      </c>
      <c r="T46" s="29" t="s">
        <v>395</v>
      </c>
      <c r="U46" s="29" t="s">
        <v>395</v>
      </c>
      <c r="V46" s="29" t="s">
        <v>395</v>
      </c>
      <c r="W46" s="28" t="s">
        <v>2529</v>
      </c>
      <c r="X46" s="28" t="s">
        <v>2530</v>
      </c>
      <c r="Y46" s="25"/>
      <c r="Z46" s="25"/>
      <c r="AA46" s="25"/>
      <c r="AB46" s="25"/>
      <c r="AC46" s="25"/>
      <c r="AD46" s="25"/>
      <c r="AE46" s="25"/>
      <c r="AF46" s="25"/>
      <c r="AG46" s="25"/>
      <c r="AH46" s="25"/>
      <c r="AI46" s="25"/>
      <c r="AJ46" s="25"/>
      <c r="AK46" s="25"/>
      <c r="AL46" s="25"/>
      <c r="AM46" s="25"/>
      <c r="AN46" s="25"/>
      <c r="AO46" s="25"/>
      <c r="AP46" s="25"/>
    </row>
    <row r="47" spans="1:42" ht="15.6">
      <c r="A47" s="25"/>
      <c r="B47" s="25">
        <v>338</v>
      </c>
      <c r="C47" s="58" t="s">
        <v>2531</v>
      </c>
      <c r="D47" s="25">
        <v>1253</v>
      </c>
      <c r="E47" s="25"/>
      <c r="F47" s="81" t="s">
        <v>2532</v>
      </c>
      <c r="G47" s="82" t="s">
        <v>2533</v>
      </c>
      <c r="H47" s="25"/>
      <c r="I47" s="30" t="s">
        <v>2534</v>
      </c>
      <c r="J47" s="82" t="s">
        <v>2533</v>
      </c>
      <c r="K47" s="30" t="s">
        <v>44</v>
      </c>
      <c r="L47" s="30" t="s">
        <v>44</v>
      </c>
      <c r="M47" s="30" t="s">
        <v>44</v>
      </c>
      <c r="N47" s="29" t="s">
        <v>44</v>
      </c>
      <c r="O47" s="30" t="s">
        <v>44</v>
      </c>
      <c r="P47" s="30" t="s">
        <v>44</v>
      </c>
      <c r="Q47" s="30" t="s">
        <v>44</v>
      </c>
      <c r="R47" s="25" t="s">
        <v>47</v>
      </c>
      <c r="S47" s="51" t="s">
        <v>170</v>
      </c>
      <c r="T47" s="51" t="s">
        <v>49</v>
      </c>
      <c r="U47" s="51" t="s">
        <v>2535</v>
      </c>
      <c r="V47" s="51" t="s">
        <v>48</v>
      </c>
      <c r="W47" s="28" t="s">
        <v>71</v>
      </c>
      <c r="X47" s="28" t="s">
        <v>71</v>
      </c>
      <c r="Y47" s="25"/>
      <c r="Z47" s="25"/>
      <c r="AA47" s="25"/>
      <c r="AB47" s="25"/>
      <c r="AC47" s="28" t="s">
        <v>2536</v>
      </c>
      <c r="AD47" s="28" t="s">
        <v>2537</v>
      </c>
      <c r="AE47" s="25" t="s">
        <v>2538</v>
      </c>
      <c r="AF47" s="28" t="s">
        <v>2539</v>
      </c>
      <c r="AG47" s="25" t="s">
        <v>2540</v>
      </c>
      <c r="AH47" s="28" t="s">
        <v>2541</v>
      </c>
      <c r="AI47" s="28" t="s">
        <v>2542</v>
      </c>
      <c r="AJ47" s="28" t="s">
        <v>2543</v>
      </c>
      <c r="AK47" s="28" t="s">
        <v>2544</v>
      </c>
      <c r="AL47" s="28" t="s">
        <v>2545</v>
      </c>
      <c r="AM47" s="25"/>
      <c r="AN47" s="25"/>
      <c r="AO47" s="25"/>
      <c r="AP47" s="25"/>
    </row>
    <row r="48" spans="1:42" ht="13.8">
      <c r="A48" s="25"/>
      <c r="B48" s="25">
        <v>339</v>
      </c>
      <c r="C48" s="58" t="s">
        <v>2546</v>
      </c>
      <c r="D48" s="25">
        <v>1255</v>
      </c>
      <c r="E48" s="25"/>
      <c r="F48" s="138" t="s">
        <v>2547</v>
      </c>
      <c r="G48" s="30" t="s">
        <v>2548</v>
      </c>
      <c r="H48" s="25"/>
      <c r="I48" s="113" t="s">
        <v>2549</v>
      </c>
      <c r="J48" s="113" t="s">
        <v>2550</v>
      </c>
      <c r="K48" s="30" t="s">
        <v>44</v>
      </c>
      <c r="L48" s="30" t="s">
        <v>44</v>
      </c>
      <c r="M48" s="113">
        <v>8005912562</v>
      </c>
      <c r="N48" s="123">
        <v>8003545090</v>
      </c>
      <c r="O48" s="113">
        <v>8005912562</v>
      </c>
      <c r="P48" s="30" t="s">
        <v>44</v>
      </c>
      <c r="Q48" s="30" t="s">
        <v>44</v>
      </c>
      <c r="R48" s="25" t="s">
        <v>47</v>
      </c>
      <c r="S48" s="29" t="s">
        <v>395</v>
      </c>
      <c r="T48" s="29" t="s">
        <v>395</v>
      </c>
      <c r="U48" s="29" t="s">
        <v>395</v>
      </c>
      <c r="V48" s="29" t="s">
        <v>395</v>
      </c>
      <c r="W48" s="28" t="s">
        <v>2551</v>
      </c>
      <c r="X48" s="28" t="s">
        <v>467</v>
      </c>
      <c r="Y48" s="25"/>
      <c r="Z48" s="25"/>
      <c r="AA48" s="25"/>
      <c r="AB48" s="25"/>
      <c r="AC48" s="25"/>
      <c r="AD48" s="25"/>
      <c r="AE48" s="25"/>
      <c r="AF48" s="25"/>
      <c r="AG48" s="25"/>
      <c r="AH48" s="25"/>
      <c r="AI48" s="25"/>
      <c r="AJ48" s="25"/>
      <c r="AK48" s="25"/>
      <c r="AL48" s="25"/>
      <c r="AM48" s="25"/>
      <c r="AN48" s="25"/>
      <c r="AO48" s="25"/>
      <c r="AP48" s="25"/>
    </row>
    <row r="49" spans="1:42" ht="13.8">
      <c r="A49" s="25"/>
      <c r="B49" s="25">
        <v>340</v>
      </c>
      <c r="C49" s="58" t="s">
        <v>2552</v>
      </c>
      <c r="D49" s="25">
        <v>1255</v>
      </c>
      <c r="E49" s="25"/>
      <c r="F49" s="138" t="s">
        <v>2553</v>
      </c>
      <c r="G49" s="30" t="s">
        <v>2554</v>
      </c>
      <c r="H49" s="25"/>
      <c r="I49" s="113" t="s">
        <v>2555</v>
      </c>
      <c r="J49" s="113" t="s">
        <v>2556</v>
      </c>
      <c r="K49" s="113" t="s">
        <v>2557</v>
      </c>
      <c r="L49" s="30" t="s">
        <v>44</v>
      </c>
      <c r="M49" s="113">
        <v>8591345050</v>
      </c>
      <c r="N49" s="123">
        <v>8104934764</v>
      </c>
      <c r="O49" s="113">
        <v>8591345050</v>
      </c>
      <c r="P49" s="30" t="s">
        <v>44</v>
      </c>
      <c r="Q49" s="30" t="s">
        <v>44</v>
      </c>
      <c r="R49" s="25" t="s">
        <v>47</v>
      </c>
      <c r="S49" s="29" t="s">
        <v>395</v>
      </c>
      <c r="T49" s="29" t="s">
        <v>395</v>
      </c>
      <c r="U49" s="29" t="s">
        <v>395</v>
      </c>
      <c r="V49" s="29" t="s">
        <v>395</v>
      </c>
      <c r="W49" s="28" t="s">
        <v>71</v>
      </c>
      <c r="X49" s="28" t="s">
        <v>2558</v>
      </c>
      <c r="Y49" s="25"/>
      <c r="Z49" s="25"/>
      <c r="AA49" s="25"/>
      <c r="AB49" s="25"/>
      <c r="AC49" s="25"/>
      <c r="AD49" s="25"/>
      <c r="AE49" s="25"/>
      <c r="AF49" s="25"/>
      <c r="AG49" s="25"/>
      <c r="AH49" s="25"/>
      <c r="AI49" s="25"/>
      <c r="AJ49" s="25"/>
      <c r="AK49" s="25"/>
      <c r="AL49" s="25"/>
      <c r="AM49" s="25"/>
      <c r="AN49" s="25"/>
      <c r="AO49" s="25"/>
      <c r="AP49" s="25"/>
    </row>
    <row r="50" spans="1:42" ht="15.6">
      <c r="A50" s="25"/>
      <c r="B50" s="25">
        <v>341</v>
      </c>
      <c r="C50" s="58" t="s">
        <v>2559</v>
      </c>
      <c r="D50" s="25">
        <v>1257</v>
      </c>
      <c r="E50" s="25"/>
      <c r="F50" s="81" t="s">
        <v>2560</v>
      </c>
      <c r="G50" s="82" t="s">
        <v>2561</v>
      </c>
      <c r="H50" s="25"/>
      <c r="I50" s="82" t="s">
        <v>2562</v>
      </c>
      <c r="J50" s="82" t="s">
        <v>2563</v>
      </c>
      <c r="K50" s="82" t="s">
        <v>191</v>
      </c>
      <c r="L50" s="83" t="s">
        <v>2564</v>
      </c>
      <c r="M50" s="82">
        <v>9820726026</v>
      </c>
      <c r="N50" s="89">
        <v>9820726026</v>
      </c>
      <c r="O50" s="82">
        <v>9820726026</v>
      </c>
      <c r="P50" s="33" t="s">
        <v>2565</v>
      </c>
      <c r="Q50" s="142" t="s">
        <v>2566</v>
      </c>
      <c r="R50" s="25" t="s">
        <v>47</v>
      </c>
      <c r="S50" s="51" t="s">
        <v>170</v>
      </c>
      <c r="T50" s="51" t="s">
        <v>2567</v>
      </c>
      <c r="U50" s="51" t="s">
        <v>2568</v>
      </c>
      <c r="V50" s="51" t="s">
        <v>718</v>
      </c>
      <c r="W50" s="28" t="s">
        <v>71</v>
      </c>
      <c r="X50" s="28" t="s">
        <v>2558</v>
      </c>
      <c r="Y50" s="25"/>
      <c r="Z50" s="25"/>
      <c r="AA50" s="25"/>
      <c r="AB50" s="25"/>
      <c r="AC50" s="25"/>
      <c r="AD50" s="25"/>
      <c r="AE50" s="25"/>
      <c r="AF50" s="25"/>
      <c r="AG50" s="25"/>
      <c r="AH50" s="25"/>
      <c r="AI50" s="25"/>
      <c r="AJ50" s="25"/>
      <c r="AK50" s="25"/>
      <c r="AL50" s="25"/>
      <c r="AM50" s="25"/>
      <c r="AN50" s="25"/>
      <c r="AO50" s="25"/>
      <c r="AP50" s="25"/>
    </row>
    <row r="51" spans="1:42" ht="15.6">
      <c r="A51" s="25"/>
      <c r="B51" s="25">
        <v>342</v>
      </c>
      <c r="C51" s="58" t="s">
        <v>2569</v>
      </c>
      <c r="D51" s="25">
        <v>1258</v>
      </c>
      <c r="E51" s="25"/>
      <c r="F51" s="81" t="s">
        <v>2570</v>
      </c>
      <c r="G51" s="82" t="s">
        <v>2571</v>
      </c>
      <c r="H51" s="25"/>
      <c r="I51" s="82" t="s">
        <v>2562</v>
      </c>
      <c r="J51" s="82" t="s">
        <v>2572</v>
      </c>
      <c r="K51" s="82" t="s">
        <v>191</v>
      </c>
      <c r="L51" s="83" t="s">
        <v>2564</v>
      </c>
      <c r="M51" s="82">
        <v>9893036888</v>
      </c>
      <c r="N51" s="89">
        <v>7021129700</v>
      </c>
      <c r="O51" s="82">
        <v>9893036888</v>
      </c>
      <c r="P51" s="29"/>
      <c r="Q51" s="142" t="s">
        <v>2566</v>
      </c>
      <c r="R51" s="25" t="s">
        <v>47</v>
      </c>
      <c r="S51" s="51" t="s">
        <v>300</v>
      </c>
      <c r="T51" s="51" t="s">
        <v>2573</v>
      </c>
      <c r="U51" s="51" t="s">
        <v>2568</v>
      </c>
      <c r="V51" s="51" t="s">
        <v>2574</v>
      </c>
      <c r="W51" s="28" t="s">
        <v>71</v>
      </c>
      <c r="X51" s="28" t="s">
        <v>2575</v>
      </c>
      <c r="Y51" s="25"/>
      <c r="Z51" s="25"/>
      <c r="AA51" s="25"/>
      <c r="AB51" s="25"/>
      <c r="AC51" s="25"/>
      <c r="AD51" s="25"/>
      <c r="AE51" s="25"/>
      <c r="AF51" s="25"/>
      <c r="AG51" s="25"/>
      <c r="AH51" s="25"/>
      <c r="AI51" s="25"/>
      <c r="AJ51" s="25"/>
      <c r="AK51" s="25"/>
      <c r="AL51" s="25"/>
      <c r="AM51" s="25"/>
      <c r="AN51" s="25"/>
      <c r="AO51" s="25"/>
      <c r="AP51" s="25"/>
    </row>
    <row r="52" spans="1:42" ht="15.6">
      <c r="A52" s="25"/>
      <c r="B52" s="25">
        <v>343</v>
      </c>
      <c r="C52" s="58" t="s">
        <v>2576</v>
      </c>
      <c r="D52" s="25">
        <v>1266</v>
      </c>
      <c r="E52" s="25"/>
      <c r="F52" s="81" t="s">
        <v>2577</v>
      </c>
      <c r="G52" s="82" t="s">
        <v>2578</v>
      </c>
      <c r="H52" s="25"/>
      <c r="I52" s="82" t="s">
        <v>2579</v>
      </c>
      <c r="J52" s="82" t="s">
        <v>2580</v>
      </c>
      <c r="K52" s="82" t="s">
        <v>260</v>
      </c>
      <c r="L52" s="83" t="s">
        <v>2581</v>
      </c>
      <c r="M52" s="82">
        <f>85291327736</f>
        <v>85291327736</v>
      </c>
      <c r="N52" s="29" t="s">
        <v>44</v>
      </c>
      <c r="O52" s="82">
        <f>85291327736</f>
        <v>85291327736</v>
      </c>
      <c r="P52" s="30" t="s">
        <v>44</v>
      </c>
      <c r="Q52" s="30" t="s">
        <v>44</v>
      </c>
      <c r="R52" s="25" t="s">
        <v>47</v>
      </c>
      <c r="S52" s="51" t="s">
        <v>170</v>
      </c>
      <c r="T52" s="51" t="s">
        <v>49</v>
      </c>
      <c r="U52" s="51" t="s">
        <v>2582</v>
      </c>
      <c r="V52" s="51" t="s">
        <v>2583</v>
      </c>
      <c r="W52" s="28" t="s">
        <v>71</v>
      </c>
      <c r="X52" s="28" t="s">
        <v>2584</v>
      </c>
      <c r="Y52" s="25"/>
      <c r="Z52" s="25"/>
      <c r="AA52" s="25"/>
      <c r="AB52" s="25"/>
      <c r="AC52" s="25"/>
      <c r="AD52" s="25"/>
      <c r="AE52" s="25"/>
      <c r="AF52" s="25"/>
      <c r="AG52" s="25"/>
      <c r="AH52" s="25"/>
      <c r="AI52" s="25"/>
      <c r="AJ52" s="25"/>
      <c r="AK52" s="25"/>
      <c r="AL52" s="25"/>
      <c r="AM52" s="25"/>
      <c r="AN52" s="25"/>
      <c r="AO52" s="25"/>
      <c r="AP52" s="25"/>
    </row>
    <row r="53" spans="1:42" ht="15.6">
      <c r="A53" s="25"/>
      <c r="B53" s="25">
        <v>344</v>
      </c>
      <c r="C53" s="58" t="s">
        <v>2585</v>
      </c>
      <c r="D53" s="25">
        <v>1269</v>
      </c>
      <c r="E53" s="25"/>
      <c r="F53" s="81" t="s">
        <v>2586</v>
      </c>
      <c r="G53" s="82" t="s">
        <v>2587</v>
      </c>
      <c r="H53" s="25"/>
      <c r="I53" s="82" t="s">
        <v>2588</v>
      </c>
      <c r="J53" s="82" t="s">
        <v>2589</v>
      </c>
      <c r="K53" s="82" t="s">
        <v>534</v>
      </c>
      <c r="L53" s="83" t="s">
        <v>2590</v>
      </c>
      <c r="M53" s="82">
        <v>9076399090</v>
      </c>
      <c r="N53" s="29" t="s">
        <v>44</v>
      </c>
      <c r="O53" s="82">
        <v>9076399090</v>
      </c>
      <c r="P53" s="30" t="s">
        <v>44</v>
      </c>
      <c r="Q53" s="30" t="s">
        <v>44</v>
      </c>
      <c r="R53" s="25" t="s">
        <v>47</v>
      </c>
      <c r="S53" s="29" t="s">
        <v>395</v>
      </c>
      <c r="T53" s="29" t="s">
        <v>395</v>
      </c>
      <c r="U53" s="29" t="s">
        <v>395</v>
      </c>
      <c r="V53" s="29" t="s">
        <v>395</v>
      </c>
      <c r="W53" s="28" t="s">
        <v>71</v>
      </c>
      <c r="X53" s="28" t="s">
        <v>2591</v>
      </c>
      <c r="Y53" s="25"/>
      <c r="Z53" s="25"/>
      <c r="AA53" s="25"/>
      <c r="AB53" s="25"/>
      <c r="AC53" s="25"/>
      <c r="AD53" s="25"/>
      <c r="AE53" s="25"/>
      <c r="AF53" s="25"/>
      <c r="AG53" s="25"/>
      <c r="AH53" s="25"/>
      <c r="AI53" s="25"/>
      <c r="AJ53" s="25"/>
      <c r="AK53" s="25"/>
      <c r="AL53" s="25"/>
      <c r="AM53" s="25"/>
      <c r="AN53" s="25"/>
      <c r="AO53" s="25"/>
      <c r="AP53" s="25"/>
    </row>
    <row r="54" spans="1:42" ht="16.8">
      <c r="A54" s="25"/>
      <c r="B54" s="25">
        <v>345</v>
      </c>
      <c r="C54" s="58" t="s">
        <v>2592</v>
      </c>
      <c r="D54" s="25">
        <v>1271</v>
      </c>
      <c r="E54" s="25"/>
      <c r="F54" s="60" t="s">
        <v>2593</v>
      </c>
      <c r="G54" s="31" t="s">
        <v>2594</v>
      </c>
      <c r="H54" s="25"/>
      <c r="I54" s="31" t="s">
        <v>2595</v>
      </c>
      <c r="J54" s="31" t="s">
        <v>2596</v>
      </c>
      <c r="K54" s="31" t="s">
        <v>2597</v>
      </c>
      <c r="L54" s="59" t="s">
        <v>2598</v>
      </c>
      <c r="M54" s="31">
        <v>9820400388</v>
      </c>
      <c r="N54" s="29" t="s">
        <v>44</v>
      </c>
      <c r="O54" s="31">
        <v>9820400388</v>
      </c>
      <c r="P54" s="29"/>
      <c r="Q54" s="62" t="s">
        <v>2599</v>
      </c>
      <c r="R54" s="25" t="s">
        <v>47</v>
      </c>
      <c r="S54" s="51" t="s">
        <v>170</v>
      </c>
      <c r="T54" s="51" t="s">
        <v>2600</v>
      </c>
      <c r="U54" s="51" t="s">
        <v>2601</v>
      </c>
      <c r="V54" s="51" t="s">
        <v>2602</v>
      </c>
      <c r="W54" s="28" t="s">
        <v>71</v>
      </c>
      <c r="X54" s="28" t="s">
        <v>2603</v>
      </c>
      <c r="Y54" s="25"/>
      <c r="Z54" s="25"/>
      <c r="AA54" s="25"/>
      <c r="AB54" s="25"/>
      <c r="AC54" s="28" t="s">
        <v>2604</v>
      </c>
      <c r="AD54" s="28" t="s">
        <v>2605</v>
      </c>
      <c r="AE54" s="28" t="s">
        <v>2606</v>
      </c>
      <c r="AF54" s="28" t="s">
        <v>2607</v>
      </c>
      <c r="AG54" s="28" t="s">
        <v>2608</v>
      </c>
      <c r="AH54" s="28" t="s">
        <v>2609</v>
      </c>
      <c r="AI54" s="28" t="s">
        <v>2610</v>
      </c>
      <c r="AJ54" s="28" t="s">
        <v>2611</v>
      </c>
      <c r="AK54" s="28" t="s">
        <v>2612</v>
      </c>
      <c r="AL54" s="28" t="s">
        <v>2613</v>
      </c>
      <c r="AM54" s="28" t="s">
        <v>2614</v>
      </c>
      <c r="AN54" s="28" t="s">
        <v>2615</v>
      </c>
      <c r="AO54" s="28" t="s">
        <v>2616</v>
      </c>
      <c r="AP54" s="28" t="s">
        <v>2617</v>
      </c>
    </row>
    <row r="55" spans="1:42" ht="13.8">
      <c r="A55" s="6"/>
      <c r="B55" s="6">
        <v>346</v>
      </c>
      <c r="C55" s="44" t="s">
        <v>2618</v>
      </c>
      <c r="D55" s="6">
        <v>1366</v>
      </c>
      <c r="E55" s="6"/>
      <c r="F55" s="107" t="s">
        <v>2619</v>
      </c>
      <c r="G55" s="19" t="s">
        <v>2620</v>
      </c>
      <c r="H55" s="6"/>
      <c r="I55" s="108" t="s">
        <v>2621</v>
      </c>
      <c r="J55" s="108" t="s">
        <v>2622</v>
      </c>
      <c r="K55" s="19" t="s">
        <v>44</v>
      </c>
      <c r="L55" s="19" t="s">
        <v>44</v>
      </c>
      <c r="M55" s="108">
        <v>7506045864</v>
      </c>
      <c r="N55" s="144">
        <v>8433929564</v>
      </c>
      <c r="O55" s="108">
        <v>7506045864</v>
      </c>
      <c r="P55" s="19" t="s">
        <v>44</v>
      </c>
      <c r="Q55" s="19" t="s">
        <v>44</v>
      </c>
      <c r="R55" s="6" t="s">
        <v>47</v>
      </c>
      <c r="S55" s="45" t="s">
        <v>170</v>
      </c>
      <c r="T55" s="45" t="s">
        <v>49</v>
      </c>
      <c r="U55" s="45" t="s">
        <v>2623</v>
      </c>
      <c r="V55" s="45" t="s">
        <v>48</v>
      </c>
      <c r="W55" s="17" t="s">
        <v>2624</v>
      </c>
      <c r="X55" s="17" t="s">
        <v>2625</v>
      </c>
      <c r="Y55" s="6"/>
      <c r="Z55" s="6"/>
      <c r="AA55" s="6"/>
      <c r="AB55" s="6"/>
      <c r="AC55" s="6"/>
      <c r="AD55" s="6"/>
      <c r="AE55" s="6"/>
      <c r="AF55" s="6"/>
      <c r="AG55" s="6"/>
      <c r="AH55" s="6"/>
      <c r="AI55" s="6"/>
      <c r="AJ55" s="6"/>
      <c r="AK55" s="6"/>
      <c r="AL55" s="6"/>
      <c r="AM55" s="6"/>
      <c r="AN55" s="6"/>
      <c r="AO55" s="6"/>
      <c r="AP55" s="6"/>
    </row>
    <row r="56" spans="1:42" ht="13.8">
      <c r="A56" s="25"/>
      <c r="B56" s="25">
        <v>347</v>
      </c>
      <c r="C56" s="58" t="s">
        <v>2626</v>
      </c>
      <c r="D56" s="25">
        <v>1367</v>
      </c>
      <c r="E56" s="25"/>
      <c r="F56" s="138" t="s">
        <v>2627</v>
      </c>
      <c r="G56" s="30" t="s">
        <v>2628</v>
      </c>
      <c r="H56" s="25"/>
      <c r="I56" s="113" t="s">
        <v>2629</v>
      </c>
      <c r="J56" s="113" t="s">
        <v>2630</v>
      </c>
      <c r="K56" s="30" t="s">
        <v>44</v>
      </c>
      <c r="L56" s="30" t="s">
        <v>44</v>
      </c>
      <c r="M56" s="113">
        <v>9172247382</v>
      </c>
      <c r="N56" s="29" t="s">
        <v>44</v>
      </c>
      <c r="O56" s="113">
        <v>9172247382</v>
      </c>
      <c r="P56" s="33" t="s">
        <v>2631</v>
      </c>
      <c r="Q56" s="141" t="s">
        <v>2632</v>
      </c>
      <c r="R56" s="25" t="s">
        <v>47</v>
      </c>
      <c r="S56" s="51" t="s">
        <v>170</v>
      </c>
      <c r="T56" s="51" t="s">
        <v>49</v>
      </c>
      <c r="U56" s="51" t="s">
        <v>2633</v>
      </c>
      <c r="V56" s="51" t="s">
        <v>48</v>
      </c>
      <c r="W56" s="28" t="s">
        <v>71</v>
      </c>
      <c r="X56" s="28" t="s">
        <v>2354</v>
      </c>
      <c r="Y56" s="25"/>
      <c r="Z56" s="25"/>
      <c r="AA56" s="25"/>
      <c r="AB56" s="25"/>
      <c r="AC56" s="25"/>
      <c r="AD56" s="25"/>
      <c r="AE56" s="25"/>
      <c r="AF56" s="25"/>
      <c r="AG56" s="25"/>
      <c r="AH56" s="25"/>
      <c r="AI56" s="25"/>
      <c r="AJ56" s="25"/>
      <c r="AK56" s="25"/>
      <c r="AL56" s="25"/>
      <c r="AM56" s="25"/>
      <c r="AN56" s="25"/>
      <c r="AO56" s="25"/>
      <c r="AP56" s="25"/>
    </row>
    <row r="57" spans="1:42" ht="13.8">
      <c r="A57" s="25"/>
      <c r="B57" s="25">
        <v>348</v>
      </c>
      <c r="C57" s="58" t="s">
        <v>2634</v>
      </c>
      <c r="D57" s="25">
        <v>1368</v>
      </c>
      <c r="E57" s="25"/>
      <c r="F57" s="33" t="s">
        <v>2635</v>
      </c>
      <c r="G57" s="30" t="s">
        <v>2636</v>
      </c>
      <c r="H57" s="25"/>
      <c r="I57" s="113" t="s">
        <v>2358</v>
      </c>
      <c r="J57" s="113" t="s">
        <v>2637</v>
      </c>
      <c r="K57" s="113" t="s">
        <v>2638</v>
      </c>
      <c r="L57" s="30" t="s">
        <v>44</v>
      </c>
      <c r="M57" s="30">
        <v>9662580912</v>
      </c>
      <c r="N57" s="29">
        <v>9664616610</v>
      </c>
      <c r="O57" s="30">
        <v>9662580912</v>
      </c>
      <c r="P57" s="30" t="s">
        <v>44</v>
      </c>
      <c r="Q57" s="30" t="s">
        <v>44</v>
      </c>
      <c r="R57" s="25" t="s">
        <v>47</v>
      </c>
      <c r="S57" s="51" t="s">
        <v>2361</v>
      </c>
      <c r="T57" s="51" t="s">
        <v>2362</v>
      </c>
      <c r="U57" s="51" t="s">
        <v>2363</v>
      </c>
      <c r="V57" s="51" t="s">
        <v>48</v>
      </c>
      <c r="W57" s="28" t="s">
        <v>71</v>
      </c>
      <c r="X57" s="28" t="s">
        <v>71</v>
      </c>
      <c r="Y57" s="25"/>
      <c r="Z57" s="25"/>
      <c r="AA57" s="25"/>
      <c r="AB57" s="25"/>
      <c r="AC57" s="25"/>
      <c r="AD57" s="25"/>
      <c r="AE57" s="25"/>
      <c r="AF57" s="25"/>
      <c r="AG57" s="25"/>
      <c r="AH57" s="25"/>
      <c r="AI57" s="25"/>
      <c r="AJ57" s="25"/>
      <c r="AK57" s="25"/>
      <c r="AL57" s="25"/>
      <c r="AM57" s="25"/>
      <c r="AN57" s="25"/>
      <c r="AO57" s="25"/>
      <c r="AP57" s="25"/>
    </row>
    <row r="58" spans="1:42" ht="13.8">
      <c r="A58" s="25"/>
      <c r="B58" s="25">
        <v>349</v>
      </c>
      <c r="C58" s="58" t="s">
        <v>2639</v>
      </c>
      <c r="D58" s="25">
        <v>1371</v>
      </c>
      <c r="E58" s="25"/>
      <c r="F58" s="163" t="s">
        <v>2640</v>
      </c>
      <c r="G58" s="30" t="s">
        <v>2641</v>
      </c>
      <c r="H58" s="25"/>
      <c r="I58" s="113" t="s">
        <v>2642</v>
      </c>
      <c r="J58" s="113" t="s">
        <v>2643</v>
      </c>
      <c r="K58" s="113" t="s">
        <v>2644</v>
      </c>
      <c r="L58" s="30" t="s">
        <v>44</v>
      </c>
      <c r="M58" s="30">
        <v>9619406081</v>
      </c>
      <c r="N58" s="29" t="s">
        <v>44</v>
      </c>
      <c r="O58" s="30">
        <v>9619406081</v>
      </c>
      <c r="P58" s="30" t="s">
        <v>44</v>
      </c>
      <c r="Q58" s="30" t="s">
        <v>44</v>
      </c>
      <c r="R58" s="25" t="s">
        <v>47</v>
      </c>
      <c r="S58" s="29" t="s">
        <v>395</v>
      </c>
      <c r="T58" s="29" t="s">
        <v>395</v>
      </c>
      <c r="U58" s="29" t="s">
        <v>395</v>
      </c>
      <c r="V58" s="29" t="s">
        <v>395</v>
      </c>
      <c r="W58" s="28" t="s">
        <v>71</v>
      </c>
      <c r="X58" s="28" t="s">
        <v>71</v>
      </c>
      <c r="Y58" s="25"/>
      <c r="Z58" s="25"/>
      <c r="AA58" s="25"/>
      <c r="AB58" s="25"/>
      <c r="AC58" s="25"/>
      <c r="AD58" s="25"/>
      <c r="AE58" s="25"/>
      <c r="AF58" s="25"/>
      <c r="AG58" s="25"/>
      <c r="AH58" s="25"/>
      <c r="AI58" s="25"/>
      <c r="AJ58" s="25"/>
      <c r="AK58" s="25"/>
      <c r="AL58" s="25"/>
      <c r="AM58" s="25"/>
      <c r="AN58" s="25"/>
      <c r="AO58" s="25"/>
      <c r="AP58" s="25"/>
    </row>
    <row r="59" spans="1:42" ht="13.8">
      <c r="A59" s="25"/>
      <c r="B59" s="25">
        <v>350</v>
      </c>
      <c r="C59" s="58" t="s">
        <v>2645</v>
      </c>
      <c r="D59" s="25">
        <v>1372</v>
      </c>
      <c r="E59" s="25"/>
      <c r="F59" s="33" t="s">
        <v>2646</v>
      </c>
      <c r="G59" s="30" t="s">
        <v>2647</v>
      </c>
      <c r="H59" s="25"/>
      <c r="I59" s="113" t="s">
        <v>2648</v>
      </c>
      <c r="J59" s="113" t="s">
        <v>2649</v>
      </c>
      <c r="K59" s="113" t="s">
        <v>2644</v>
      </c>
      <c r="L59" s="30" t="s">
        <v>44</v>
      </c>
      <c r="M59" s="30">
        <v>9820384621</v>
      </c>
      <c r="N59" s="29" t="s">
        <v>44</v>
      </c>
      <c r="O59" s="30">
        <v>9820384621</v>
      </c>
      <c r="P59" s="30" t="s">
        <v>44</v>
      </c>
      <c r="Q59" s="30" t="s">
        <v>44</v>
      </c>
      <c r="R59" s="25" t="s">
        <v>47</v>
      </c>
      <c r="S59" s="29" t="s">
        <v>395</v>
      </c>
      <c r="T59" s="29" t="s">
        <v>395</v>
      </c>
      <c r="U59" s="29" t="s">
        <v>395</v>
      </c>
      <c r="V59" s="29" t="s">
        <v>395</v>
      </c>
      <c r="W59" s="28" t="s">
        <v>71</v>
      </c>
      <c r="X59" s="28" t="s">
        <v>2650</v>
      </c>
      <c r="Y59" s="25"/>
      <c r="Z59" s="25"/>
      <c r="AA59" s="25"/>
      <c r="AB59" s="25"/>
      <c r="AC59" s="25"/>
      <c r="AD59" s="25"/>
      <c r="AE59" s="25"/>
      <c r="AF59" s="25"/>
      <c r="AG59" s="25"/>
      <c r="AH59" s="25"/>
      <c r="AI59" s="25"/>
      <c r="AJ59" s="25"/>
      <c r="AK59" s="25"/>
      <c r="AL59" s="25"/>
      <c r="AM59" s="25"/>
      <c r="AN59" s="25"/>
      <c r="AO59" s="25"/>
      <c r="AP59" s="25"/>
    </row>
    <row r="60" spans="1:42" ht="13.8">
      <c r="A60" s="6"/>
      <c r="B60" s="6">
        <v>351</v>
      </c>
      <c r="C60" s="44" t="s">
        <v>2651</v>
      </c>
      <c r="D60" s="6">
        <v>1376</v>
      </c>
      <c r="E60" s="6"/>
      <c r="F60" s="164" t="s">
        <v>2652</v>
      </c>
      <c r="G60" s="19" t="s">
        <v>2653</v>
      </c>
      <c r="H60" s="6"/>
      <c r="I60" s="108" t="s">
        <v>2654</v>
      </c>
      <c r="J60" s="108" t="s">
        <v>2655</v>
      </c>
      <c r="K60" s="108" t="s">
        <v>2656</v>
      </c>
      <c r="L60" s="19" t="s">
        <v>44</v>
      </c>
      <c r="M60" s="19">
        <v>9167736388</v>
      </c>
      <c r="N60" s="18" t="s">
        <v>44</v>
      </c>
      <c r="O60" s="19">
        <v>9167736388</v>
      </c>
      <c r="P60" s="19" t="s">
        <v>44</v>
      </c>
      <c r="Q60" s="19" t="s">
        <v>44</v>
      </c>
      <c r="R60" s="6" t="s">
        <v>47</v>
      </c>
      <c r="S60" s="45" t="s">
        <v>630</v>
      </c>
      <c r="T60" s="45" t="s">
        <v>2657</v>
      </c>
      <c r="U60" s="45" t="s">
        <v>197</v>
      </c>
      <c r="V60" s="45" t="s">
        <v>49</v>
      </c>
      <c r="W60" s="17" t="s">
        <v>71</v>
      </c>
      <c r="X60" s="17" t="s">
        <v>2658</v>
      </c>
      <c r="Y60" s="6"/>
      <c r="Z60" s="6"/>
      <c r="AA60" s="6"/>
      <c r="AB60" s="6"/>
      <c r="AC60" s="6"/>
      <c r="AD60" s="6"/>
      <c r="AE60" s="6"/>
      <c r="AF60" s="6"/>
      <c r="AG60" s="6"/>
      <c r="AH60" s="6"/>
      <c r="AI60" s="6"/>
      <c r="AJ60" s="6"/>
      <c r="AK60" s="6"/>
      <c r="AL60" s="6"/>
      <c r="AM60" s="6"/>
      <c r="AN60" s="6"/>
      <c r="AO60" s="6"/>
      <c r="AP60" s="6"/>
    </row>
    <row r="61" spans="1:42" ht="15.6">
      <c r="A61" s="25"/>
      <c r="B61" s="25">
        <v>352</v>
      </c>
      <c r="C61" s="58" t="s">
        <v>2659</v>
      </c>
      <c r="D61" s="25">
        <v>1379</v>
      </c>
      <c r="E61" s="25"/>
      <c r="F61" s="165" t="s">
        <v>2660</v>
      </c>
      <c r="G61" s="82" t="s">
        <v>2661</v>
      </c>
      <c r="H61" s="25"/>
      <c r="I61" s="82" t="s">
        <v>2662</v>
      </c>
      <c r="J61" s="82" t="s">
        <v>2663</v>
      </c>
      <c r="K61" s="82" t="s">
        <v>2664</v>
      </c>
      <c r="L61" s="30" t="s">
        <v>44</v>
      </c>
      <c r="M61" s="30">
        <v>9099073074</v>
      </c>
      <c r="N61" s="29" t="s">
        <v>44</v>
      </c>
      <c r="O61" s="30">
        <v>9099073074</v>
      </c>
      <c r="P61" s="30" t="s">
        <v>44</v>
      </c>
      <c r="Q61" s="30" t="s">
        <v>44</v>
      </c>
      <c r="R61" s="25" t="s">
        <v>47</v>
      </c>
      <c r="S61" s="51" t="s">
        <v>170</v>
      </c>
      <c r="T61" s="51" t="s">
        <v>49</v>
      </c>
      <c r="U61" s="51" t="s">
        <v>2665</v>
      </c>
      <c r="V61" s="51" t="s">
        <v>48</v>
      </c>
      <c r="W61" s="28" t="s">
        <v>71</v>
      </c>
      <c r="X61" s="28" t="s">
        <v>2666</v>
      </c>
      <c r="Y61" s="25"/>
      <c r="Z61" s="25"/>
      <c r="AA61" s="25"/>
      <c r="AB61" s="25"/>
      <c r="AC61" s="28" t="s">
        <v>2667</v>
      </c>
      <c r="AD61" s="28" t="s">
        <v>2668</v>
      </c>
      <c r="AE61" s="28" t="s">
        <v>2669</v>
      </c>
      <c r="AF61" s="28" t="s">
        <v>2670</v>
      </c>
      <c r="AG61" s="28" t="s">
        <v>2671</v>
      </c>
      <c r="AH61" s="28" t="s">
        <v>2672</v>
      </c>
      <c r="AI61" s="25"/>
      <c r="AJ61" s="25"/>
      <c r="AK61" s="25"/>
      <c r="AL61" s="25"/>
      <c r="AM61" s="25"/>
      <c r="AN61" s="25"/>
      <c r="AO61" s="25"/>
      <c r="AP61" s="25"/>
    </row>
    <row r="62" spans="1:42" ht="13.8">
      <c r="A62" s="6"/>
      <c r="B62" s="6">
        <v>353</v>
      </c>
      <c r="C62" s="44" t="s">
        <v>2673</v>
      </c>
      <c r="D62" s="6">
        <v>1380</v>
      </c>
      <c r="E62" s="6"/>
      <c r="F62" s="164" t="s">
        <v>2674</v>
      </c>
      <c r="G62" s="19" t="s">
        <v>2675</v>
      </c>
      <c r="H62" s="6"/>
      <c r="I62" s="108" t="s">
        <v>2676</v>
      </c>
      <c r="J62" s="108" t="s">
        <v>2677</v>
      </c>
      <c r="K62" s="108" t="s">
        <v>42</v>
      </c>
      <c r="L62" s="152" t="s">
        <v>2678</v>
      </c>
      <c r="M62" s="19">
        <v>9870465678</v>
      </c>
      <c r="N62" s="18">
        <v>9833940343</v>
      </c>
      <c r="O62" s="19">
        <v>9870465678</v>
      </c>
      <c r="P62" s="22" t="s">
        <v>2679</v>
      </c>
      <c r="Q62" s="19" t="s">
        <v>44</v>
      </c>
      <c r="R62" s="6" t="s">
        <v>47</v>
      </c>
      <c r="S62" s="45" t="s">
        <v>170</v>
      </c>
      <c r="T62" s="45" t="s">
        <v>49</v>
      </c>
      <c r="U62" s="45" t="s">
        <v>2680</v>
      </c>
      <c r="V62" s="45" t="s">
        <v>93</v>
      </c>
      <c r="W62" s="17" t="s">
        <v>71</v>
      </c>
      <c r="X62" s="17" t="s">
        <v>71</v>
      </c>
      <c r="Y62" s="6"/>
      <c r="Z62" s="6"/>
      <c r="AA62" s="6"/>
      <c r="AB62" s="6"/>
      <c r="AC62" s="17" t="s">
        <v>2681</v>
      </c>
      <c r="AD62" s="17" t="s">
        <v>2682</v>
      </c>
      <c r="AE62" s="17" t="s">
        <v>2683</v>
      </c>
      <c r="AF62" s="17" t="s">
        <v>2684</v>
      </c>
      <c r="AG62" s="17" t="s">
        <v>2685</v>
      </c>
      <c r="AH62" s="17" t="s">
        <v>2686</v>
      </c>
      <c r="AI62" s="6"/>
      <c r="AJ62" s="6"/>
      <c r="AK62" s="6"/>
      <c r="AL62" s="6"/>
      <c r="AM62" s="6"/>
      <c r="AN62" s="6"/>
      <c r="AO62" s="6"/>
      <c r="AP62" s="6"/>
    </row>
  </sheetData>
  <hyperlinks>
    <hyperlink ref="F4" r:id="rId1" xr:uid="{00000000-0004-0000-0500-000001000000}"/>
    <hyperlink ref="P4" r:id="rId2" xr:uid="{00000000-0004-0000-0500-000002000000}"/>
    <hyperlink ref="Q4" r:id="rId3" xr:uid="{00000000-0004-0000-0500-000003000000}"/>
    <hyperlink ref="C5" r:id="rId4" xr:uid="{00000000-0004-0000-0500-000004000000}"/>
    <hyperlink ref="F5" r:id="rId5" xr:uid="{00000000-0004-0000-0500-000005000000}"/>
    <hyperlink ref="C6" r:id="rId6" xr:uid="{00000000-0004-0000-0500-000006000000}"/>
    <hyperlink ref="F6" r:id="rId7" xr:uid="{00000000-0004-0000-0500-000007000000}"/>
    <hyperlink ref="P6" r:id="rId8" xr:uid="{00000000-0004-0000-0500-000008000000}"/>
    <hyperlink ref="C7" r:id="rId9" xr:uid="{00000000-0004-0000-0500-000009000000}"/>
    <hyperlink ref="F7" r:id="rId10" xr:uid="{00000000-0004-0000-0500-00000A000000}"/>
    <hyperlink ref="C8" r:id="rId11" xr:uid="{00000000-0004-0000-0500-00000B000000}"/>
    <hyperlink ref="F8" r:id="rId12" xr:uid="{00000000-0004-0000-0500-00000C000000}"/>
    <hyperlink ref="C9" r:id="rId13" xr:uid="{00000000-0004-0000-0500-00000D000000}"/>
    <hyperlink ref="F9" r:id="rId14" xr:uid="{00000000-0004-0000-0500-00000E000000}"/>
    <hyperlink ref="C10" r:id="rId15" xr:uid="{00000000-0004-0000-0500-00000F000000}"/>
    <hyperlink ref="F10" r:id="rId16" xr:uid="{00000000-0004-0000-0500-000010000000}"/>
    <hyperlink ref="P10" r:id="rId17" xr:uid="{00000000-0004-0000-0500-000011000000}"/>
    <hyperlink ref="C11" r:id="rId18" xr:uid="{00000000-0004-0000-0500-000012000000}"/>
    <hyperlink ref="F11" r:id="rId19" xr:uid="{00000000-0004-0000-0500-000013000000}"/>
    <hyperlink ref="P11" r:id="rId20" xr:uid="{00000000-0004-0000-0500-000014000000}"/>
    <hyperlink ref="C12" r:id="rId21" xr:uid="{00000000-0004-0000-0500-000015000000}"/>
    <hyperlink ref="F12" r:id="rId22" xr:uid="{00000000-0004-0000-0500-000016000000}"/>
    <hyperlink ref="Q12" r:id="rId23" xr:uid="{00000000-0004-0000-0500-000017000000}"/>
    <hyperlink ref="C13" r:id="rId24" xr:uid="{00000000-0004-0000-0500-000018000000}"/>
    <hyperlink ref="F13" r:id="rId25" xr:uid="{00000000-0004-0000-0500-000019000000}"/>
    <hyperlink ref="P13" r:id="rId26" xr:uid="{00000000-0004-0000-0500-00001A000000}"/>
    <hyperlink ref="C14" r:id="rId27" xr:uid="{00000000-0004-0000-0500-00001B000000}"/>
    <hyperlink ref="F14" r:id="rId28" xr:uid="{00000000-0004-0000-0500-00001C000000}"/>
    <hyperlink ref="P14" r:id="rId29" xr:uid="{00000000-0004-0000-0500-00001D000000}"/>
    <hyperlink ref="C15" r:id="rId30" xr:uid="{00000000-0004-0000-0500-00001E000000}"/>
    <hyperlink ref="F15" r:id="rId31" xr:uid="{00000000-0004-0000-0500-00001F000000}"/>
    <hyperlink ref="C16" r:id="rId32" xr:uid="{00000000-0004-0000-0500-000020000000}"/>
    <hyperlink ref="F16" r:id="rId33" xr:uid="{00000000-0004-0000-0500-000021000000}"/>
    <hyperlink ref="C17" r:id="rId34" xr:uid="{00000000-0004-0000-0500-000022000000}"/>
    <hyperlink ref="F17" r:id="rId35" xr:uid="{00000000-0004-0000-0500-000023000000}"/>
    <hyperlink ref="C18" r:id="rId36" xr:uid="{00000000-0004-0000-0500-000024000000}"/>
    <hyperlink ref="F18" r:id="rId37" xr:uid="{00000000-0004-0000-0500-000025000000}"/>
    <hyperlink ref="C19" r:id="rId38" xr:uid="{00000000-0004-0000-0500-000026000000}"/>
    <hyperlink ref="F19" r:id="rId39" xr:uid="{00000000-0004-0000-0500-000027000000}"/>
    <hyperlink ref="C20" r:id="rId40" xr:uid="{00000000-0004-0000-0500-000028000000}"/>
    <hyperlink ref="F20" r:id="rId41" xr:uid="{00000000-0004-0000-0500-000029000000}"/>
    <hyperlink ref="Q20" r:id="rId42" xr:uid="{00000000-0004-0000-0500-00002A000000}"/>
    <hyperlink ref="C21" r:id="rId43" xr:uid="{00000000-0004-0000-0500-00002B000000}"/>
    <hyperlink ref="F21" r:id="rId44" xr:uid="{00000000-0004-0000-0500-00002C000000}"/>
    <hyperlink ref="C22" r:id="rId45" xr:uid="{00000000-0004-0000-0500-00002D000000}"/>
    <hyperlink ref="F22" r:id="rId46" xr:uid="{00000000-0004-0000-0500-00002E000000}"/>
    <hyperlink ref="C23" r:id="rId47" xr:uid="{00000000-0004-0000-0500-00002F000000}"/>
    <hyperlink ref="F23" r:id="rId48" xr:uid="{00000000-0004-0000-0500-000030000000}"/>
    <hyperlink ref="C24" r:id="rId49" xr:uid="{00000000-0004-0000-0500-000031000000}"/>
    <hyperlink ref="F24" r:id="rId50" xr:uid="{00000000-0004-0000-0500-000032000000}"/>
    <hyperlink ref="C25" r:id="rId51" xr:uid="{00000000-0004-0000-0500-000033000000}"/>
    <hyperlink ref="F25" r:id="rId52" xr:uid="{00000000-0004-0000-0500-000034000000}"/>
    <hyperlink ref="C26" r:id="rId53" xr:uid="{00000000-0004-0000-0500-000035000000}"/>
    <hyperlink ref="F26" r:id="rId54" xr:uid="{00000000-0004-0000-0500-000036000000}"/>
    <hyperlink ref="C27" r:id="rId55" xr:uid="{00000000-0004-0000-0500-000037000000}"/>
    <hyperlink ref="F27" r:id="rId56" xr:uid="{00000000-0004-0000-0500-000038000000}"/>
    <hyperlink ref="C28" r:id="rId57" xr:uid="{00000000-0004-0000-0500-000039000000}"/>
    <hyperlink ref="F28" r:id="rId58" xr:uid="{00000000-0004-0000-0500-00003A000000}"/>
    <hyperlink ref="C29" r:id="rId59" xr:uid="{00000000-0004-0000-0500-00003B000000}"/>
    <hyperlink ref="F29" r:id="rId60" xr:uid="{00000000-0004-0000-0500-00003C000000}"/>
    <hyperlink ref="C30" r:id="rId61" xr:uid="{00000000-0004-0000-0500-00003D000000}"/>
    <hyperlink ref="F30" r:id="rId62" xr:uid="{00000000-0004-0000-0500-00003E000000}"/>
    <hyperlink ref="C31" r:id="rId63" xr:uid="{00000000-0004-0000-0500-00003F000000}"/>
    <hyperlink ref="F31" r:id="rId64" xr:uid="{00000000-0004-0000-0500-000040000000}"/>
    <hyperlink ref="C32" r:id="rId65" xr:uid="{00000000-0004-0000-0500-000041000000}"/>
    <hyperlink ref="F32" r:id="rId66" xr:uid="{00000000-0004-0000-0500-000042000000}"/>
    <hyperlink ref="C33" r:id="rId67" xr:uid="{00000000-0004-0000-0500-000043000000}"/>
    <hyperlink ref="P33" r:id="rId68" xr:uid="{00000000-0004-0000-0500-000044000000}"/>
    <hyperlink ref="C34" r:id="rId69" xr:uid="{00000000-0004-0000-0500-000045000000}"/>
    <hyperlink ref="F34" r:id="rId70" xr:uid="{00000000-0004-0000-0500-000046000000}"/>
    <hyperlink ref="P34" r:id="rId71" xr:uid="{00000000-0004-0000-0500-000047000000}"/>
    <hyperlink ref="Q34" r:id="rId72" xr:uid="{00000000-0004-0000-0500-000048000000}"/>
    <hyperlink ref="C35" r:id="rId73" xr:uid="{00000000-0004-0000-0500-000049000000}"/>
    <hyperlink ref="F35" r:id="rId74" xr:uid="{00000000-0004-0000-0500-00004A000000}"/>
    <hyperlink ref="C36" r:id="rId75" xr:uid="{00000000-0004-0000-0500-00004B000000}"/>
    <hyperlink ref="F36" r:id="rId76" xr:uid="{00000000-0004-0000-0500-00004C000000}"/>
    <hyperlink ref="C37" r:id="rId77" xr:uid="{00000000-0004-0000-0500-00004D000000}"/>
    <hyperlink ref="F37" r:id="rId78" xr:uid="{00000000-0004-0000-0500-00004E000000}"/>
    <hyperlink ref="C38" r:id="rId79" xr:uid="{00000000-0004-0000-0500-00004F000000}"/>
    <hyperlink ref="F38" r:id="rId80" xr:uid="{00000000-0004-0000-0500-000050000000}"/>
    <hyperlink ref="C39" r:id="rId81" xr:uid="{00000000-0004-0000-0500-000051000000}"/>
    <hyperlink ref="F39" r:id="rId82" xr:uid="{00000000-0004-0000-0500-000052000000}"/>
    <hyperlink ref="C40" r:id="rId83" xr:uid="{00000000-0004-0000-0500-000053000000}"/>
    <hyperlink ref="F40" r:id="rId84" xr:uid="{00000000-0004-0000-0500-000054000000}"/>
    <hyperlink ref="C41" r:id="rId85" xr:uid="{00000000-0004-0000-0500-000055000000}"/>
    <hyperlink ref="F41" r:id="rId86" xr:uid="{00000000-0004-0000-0500-000056000000}"/>
    <hyperlink ref="C42" r:id="rId87" xr:uid="{00000000-0004-0000-0500-000057000000}"/>
    <hyperlink ref="F42" r:id="rId88" xr:uid="{00000000-0004-0000-0500-000058000000}"/>
    <hyperlink ref="C43" r:id="rId89" xr:uid="{00000000-0004-0000-0500-000059000000}"/>
    <hyperlink ref="F43" r:id="rId90" xr:uid="{00000000-0004-0000-0500-00005A000000}"/>
    <hyperlink ref="C44" r:id="rId91" xr:uid="{00000000-0004-0000-0500-00005B000000}"/>
    <hyperlink ref="F44" r:id="rId92" xr:uid="{00000000-0004-0000-0500-00005C000000}"/>
    <hyperlink ref="F45" r:id="rId93" xr:uid="{00000000-0004-0000-0500-00005D000000}"/>
    <hyperlink ref="P45" r:id="rId94" xr:uid="{00000000-0004-0000-0500-00005E000000}"/>
    <hyperlink ref="C46" r:id="rId95" xr:uid="{00000000-0004-0000-0500-00005F000000}"/>
    <hyperlink ref="F46" r:id="rId96" xr:uid="{00000000-0004-0000-0500-000060000000}"/>
    <hyperlink ref="C47" r:id="rId97" xr:uid="{00000000-0004-0000-0500-000061000000}"/>
    <hyperlink ref="F47" r:id="rId98" xr:uid="{00000000-0004-0000-0500-000062000000}"/>
    <hyperlink ref="C48" r:id="rId99" xr:uid="{00000000-0004-0000-0500-000063000000}"/>
    <hyperlink ref="F48" r:id="rId100" xr:uid="{00000000-0004-0000-0500-000064000000}"/>
    <hyperlink ref="C49" r:id="rId101" xr:uid="{00000000-0004-0000-0500-000065000000}"/>
    <hyperlink ref="F49" r:id="rId102" xr:uid="{00000000-0004-0000-0500-000066000000}"/>
    <hyperlink ref="C50" r:id="rId103" xr:uid="{00000000-0004-0000-0500-000067000000}"/>
    <hyperlink ref="F50" r:id="rId104" xr:uid="{00000000-0004-0000-0500-000068000000}"/>
    <hyperlink ref="P50" r:id="rId105" xr:uid="{00000000-0004-0000-0500-000069000000}"/>
    <hyperlink ref="C51" r:id="rId106" xr:uid="{00000000-0004-0000-0500-00006A000000}"/>
    <hyperlink ref="F51" r:id="rId107" xr:uid="{00000000-0004-0000-0500-00006B000000}"/>
    <hyperlink ref="C52" r:id="rId108" xr:uid="{00000000-0004-0000-0500-00006C000000}"/>
    <hyperlink ref="F52" r:id="rId109" xr:uid="{00000000-0004-0000-0500-00006D000000}"/>
    <hyperlink ref="C53" r:id="rId110" xr:uid="{00000000-0004-0000-0500-00006E000000}"/>
    <hyperlink ref="F53" r:id="rId111" xr:uid="{00000000-0004-0000-0500-00006F000000}"/>
    <hyperlink ref="C54" r:id="rId112" xr:uid="{00000000-0004-0000-0500-000070000000}"/>
    <hyperlink ref="F54" r:id="rId113" xr:uid="{00000000-0004-0000-0500-000071000000}"/>
    <hyperlink ref="C55" r:id="rId114" xr:uid="{00000000-0004-0000-0500-000072000000}"/>
    <hyperlink ref="F55" r:id="rId115" xr:uid="{00000000-0004-0000-0500-000073000000}"/>
    <hyperlink ref="C56" r:id="rId116" xr:uid="{00000000-0004-0000-0500-000074000000}"/>
    <hyperlink ref="F56" r:id="rId117" xr:uid="{00000000-0004-0000-0500-000075000000}"/>
    <hyperlink ref="P56" r:id="rId118" xr:uid="{00000000-0004-0000-0500-000076000000}"/>
    <hyperlink ref="Q56" r:id="rId119" xr:uid="{00000000-0004-0000-0500-000077000000}"/>
    <hyperlink ref="C57" r:id="rId120" xr:uid="{00000000-0004-0000-0500-000078000000}"/>
    <hyperlink ref="F57" r:id="rId121" xr:uid="{00000000-0004-0000-0500-000079000000}"/>
    <hyperlink ref="C58" r:id="rId122" xr:uid="{00000000-0004-0000-0500-00007A000000}"/>
    <hyperlink ref="F58" r:id="rId123" xr:uid="{00000000-0004-0000-0500-00007B000000}"/>
    <hyperlink ref="C59" r:id="rId124" xr:uid="{00000000-0004-0000-0500-00007C000000}"/>
    <hyperlink ref="F59" r:id="rId125" xr:uid="{00000000-0004-0000-0500-00007D000000}"/>
    <hyperlink ref="C60" r:id="rId126" xr:uid="{00000000-0004-0000-0500-00007E000000}"/>
    <hyperlink ref="F60" r:id="rId127" xr:uid="{00000000-0004-0000-0500-00007F000000}"/>
    <hyperlink ref="C61" r:id="rId128" xr:uid="{00000000-0004-0000-0500-000080000000}"/>
    <hyperlink ref="F61" r:id="rId129" xr:uid="{00000000-0004-0000-0500-000081000000}"/>
    <hyperlink ref="C62" r:id="rId130" xr:uid="{00000000-0004-0000-0500-000082000000}"/>
    <hyperlink ref="F62" r:id="rId131" xr:uid="{00000000-0004-0000-0500-000083000000}"/>
    <hyperlink ref="P62" r:id="rId132" xr:uid="{00000000-0004-0000-0500-000084000000}"/>
    <hyperlink ref="C4" r:id="rId133" xr:uid="{00000000-0004-0000-05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AO20"/>
  <sheetViews>
    <sheetView workbookViewId="0">
      <selection activeCell="M4" sqref="M4:M7"/>
    </sheetView>
  </sheetViews>
  <sheetFormatPr defaultColWidth="12.6640625" defaultRowHeight="15.75" customHeight="1"/>
  <cols>
    <col min="1" max="1" width="7.44140625" bestFit="1" customWidth="1"/>
    <col min="2" max="2" width="66.21875" bestFit="1" customWidth="1"/>
    <col min="3" max="3" width="39.21875" bestFit="1" customWidth="1"/>
    <col min="4" max="4" width="7.5546875" bestFit="1" customWidth="1"/>
    <col min="5" max="5" width="28.44140625" bestFit="1" customWidth="1"/>
    <col min="6" max="6" width="34.44140625" bestFit="1" customWidth="1"/>
    <col min="7" max="7" width="28.44140625" bestFit="1" customWidth="1"/>
    <col min="8" max="8" width="35.88671875" bestFit="1" customWidth="1"/>
    <col min="9" max="9" width="18.21875" bestFit="1" customWidth="1"/>
    <col min="10" max="10" width="13.33203125" bestFit="1" customWidth="1"/>
    <col min="11" max="11" width="255.77734375" bestFit="1" customWidth="1"/>
    <col min="12" max="14" width="12.109375" bestFit="1" customWidth="1"/>
    <col min="15" max="15" width="28" bestFit="1" customWidth="1"/>
    <col min="16" max="16" width="95.77734375" bestFit="1" customWidth="1"/>
    <col min="17" max="17" width="10.33203125" bestFit="1" customWidth="1"/>
    <col min="18" max="18" width="6.109375" bestFit="1" customWidth="1"/>
    <col min="19" max="19" width="7" bestFit="1" customWidth="1"/>
    <col min="20" max="20" width="10.109375" bestFit="1" customWidth="1"/>
    <col min="21" max="21" width="10.77734375" bestFit="1" customWidth="1"/>
    <col min="22" max="22" width="39.44140625" bestFit="1" customWidth="1"/>
    <col min="23" max="23" width="13.109375" bestFit="1" customWidth="1"/>
    <col min="24" max="24" width="11" bestFit="1" customWidth="1"/>
    <col min="25" max="25" width="37.77734375" bestFit="1" customWidth="1"/>
    <col min="26" max="26" width="9.33203125" bestFit="1" customWidth="1"/>
    <col min="27" max="27" width="9.44140625" bestFit="1" customWidth="1"/>
    <col min="28" max="28" width="9.21875" bestFit="1" customWidth="1"/>
    <col min="30" max="30" width="8.6640625" bestFit="1" customWidth="1"/>
    <col min="32" max="32" width="8.6640625" bestFit="1" customWidth="1"/>
    <col min="34" max="34" width="8.6640625" bestFit="1" customWidth="1"/>
    <col min="36" max="36" width="8.6640625" bestFit="1" customWidth="1"/>
    <col min="38" max="38" width="8.6640625" bestFit="1" customWidth="1"/>
    <col min="40" max="40" width="8.6640625" bestFit="1" customWidth="1"/>
  </cols>
  <sheetData>
    <row r="3" spans="1:41" ht="13.8">
      <c r="A3" s="2" t="s">
        <v>0</v>
      </c>
      <c r="B3" s="2" t="s">
        <v>1</v>
      </c>
      <c r="C3" s="2" t="s">
        <v>2</v>
      </c>
      <c r="D3" s="2" t="s">
        <v>3</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c r="AB3" s="5" t="s">
        <v>27</v>
      </c>
      <c r="AC3" s="5"/>
      <c r="AD3" s="5" t="s">
        <v>28</v>
      </c>
      <c r="AE3" s="5"/>
      <c r="AF3" s="5" t="s">
        <v>29</v>
      </c>
      <c r="AG3" s="5"/>
      <c r="AH3" s="5" t="s">
        <v>30</v>
      </c>
      <c r="AI3" s="5"/>
      <c r="AJ3" s="5" t="s">
        <v>31</v>
      </c>
      <c r="AK3" s="5"/>
      <c r="AL3" s="5" t="s">
        <v>32</v>
      </c>
      <c r="AM3" s="5"/>
      <c r="AN3" s="5" t="s">
        <v>33</v>
      </c>
      <c r="AO3" s="5"/>
    </row>
    <row r="4" spans="1:41" ht="15.75" customHeight="1">
      <c r="A4" s="176">
        <v>157</v>
      </c>
      <c r="B4" s="196" t="s">
        <v>1688</v>
      </c>
      <c r="C4" s="176" t="s">
        <v>3325</v>
      </c>
      <c r="D4" s="176">
        <v>1110</v>
      </c>
      <c r="E4" s="196" t="s">
        <v>1689</v>
      </c>
      <c r="F4" s="209" t="s">
        <v>1690</v>
      </c>
      <c r="G4" s="176"/>
      <c r="H4" s="209" t="s">
        <v>1691</v>
      </c>
      <c r="I4" s="209" t="s">
        <v>1692</v>
      </c>
      <c r="J4" s="209" t="s">
        <v>1693</v>
      </c>
      <c r="K4" s="210" t="s">
        <v>1694</v>
      </c>
      <c r="L4" s="209">
        <v>9967758499</v>
      </c>
      <c r="M4" s="211">
        <v>9321697279</v>
      </c>
      <c r="N4" s="209">
        <v>9967758499</v>
      </c>
      <c r="O4" s="183" t="s">
        <v>1695</v>
      </c>
      <c r="P4" s="212" t="s">
        <v>6112</v>
      </c>
      <c r="Q4" s="176" t="s">
        <v>47</v>
      </c>
      <c r="R4" s="198" t="s">
        <v>990</v>
      </c>
      <c r="S4" s="198" t="s">
        <v>1697</v>
      </c>
      <c r="T4" s="198" t="s">
        <v>1697</v>
      </c>
      <c r="U4" s="198" t="s">
        <v>1698</v>
      </c>
      <c r="V4" s="177" t="s">
        <v>1699</v>
      </c>
      <c r="W4" s="177" t="s">
        <v>1700</v>
      </c>
      <c r="X4" s="176"/>
      <c r="Y4" s="199" t="s">
        <v>6113</v>
      </c>
      <c r="Z4" s="176"/>
      <c r="AA4" s="176"/>
      <c r="AB4" s="176"/>
      <c r="AC4" s="176"/>
      <c r="AD4" s="176"/>
      <c r="AE4" s="176"/>
      <c r="AF4" s="176"/>
      <c r="AG4" s="176"/>
      <c r="AH4" s="176"/>
      <c r="AI4" s="176"/>
      <c r="AJ4" s="176"/>
      <c r="AK4" s="176"/>
      <c r="AL4" s="176"/>
      <c r="AM4" s="176"/>
      <c r="AN4" s="176"/>
      <c r="AO4" s="176"/>
    </row>
    <row r="5" spans="1:41" ht="15.75" customHeight="1">
      <c r="A5" s="176">
        <v>158</v>
      </c>
      <c r="B5" s="196" t="s">
        <v>1701</v>
      </c>
      <c r="C5" s="176" t="s">
        <v>3328</v>
      </c>
      <c r="D5" s="176">
        <v>1111</v>
      </c>
      <c r="E5" s="213" t="s">
        <v>1702</v>
      </c>
      <c r="F5" s="209" t="s">
        <v>1703</v>
      </c>
      <c r="G5" s="176"/>
      <c r="H5" s="209" t="s">
        <v>1691</v>
      </c>
      <c r="I5" s="209" t="s">
        <v>1704</v>
      </c>
      <c r="J5" s="209" t="s">
        <v>1693</v>
      </c>
      <c r="K5" s="210" t="s">
        <v>1694</v>
      </c>
      <c r="L5" s="209">
        <v>8208406133</v>
      </c>
      <c r="M5" s="211">
        <v>9321697279</v>
      </c>
      <c r="N5" s="209">
        <v>8208406133</v>
      </c>
      <c r="O5" s="183" t="s">
        <v>1695</v>
      </c>
      <c r="P5" s="212" t="s">
        <v>6114</v>
      </c>
      <c r="Q5" s="176" t="s">
        <v>47</v>
      </c>
      <c r="R5" s="198" t="s">
        <v>1706</v>
      </c>
      <c r="S5" s="198" t="s">
        <v>1707</v>
      </c>
      <c r="T5" s="198" t="s">
        <v>1707</v>
      </c>
      <c r="U5" s="198" t="s">
        <v>1698</v>
      </c>
      <c r="V5" s="177" t="s">
        <v>1708</v>
      </c>
      <c r="W5" s="177" t="s">
        <v>1700</v>
      </c>
      <c r="X5" s="176"/>
      <c r="Y5" s="199" t="s">
        <v>6113</v>
      </c>
      <c r="Z5" s="176"/>
      <c r="AA5" s="176"/>
      <c r="AB5" s="176"/>
      <c r="AC5" s="176"/>
      <c r="AD5" s="176"/>
      <c r="AE5" s="176"/>
      <c r="AF5" s="176"/>
      <c r="AG5" s="176"/>
      <c r="AH5" s="176"/>
      <c r="AI5" s="176"/>
      <c r="AJ5" s="176"/>
      <c r="AK5" s="176"/>
      <c r="AL5" s="176"/>
      <c r="AM5" s="176"/>
      <c r="AN5" s="176"/>
      <c r="AO5" s="176"/>
    </row>
    <row r="6" spans="1:41" ht="15.75" customHeight="1">
      <c r="A6" s="176">
        <v>159</v>
      </c>
      <c r="B6" s="196" t="s">
        <v>1709</v>
      </c>
      <c r="C6" s="176" t="s">
        <v>3330</v>
      </c>
      <c r="D6" s="176">
        <v>1112</v>
      </c>
      <c r="E6" s="196" t="s">
        <v>1710</v>
      </c>
      <c r="F6" s="209" t="s">
        <v>1711</v>
      </c>
      <c r="G6" s="176"/>
      <c r="H6" s="209" t="s">
        <v>1691</v>
      </c>
      <c r="I6" s="214" t="s">
        <v>1712</v>
      </c>
      <c r="J6" s="214" t="s">
        <v>1713</v>
      </c>
      <c r="K6" s="210" t="s">
        <v>1694</v>
      </c>
      <c r="L6" s="214">
        <v>9321697279</v>
      </c>
      <c r="M6" s="178" t="s">
        <v>44</v>
      </c>
      <c r="N6" s="214">
        <v>9321697279</v>
      </c>
      <c r="O6" s="183" t="s">
        <v>1695</v>
      </c>
      <c r="P6" s="212" t="s">
        <v>6115</v>
      </c>
      <c r="Q6" s="176" t="s">
        <v>47</v>
      </c>
      <c r="R6" s="198" t="s">
        <v>1715</v>
      </c>
      <c r="S6" s="198" t="s">
        <v>1716</v>
      </c>
      <c r="T6" s="198" t="s">
        <v>1716</v>
      </c>
      <c r="U6" s="198" t="s">
        <v>1698</v>
      </c>
      <c r="V6" s="177" t="s">
        <v>1717</v>
      </c>
      <c r="W6" s="177" t="s">
        <v>1700</v>
      </c>
      <c r="X6" s="176"/>
      <c r="Y6" s="199" t="s">
        <v>6113</v>
      </c>
      <c r="Z6" s="176"/>
      <c r="AA6" s="176"/>
      <c r="AB6" s="176"/>
      <c r="AC6" s="176"/>
      <c r="AD6" s="176"/>
      <c r="AE6" s="176"/>
      <c r="AF6" s="176"/>
      <c r="AG6" s="176"/>
      <c r="AH6" s="176"/>
      <c r="AI6" s="176"/>
      <c r="AJ6" s="176"/>
      <c r="AK6" s="176"/>
      <c r="AL6" s="176"/>
      <c r="AM6" s="176"/>
      <c r="AN6" s="176"/>
      <c r="AO6" s="176"/>
    </row>
    <row r="7" spans="1:41" ht="15.75" customHeight="1">
      <c r="A7" s="176">
        <v>160</v>
      </c>
      <c r="B7" s="196" t="s">
        <v>1718</v>
      </c>
      <c r="C7" s="176" t="s">
        <v>3332</v>
      </c>
      <c r="D7" s="176">
        <v>1113</v>
      </c>
      <c r="E7" s="196" t="s">
        <v>1689</v>
      </c>
      <c r="F7" s="209" t="s">
        <v>1719</v>
      </c>
      <c r="G7" s="176"/>
      <c r="H7" s="209" t="s">
        <v>1691</v>
      </c>
      <c r="I7" s="179" t="s">
        <v>1720</v>
      </c>
      <c r="J7" s="179" t="s">
        <v>1693</v>
      </c>
      <c r="K7" s="210" t="s">
        <v>1694</v>
      </c>
      <c r="L7" s="215">
        <v>9321697279</v>
      </c>
      <c r="M7" s="178" t="s">
        <v>44</v>
      </c>
      <c r="N7" s="179">
        <v>9321697279</v>
      </c>
      <c r="O7" s="183" t="s">
        <v>1695</v>
      </c>
      <c r="P7" s="212" t="s">
        <v>6116</v>
      </c>
      <c r="Q7" s="176" t="s">
        <v>47</v>
      </c>
      <c r="R7" s="198" t="s">
        <v>1722</v>
      </c>
      <c r="S7" s="198" t="s">
        <v>1723</v>
      </c>
      <c r="T7" s="198" t="s">
        <v>1723</v>
      </c>
      <c r="U7" s="198" t="s">
        <v>1698</v>
      </c>
      <c r="V7" s="177" t="s">
        <v>71</v>
      </c>
      <c r="W7" s="177" t="s">
        <v>1700</v>
      </c>
      <c r="X7" s="176"/>
      <c r="Y7" s="199" t="s">
        <v>6113</v>
      </c>
      <c r="Z7" s="176"/>
      <c r="AA7" s="176"/>
      <c r="AB7" s="176"/>
      <c r="AC7" s="176"/>
      <c r="AD7" s="176"/>
      <c r="AE7" s="176"/>
      <c r="AF7" s="176"/>
      <c r="AG7" s="176"/>
      <c r="AH7" s="176"/>
      <c r="AI7" s="176"/>
      <c r="AJ7" s="176"/>
      <c r="AK7" s="176"/>
      <c r="AL7" s="176"/>
      <c r="AM7" s="176"/>
      <c r="AN7" s="176"/>
      <c r="AO7" s="176"/>
    </row>
    <row r="11" spans="1:41" ht="13.2">
      <c r="B11" s="1"/>
      <c r="C11" s="1"/>
      <c r="D11" s="1"/>
      <c r="E11" s="1"/>
      <c r="F11" s="1"/>
    </row>
    <row r="12" spans="1:41" ht="13.2">
      <c r="B12" s="1"/>
      <c r="C12" s="1"/>
      <c r="D12" s="1"/>
      <c r="E12" s="1"/>
      <c r="F12" s="1"/>
    </row>
    <row r="13" spans="1:41" ht="13.2">
      <c r="B13" s="1"/>
      <c r="C13" s="1"/>
      <c r="D13" s="1"/>
      <c r="E13" s="1"/>
      <c r="F13" s="1"/>
    </row>
    <row r="14" spans="1:41" ht="15.75" customHeight="1">
      <c r="B14" s="1"/>
      <c r="C14" s="1"/>
      <c r="D14" s="9"/>
      <c r="E14" s="1"/>
      <c r="F14" s="1"/>
      <c r="G14" s="196" t="s">
        <v>1689</v>
      </c>
      <c r="H14" s="209" t="s">
        <v>1690</v>
      </c>
      <c r="I14" s="176"/>
      <c r="J14" s="209" t="s">
        <v>1693</v>
      </c>
      <c r="K14" s="209">
        <v>9967758499</v>
      </c>
      <c r="L14" s="216"/>
      <c r="M14" s="217"/>
      <c r="N14" s="216"/>
      <c r="O14" s="218"/>
      <c r="P14" s="216"/>
    </row>
    <row r="15" spans="1:41" ht="15.75" customHeight="1">
      <c r="B15" s="1"/>
      <c r="C15" s="1"/>
      <c r="D15" s="99"/>
      <c r="E15" s="1"/>
      <c r="F15" s="1"/>
      <c r="G15" s="213" t="s">
        <v>1702</v>
      </c>
      <c r="H15" s="209" t="s">
        <v>1703</v>
      </c>
      <c r="I15" s="176"/>
      <c r="J15" s="209" t="s">
        <v>1693</v>
      </c>
      <c r="K15" s="209">
        <v>8208406133</v>
      </c>
      <c r="L15" s="216"/>
      <c r="M15" s="217"/>
      <c r="N15" s="216"/>
      <c r="O15" s="218"/>
      <c r="P15" s="216"/>
    </row>
    <row r="16" spans="1:41" ht="15.75" customHeight="1">
      <c r="B16" s="1"/>
      <c r="C16" s="1"/>
      <c r="D16" s="99"/>
      <c r="E16" s="1"/>
      <c r="F16" s="1"/>
      <c r="G16" s="196" t="s">
        <v>1710</v>
      </c>
      <c r="H16" s="209" t="s">
        <v>1711</v>
      </c>
      <c r="I16" s="176"/>
      <c r="J16" s="214" t="s">
        <v>1713</v>
      </c>
      <c r="K16" s="214">
        <v>9321697279</v>
      </c>
      <c r="L16" s="219"/>
      <c r="M16" s="217"/>
      <c r="N16" s="219"/>
      <c r="O16" s="9"/>
      <c r="P16" s="219"/>
    </row>
    <row r="17" spans="2:16" ht="15.75" customHeight="1">
      <c r="B17" s="1"/>
      <c r="C17" s="1"/>
      <c r="D17" s="9"/>
      <c r="E17" s="1"/>
      <c r="F17" s="1"/>
      <c r="G17" s="196" t="s">
        <v>1689</v>
      </c>
      <c r="H17" s="209" t="s">
        <v>1719</v>
      </c>
      <c r="I17" s="176"/>
      <c r="J17" s="179" t="s">
        <v>1693</v>
      </c>
      <c r="K17" s="179">
        <v>9321697279</v>
      </c>
      <c r="L17" s="10"/>
      <c r="M17" s="217"/>
      <c r="N17" s="110"/>
      <c r="O17" s="9"/>
      <c r="P17" s="10"/>
    </row>
    <row r="18" spans="2:16" ht="13.2">
      <c r="B18" s="1"/>
      <c r="C18" s="1"/>
      <c r="D18" s="1"/>
      <c r="E18" s="1"/>
      <c r="F18" s="1"/>
      <c r="L18" s="1"/>
      <c r="M18" s="1"/>
      <c r="N18" s="1"/>
      <c r="O18" s="1"/>
      <c r="P18" s="1"/>
    </row>
    <row r="19" spans="2:16" ht="13.2">
      <c r="B19" s="1"/>
      <c r="C19" s="1"/>
      <c r="D19" s="1"/>
      <c r="E19" s="1"/>
      <c r="F19" s="1"/>
    </row>
    <row r="20" spans="2:16" ht="13.2">
      <c r="B20" s="1"/>
      <c r="C20" s="1"/>
      <c r="D20" s="1"/>
      <c r="E20" s="1"/>
      <c r="F20" s="1"/>
    </row>
  </sheetData>
  <hyperlinks>
    <hyperlink ref="B4" r:id="rId1" xr:uid="{00000000-0004-0000-0E00-000000000000}"/>
    <hyperlink ref="E4" r:id="rId2" xr:uid="{00000000-0004-0000-0E00-000001000000}"/>
    <hyperlink ref="O4" r:id="rId3" xr:uid="{00000000-0004-0000-0E00-000002000000}"/>
    <hyperlink ref="P4" r:id="rId4" xr:uid="{00000000-0004-0000-0E00-000003000000}"/>
    <hyperlink ref="Y4" r:id="rId5" xr:uid="{00000000-0004-0000-0E00-000004000000}"/>
    <hyperlink ref="B5" r:id="rId6" xr:uid="{00000000-0004-0000-0E00-000005000000}"/>
    <hyperlink ref="O5" r:id="rId7" xr:uid="{00000000-0004-0000-0E00-000006000000}"/>
    <hyperlink ref="P5" r:id="rId8" xr:uid="{00000000-0004-0000-0E00-000007000000}"/>
    <hyperlink ref="Y5" r:id="rId9" xr:uid="{00000000-0004-0000-0E00-000008000000}"/>
    <hyperlink ref="B6" r:id="rId10" xr:uid="{00000000-0004-0000-0E00-000009000000}"/>
    <hyperlink ref="E6" r:id="rId11" xr:uid="{00000000-0004-0000-0E00-00000A000000}"/>
    <hyperlink ref="O6" r:id="rId12" xr:uid="{00000000-0004-0000-0E00-00000B000000}"/>
    <hyperlink ref="P6" r:id="rId13" xr:uid="{00000000-0004-0000-0E00-00000C000000}"/>
    <hyperlink ref="Y6" r:id="rId14" xr:uid="{00000000-0004-0000-0E00-00000D000000}"/>
    <hyperlink ref="B7" r:id="rId15" xr:uid="{00000000-0004-0000-0E00-00000E000000}"/>
    <hyperlink ref="E7" r:id="rId16" xr:uid="{00000000-0004-0000-0E00-00000F000000}"/>
    <hyperlink ref="O7" r:id="rId17" xr:uid="{00000000-0004-0000-0E00-000010000000}"/>
    <hyperlink ref="P7" r:id="rId18" xr:uid="{00000000-0004-0000-0E00-000011000000}"/>
    <hyperlink ref="Y7" r:id="rId19" xr:uid="{00000000-0004-0000-0E00-000012000000}"/>
    <hyperlink ref="G14" r:id="rId20" xr:uid="{00000000-0004-0000-0E00-000013000000}"/>
    <hyperlink ref="G16" r:id="rId21" xr:uid="{00000000-0004-0000-0E00-000014000000}"/>
    <hyperlink ref="G17" r:id="rId22" xr:uid="{00000000-0004-0000-0E00-000015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O33"/>
  <sheetViews>
    <sheetView topLeftCell="A10" zoomScale="104" workbookViewId="0">
      <pane xSplit="2" topLeftCell="K1" activePane="topRight" state="frozen"/>
      <selection pane="topRight" activeCell="R4" sqref="R4:U4"/>
    </sheetView>
  </sheetViews>
  <sheetFormatPr defaultColWidth="12.6640625" defaultRowHeight="15.75" customHeight="1"/>
  <cols>
    <col min="1" max="1" width="12.77734375" bestFit="1" customWidth="1"/>
    <col min="2" max="2" width="95.6640625" customWidth="1"/>
    <col min="3" max="3" width="5.77734375" bestFit="1" customWidth="1"/>
    <col min="4" max="4" width="14" bestFit="1" customWidth="1"/>
    <col min="5" max="5" width="30.5546875" bestFit="1" customWidth="1"/>
    <col min="6" max="6" width="10.109375" bestFit="1" customWidth="1"/>
    <col min="7" max="7" width="13.44140625" bestFit="1" customWidth="1"/>
    <col min="8" max="8" width="33.6640625" bestFit="1" customWidth="1"/>
    <col min="9" max="9" width="36" bestFit="1" customWidth="1"/>
    <col min="10" max="10" width="33.88671875" bestFit="1" customWidth="1"/>
    <col min="11" max="11" width="255.77734375" bestFit="1" customWidth="1"/>
    <col min="12" max="12" width="12" bestFit="1" customWidth="1"/>
    <col min="13" max="13" width="11.33203125" bestFit="1" customWidth="1"/>
    <col min="14" max="14" width="12" bestFit="1" customWidth="1"/>
    <col min="15" max="15" width="30.5546875" bestFit="1" customWidth="1"/>
    <col min="16" max="16" width="73.21875" bestFit="1" customWidth="1"/>
    <col min="17" max="17" width="10.33203125" bestFit="1" customWidth="1"/>
    <col min="18" max="18" width="8.33203125" bestFit="1" customWidth="1"/>
    <col min="19" max="19" width="8" bestFit="1" customWidth="1"/>
    <col min="20" max="20" width="10.109375" bestFit="1" customWidth="1"/>
    <col min="21" max="21" width="10.77734375" bestFit="1" customWidth="1"/>
    <col min="22" max="23" width="36.21875" bestFit="1" customWidth="1"/>
    <col min="24" max="24" width="42.109375" bestFit="1" customWidth="1"/>
    <col min="25" max="25" width="49.88671875" bestFit="1" customWidth="1"/>
    <col min="26" max="26" width="65" bestFit="1" customWidth="1"/>
    <col min="27" max="27" width="42.88671875" bestFit="1" customWidth="1"/>
    <col min="28" max="28" width="32.77734375" bestFit="1" customWidth="1"/>
    <col min="29" max="29" width="40.77734375" bestFit="1" customWidth="1"/>
    <col min="30" max="30" width="30" bestFit="1" customWidth="1"/>
    <col min="31" max="31" width="40.88671875" bestFit="1" customWidth="1"/>
    <col min="32" max="32" width="27.5546875" bestFit="1" customWidth="1"/>
    <col min="33" max="33" width="41.44140625" bestFit="1" customWidth="1"/>
    <col min="34" max="34" width="31" bestFit="1" customWidth="1"/>
    <col min="35" max="35" width="40.33203125" bestFit="1" customWidth="1"/>
    <col min="36" max="36" width="37.21875" bestFit="1" customWidth="1"/>
    <col min="37" max="37" width="40.33203125" bestFit="1" customWidth="1"/>
    <col min="38" max="38" width="9.6640625" bestFit="1" customWidth="1"/>
    <col min="39" max="39" width="38.33203125" bestFit="1" customWidth="1"/>
    <col min="40" max="40" width="8.6640625" bestFit="1" customWidth="1"/>
    <col min="41" max="41" width="6" bestFit="1" customWidth="1"/>
  </cols>
  <sheetData>
    <row r="1" spans="1:41" ht="13.2">
      <c r="A1" s="2"/>
    </row>
    <row r="3" spans="1:41" ht="13.8">
      <c r="A3" s="90" t="s">
        <v>1</v>
      </c>
      <c r="B3" s="2" t="s">
        <v>639</v>
      </c>
      <c r="C3" s="2" t="s">
        <v>640</v>
      </c>
      <c r="D3" s="2" t="s">
        <v>1050</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24</v>
      </c>
      <c r="Y3" s="5" t="s">
        <v>23</v>
      </c>
      <c r="Z3" s="5" t="s">
        <v>25</v>
      </c>
      <c r="AA3" s="5" t="s">
        <v>26</v>
      </c>
      <c r="AB3" s="5" t="s">
        <v>27</v>
      </c>
      <c r="AC3" s="5" t="s">
        <v>2687</v>
      </c>
      <c r="AD3" s="5" t="s">
        <v>28</v>
      </c>
      <c r="AE3" s="5" t="s">
        <v>1546</v>
      </c>
      <c r="AF3" s="5" t="s">
        <v>29</v>
      </c>
      <c r="AG3" s="5" t="s">
        <v>1546</v>
      </c>
      <c r="AH3" s="5" t="s">
        <v>30</v>
      </c>
      <c r="AI3" s="5" t="s">
        <v>1546</v>
      </c>
      <c r="AJ3" s="5" t="s">
        <v>31</v>
      </c>
      <c r="AK3" s="5" t="s">
        <v>1546</v>
      </c>
      <c r="AL3" s="5" t="s">
        <v>32</v>
      </c>
      <c r="AM3" s="5" t="s">
        <v>1546</v>
      </c>
      <c r="AN3" s="5" t="s">
        <v>33</v>
      </c>
      <c r="AO3" s="5" t="s">
        <v>1546</v>
      </c>
    </row>
    <row r="4" spans="1:41" ht="15">
      <c r="A4" s="176" t="s">
        <v>7440</v>
      </c>
      <c r="B4" s="224" t="s">
        <v>7441</v>
      </c>
      <c r="C4" s="225"/>
      <c r="D4" s="225"/>
      <c r="E4" s="226" t="s">
        <v>7442</v>
      </c>
      <c r="F4" s="227" t="s">
        <v>7443</v>
      </c>
      <c r="G4" s="228" t="s">
        <v>39</v>
      </c>
      <c r="H4" s="229" t="s">
        <v>4633</v>
      </c>
      <c r="I4" s="229" t="s">
        <v>4634</v>
      </c>
      <c r="J4" s="229" t="s">
        <v>4635</v>
      </c>
      <c r="K4" s="230" t="s">
        <v>3125</v>
      </c>
      <c r="L4" s="228">
        <v>9137509343</v>
      </c>
      <c r="M4" s="228" t="s">
        <v>44</v>
      </c>
      <c r="N4" s="228">
        <v>9137509343</v>
      </c>
      <c r="O4" s="224" t="s">
        <v>902</v>
      </c>
      <c r="P4" s="228"/>
      <c r="Q4" s="228" t="s">
        <v>47</v>
      </c>
      <c r="R4" s="228" t="s">
        <v>1406</v>
      </c>
      <c r="S4" s="228" t="s">
        <v>49</v>
      </c>
      <c r="T4" s="228" t="s">
        <v>7444</v>
      </c>
      <c r="U4" s="228" t="s">
        <v>7445</v>
      </c>
      <c r="V4" s="231" t="s">
        <v>4631</v>
      </c>
      <c r="W4" s="231" t="s">
        <v>4632</v>
      </c>
      <c r="X4" s="232" t="s">
        <v>7446</v>
      </c>
      <c r="Y4" s="232" t="s">
        <v>7447</v>
      </c>
      <c r="Z4" s="232" t="s">
        <v>7448</v>
      </c>
      <c r="AA4" s="232" t="s">
        <v>7449</v>
      </c>
      <c r="AB4" s="176"/>
      <c r="AC4" s="176"/>
      <c r="AD4" s="176"/>
      <c r="AE4" s="176"/>
      <c r="AF4" s="176"/>
      <c r="AG4" s="176"/>
      <c r="AH4" s="176"/>
      <c r="AI4" s="176"/>
      <c r="AJ4" s="176"/>
      <c r="AK4" s="176"/>
      <c r="AL4" s="176"/>
      <c r="AM4" s="176"/>
      <c r="AN4" s="176"/>
      <c r="AO4" s="176"/>
    </row>
    <row r="5" spans="1:41" ht="15">
      <c r="A5" s="2" t="s">
        <v>7450</v>
      </c>
      <c r="B5" s="233" t="s">
        <v>7451</v>
      </c>
      <c r="C5" s="234"/>
      <c r="D5" s="234"/>
      <c r="E5" s="235" t="s">
        <v>7452</v>
      </c>
      <c r="F5" s="236" t="s">
        <v>7443</v>
      </c>
      <c r="G5" s="237" t="s">
        <v>39</v>
      </c>
      <c r="H5" s="238" t="s">
        <v>4645</v>
      </c>
      <c r="I5" s="238" t="s">
        <v>4646</v>
      </c>
      <c r="J5" s="238" t="s">
        <v>4647</v>
      </c>
      <c r="K5" s="239" t="s">
        <v>7453</v>
      </c>
      <c r="L5" s="237">
        <v>9768065722</v>
      </c>
      <c r="M5" s="9" t="s">
        <v>44</v>
      </c>
      <c r="N5" s="240">
        <v>9768065722</v>
      </c>
      <c r="O5" s="241" t="s">
        <v>4651</v>
      </c>
      <c r="P5" s="239" t="s">
        <v>44</v>
      </c>
      <c r="Q5" s="239" t="s">
        <v>47</v>
      </c>
      <c r="R5" s="237" t="s">
        <v>1406</v>
      </c>
      <c r="S5" s="237" t="s">
        <v>49</v>
      </c>
      <c r="T5" s="237" t="s">
        <v>7444</v>
      </c>
      <c r="U5" s="237" t="s">
        <v>7445</v>
      </c>
      <c r="V5" s="242" t="s">
        <v>4643</v>
      </c>
      <c r="W5" s="242" t="s">
        <v>4644</v>
      </c>
      <c r="X5" s="243" t="s">
        <v>7454</v>
      </c>
      <c r="Y5" s="243" t="s">
        <v>7455</v>
      </c>
      <c r="Z5" s="243" t="s">
        <v>7456</v>
      </c>
      <c r="AA5" s="243" t="s">
        <v>7457</v>
      </c>
    </row>
    <row r="6" spans="1:41" ht="14.25" customHeight="1">
      <c r="A6" s="2" t="s">
        <v>7458</v>
      </c>
      <c r="B6" s="233" t="s">
        <v>7459</v>
      </c>
      <c r="C6" s="234"/>
      <c r="D6" s="234"/>
      <c r="E6" s="235" t="s">
        <v>7460</v>
      </c>
      <c r="F6" s="236" t="s">
        <v>7443</v>
      </c>
      <c r="G6" s="237" t="s">
        <v>39</v>
      </c>
      <c r="H6" s="238" t="s">
        <v>4656</v>
      </c>
      <c r="I6" s="238" t="s">
        <v>4657</v>
      </c>
      <c r="J6" s="238" t="s">
        <v>4658</v>
      </c>
      <c r="K6" s="239" t="s">
        <v>7461</v>
      </c>
      <c r="L6" s="237">
        <v>9833384422</v>
      </c>
      <c r="M6" s="239" t="s">
        <v>44</v>
      </c>
      <c r="N6" s="239">
        <v>9833384422</v>
      </c>
      <c r="O6" s="244" t="s">
        <v>7462</v>
      </c>
      <c r="P6" s="239" t="s">
        <v>44</v>
      </c>
      <c r="Q6" s="239" t="s">
        <v>47</v>
      </c>
      <c r="R6" s="237" t="s">
        <v>1406</v>
      </c>
      <c r="S6" s="237" t="s">
        <v>49</v>
      </c>
      <c r="T6" s="237" t="s">
        <v>7444</v>
      </c>
      <c r="U6" s="237" t="s">
        <v>7445</v>
      </c>
      <c r="V6" s="242" t="s">
        <v>4654</v>
      </c>
      <c r="W6" s="242" t="s">
        <v>4655</v>
      </c>
    </row>
    <row r="7" spans="1:41" ht="15">
      <c r="A7" s="2" t="s">
        <v>7458</v>
      </c>
      <c r="B7" s="233" t="s">
        <v>7463</v>
      </c>
      <c r="C7" s="234"/>
      <c r="D7" s="234"/>
      <c r="E7" s="245" t="s">
        <v>7464</v>
      </c>
      <c r="F7" s="236" t="s">
        <v>7443</v>
      </c>
      <c r="G7" s="237" t="s">
        <v>39</v>
      </c>
      <c r="H7" s="238" t="s">
        <v>1117</v>
      </c>
      <c r="I7" s="238" t="s">
        <v>4666</v>
      </c>
      <c r="J7" s="238" t="s">
        <v>4667</v>
      </c>
      <c r="K7" s="239"/>
      <c r="L7" s="237">
        <v>9594443216</v>
      </c>
      <c r="M7" s="239" t="s">
        <v>44</v>
      </c>
      <c r="N7" s="240">
        <v>9594443216</v>
      </c>
      <c r="O7" s="246" t="s">
        <v>3187</v>
      </c>
      <c r="P7" s="239" t="s">
        <v>44</v>
      </c>
      <c r="Q7" s="239" t="s">
        <v>47</v>
      </c>
      <c r="R7" s="237" t="s">
        <v>1406</v>
      </c>
      <c r="S7" s="237" t="s">
        <v>49</v>
      </c>
      <c r="T7" s="237" t="s">
        <v>7444</v>
      </c>
      <c r="U7" s="237" t="s">
        <v>7445</v>
      </c>
      <c r="V7" s="242" t="s">
        <v>4664</v>
      </c>
      <c r="W7" s="242" t="s">
        <v>4665</v>
      </c>
      <c r="AB7" s="103" t="s">
        <v>6606</v>
      </c>
      <c r="AC7" s="103" t="s">
        <v>6607</v>
      </c>
      <c r="AD7" s="103" t="s">
        <v>6608</v>
      </c>
      <c r="AE7" s="103" t="s">
        <v>6609</v>
      </c>
      <c r="AG7" s="103" t="s">
        <v>6611</v>
      </c>
    </row>
    <row r="8" spans="1:41" ht="15">
      <c r="A8" s="2" t="s">
        <v>7458</v>
      </c>
      <c r="B8" s="233" t="s">
        <v>7465</v>
      </c>
      <c r="C8" s="234"/>
      <c r="D8" s="234"/>
      <c r="E8" s="235" t="s">
        <v>7466</v>
      </c>
      <c r="F8" s="236" t="s">
        <v>7443</v>
      </c>
      <c r="G8" s="237" t="s">
        <v>39</v>
      </c>
      <c r="H8" s="238" t="s">
        <v>4673</v>
      </c>
      <c r="I8" s="238" t="s">
        <v>4674</v>
      </c>
      <c r="J8" s="238" t="s">
        <v>4675</v>
      </c>
      <c r="K8" s="239" t="s">
        <v>7467</v>
      </c>
      <c r="L8" s="237">
        <v>9920112208</v>
      </c>
      <c r="M8" s="239" t="s">
        <v>44</v>
      </c>
      <c r="N8" s="239">
        <v>9920112208</v>
      </c>
      <c r="O8" s="247" t="s">
        <v>7468</v>
      </c>
      <c r="P8" s="239" t="s">
        <v>44</v>
      </c>
      <c r="Q8" s="239" t="s">
        <v>47</v>
      </c>
      <c r="R8" s="237" t="s">
        <v>1406</v>
      </c>
      <c r="S8" s="237" t="s">
        <v>49</v>
      </c>
      <c r="T8" s="237" t="s">
        <v>7444</v>
      </c>
      <c r="U8" s="237" t="s">
        <v>7445</v>
      </c>
      <c r="V8" s="242" t="s">
        <v>4671</v>
      </c>
      <c r="W8" s="242" t="s">
        <v>4672</v>
      </c>
    </row>
    <row r="9" spans="1:41" ht="17.25" customHeight="1">
      <c r="B9" s="233" t="s">
        <v>7469</v>
      </c>
      <c r="C9" s="234"/>
      <c r="D9" s="234"/>
      <c r="E9" s="235" t="s">
        <v>7470</v>
      </c>
      <c r="F9" s="236" t="s">
        <v>7443</v>
      </c>
      <c r="G9" s="237" t="s">
        <v>39</v>
      </c>
      <c r="H9" s="238" t="s">
        <v>913</v>
      </c>
      <c r="I9" s="238" t="s">
        <v>7471</v>
      </c>
      <c r="J9" s="238" t="s">
        <v>4685</v>
      </c>
      <c r="K9" s="10" t="s">
        <v>7472</v>
      </c>
      <c r="L9" s="237">
        <v>7276787924</v>
      </c>
      <c r="M9" s="239" t="s">
        <v>44</v>
      </c>
      <c r="N9" s="240">
        <v>7276787924</v>
      </c>
      <c r="O9" s="244" t="s">
        <v>7473</v>
      </c>
      <c r="P9" s="239" t="s">
        <v>44</v>
      </c>
      <c r="Q9" s="239" t="s">
        <v>47</v>
      </c>
      <c r="R9" s="237" t="s">
        <v>1406</v>
      </c>
      <c r="S9" s="237" t="s">
        <v>49</v>
      </c>
      <c r="T9" s="237" t="s">
        <v>7444</v>
      </c>
      <c r="U9" s="237" t="s">
        <v>7445</v>
      </c>
      <c r="V9" s="242" t="s">
        <v>4681</v>
      </c>
      <c r="W9" s="242" t="s">
        <v>4682</v>
      </c>
      <c r="X9" s="175" t="s">
        <v>7474</v>
      </c>
      <c r="Y9" s="175" t="s">
        <v>7475</v>
      </c>
      <c r="Z9" s="175" t="s">
        <v>7476</v>
      </c>
    </row>
    <row r="10" spans="1:41" ht="15">
      <c r="B10" s="233" t="s">
        <v>7477</v>
      </c>
      <c r="C10" s="234"/>
      <c r="D10" s="234"/>
      <c r="E10" s="245" t="s">
        <v>7478</v>
      </c>
      <c r="F10" s="236" t="s">
        <v>7443</v>
      </c>
      <c r="G10" s="237" t="s">
        <v>39</v>
      </c>
      <c r="H10" s="238" t="s">
        <v>4693</v>
      </c>
      <c r="I10" s="238" t="s">
        <v>4694</v>
      </c>
      <c r="J10" s="238" t="s">
        <v>4695</v>
      </c>
      <c r="K10" s="239" t="s">
        <v>44</v>
      </c>
      <c r="L10" s="237">
        <v>9987655062</v>
      </c>
      <c r="M10" s="239" t="s">
        <v>44</v>
      </c>
      <c r="N10" s="239">
        <v>9987655062</v>
      </c>
      <c r="O10" s="239" t="s">
        <v>44</v>
      </c>
      <c r="P10" s="9" t="s">
        <v>44</v>
      </c>
      <c r="Q10" s="239" t="s">
        <v>47</v>
      </c>
      <c r="R10" s="237" t="s">
        <v>1406</v>
      </c>
      <c r="S10" s="237" t="s">
        <v>49</v>
      </c>
      <c r="T10" s="237" t="s">
        <v>7444</v>
      </c>
      <c r="U10" s="237" t="s">
        <v>7445</v>
      </c>
      <c r="V10" s="242" t="s">
        <v>4691</v>
      </c>
      <c r="W10" s="242" t="s">
        <v>4692</v>
      </c>
    </row>
    <row r="11" spans="1:41" ht="16.2">
      <c r="B11" s="233" t="s">
        <v>7479</v>
      </c>
      <c r="C11" s="234"/>
      <c r="D11" s="234"/>
      <c r="E11" s="245" t="s">
        <v>7480</v>
      </c>
      <c r="F11" s="236" t="s">
        <v>7443</v>
      </c>
      <c r="G11" s="237" t="s">
        <v>39</v>
      </c>
      <c r="H11" s="238" t="s">
        <v>4701</v>
      </c>
      <c r="I11" s="238" t="s">
        <v>4702</v>
      </c>
      <c r="J11" s="238" t="s">
        <v>4703</v>
      </c>
      <c r="K11" s="248" t="s">
        <v>1257</v>
      </c>
      <c r="L11" s="237">
        <v>9820735575</v>
      </c>
      <c r="M11" s="239" t="s">
        <v>44</v>
      </c>
      <c r="N11" s="240">
        <v>9820735575</v>
      </c>
      <c r="O11" s="239" t="s">
        <v>44</v>
      </c>
      <c r="P11" s="239" t="s">
        <v>44</v>
      </c>
      <c r="Q11" s="239" t="s">
        <v>47</v>
      </c>
      <c r="R11" s="237" t="s">
        <v>1406</v>
      </c>
      <c r="S11" s="237" t="s">
        <v>49</v>
      </c>
      <c r="T11" s="237" t="s">
        <v>7444</v>
      </c>
      <c r="U11" s="237" t="s">
        <v>7445</v>
      </c>
      <c r="V11" s="242" t="s">
        <v>4699</v>
      </c>
      <c r="W11" s="242" t="s">
        <v>4700</v>
      </c>
      <c r="AB11" s="103" t="s">
        <v>1261</v>
      </c>
      <c r="AC11" s="103" t="s">
        <v>1262</v>
      </c>
      <c r="AD11" s="103" t="s">
        <v>1263</v>
      </c>
      <c r="AE11" s="103" t="s">
        <v>1264</v>
      </c>
      <c r="AF11" s="103" t="s">
        <v>1265</v>
      </c>
      <c r="AG11" s="103" t="s">
        <v>1266</v>
      </c>
      <c r="AH11" s="103" t="s">
        <v>1267</v>
      </c>
      <c r="AI11" s="103" t="s">
        <v>1268</v>
      </c>
      <c r="AJ11" s="103" t="s">
        <v>1269</v>
      </c>
      <c r="AK11" s="103" t="s">
        <v>1270</v>
      </c>
    </row>
    <row r="12" spans="1:41" ht="15">
      <c r="B12" s="233" t="s">
        <v>7481</v>
      </c>
      <c r="C12" s="234"/>
      <c r="D12" s="234"/>
      <c r="E12" s="245" t="s">
        <v>7482</v>
      </c>
      <c r="F12" s="236" t="s">
        <v>7443</v>
      </c>
      <c r="G12" s="237" t="s">
        <v>39</v>
      </c>
      <c r="H12" s="238" t="s">
        <v>4717</v>
      </c>
      <c r="I12" s="238" t="s">
        <v>4718</v>
      </c>
      <c r="J12" s="238" t="s">
        <v>4719</v>
      </c>
      <c r="K12" s="249" t="s">
        <v>4720</v>
      </c>
      <c r="L12" s="237">
        <v>9819824233</v>
      </c>
      <c r="M12" s="239" t="s">
        <v>44</v>
      </c>
      <c r="N12" s="240">
        <v>9819824233</v>
      </c>
      <c r="O12" s="239" t="s">
        <v>44</v>
      </c>
      <c r="P12" s="249" t="s">
        <v>4721</v>
      </c>
      <c r="Q12" s="239" t="s">
        <v>47</v>
      </c>
      <c r="R12" s="237" t="s">
        <v>1406</v>
      </c>
      <c r="S12" s="237" t="s">
        <v>49</v>
      </c>
      <c r="T12" s="237" t="s">
        <v>7444</v>
      </c>
      <c r="U12" s="237" t="s">
        <v>7445</v>
      </c>
      <c r="V12" s="242" t="s">
        <v>4715</v>
      </c>
      <c r="W12" s="242" t="s">
        <v>4716</v>
      </c>
      <c r="AB12" s="103" t="s">
        <v>2316</v>
      </c>
      <c r="AC12" s="103" t="s">
        <v>2317</v>
      </c>
      <c r="AD12" s="103" t="s">
        <v>2318</v>
      </c>
      <c r="AE12" s="103" t="s">
        <v>2319</v>
      </c>
      <c r="AF12" s="103" t="s">
        <v>2320</v>
      </c>
      <c r="AG12" s="103" t="s">
        <v>2321</v>
      </c>
      <c r="AH12" s="103" t="s">
        <v>2322</v>
      </c>
      <c r="AI12" s="103" t="s">
        <v>2323</v>
      </c>
    </row>
    <row r="13" spans="1:41" ht="15">
      <c r="B13" s="233" t="s">
        <v>7483</v>
      </c>
      <c r="C13" s="234"/>
      <c r="D13" s="234"/>
      <c r="E13" s="245" t="s">
        <v>7484</v>
      </c>
      <c r="F13" s="236" t="s">
        <v>7443</v>
      </c>
      <c r="G13" s="237" t="s">
        <v>39</v>
      </c>
      <c r="H13" s="238" t="s">
        <v>44</v>
      </c>
      <c r="I13" s="238" t="s">
        <v>7485</v>
      </c>
      <c r="J13" s="238" t="s">
        <v>7486</v>
      </c>
      <c r="K13" s="249" t="s">
        <v>7487</v>
      </c>
      <c r="L13" s="237">
        <v>9769108701</v>
      </c>
      <c r="M13" s="239" t="s">
        <v>44</v>
      </c>
      <c r="N13" s="239">
        <v>9769108701</v>
      </c>
      <c r="O13" s="239" t="s">
        <v>44</v>
      </c>
      <c r="P13" s="249" t="s">
        <v>4730</v>
      </c>
      <c r="Q13" s="239" t="s">
        <v>47</v>
      </c>
      <c r="R13" s="237" t="s">
        <v>1406</v>
      </c>
      <c r="S13" s="237" t="s">
        <v>49</v>
      </c>
      <c r="T13" s="237" t="s">
        <v>7444</v>
      </c>
      <c r="U13" s="237" t="s">
        <v>7445</v>
      </c>
      <c r="V13" s="242" t="s">
        <v>4724</v>
      </c>
      <c r="W13" s="242" t="s">
        <v>4725</v>
      </c>
      <c r="X13" s="250" t="s">
        <v>7488</v>
      </c>
      <c r="Y13" s="250" t="s">
        <v>7489</v>
      </c>
      <c r="Z13" s="250" t="s">
        <v>7490</v>
      </c>
      <c r="AB13" s="103" t="s">
        <v>6546</v>
      </c>
      <c r="AC13" s="103" t="s">
        <v>6547</v>
      </c>
      <c r="AD13" s="103" t="s">
        <v>6548</v>
      </c>
      <c r="AE13" s="103" t="s">
        <v>6549</v>
      </c>
      <c r="AF13" s="103"/>
    </row>
    <row r="14" spans="1:41" ht="15">
      <c r="B14" s="233" t="s">
        <v>7491</v>
      </c>
      <c r="C14" s="234"/>
      <c r="D14" s="234"/>
      <c r="E14" s="245" t="s">
        <v>7492</v>
      </c>
      <c r="F14" s="236" t="s">
        <v>7443</v>
      </c>
      <c r="G14" s="237" t="s">
        <v>39</v>
      </c>
      <c r="H14" s="238" t="s">
        <v>4736</v>
      </c>
      <c r="I14" s="238" t="s">
        <v>4737</v>
      </c>
      <c r="J14" s="238" t="s">
        <v>4738</v>
      </c>
      <c r="K14" s="239" t="s">
        <v>44</v>
      </c>
      <c r="L14" s="237">
        <v>9820439012</v>
      </c>
      <c r="M14" s="239" t="s">
        <v>44</v>
      </c>
      <c r="N14" s="240">
        <v>9820439012</v>
      </c>
      <c r="O14" s="239" t="s">
        <v>44</v>
      </c>
      <c r="P14" s="239" t="s">
        <v>44</v>
      </c>
      <c r="Q14" s="239" t="s">
        <v>47</v>
      </c>
      <c r="R14" s="237" t="s">
        <v>1406</v>
      </c>
      <c r="S14" s="237" t="s">
        <v>49</v>
      </c>
      <c r="T14" s="237" t="s">
        <v>7444</v>
      </c>
      <c r="U14" s="237" t="s">
        <v>7445</v>
      </c>
      <c r="V14" s="242" t="s">
        <v>4735</v>
      </c>
      <c r="W14" s="242" t="s">
        <v>4437</v>
      </c>
    </row>
    <row r="15" spans="1:41" ht="16.2">
      <c r="B15" s="233" t="s">
        <v>7493</v>
      </c>
      <c r="C15" s="234"/>
      <c r="D15" s="234"/>
      <c r="E15" s="245" t="s">
        <v>7494</v>
      </c>
      <c r="F15" s="236" t="s">
        <v>7443</v>
      </c>
      <c r="G15" s="237" t="s">
        <v>39</v>
      </c>
      <c r="H15" s="238" t="s">
        <v>4745</v>
      </c>
      <c r="I15" s="238" t="s">
        <v>4746</v>
      </c>
      <c r="J15" s="238" t="s">
        <v>4747</v>
      </c>
      <c r="K15" s="248" t="s">
        <v>1801</v>
      </c>
      <c r="L15" s="237">
        <v>9833409290</v>
      </c>
      <c r="M15" s="239" t="s">
        <v>44</v>
      </c>
      <c r="N15" s="239">
        <v>9833409290</v>
      </c>
      <c r="O15" s="239" t="s">
        <v>44</v>
      </c>
      <c r="P15" s="239" t="s">
        <v>1802</v>
      </c>
      <c r="Q15" s="239" t="s">
        <v>47</v>
      </c>
      <c r="R15" s="237" t="s">
        <v>1406</v>
      </c>
      <c r="S15" s="237" t="s">
        <v>49</v>
      </c>
      <c r="T15" s="237" t="s">
        <v>7444</v>
      </c>
      <c r="U15" s="237" t="s">
        <v>7445</v>
      </c>
      <c r="V15" s="242" t="s">
        <v>4743</v>
      </c>
      <c r="W15" s="242" t="s">
        <v>4744</v>
      </c>
    </row>
    <row r="16" spans="1:41" ht="15">
      <c r="B16" s="233" t="s">
        <v>7495</v>
      </c>
      <c r="C16" s="234"/>
      <c r="D16" s="234"/>
      <c r="E16" s="251" t="s">
        <v>7496</v>
      </c>
      <c r="F16" s="236" t="s">
        <v>7443</v>
      </c>
      <c r="G16" s="237" t="s">
        <v>39</v>
      </c>
      <c r="H16" s="252" t="s">
        <v>4752</v>
      </c>
      <c r="I16" s="252" t="s">
        <v>4753</v>
      </c>
      <c r="J16" s="252" t="s">
        <v>4754</v>
      </c>
      <c r="K16" s="239" t="s">
        <v>7497</v>
      </c>
      <c r="L16" s="237">
        <v>9321768154</v>
      </c>
      <c r="M16" s="239" t="s">
        <v>44</v>
      </c>
      <c r="N16" s="240">
        <v>9321768154</v>
      </c>
      <c r="O16" s="239" t="s">
        <v>44</v>
      </c>
      <c r="P16" s="239" t="s">
        <v>44</v>
      </c>
      <c r="Q16" s="239" t="s">
        <v>47</v>
      </c>
      <c r="R16" s="237" t="s">
        <v>1406</v>
      </c>
      <c r="S16" s="237" t="s">
        <v>49</v>
      </c>
      <c r="T16" s="237" t="s">
        <v>7444</v>
      </c>
      <c r="U16" s="237" t="s">
        <v>7445</v>
      </c>
      <c r="V16" s="242" t="s">
        <v>4750</v>
      </c>
      <c r="W16" s="242" t="s">
        <v>4751</v>
      </c>
    </row>
    <row r="17" spans="2:39" ht="15">
      <c r="B17" s="233" t="s">
        <v>7498</v>
      </c>
      <c r="C17" s="234"/>
      <c r="D17" s="234"/>
      <c r="E17" s="245" t="s">
        <v>7499</v>
      </c>
      <c r="F17" s="236" t="s">
        <v>7443</v>
      </c>
      <c r="G17" s="237" t="s">
        <v>39</v>
      </c>
      <c r="H17" s="253" t="s">
        <v>4762</v>
      </c>
      <c r="I17" s="238" t="s">
        <v>4763</v>
      </c>
      <c r="J17" s="238" t="s">
        <v>4764</v>
      </c>
      <c r="K17" s="239" t="s">
        <v>7500</v>
      </c>
      <c r="L17" s="237">
        <v>9819434975</v>
      </c>
      <c r="M17" s="239" t="s">
        <v>44</v>
      </c>
      <c r="N17" s="239">
        <v>9819434975</v>
      </c>
      <c r="O17" s="244" t="s">
        <v>7501</v>
      </c>
      <c r="P17" s="239" t="s">
        <v>44</v>
      </c>
      <c r="Q17" s="239" t="s">
        <v>47</v>
      </c>
      <c r="R17" s="237" t="s">
        <v>1406</v>
      </c>
      <c r="S17" s="237" t="s">
        <v>49</v>
      </c>
      <c r="T17" s="237" t="s">
        <v>7444</v>
      </c>
      <c r="U17" s="237" t="s">
        <v>7445</v>
      </c>
      <c r="V17" s="242" t="s">
        <v>4760</v>
      </c>
      <c r="W17" s="242" t="s">
        <v>4761</v>
      </c>
      <c r="Z17" s="175" t="s">
        <v>7502</v>
      </c>
    </row>
    <row r="18" spans="2:39" ht="15">
      <c r="B18" s="233" t="s">
        <v>7503</v>
      </c>
      <c r="C18" s="234"/>
      <c r="D18" s="234"/>
      <c r="E18" s="245" t="s">
        <v>7504</v>
      </c>
      <c r="F18" s="236" t="s">
        <v>7443</v>
      </c>
      <c r="G18" s="237" t="s">
        <v>39</v>
      </c>
      <c r="H18" s="238" t="s">
        <v>4780</v>
      </c>
      <c r="I18" s="238" t="s">
        <v>4781</v>
      </c>
      <c r="J18" s="238" t="s">
        <v>4780</v>
      </c>
      <c r="K18" s="239" t="s">
        <v>44</v>
      </c>
      <c r="L18" s="237">
        <v>9820692870</v>
      </c>
      <c r="M18" s="239" t="s">
        <v>44</v>
      </c>
      <c r="N18" s="239">
        <v>9820692870</v>
      </c>
      <c r="O18" s="244" t="s">
        <v>7505</v>
      </c>
      <c r="P18" s="239" t="s">
        <v>44</v>
      </c>
      <c r="Q18" s="239" t="s">
        <v>47</v>
      </c>
      <c r="R18" s="237" t="s">
        <v>1406</v>
      </c>
      <c r="S18" s="237" t="s">
        <v>49</v>
      </c>
      <c r="T18" s="237" t="s">
        <v>7444</v>
      </c>
      <c r="U18" s="237" t="s">
        <v>7445</v>
      </c>
      <c r="V18" s="242" t="s">
        <v>4778</v>
      </c>
      <c r="W18" s="242" t="s">
        <v>4779</v>
      </c>
      <c r="AB18" s="103" t="s">
        <v>6600</v>
      </c>
      <c r="AC18" s="103" t="s">
        <v>6601</v>
      </c>
      <c r="AD18" s="103" t="s">
        <v>6602</v>
      </c>
      <c r="AE18" s="103" t="s">
        <v>6603</v>
      </c>
    </row>
    <row r="19" spans="2:39" ht="15" customHeight="1">
      <c r="B19" s="233" t="s">
        <v>7506</v>
      </c>
      <c r="C19" s="234"/>
      <c r="D19" s="234"/>
      <c r="E19" s="245" t="s">
        <v>7507</v>
      </c>
      <c r="F19" s="236" t="s">
        <v>7443</v>
      </c>
      <c r="G19" s="237" t="s">
        <v>39</v>
      </c>
      <c r="H19" s="254" t="s">
        <v>4796</v>
      </c>
      <c r="I19" s="238" t="s">
        <v>4797</v>
      </c>
      <c r="J19" s="238" t="s">
        <v>4556</v>
      </c>
      <c r="K19" s="239" t="s">
        <v>7508</v>
      </c>
      <c r="L19" s="237">
        <v>7208353203</v>
      </c>
      <c r="M19" s="239" t="s">
        <v>44</v>
      </c>
      <c r="N19" s="239">
        <v>7208353203</v>
      </c>
      <c r="O19" s="246" t="s">
        <v>7509</v>
      </c>
      <c r="P19" s="239" t="s">
        <v>44</v>
      </c>
      <c r="Q19" s="239" t="s">
        <v>47</v>
      </c>
      <c r="R19" s="237" t="s">
        <v>1406</v>
      </c>
      <c r="S19" s="237" t="s">
        <v>49</v>
      </c>
      <c r="T19" s="237" t="s">
        <v>7444</v>
      </c>
      <c r="U19" s="237" t="s">
        <v>7445</v>
      </c>
      <c r="V19" s="242" t="s">
        <v>4794</v>
      </c>
      <c r="W19" s="242" t="s">
        <v>4795</v>
      </c>
      <c r="X19" s="175" t="s">
        <v>7510</v>
      </c>
      <c r="Y19" s="255" t="s">
        <v>7511</v>
      </c>
      <c r="Z19" s="175" t="s">
        <v>7512</v>
      </c>
      <c r="AB19" s="103" t="s">
        <v>6664</v>
      </c>
      <c r="AC19" s="103" t="s">
        <v>6665</v>
      </c>
      <c r="AD19" s="103" t="s">
        <v>6666</v>
      </c>
      <c r="AE19" s="103" t="s">
        <v>6667</v>
      </c>
      <c r="AF19" s="103" t="s">
        <v>6668</v>
      </c>
      <c r="AG19" s="103" t="s">
        <v>6669</v>
      </c>
      <c r="AH19" s="103" t="s">
        <v>6670</v>
      </c>
      <c r="AI19" s="103" t="s">
        <v>6671</v>
      </c>
      <c r="AJ19" s="103" t="s">
        <v>6672</v>
      </c>
      <c r="AK19" s="103" t="s">
        <v>6673</v>
      </c>
    </row>
    <row r="20" spans="2:39" ht="15">
      <c r="B20" s="233" t="s">
        <v>7513</v>
      </c>
      <c r="C20" s="234"/>
      <c r="D20" s="234"/>
      <c r="E20" s="235" t="s">
        <v>7514</v>
      </c>
      <c r="F20" s="236" t="s">
        <v>7443</v>
      </c>
      <c r="G20" s="237" t="s">
        <v>39</v>
      </c>
      <c r="H20" s="238" t="s">
        <v>4806</v>
      </c>
      <c r="I20" s="238" t="s">
        <v>4807</v>
      </c>
      <c r="J20" s="238" t="s">
        <v>7515</v>
      </c>
      <c r="K20" s="239" t="s">
        <v>44</v>
      </c>
      <c r="L20" s="237">
        <v>8898500703</v>
      </c>
      <c r="M20" s="239" t="s">
        <v>44</v>
      </c>
      <c r="N20" s="240">
        <v>8898500703</v>
      </c>
      <c r="O20" s="246" t="s">
        <v>7516</v>
      </c>
      <c r="P20" s="239" t="s">
        <v>44</v>
      </c>
      <c r="Q20" s="239" t="s">
        <v>47</v>
      </c>
      <c r="R20" s="237" t="s">
        <v>1406</v>
      </c>
      <c r="S20" s="237" t="s">
        <v>49</v>
      </c>
      <c r="T20" s="237" t="s">
        <v>7444</v>
      </c>
      <c r="U20" s="237" t="s">
        <v>7445</v>
      </c>
      <c r="V20" s="242" t="s">
        <v>4804</v>
      </c>
      <c r="W20" s="242" t="s">
        <v>4805</v>
      </c>
      <c r="AB20" s="103" t="s">
        <v>6687</v>
      </c>
      <c r="AC20" s="103" t="s">
        <v>6688</v>
      </c>
      <c r="AD20" s="103" t="s">
        <v>6689</v>
      </c>
      <c r="AE20" s="103" t="s">
        <v>6690</v>
      </c>
      <c r="AF20" s="103" t="s">
        <v>6691</v>
      </c>
      <c r="AG20" s="103" t="s">
        <v>6692</v>
      </c>
      <c r="AH20" s="103" t="s">
        <v>6693</v>
      </c>
      <c r="AI20" s="103" t="s">
        <v>6694</v>
      </c>
      <c r="AJ20" s="103" t="s">
        <v>6695</v>
      </c>
      <c r="AK20" s="103" t="s">
        <v>6696</v>
      </c>
    </row>
    <row r="21" spans="2:39" ht="15">
      <c r="B21" s="233" t="s">
        <v>7517</v>
      </c>
      <c r="C21" s="234"/>
      <c r="D21" s="234"/>
      <c r="E21" s="235" t="s">
        <v>7518</v>
      </c>
      <c r="F21" s="236" t="s">
        <v>7443</v>
      </c>
      <c r="G21" s="237" t="s">
        <v>39</v>
      </c>
      <c r="H21" s="238" t="s">
        <v>4817</v>
      </c>
      <c r="I21" s="238" t="s">
        <v>4818</v>
      </c>
      <c r="J21" s="238" t="s">
        <v>4819</v>
      </c>
      <c r="K21" s="249" t="s">
        <v>7519</v>
      </c>
      <c r="L21" s="237">
        <v>9022122046</v>
      </c>
      <c r="M21" s="239" t="s">
        <v>44</v>
      </c>
      <c r="N21" s="239">
        <v>9022122046</v>
      </c>
      <c r="O21" s="239" t="s">
        <v>44</v>
      </c>
      <c r="P21" s="239" t="s">
        <v>44</v>
      </c>
      <c r="Q21" s="239" t="s">
        <v>47</v>
      </c>
      <c r="R21" s="237" t="s">
        <v>1406</v>
      </c>
      <c r="S21" s="237" t="s">
        <v>49</v>
      </c>
      <c r="T21" s="237" t="s">
        <v>7444</v>
      </c>
      <c r="U21" s="237" t="s">
        <v>7445</v>
      </c>
      <c r="V21" s="242" t="s">
        <v>4815</v>
      </c>
      <c r="W21" s="242" t="s">
        <v>4816</v>
      </c>
      <c r="AB21" s="103" t="s">
        <v>2536</v>
      </c>
      <c r="AC21" s="103" t="s">
        <v>2537</v>
      </c>
      <c r="AD21" s="2" t="s">
        <v>2538</v>
      </c>
      <c r="AE21" s="103" t="s">
        <v>2539</v>
      </c>
      <c r="AF21" s="2" t="s">
        <v>2540</v>
      </c>
      <c r="AG21" s="103" t="s">
        <v>2541</v>
      </c>
      <c r="AH21" s="103" t="s">
        <v>2542</v>
      </c>
      <c r="AI21" s="103" t="s">
        <v>2543</v>
      </c>
      <c r="AJ21" s="103" t="s">
        <v>2544</v>
      </c>
      <c r="AK21" s="103" t="s">
        <v>2545</v>
      </c>
    </row>
    <row r="22" spans="2:39" ht="15">
      <c r="B22" s="233" t="s">
        <v>7520</v>
      </c>
      <c r="C22" s="234"/>
      <c r="D22" s="234"/>
      <c r="E22" s="245" t="s">
        <v>7521</v>
      </c>
      <c r="F22" s="236" t="s">
        <v>7443</v>
      </c>
      <c r="G22" s="237" t="s">
        <v>39</v>
      </c>
      <c r="H22" s="238" t="s">
        <v>4824</v>
      </c>
      <c r="I22" s="238" t="s">
        <v>4825</v>
      </c>
      <c r="J22" s="238" t="s">
        <v>4609</v>
      </c>
      <c r="K22" s="239" t="s">
        <v>44</v>
      </c>
      <c r="L22" s="256">
        <v>9167574302</v>
      </c>
      <c r="M22" s="239" t="s">
        <v>44</v>
      </c>
      <c r="N22" s="256">
        <v>9167574302</v>
      </c>
      <c r="O22" s="239" t="s">
        <v>44</v>
      </c>
      <c r="P22" s="239" t="s">
        <v>44</v>
      </c>
      <c r="Q22" s="239" t="s">
        <v>47</v>
      </c>
      <c r="R22" s="237" t="s">
        <v>1406</v>
      </c>
      <c r="S22" s="237" t="s">
        <v>49</v>
      </c>
      <c r="T22" s="237" t="s">
        <v>7444</v>
      </c>
      <c r="U22" s="237" t="s">
        <v>7445</v>
      </c>
      <c r="V22" s="242" t="s">
        <v>4823</v>
      </c>
      <c r="W22" s="242" t="s">
        <v>4795</v>
      </c>
    </row>
    <row r="23" spans="2:39" ht="15">
      <c r="B23" s="233" t="s">
        <v>7522</v>
      </c>
      <c r="C23" s="234"/>
      <c r="D23" s="234"/>
      <c r="E23" s="245" t="s">
        <v>7523</v>
      </c>
      <c r="F23" s="236" t="s">
        <v>7443</v>
      </c>
      <c r="G23" s="237" t="s">
        <v>39</v>
      </c>
      <c r="H23" s="254" t="s">
        <v>44</v>
      </c>
      <c r="I23" s="238" t="s">
        <v>4832</v>
      </c>
      <c r="J23" s="238" t="s">
        <v>4833</v>
      </c>
      <c r="K23" s="239" t="s">
        <v>44</v>
      </c>
      <c r="L23" s="237">
        <v>9029452341</v>
      </c>
      <c r="M23" s="239" t="s">
        <v>44</v>
      </c>
      <c r="N23" s="239">
        <v>9029452341</v>
      </c>
      <c r="O23" s="239" t="s">
        <v>44</v>
      </c>
      <c r="P23" s="239" t="s">
        <v>44</v>
      </c>
      <c r="Q23" s="239" t="s">
        <v>47</v>
      </c>
      <c r="R23" s="237" t="s">
        <v>1406</v>
      </c>
      <c r="S23" s="237" t="s">
        <v>49</v>
      </c>
      <c r="T23" s="237" t="s">
        <v>7444</v>
      </c>
      <c r="U23" s="237" t="s">
        <v>7445</v>
      </c>
      <c r="V23" s="242" t="s">
        <v>4829</v>
      </c>
      <c r="W23" s="242" t="s">
        <v>4830</v>
      </c>
      <c r="AB23" s="103" t="s">
        <v>6536</v>
      </c>
      <c r="AC23" s="103" t="s">
        <v>6537</v>
      </c>
      <c r="AD23" s="103" t="s">
        <v>6538</v>
      </c>
      <c r="AE23" s="103" t="s">
        <v>6539</v>
      </c>
      <c r="AF23" s="103" t="s">
        <v>6540</v>
      </c>
      <c r="AG23" s="103" t="s">
        <v>6541</v>
      </c>
      <c r="AH23" s="103" t="s">
        <v>6542</v>
      </c>
      <c r="AI23" s="103" t="s">
        <v>6543</v>
      </c>
    </row>
    <row r="24" spans="2:39" ht="15">
      <c r="B24" s="233" t="s">
        <v>7524</v>
      </c>
      <c r="C24" s="234"/>
      <c r="D24" s="234"/>
      <c r="E24" s="241" t="s">
        <v>7525</v>
      </c>
      <c r="F24" s="236" t="s">
        <v>7443</v>
      </c>
      <c r="G24" s="237" t="s">
        <v>39</v>
      </c>
      <c r="H24" s="238" t="s">
        <v>968</v>
      </c>
      <c r="I24" s="238" t="s">
        <v>4842</v>
      </c>
      <c r="J24" s="257" t="s">
        <v>3867</v>
      </c>
      <c r="K24" s="258" t="s">
        <v>7526</v>
      </c>
      <c r="L24" s="237">
        <v>9920248604</v>
      </c>
      <c r="M24" s="259"/>
      <c r="N24" s="240">
        <v>9920248604</v>
      </c>
      <c r="O24" s="244" t="s">
        <v>7527</v>
      </c>
      <c r="P24" s="239" t="s">
        <v>44</v>
      </c>
      <c r="Q24" s="239" t="s">
        <v>47</v>
      </c>
      <c r="R24" s="237" t="s">
        <v>1406</v>
      </c>
      <c r="S24" s="237" t="s">
        <v>49</v>
      </c>
      <c r="T24" s="237" t="s">
        <v>7444</v>
      </c>
      <c r="U24" s="237" t="s">
        <v>7445</v>
      </c>
      <c r="V24" s="242" t="s">
        <v>4840</v>
      </c>
      <c r="W24" s="242" t="s">
        <v>4841</v>
      </c>
      <c r="Y24" s="255" t="s">
        <v>7528</v>
      </c>
      <c r="AB24" s="103" t="s">
        <v>6555</v>
      </c>
      <c r="AC24" s="103" t="s">
        <v>6556</v>
      </c>
      <c r="AD24" s="103" t="s">
        <v>6557</v>
      </c>
      <c r="AE24" s="103" t="s">
        <v>6558</v>
      </c>
      <c r="AF24" s="103" t="s">
        <v>6416</v>
      </c>
      <c r="AG24" s="103" t="s">
        <v>6559</v>
      </c>
      <c r="AH24" s="103" t="s">
        <v>6560</v>
      </c>
      <c r="AI24" s="103" t="s">
        <v>6561</v>
      </c>
      <c r="AJ24" s="103" t="s">
        <v>6562</v>
      </c>
      <c r="AK24" s="103" t="s">
        <v>6563</v>
      </c>
    </row>
    <row r="25" spans="2:39" ht="15">
      <c r="B25" s="233" t="s">
        <v>7529</v>
      </c>
      <c r="C25" s="234"/>
      <c r="D25" s="234"/>
      <c r="E25" s="235" t="s">
        <v>7530</v>
      </c>
      <c r="F25" s="236" t="s">
        <v>7443</v>
      </c>
      <c r="G25" s="237" t="s">
        <v>39</v>
      </c>
      <c r="H25" s="238" t="s">
        <v>4851</v>
      </c>
      <c r="I25" s="238" t="s">
        <v>4852</v>
      </c>
      <c r="J25" s="238" t="s">
        <v>4853</v>
      </c>
      <c r="K25" s="258" t="s">
        <v>7531</v>
      </c>
      <c r="L25" s="237">
        <v>9820325251</v>
      </c>
      <c r="M25" s="259"/>
      <c r="N25" s="239">
        <v>9820325251</v>
      </c>
      <c r="O25" s="244" t="s">
        <v>1147</v>
      </c>
      <c r="P25" s="239" t="s">
        <v>44</v>
      </c>
      <c r="Q25" s="239" t="s">
        <v>47</v>
      </c>
      <c r="R25" s="237" t="s">
        <v>1406</v>
      </c>
      <c r="S25" s="237" t="s">
        <v>49</v>
      </c>
      <c r="T25" s="237" t="s">
        <v>7444</v>
      </c>
      <c r="U25" s="237" t="s">
        <v>7445</v>
      </c>
      <c r="V25" s="242" t="s">
        <v>4849</v>
      </c>
      <c r="W25" s="242" t="s">
        <v>4850</v>
      </c>
      <c r="AB25" s="103" t="s">
        <v>6676</v>
      </c>
      <c r="AC25" s="103" t="s">
        <v>6677</v>
      </c>
      <c r="AD25" s="103" t="s">
        <v>6678</v>
      </c>
      <c r="AE25" s="103" t="s">
        <v>6679</v>
      </c>
      <c r="AF25" s="103" t="s">
        <v>6680</v>
      </c>
      <c r="AG25" s="103" t="s">
        <v>6681</v>
      </c>
      <c r="AH25" s="103" t="s">
        <v>6682</v>
      </c>
      <c r="AI25" s="103" t="s">
        <v>6683</v>
      </c>
      <c r="AJ25" s="103" t="s">
        <v>6684</v>
      </c>
      <c r="AK25" s="103" t="s">
        <v>6685</v>
      </c>
    </row>
    <row r="26" spans="2:39" ht="15">
      <c r="B26" s="233" t="s">
        <v>7532</v>
      </c>
      <c r="C26" s="234"/>
      <c r="D26" s="234"/>
      <c r="E26" s="235" t="s">
        <v>7533</v>
      </c>
      <c r="F26" s="236" t="s">
        <v>7443</v>
      </c>
      <c r="G26" s="237" t="s">
        <v>39</v>
      </c>
      <c r="H26" s="238" t="s">
        <v>4858</v>
      </c>
      <c r="I26" s="238" t="s">
        <v>4859</v>
      </c>
      <c r="J26" s="238" t="s">
        <v>4860</v>
      </c>
      <c r="K26" s="258" t="s">
        <v>7534</v>
      </c>
      <c r="L26" s="237">
        <v>9619098408</v>
      </c>
      <c r="M26" s="259"/>
      <c r="N26" s="240">
        <v>9619098408</v>
      </c>
      <c r="O26" s="241" t="s">
        <v>3040</v>
      </c>
      <c r="P26" s="239" t="s">
        <v>44</v>
      </c>
      <c r="Q26" s="239" t="s">
        <v>47</v>
      </c>
      <c r="R26" s="237" t="s">
        <v>1406</v>
      </c>
      <c r="S26" s="237" t="s">
        <v>49</v>
      </c>
      <c r="T26" s="237" t="s">
        <v>7444</v>
      </c>
      <c r="U26" s="237" t="s">
        <v>7445</v>
      </c>
      <c r="V26" s="242" t="s">
        <v>4856</v>
      </c>
      <c r="W26" s="242" t="s">
        <v>4857</v>
      </c>
      <c r="X26" s="175" t="s">
        <v>7535</v>
      </c>
      <c r="Y26" s="175" t="s">
        <v>7536</v>
      </c>
      <c r="Z26" s="175" t="s">
        <v>7537</v>
      </c>
    </row>
    <row r="27" spans="2:39" ht="15">
      <c r="B27" s="233" t="s">
        <v>7538</v>
      </c>
      <c r="C27" s="234"/>
      <c r="D27" s="234"/>
      <c r="E27" s="245" t="s">
        <v>7539</v>
      </c>
      <c r="F27" s="236" t="s">
        <v>7443</v>
      </c>
      <c r="G27" s="237" t="s">
        <v>39</v>
      </c>
      <c r="H27" s="238" t="s">
        <v>4868</v>
      </c>
      <c r="I27" s="238" t="s">
        <v>4869</v>
      </c>
      <c r="J27" s="238" t="s">
        <v>4870</v>
      </c>
      <c r="K27" s="239" t="s">
        <v>7540</v>
      </c>
      <c r="L27" s="237">
        <v>8108693840</v>
      </c>
      <c r="M27" s="239" t="s">
        <v>44</v>
      </c>
      <c r="N27" s="239">
        <v>8108693840</v>
      </c>
      <c r="O27" s="244" t="s">
        <v>3073</v>
      </c>
      <c r="P27" s="239" t="s">
        <v>44</v>
      </c>
      <c r="Q27" s="239" t="s">
        <v>47</v>
      </c>
      <c r="R27" s="237" t="s">
        <v>1406</v>
      </c>
      <c r="S27" s="237" t="s">
        <v>49</v>
      </c>
      <c r="T27" s="237" t="s">
        <v>7444</v>
      </c>
      <c r="U27" s="237" t="s">
        <v>7445</v>
      </c>
      <c r="V27" s="242" t="s">
        <v>4866</v>
      </c>
      <c r="W27" s="242" t="s">
        <v>4867</v>
      </c>
      <c r="AB27" s="103" t="s">
        <v>633</v>
      </c>
      <c r="AC27" s="103" t="s">
        <v>634</v>
      </c>
      <c r="AD27" s="103" t="s">
        <v>635</v>
      </c>
      <c r="AE27" s="103" t="s">
        <v>636</v>
      </c>
      <c r="AF27" s="103" t="s">
        <v>637</v>
      </c>
      <c r="AG27" s="103" t="s">
        <v>638</v>
      </c>
    </row>
    <row r="28" spans="2:39" ht="15">
      <c r="B28" s="233" t="s">
        <v>7541</v>
      </c>
      <c r="C28" s="234"/>
      <c r="D28" s="234"/>
      <c r="E28" s="251" t="s">
        <v>7542</v>
      </c>
      <c r="F28" s="236" t="s">
        <v>7443</v>
      </c>
      <c r="G28" s="237" t="s">
        <v>39</v>
      </c>
      <c r="H28" s="252" t="s">
        <v>4875</v>
      </c>
      <c r="I28" s="252" t="s">
        <v>4876</v>
      </c>
      <c r="J28" s="252" t="s">
        <v>4877</v>
      </c>
      <c r="K28" s="239" t="s">
        <v>44</v>
      </c>
      <c r="L28" s="237">
        <v>9833283756</v>
      </c>
      <c r="M28" s="239" t="s">
        <v>44</v>
      </c>
      <c r="N28" s="240">
        <v>9833283756</v>
      </c>
      <c r="O28" s="239" t="s">
        <v>44</v>
      </c>
      <c r="P28" s="239" t="s">
        <v>44</v>
      </c>
      <c r="Q28" s="239" t="s">
        <v>47</v>
      </c>
      <c r="R28" s="237" t="s">
        <v>1406</v>
      </c>
      <c r="S28" s="237" t="s">
        <v>49</v>
      </c>
      <c r="T28" s="237" t="s">
        <v>7444</v>
      </c>
      <c r="U28" s="237" t="s">
        <v>7445</v>
      </c>
      <c r="V28" s="242" t="s">
        <v>4873</v>
      </c>
      <c r="W28" s="242" t="s">
        <v>4874</v>
      </c>
    </row>
    <row r="29" spans="2:39" ht="15">
      <c r="B29" s="233" t="s">
        <v>7543</v>
      </c>
      <c r="C29" s="234"/>
      <c r="D29" s="234"/>
      <c r="E29" s="251" t="s">
        <v>7544</v>
      </c>
      <c r="F29" s="236" t="s">
        <v>7443</v>
      </c>
      <c r="G29" s="237" t="s">
        <v>39</v>
      </c>
      <c r="H29" s="260" t="s">
        <v>4885</v>
      </c>
      <c r="I29" s="252" t="s">
        <v>4886</v>
      </c>
      <c r="J29" s="252" t="s">
        <v>4887</v>
      </c>
      <c r="K29" s="239" t="s">
        <v>44</v>
      </c>
      <c r="L29" s="237">
        <f>85291327736</f>
        <v>85291327736</v>
      </c>
      <c r="M29" s="239" t="s">
        <v>44</v>
      </c>
      <c r="N29" s="239">
        <f>85291327736</f>
        <v>85291327736</v>
      </c>
      <c r="O29" s="239" t="s">
        <v>44</v>
      </c>
      <c r="P29" s="239" t="s">
        <v>44</v>
      </c>
      <c r="Q29" s="239" t="s">
        <v>47</v>
      </c>
      <c r="R29" s="237" t="s">
        <v>1406</v>
      </c>
      <c r="S29" s="237" t="s">
        <v>49</v>
      </c>
      <c r="T29" s="237" t="s">
        <v>7444</v>
      </c>
      <c r="U29" s="237" t="s">
        <v>7445</v>
      </c>
      <c r="V29" s="242" t="s">
        <v>4883</v>
      </c>
      <c r="W29" s="242" t="s">
        <v>4884</v>
      </c>
    </row>
    <row r="30" spans="2:39" ht="15">
      <c r="B30" s="233" t="s">
        <v>7545</v>
      </c>
      <c r="C30" s="234"/>
      <c r="D30" s="234"/>
      <c r="E30" s="245" t="s">
        <v>7546</v>
      </c>
      <c r="F30" s="236" t="s">
        <v>7443</v>
      </c>
      <c r="G30" s="237" t="s">
        <v>39</v>
      </c>
      <c r="H30" s="260" t="s">
        <v>4893</v>
      </c>
      <c r="I30" s="260" t="s">
        <v>4894</v>
      </c>
      <c r="J30" s="260" t="s">
        <v>4895</v>
      </c>
      <c r="K30" s="239" t="s">
        <v>4896</v>
      </c>
      <c r="L30" s="237">
        <v>8800290327</v>
      </c>
      <c r="M30" s="239" t="s">
        <v>44</v>
      </c>
      <c r="N30" s="240">
        <v>8800290327</v>
      </c>
      <c r="O30" s="244" t="s">
        <v>4898</v>
      </c>
      <c r="P30" s="239" t="s">
        <v>44</v>
      </c>
      <c r="Q30" s="239" t="s">
        <v>47</v>
      </c>
      <c r="R30" s="237" t="s">
        <v>1406</v>
      </c>
      <c r="S30" s="237" t="s">
        <v>49</v>
      </c>
      <c r="T30" s="237" t="s">
        <v>7444</v>
      </c>
      <c r="U30" s="237" t="s">
        <v>7445</v>
      </c>
      <c r="V30" s="242" t="s">
        <v>4891</v>
      </c>
      <c r="W30" s="242" t="s">
        <v>4892</v>
      </c>
      <c r="X30" s="255" t="s">
        <v>7547</v>
      </c>
      <c r="Y30" s="175" t="s">
        <v>7548</v>
      </c>
      <c r="Z30" s="175" t="s">
        <v>7549</v>
      </c>
    </row>
    <row r="31" spans="2:39" ht="15">
      <c r="B31" s="233" t="s">
        <v>7550</v>
      </c>
      <c r="C31" s="234"/>
      <c r="D31" s="234"/>
      <c r="E31" s="254" t="s">
        <v>7551</v>
      </c>
      <c r="F31" s="236" t="s">
        <v>7443</v>
      </c>
      <c r="G31" s="237" t="s">
        <v>39</v>
      </c>
      <c r="H31" s="239" t="s">
        <v>4903</v>
      </c>
      <c r="I31" s="261" t="s">
        <v>4904</v>
      </c>
      <c r="J31" s="238" t="s">
        <v>4905</v>
      </c>
      <c r="K31" s="239" t="s">
        <v>7552</v>
      </c>
      <c r="L31" s="237">
        <v>9898881424</v>
      </c>
      <c r="M31" s="239" t="s">
        <v>44</v>
      </c>
      <c r="N31" s="239">
        <v>9898881424</v>
      </c>
      <c r="O31" s="244" t="s">
        <v>4909</v>
      </c>
      <c r="P31" s="239" t="s">
        <v>44</v>
      </c>
      <c r="Q31" s="239" t="s">
        <v>47</v>
      </c>
      <c r="R31" s="237" t="s">
        <v>1406</v>
      </c>
      <c r="S31" s="237" t="s">
        <v>49</v>
      </c>
      <c r="T31" s="237" t="s">
        <v>7444</v>
      </c>
      <c r="U31" s="237" t="s">
        <v>7445</v>
      </c>
      <c r="V31" s="242" t="s">
        <v>4901</v>
      </c>
      <c r="W31" s="242" t="s">
        <v>4902</v>
      </c>
      <c r="X31" s="255" t="s">
        <v>7553</v>
      </c>
      <c r="Y31" s="255" t="s">
        <v>7554</v>
      </c>
      <c r="Z31" s="255" t="s">
        <v>7555</v>
      </c>
      <c r="AB31" s="103" t="s">
        <v>6651</v>
      </c>
      <c r="AC31" s="103" t="s">
        <v>6652</v>
      </c>
      <c r="AD31" s="103" t="s">
        <v>6653</v>
      </c>
      <c r="AE31" s="103" t="s">
        <v>6654</v>
      </c>
      <c r="AF31" s="103" t="s">
        <v>6655</v>
      </c>
      <c r="AG31" s="103" t="s">
        <v>6656</v>
      </c>
      <c r="AH31" s="103" t="s">
        <v>6657</v>
      </c>
      <c r="AI31" s="103" t="s">
        <v>6658</v>
      </c>
      <c r="AJ31" s="103" t="s">
        <v>6659</v>
      </c>
      <c r="AK31" s="103" t="s">
        <v>6660</v>
      </c>
      <c r="AL31" s="103" t="s">
        <v>1941</v>
      </c>
      <c r="AM31" s="103" t="s">
        <v>6661</v>
      </c>
    </row>
    <row r="32" spans="2:39" ht="13.2">
      <c r="R32" s="5"/>
      <c r="S32" s="5"/>
      <c r="T32" s="5"/>
      <c r="U32" s="5"/>
    </row>
    <row r="33" spans="18:21" ht="13.2">
      <c r="R33" s="5"/>
      <c r="S33" s="5"/>
      <c r="T33" s="5"/>
      <c r="U33" s="5"/>
    </row>
  </sheetData>
  <phoneticPr fontId="214" type="noConversion"/>
  <hyperlinks>
    <hyperlink ref="B4" r:id="rId1" xr:uid="{00000000-0004-0000-1000-000000000000}"/>
    <hyperlink ref="E4" r:id="rId2" xr:uid="{00000000-0004-0000-1000-000001000000}"/>
    <hyperlink ref="O4" r:id="rId3" xr:uid="{00000000-0004-0000-1000-000002000000}"/>
    <hyperlink ref="X4" r:id="rId4" xr:uid="{00000000-0004-0000-1000-000003000000}"/>
    <hyperlink ref="Y4" r:id="rId5" xr:uid="{00000000-0004-0000-1000-000004000000}"/>
    <hyperlink ref="Z4" r:id="rId6" xr:uid="{00000000-0004-0000-1000-000005000000}"/>
    <hyperlink ref="AA4" r:id="rId7" xr:uid="{00000000-0004-0000-1000-000006000000}"/>
    <hyperlink ref="B5" r:id="rId8" xr:uid="{00000000-0004-0000-1000-000007000000}"/>
    <hyperlink ref="E5" r:id="rId9" xr:uid="{00000000-0004-0000-1000-000008000000}"/>
    <hyperlink ref="O5" r:id="rId10" xr:uid="{00000000-0004-0000-1000-000009000000}"/>
    <hyperlink ref="X5" r:id="rId11" xr:uid="{00000000-0004-0000-1000-00000A000000}"/>
    <hyperlink ref="Y5" r:id="rId12" xr:uid="{00000000-0004-0000-1000-00000B000000}"/>
    <hyperlink ref="Z5" r:id="rId13" xr:uid="{00000000-0004-0000-1000-00000C000000}"/>
    <hyperlink ref="AA5" r:id="rId14" xr:uid="{00000000-0004-0000-1000-00000D000000}"/>
    <hyperlink ref="B6" r:id="rId15" xr:uid="{00000000-0004-0000-1000-00000E000000}"/>
    <hyperlink ref="E6" r:id="rId16" xr:uid="{00000000-0004-0000-1000-00000F000000}"/>
    <hyperlink ref="O6" r:id="rId17" xr:uid="{00000000-0004-0000-1000-000010000000}"/>
    <hyperlink ref="B7" r:id="rId18" xr:uid="{00000000-0004-0000-1000-000011000000}"/>
    <hyperlink ref="E7" r:id="rId19" xr:uid="{00000000-0004-0000-1000-000012000000}"/>
    <hyperlink ref="O7" r:id="rId20" xr:uid="{00000000-0004-0000-1000-000013000000}"/>
    <hyperlink ref="B8" r:id="rId21" xr:uid="{00000000-0004-0000-1000-000014000000}"/>
    <hyperlink ref="E8" r:id="rId22" xr:uid="{00000000-0004-0000-1000-000015000000}"/>
    <hyperlink ref="B9" r:id="rId23" xr:uid="{00000000-0004-0000-1000-000016000000}"/>
    <hyperlink ref="E9" r:id="rId24" xr:uid="{00000000-0004-0000-1000-000017000000}"/>
    <hyperlink ref="O9" r:id="rId25" xr:uid="{00000000-0004-0000-1000-000018000000}"/>
    <hyperlink ref="X9" r:id="rId26" xr:uid="{00000000-0004-0000-1000-000019000000}"/>
    <hyperlink ref="Y9" r:id="rId27" xr:uid="{00000000-0004-0000-1000-00001A000000}"/>
    <hyperlink ref="Z9" r:id="rId28" xr:uid="{00000000-0004-0000-1000-00001B000000}"/>
    <hyperlink ref="B10" r:id="rId29" xr:uid="{00000000-0004-0000-1000-00001C000000}"/>
    <hyperlink ref="E10" r:id="rId30" xr:uid="{00000000-0004-0000-1000-00001D000000}"/>
    <hyperlink ref="B11" r:id="rId31" xr:uid="{00000000-0004-0000-1000-00001E000000}"/>
    <hyperlink ref="E11" r:id="rId32" xr:uid="{00000000-0004-0000-1000-00001F000000}"/>
    <hyperlink ref="B12" r:id="rId33" xr:uid="{00000000-0004-0000-1000-000020000000}"/>
    <hyperlink ref="E12" r:id="rId34" xr:uid="{00000000-0004-0000-1000-000021000000}"/>
    <hyperlink ref="B13" r:id="rId35" xr:uid="{00000000-0004-0000-1000-000022000000}"/>
    <hyperlink ref="E13" r:id="rId36" xr:uid="{00000000-0004-0000-1000-000023000000}"/>
    <hyperlink ref="X13" r:id="rId37" xr:uid="{00000000-0004-0000-1000-000024000000}"/>
    <hyperlink ref="Y13" r:id="rId38" xr:uid="{00000000-0004-0000-1000-000025000000}"/>
    <hyperlink ref="Z13" r:id="rId39" xr:uid="{00000000-0004-0000-1000-000026000000}"/>
    <hyperlink ref="B14" r:id="rId40" xr:uid="{00000000-0004-0000-1000-000027000000}"/>
    <hyperlink ref="E14" r:id="rId41" xr:uid="{00000000-0004-0000-1000-000028000000}"/>
    <hyperlink ref="B15" r:id="rId42" xr:uid="{00000000-0004-0000-1000-000029000000}"/>
    <hyperlink ref="E15" r:id="rId43" xr:uid="{00000000-0004-0000-1000-00002A000000}"/>
    <hyperlink ref="B16" r:id="rId44" xr:uid="{00000000-0004-0000-1000-00002B000000}"/>
    <hyperlink ref="E16" r:id="rId45" xr:uid="{00000000-0004-0000-1000-00002C000000}"/>
    <hyperlink ref="B17" r:id="rId46" xr:uid="{00000000-0004-0000-1000-00002D000000}"/>
    <hyperlink ref="E17" r:id="rId47" xr:uid="{00000000-0004-0000-1000-00002E000000}"/>
    <hyperlink ref="O17" r:id="rId48" xr:uid="{00000000-0004-0000-1000-00002F000000}"/>
    <hyperlink ref="Z17" r:id="rId49" xr:uid="{00000000-0004-0000-1000-000030000000}"/>
    <hyperlink ref="B18" r:id="rId50" xr:uid="{00000000-0004-0000-1000-000031000000}"/>
    <hyperlink ref="E18" r:id="rId51" xr:uid="{00000000-0004-0000-1000-000032000000}"/>
    <hyperlink ref="O18" r:id="rId52" xr:uid="{00000000-0004-0000-1000-000033000000}"/>
    <hyperlink ref="B19" r:id="rId53" xr:uid="{00000000-0004-0000-1000-000034000000}"/>
    <hyperlink ref="E19" r:id="rId54" xr:uid="{00000000-0004-0000-1000-000035000000}"/>
    <hyperlink ref="O19" r:id="rId55" xr:uid="{00000000-0004-0000-1000-000036000000}"/>
    <hyperlink ref="X19" r:id="rId56" xr:uid="{00000000-0004-0000-1000-000037000000}"/>
    <hyperlink ref="Y19" r:id="rId57" xr:uid="{00000000-0004-0000-1000-000038000000}"/>
    <hyperlink ref="Z19" r:id="rId58" xr:uid="{00000000-0004-0000-1000-000039000000}"/>
    <hyperlink ref="B20" r:id="rId59" xr:uid="{00000000-0004-0000-1000-00003A000000}"/>
    <hyperlink ref="E20" r:id="rId60" xr:uid="{00000000-0004-0000-1000-00003B000000}"/>
    <hyperlink ref="O20" r:id="rId61" xr:uid="{00000000-0004-0000-1000-00003C000000}"/>
    <hyperlink ref="B21" r:id="rId62" xr:uid="{00000000-0004-0000-1000-00003D000000}"/>
    <hyperlink ref="E21" r:id="rId63" xr:uid="{00000000-0004-0000-1000-00003E000000}"/>
    <hyperlink ref="B22" r:id="rId64" xr:uid="{00000000-0004-0000-1000-00003F000000}"/>
    <hyperlink ref="E22" r:id="rId65" xr:uid="{00000000-0004-0000-1000-000040000000}"/>
    <hyperlink ref="B23" r:id="rId66" xr:uid="{00000000-0004-0000-1000-000041000000}"/>
    <hyperlink ref="E23" r:id="rId67" xr:uid="{00000000-0004-0000-1000-000042000000}"/>
    <hyperlink ref="B24" r:id="rId68" xr:uid="{00000000-0004-0000-1000-000043000000}"/>
    <hyperlink ref="E24" r:id="rId69" xr:uid="{00000000-0004-0000-1000-000044000000}"/>
    <hyperlink ref="O24" r:id="rId70" xr:uid="{00000000-0004-0000-1000-000045000000}"/>
    <hyperlink ref="Y24" r:id="rId71" xr:uid="{00000000-0004-0000-1000-000046000000}"/>
    <hyperlink ref="B25" r:id="rId72" xr:uid="{00000000-0004-0000-1000-000047000000}"/>
    <hyperlink ref="E25" r:id="rId73" xr:uid="{00000000-0004-0000-1000-000048000000}"/>
    <hyperlink ref="O25" r:id="rId74" xr:uid="{00000000-0004-0000-1000-000049000000}"/>
    <hyperlink ref="B26" r:id="rId75" xr:uid="{00000000-0004-0000-1000-00004A000000}"/>
    <hyperlink ref="E26" r:id="rId76" xr:uid="{00000000-0004-0000-1000-00004B000000}"/>
    <hyperlink ref="O26" r:id="rId77" xr:uid="{00000000-0004-0000-1000-00004C000000}"/>
    <hyperlink ref="X26" r:id="rId78" xr:uid="{00000000-0004-0000-1000-00004D000000}"/>
    <hyperlink ref="Y26" r:id="rId79" xr:uid="{00000000-0004-0000-1000-00004E000000}"/>
    <hyperlink ref="Z26" r:id="rId80" xr:uid="{00000000-0004-0000-1000-00004F000000}"/>
    <hyperlink ref="B27" r:id="rId81" xr:uid="{00000000-0004-0000-1000-000050000000}"/>
    <hyperlink ref="E27" r:id="rId82" xr:uid="{00000000-0004-0000-1000-000051000000}"/>
    <hyperlink ref="O27" r:id="rId83" xr:uid="{00000000-0004-0000-1000-000052000000}"/>
    <hyperlink ref="B28" r:id="rId84" xr:uid="{00000000-0004-0000-1000-000053000000}"/>
    <hyperlink ref="E28" r:id="rId85" xr:uid="{00000000-0004-0000-1000-000054000000}"/>
    <hyperlink ref="B29" r:id="rId86" xr:uid="{00000000-0004-0000-1000-000055000000}"/>
    <hyperlink ref="E29" r:id="rId87" xr:uid="{00000000-0004-0000-1000-000056000000}"/>
    <hyperlink ref="B30" r:id="rId88" xr:uid="{00000000-0004-0000-1000-000057000000}"/>
    <hyperlink ref="E30" r:id="rId89" xr:uid="{00000000-0004-0000-1000-000058000000}"/>
    <hyperlink ref="O30" r:id="rId90" xr:uid="{00000000-0004-0000-1000-000059000000}"/>
    <hyperlink ref="X30" r:id="rId91" xr:uid="{00000000-0004-0000-1000-00005A000000}"/>
    <hyperlink ref="Y30" r:id="rId92" xr:uid="{00000000-0004-0000-1000-00005B000000}"/>
    <hyperlink ref="Z30" r:id="rId93" xr:uid="{00000000-0004-0000-1000-00005C000000}"/>
    <hyperlink ref="B31" r:id="rId94" xr:uid="{00000000-0004-0000-1000-00005D000000}"/>
    <hyperlink ref="O31" r:id="rId95" xr:uid="{00000000-0004-0000-1000-00005E000000}"/>
    <hyperlink ref="X31" r:id="rId96" xr:uid="{00000000-0004-0000-1000-00005F000000}"/>
    <hyperlink ref="Y31" r:id="rId97" xr:uid="{00000000-0004-0000-1000-000060000000}"/>
    <hyperlink ref="Z31" r:id="rId98" xr:uid="{00000000-0004-0000-1000-000061000000}"/>
  </hyperlinks>
  <pageMargins left="0.7" right="0.7" top="0.75" bottom="0.75" header="0.3" footer="0.3"/>
  <tableParts count="6">
    <tablePart r:id="rId99"/>
    <tablePart r:id="rId100"/>
    <tablePart r:id="rId101"/>
    <tablePart r:id="rId102"/>
    <tablePart r:id="rId103"/>
    <tablePart r:id="rId10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J50"/>
  <sheetViews>
    <sheetView topLeftCell="A45" workbookViewId="0">
      <pane xSplit="2" topLeftCell="K1" activePane="topRight" state="frozen"/>
      <selection pane="topRight" activeCell="B50" sqref="B50"/>
    </sheetView>
  </sheetViews>
  <sheetFormatPr defaultColWidth="12.6640625" defaultRowHeight="15.75" customHeight="1"/>
  <cols>
    <col min="1" max="1" width="7.109375" bestFit="1" customWidth="1"/>
    <col min="2" max="2" width="88.33203125" customWidth="1"/>
    <col min="3" max="3" width="23.33203125" bestFit="1" customWidth="1"/>
    <col min="4" max="4" width="32" bestFit="1" customWidth="1"/>
    <col min="5" max="5" width="9.77734375" bestFit="1" customWidth="1"/>
    <col min="6" max="6" width="13.44140625" bestFit="1" customWidth="1"/>
    <col min="7" max="7" width="42" bestFit="1" customWidth="1"/>
    <col min="8" max="8" width="34.109375" bestFit="1" customWidth="1"/>
    <col min="9" max="9" width="41.44140625" bestFit="1" customWidth="1"/>
    <col min="10" max="10" width="255.77734375" bestFit="1" customWidth="1"/>
    <col min="11" max="11" width="95.88671875" bestFit="1" customWidth="1"/>
    <col min="12" max="12" width="11.33203125" bestFit="1" customWidth="1"/>
    <col min="13" max="13" width="12.109375" bestFit="1" customWidth="1"/>
    <col min="14" max="14" width="29.6640625" bestFit="1" customWidth="1"/>
    <col min="15" max="15" width="127.6640625" bestFit="1" customWidth="1"/>
    <col min="16" max="16" width="10.33203125" bestFit="1" customWidth="1"/>
    <col min="17" max="17" width="8.33203125" bestFit="1" customWidth="1"/>
    <col min="18" max="18" width="8" bestFit="1" customWidth="1"/>
    <col min="19" max="19" width="10.109375" bestFit="1" customWidth="1"/>
    <col min="20" max="20" width="10.77734375" bestFit="1" customWidth="1"/>
    <col min="21" max="21" width="40.33203125" bestFit="1" customWidth="1"/>
    <col min="22" max="22" width="40" bestFit="1" customWidth="1"/>
    <col min="23" max="23" width="63.33203125" bestFit="1" customWidth="1"/>
    <col min="24" max="24" width="67.109375" bestFit="1" customWidth="1"/>
    <col min="25" max="25" width="124.77734375" bestFit="1" customWidth="1"/>
    <col min="26" max="26" width="65.109375" bestFit="1" customWidth="1"/>
    <col min="27" max="27" width="117.44140625" bestFit="1" customWidth="1"/>
    <col min="28" max="28" width="40.77734375" bestFit="1" customWidth="1"/>
    <col min="29" max="29" width="45.6640625" bestFit="1" customWidth="1"/>
    <col min="30" max="30" width="41.5546875" bestFit="1" customWidth="1"/>
    <col min="31" max="31" width="48.44140625" bestFit="1" customWidth="1"/>
    <col min="32" max="32" width="40.5546875" bestFit="1" customWidth="1"/>
    <col min="33" max="33" width="51.6640625" bestFit="1" customWidth="1"/>
    <col min="34" max="34" width="41" bestFit="1" customWidth="1"/>
    <col min="35" max="35" width="20" bestFit="1" customWidth="1"/>
    <col min="36" max="36" width="41.21875" bestFit="1" customWidth="1"/>
  </cols>
  <sheetData>
    <row r="1" spans="1:36" ht="13.2">
      <c r="A1" s="2" t="s">
        <v>7556</v>
      </c>
    </row>
    <row r="3" spans="1:36" ht="13.8">
      <c r="A3" s="90" t="s">
        <v>1</v>
      </c>
      <c r="B3" s="2" t="s">
        <v>639</v>
      </c>
      <c r="C3" s="2" t="s">
        <v>1050</v>
      </c>
      <c r="D3" s="2" t="s">
        <v>4</v>
      </c>
      <c r="E3" s="2" t="s">
        <v>5</v>
      </c>
      <c r="F3" s="2" t="s">
        <v>6</v>
      </c>
      <c r="G3" s="2" t="s">
        <v>7</v>
      </c>
      <c r="H3" s="2" t="s">
        <v>8</v>
      </c>
      <c r="I3" s="2" t="s">
        <v>9</v>
      </c>
      <c r="J3" s="2" t="s">
        <v>10</v>
      </c>
      <c r="K3" s="2" t="s">
        <v>11</v>
      </c>
      <c r="L3" s="1" t="s">
        <v>12</v>
      </c>
      <c r="M3" s="2" t="s">
        <v>13</v>
      </c>
      <c r="N3" s="2" t="s">
        <v>14</v>
      </c>
      <c r="O3" s="2" t="s">
        <v>15</v>
      </c>
      <c r="P3" s="2" t="s">
        <v>16</v>
      </c>
      <c r="Q3" s="3" t="s">
        <v>17</v>
      </c>
      <c r="R3" s="3" t="s">
        <v>18</v>
      </c>
      <c r="S3" s="3" t="s">
        <v>19</v>
      </c>
      <c r="T3" s="3" t="s">
        <v>20</v>
      </c>
      <c r="U3" s="4" t="s">
        <v>21</v>
      </c>
      <c r="V3" s="4" t="s">
        <v>22</v>
      </c>
      <c r="W3" s="5" t="s">
        <v>24</v>
      </c>
      <c r="X3" s="5" t="s">
        <v>23</v>
      </c>
      <c r="Y3" s="5" t="s">
        <v>25</v>
      </c>
      <c r="Z3" s="5" t="s">
        <v>26</v>
      </c>
      <c r="AA3" s="5" t="s">
        <v>7557</v>
      </c>
      <c r="AB3" s="5" t="s">
        <v>1546</v>
      </c>
      <c r="AC3" s="5" t="s">
        <v>28</v>
      </c>
      <c r="AD3" s="5" t="s">
        <v>1546</v>
      </c>
      <c r="AE3" s="5" t="s">
        <v>29</v>
      </c>
      <c r="AF3" s="5" t="s">
        <v>1546</v>
      </c>
      <c r="AG3" s="5" t="s">
        <v>30</v>
      </c>
      <c r="AH3" s="5" t="s">
        <v>1546</v>
      </c>
      <c r="AI3" s="5" t="s">
        <v>31</v>
      </c>
      <c r="AJ3" s="5" t="s">
        <v>1546</v>
      </c>
    </row>
    <row r="4" spans="1:36" ht="15.75" customHeight="1">
      <c r="B4" s="262" t="s">
        <v>7558</v>
      </c>
      <c r="C4" s="263" t="s">
        <v>4323</v>
      </c>
      <c r="D4" s="264" t="s">
        <v>7559</v>
      </c>
      <c r="E4" s="2" t="s">
        <v>7560</v>
      </c>
      <c r="F4" s="5" t="s">
        <v>39</v>
      </c>
      <c r="G4" s="265" t="s">
        <v>4498</v>
      </c>
      <c r="H4" s="265" t="s">
        <v>4499</v>
      </c>
      <c r="I4" s="10" t="s">
        <v>44</v>
      </c>
      <c r="J4" s="266" t="s">
        <v>7561</v>
      </c>
      <c r="K4" s="267">
        <v>9320006365</v>
      </c>
      <c r="L4" s="9" t="s">
        <v>44</v>
      </c>
      <c r="M4" s="267">
        <v>9320006365</v>
      </c>
      <c r="N4" s="268"/>
      <c r="O4" s="269" t="s">
        <v>4500</v>
      </c>
      <c r="P4" s="9" t="s">
        <v>47</v>
      </c>
      <c r="Q4" s="5" t="s">
        <v>1406</v>
      </c>
      <c r="R4" s="5" t="s">
        <v>49</v>
      </c>
      <c r="S4" s="5" t="s">
        <v>7444</v>
      </c>
      <c r="T4" s="5" t="s">
        <v>7445</v>
      </c>
      <c r="U4" s="4" t="s">
        <v>71</v>
      </c>
      <c r="V4" s="4" t="s">
        <v>4497</v>
      </c>
    </row>
    <row r="5" spans="1:36" ht="15.75" customHeight="1">
      <c r="B5" s="262" t="s">
        <v>7562</v>
      </c>
      <c r="C5" s="263" t="s">
        <v>4323</v>
      </c>
      <c r="D5" s="270" t="s">
        <v>7563</v>
      </c>
      <c r="E5" s="2" t="s">
        <v>7560</v>
      </c>
      <c r="F5" s="5" t="s">
        <v>39</v>
      </c>
      <c r="G5" s="271" t="s">
        <v>7564</v>
      </c>
      <c r="H5" s="271" t="s">
        <v>4320</v>
      </c>
      <c r="I5" s="265" t="s">
        <v>4321</v>
      </c>
      <c r="J5" s="272" t="s">
        <v>7565</v>
      </c>
      <c r="K5" s="267">
        <v>8850230627</v>
      </c>
      <c r="L5" s="269">
        <v>9892158728</v>
      </c>
      <c r="M5" s="267">
        <v>8850230627</v>
      </c>
      <c r="N5" s="273" t="s">
        <v>7566</v>
      </c>
      <c r="O5" s="274" t="s">
        <v>7567</v>
      </c>
      <c r="P5" s="9" t="s">
        <v>47</v>
      </c>
      <c r="Q5" s="5" t="s">
        <v>1406</v>
      </c>
      <c r="R5" s="5" t="s">
        <v>49</v>
      </c>
      <c r="S5" s="5" t="s">
        <v>7444</v>
      </c>
      <c r="T5" s="5" t="s">
        <v>7445</v>
      </c>
      <c r="U5" s="4" t="s">
        <v>4317</v>
      </c>
      <c r="V5" s="4" t="s">
        <v>4318</v>
      </c>
      <c r="W5" s="273" t="s">
        <v>7568</v>
      </c>
      <c r="X5" s="273" t="s">
        <v>7569</v>
      </c>
      <c r="Y5" s="275"/>
      <c r="AA5" s="176" t="s">
        <v>7570</v>
      </c>
      <c r="AB5" s="103" t="s">
        <v>6417</v>
      </c>
      <c r="AC5" s="176" t="s">
        <v>7571</v>
      </c>
      <c r="AD5" s="103" t="s">
        <v>6419</v>
      </c>
      <c r="AE5" s="176" t="s">
        <v>7572</v>
      </c>
      <c r="AF5" s="103" t="s">
        <v>6421</v>
      </c>
      <c r="AG5" s="176" t="s">
        <v>7573</v>
      </c>
      <c r="AH5" s="103" t="s">
        <v>6423</v>
      </c>
      <c r="AI5" s="176" t="s">
        <v>6424</v>
      </c>
      <c r="AJ5" s="103" t="s">
        <v>6425</v>
      </c>
    </row>
    <row r="6" spans="1:36" ht="15.75" customHeight="1">
      <c r="B6" s="262" t="s">
        <v>7574</v>
      </c>
      <c r="C6" s="263" t="s">
        <v>4323</v>
      </c>
      <c r="D6" s="270" t="s">
        <v>7575</v>
      </c>
      <c r="E6" s="2" t="s">
        <v>7560</v>
      </c>
      <c r="F6" s="5" t="s">
        <v>39</v>
      </c>
      <c r="G6" s="265" t="s">
        <v>4481</v>
      </c>
      <c r="H6" s="265" t="s">
        <v>4482</v>
      </c>
      <c r="I6" s="10" t="s">
        <v>44</v>
      </c>
      <c r="J6" s="272" t="s">
        <v>7576</v>
      </c>
      <c r="K6" s="267">
        <v>9930767460</v>
      </c>
      <c r="L6" s="9" t="s">
        <v>44</v>
      </c>
      <c r="M6" s="267">
        <v>9930767460</v>
      </c>
      <c r="N6" s="272" t="s">
        <v>7577</v>
      </c>
      <c r="O6" s="269" t="s">
        <v>4484</v>
      </c>
      <c r="P6" s="9" t="s">
        <v>47</v>
      </c>
      <c r="Q6" s="5" t="s">
        <v>1406</v>
      </c>
      <c r="R6" s="5" t="s">
        <v>49</v>
      </c>
      <c r="S6" s="5" t="s">
        <v>7444</v>
      </c>
      <c r="T6" s="5" t="s">
        <v>7445</v>
      </c>
      <c r="U6" s="4" t="s">
        <v>4479</v>
      </c>
      <c r="V6" s="4" t="s">
        <v>4480</v>
      </c>
      <c r="W6" s="272"/>
      <c r="X6" s="272"/>
      <c r="Y6" s="272"/>
      <c r="AA6" s="176" t="s">
        <v>6437</v>
      </c>
      <c r="AB6" s="103" t="s">
        <v>6438</v>
      </c>
      <c r="AC6" s="176" t="s">
        <v>6439</v>
      </c>
      <c r="AD6" s="103" t="s">
        <v>6440</v>
      </c>
      <c r="AE6" s="176" t="s">
        <v>6441</v>
      </c>
      <c r="AF6" s="103" t="s">
        <v>6442</v>
      </c>
      <c r="AH6" s="103" t="s">
        <v>6444</v>
      </c>
      <c r="AJ6" s="103" t="s">
        <v>6446</v>
      </c>
    </row>
    <row r="7" spans="1:36" ht="15.75" customHeight="1">
      <c r="B7" s="262" t="s">
        <v>7578</v>
      </c>
      <c r="C7" s="263" t="s">
        <v>4323</v>
      </c>
      <c r="D7" s="276" t="s">
        <v>7579</v>
      </c>
      <c r="E7" s="2" t="s">
        <v>7560</v>
      </c>
      <c r="F7" s="5" t="s">
        <v>39</v>
      </c>
      <c r="G7" s="277" t="s">
        <v>7580</v>
      </c>
      <c r="H7" s="278" t="s">
        <v>7581</v>
      </c>
      <c r="I7" s="279" t="s">
        <v>7582</v>
      </c>
      <c r="J7" s="272" t="s">
        <v>7583</v>
      </c>
      <c r="K7" s="280">
        <v>9819015333</v>
      </c>
      <c r="L7" s="9" t="s">
        <v>44</v>
      </c>
      <c r="M7" s="267">
        <v>9819015333</v>
      </c>
      <c r="N7" s="275"/>
      <c r="O7" s="10" t="s">
        <v>44</v>
      </c>
      <c r="P7" s="9" t="s">
        <v>47</v>
      </c>
      <c r="Q7" s="5" t="s">
        <v>1406</v>
      </c>
      <c r="R7" s="5" t="s">
        <v>49</v>
      </c>
      <c r="S7" s="5" t="s">
        <v>7444</v>
      </c>
      <c r="T7" s="5" t="s">
        <v>7445</v>
      </c>
      <c r="U7" s="4" t="s">
        <v>4624</v>
      </c>
      <c r="V7" s="4" t="s">
        <v>4625</v>
      </c>
      <c r="W7" s="273" t="s">
        <v>7584</v>
      </c>
      <c r="X7" s="275"/>
      <c r="Y7" s="275"/>
      <c r="AG7" s="176" t="s">
        <v>7585</v>
      </c>
      <c r="AI7" s="176" t="s">
        <v>7586</v>
      </c>
    </row>
    <row r="8" spans="1:36" ht="15.75" customHeight="1">
      <c r="B8" s="262" t="s">
        <v>7587</v>
      </c>
      <c r="C8" s="263" t="s">
        <v>4323</v>
      </c>
      <c r="D8" s="264" t="s">
        <v>7588</v>
      </c>
      <c r="E8" s="2" t="s">
        <v>7560</v>
      </c>
      <c r="F8" s="5" t="s">
        <v>39</v>
      </c>
      <c r="G8" s="265" t="s">
        <v>4374</v>
      </c>
      <c r="H8" s="265" t="s">
        <v>4375</v>
      </c>
      <c r="I8" s="265" t="s">
        <v>4376</v>
      </c>
      <c r="J8" s="272" t="s">
        <v>4377</v>
      </c>
      <c r="K8" s="267">
        <v>9833959607</v>
      </c>
      <c r="L8" s="9" t="s">
        <v>44</v>
      </c>
      <c r="M8" s="267">
        <v>9833959607</v>
      </c>
      <c r="N8" s="273" t="s">
        <v>4379</v>
      </c>
      <c r="O8" s="269" t="s">
        <v>4378</v>
      </c>
      <c r="P8" s="9" t="s">
        <v>47</v>
      </c>
      <c r="Q8" s="5" t="s">
        <v>1406</v>
      </c>
      <c r="R8" s="5" t="s">
        <v>49</v>
      </c>
      <c r="S8" s="5" t="s">
        <v>7444</v>
      </c>
      <c r="T8" s="5" t="s">
        <v>7445</v>
      </c>
      <c r="U8" s="4" t="s">
        <v>4372</v>
      </c>
      <c r="V8" s="4" t="s">
        <v>4373</v>
      </c>
      <c r="W8" s="273" t="s">
        <v>7589</v>
      </c>
      <c r="X8" s="273" t="s">
        <v>7590</v>
      </c>
      <c r="Y8" s="273" t="s">
        <v>7591</v>
      </c>
    </row>
    <row r="9" spans="1:36" ht="15.75" customHeight="1">
      <c r="B9" s="262" t="s">
        <v>7592</v>
      </c>
      <c r="C9" s="263" t="s">
        <v>4323</v>
      </c>
      <c r="D9" s="270" t="s">
        <v>7593</v>
      </c>
      <c r="E9" s="2" t="s">
        <v>7560</v>
      </c>
      <c r="F9" s="5" t="s">
        <v>39</v>
      </c>
      <c r="G9" s="265" t="s">
        <v>7594</v>
      </c>
      <c r="H9" s="265" t="s">
        <v>4506</v>
      </c>
      <c r="I9" s="10" t="s">
        <v>44</v>
      </c>
      <c r="J9" s="272" t="s">
        <v>4508</v>
      </c>
      <c r="K9" s="10">
        <v>9819711898</v>
      </c>
      <c r="L9" s="9" t="s">
        <v>44</v>
      </c>
      <c r="M9" s="10">
        <v>9819711898</v>
      </c>
      <c r="N9" s="275"/>
      <c r="O9" s="9" t="s">
        <v>4509</v>
      </c>
      <c r="P9" s="10" t="s">
        <v>47</v>
      </c>
      <c r="Q9" s="5" t="s">
        <v>1406</v>
      </c>
      <c r="R9" s="5" t="s">
        <v>49</v>
      </c>
      <c r="S9" s="5" t="s">
        <v>7444</v>
      </c>
      <c r="T9" s="5" t="s">
        <v>7445</v>
      </c>
      <c r="U9" s="4" t="s">
        <v>4503</v>
      </c>
      <c r="V9" s="4" t="s">
        <v>4504</v>
      </c>
      <c r="W9" s="275"/>
      <c r="X9" s="275"/>
      <c r="Y9" s="273" t="s">
        <v>7595</v>
      </c>
    </row>
    <row r="10" spans="1:36" ht="15.75" customHeight="1">
      <c r="B10" s="262" t="s">
        <v>7596</v>
      </c>
      <c r="C10" s="263" t="s">
        <v>4323</v>
      </c>
      <c r="D10" s="270" t="s">
        <v>7597</v>
      </c>
      <c r="E10" s="2" t="s">
        <v>7560</v>
      </c>
      <c r="F10" s="5" t="s">
        <v>39</v>
      </c>
      <c r="G10" s="265" t="s">
        <v>4393</v>
      </c>
      <c r="H10" s="265" t="s">
        <v>4394</v>
      </c>
      <c r="I10" s="267" t="s">
        <v>4395</v>
      </c>
      <c r="J10" s="272" t="s">
        <v>4396</v>
      </c>
      <c r="K10" s="267">
        <v>9820189554</v>
      </c>
      <c r="L10" s="9" t="s">
        <v>44</v>
      </c>
      <c r="M10" s="267">
        <v>9820189554</v>
      </c>
      <c r="N10" s="272" t="s">
        <v>4399</v>
      </c>
      <c r="O10" s="10" t="s">
        <v>44</v>
      </c>
      <c r="P10" s="9" t="s">
        <v>47</v>
      </c>
      <c r="Q10" s="5" t="s">
        <v>1406</v>
      </c>
      <c r="R10" s="5" t="s">
        <v>49</v>
      </c>
      <c r="S10" s="5" t="s">
        <v>7444</v>
      </c>
      <c r="T10" s="5" t="s">
        <v>7445</v>
      </c>
      <c r="U10" s="4" t="s">
        <v>4391</v>
      </c>
      <c r="V10" s="4" t="s">
        <v>4392</v>
      </c>
      <c r="W10" s="272" t="s">
        <v>7598</v>
      </c>
      <c r="X10" s="273" t="s">
        <v>7599</v>
      </c>
      <c r="Y10" s="275"/>
      <c r="AA10" s="176" t="s">
        <v>6459</v>
      </c>
      <c r="AB10" s="103" t="s">
        <v>6460</v>
      </c>
      <c r="AC10" s="176" t="s">
        <v>6461</v>
      </c>
      <c r="AD10" s="103" t="s">
        <v>6462</v>
      </c>
      <c r="AE10" s="176" t="s">
        <v>6463</v>
      </c>
      <c r="AF10" s="103" t="s">
        <v>6464</v>
      </c>
      <c r="AG10" s="176" t="s">
        <v>6465</v>
      </c>
      <c r="AH10" s="103" t="s">
        <v>6466</v>
      </c>
      <c r="AI10" s="176" t="s">
        <v>7600</v>
      </c>
      <c r="AJ10" s="103" t="s">
        <v>6468</v>
      </c>
    </row>
    <row r="11" spans="1:36" ht="15.75" customHeight="1">
      <c r="B11" s="262" t="s">
        <v>7601</v>
      </c>
      <c r="C11" s="263" t="s">
        <v>4323</v>
      </c>
      <c r="D11" s="270" t="s">
        <v>7602</v>
      </c>
      <c r="E11" s="2" t="s">
        <v>7560</v>
      </c>
      <c r="F11" s="5" t="s">
        <v>39</v>
      </c>
      <c r="G11" s="265" t="s">
        <v>4586</v>
      </c>
      <c r="H11" s="265" t="s">
        <v>4587</v>
      </c>
      <c r="I11" s="265" t="s">
        <v>7603</v>
      </c>
      <c r="J11" s="272" t="s">
        <v>4589</v>
      </c>
      <c r="K11" s="280">
        <v>9082084426</v>
      </c>
      <c r="L11" s="9" t="s">
        <v>44</v>
      </c>
      <c r="M11" s="267">
        <v>9082084426</v>
      </c>
      <c r="N11" s="273" t="s">
        <v>4591</v>
      </c>
      <c r="O11" s="269" t="s">
        <v>7604</v>
      </c>
      <c r="P11" s="9" t="s">
        <v>47</v>
      </c>
      <c r="Q11" s="5" t="s">
        <v>1406</v>
      </c>
      <c r="R11" s="5" t="s">
        <v>49</v>
      </c>
      <c r="S11" s="5" t="s">
        <v>7444</v>
      </c>
      <c r="T11" s="5" t="s">
        <v>7445</v>
      </c>
      <c r="U11" s="4" t="s">
        <v>71</v>
      </c>
      <c r="V11" s="4" t="s">
        <v>4585</v>
      </c>
      <c r="W11" s="273" t="s">
        <v>7605</v>
      </c>
      <c r="X11" s="273" t="s">
        <v>7606</v>
      </c>
      <c r="Y11" s="273" t="s">
        <v>7607</v>
      </c>
      <c r="AA11" s="176" t="s">
        <v>6470</v>
      </c>
      <c r="AB11" s="103" t="s">
        <v>6471</v>
      </c>
      <c r="AC11" s="176" t="s">
        <v>2259</v>
      </c>
      <c r="AD11" s="103" t="s">
        <v>6472</v>
      </c>
      <c r="AE11" s="176" t="s">
        <v>6473</v>
      </c>
      <c r="AF11" s="103" t="s">
        <v>6474</v>
      </c>
      <c r="AG11" s="176" t="s">
        <v>2263</v>
      </c>
      <c r="AH11" s="103" t="s">
        <v>6475</v>
      </c>
      <c r="AI11" s="176" t="s">
        <v>6476</v>
      </c>
      <c r="AJ11" s="103" t="s">
        <v>6477</v>
      </c>
    </row>
    <row r="12" spans="1:36" ht="15.75" customHeight="1">
      <c r="B12" s="262" t="s">
        <v>7608</v>
      </c>
      <c r="C12" s="263" t="s">
        <v>4323</v>
      </c>
      <c r="D12" s="270" t="s">
        <v>7609</v>
      </c>
      <c r="E12" s="2" t="s">
        <v>7560</v>
      </c>
      <c r="F12" s="5" t="s">
        <v>39</v>
      </c>
      <c r="G12" s="265" t="s">
        <v>4489</v>
      </c>
      <c r="H12" s="265" t="s">
        <v>4490</v>
      </c>
      <c r="I12" s="10" t="s">
        <v>44</v>
      </c>
      <c r="J12" s="272" t="s">
        <v>4492</v>
      </c>
      <c r="K12" s="10">
        <v>9920378708</v>
      </c>
      <c r="L12" s="9" t="s">
        <v>44</v>
      </c>
      <c r="M12" s="10">
        <v>9920378708</v>
      </c>
      <c r="N12" s="275"/>
      <c r="O12" s="9" t="s">
        <v>4493</v>
      </c>
      <c r="P12" s="10" t="s">
        <v>47</v>
      </c>
      <c r="Q12" s="5" t="s">
        <v>1406</v>
      </c>
      <c r="R12" s="5" t="s">
        <v>49</v>
      </c>
      <c r="S12" s="5" t="s">
        <v>7444</v>
      </c>
      <c r="T12" s="5" t="s">
        <v>7445</v>
      </c>
      <c r="U12" s="4" t="s">
        <v>4487</v>
      </c>
      <c r="V12" s="4" t="s">
        <v>4488</v>
      </c>
      <c r="W12" s="275"/>
      <c r="X12" s="275"/>
      <c r="Y12" s="275"/>
    </row>
    <row r="13" spans="1:36" ht="15.75" customHeight="1">
      <c r="B13" s="262" t="s">
        <v>7610</v>
      </c>
      <c r="C13" s="263" t="s">
        <v>4323</v>
      </c>
      <c r="D13" s="276" t="s">
        <v>7611</v>
      </c>
      <c r="E13" s="2" t="s">
        <v>7560</v>
      </c>
      <c r="F13" s="5" t="s">
        <v>39</v>
      </c>
      <c r="G13" s="277" t="s">
        <v>4384</v>
      </c>
      <c r="H13" s="277" t="s">
        <v>4385</v>
      </c>
      <c r="I13" s="277" t="s">
        <v>4386</v>
      </c>
      <c r="J13" s="272" t="s">
        <v>7612</v>
      </c>
      <c r="K13" s="10">
        <v>9987200510</v>
      </c>
      <c r="L13" s="9" t="s">
        <v>44</v>
      </c>
      <c r="M13" s="10">
        <v>9987200510</v>
      </c>
      <c r="N13" s="275"/>
      <c r="O13" s="9" t="s">
        <v>4388</v>
      </c>
      <c r="P13" s="10" t="s">
        <v>47</v>
      </c>
      <c r="Q13" s="5" t="s">
        <v>1406</v>
      </c>
      <c r="R13" s="5" t="s">
        <v>49</v>
      </c>
      <c r="S13" s="5" t="s">
        <v>7444</v>
      </c>
      <c r="T13" s="5" t="s">
        <v>7445</v>
      </c>
      <c r="U13" s="4" t="s">
        <v>4382</v>
      </c>
      <c r="V13" s="4" t="s">
        <v>4383</v>
      </c>
      <c r="W13" s="272" t="s">
        <v>7613</v>
      </c>
      <c r="X13" s="272" t="s">
        <v>7614</v>
      </c>
      <c r="Y13" s="275"/>
      <c r="AA13" s="176" t="s">
        <v>7615</v>
      </c>
      <c r="AB13" s="103" t="s">
        <v>6480</v>
      </c>
      <c r="AC13" s="176" t="s">
        <v>7616</v>
      </c>
      <c r="AD13" s="103" t="s">
        <v>6482</v>
      </c>
      <c r="AE13" s="176" t="s">
        <v>7617</v>
      </c>
      <c r="AF13" s="103" t="s">
        <v>6484</v>
      </c>
      <c r="AG13" s="176" t="s">
        <v>7618</v>
      </c>
      <c r="AH13" s="103" t="s">
        <v>6486</v>
      </c>
    </row>
    <row r="14" spans="1:36" ht="15.75" customHeight="1">
      <c r="B14" s="262" t="s">
        <v>7619</v>
      </c>
      <c r="C14" s="263" t="s">
        <v>4323</v>
      </c>
      <c r="D14" s="270" t="s">
        <v>7620</v>
      </c>
      <c r="E14" s="2" t="s">
        <v>7560</v>
      </c>
      <c r="F14" s="5" t="s">
        <v>39</v>
      </c>
      <c r="G14" s="265" t="s">
        <v>4414</v>
      </c>
      <c r="H14" s="265" t="s">
        <v>4415</v>
      </c>
      <c r="I14" s="265" t="s">
        <v>7621</v>
      </c>
      <c r="J14" s="272" t="s">
        <v>4417</v>
      </c>
      <c r="K14" s="267">
        <v>7506061751</v>
      </c>
      <c r="L14" s="9" t="s">
        <v>44</v>
      </c>
      <c r="M14" s="267">
        <v>7506061751</v>
      </c>
      <c r="N14" s="273" t="s">
        <v>4420</v>
      </c>
      <c r="O14" s="269" t="s">
        <v>4418</v>
      </c>
      <c r="P14" s="9" t="s">
        <v>47</v>
      </c>
      <c r="Q14" s="5" t="s">
        <v>1406</v>
      </c>
      <c r="R14" s="5" t="s">
        <v>49</v>
      </c>
      <c r="S14" s="5" t="s">
        <v>7444</v>
      </c>
      <c r="T14" s="5" t="s">
        <v>7445</v>
      </c>
      <c r="U14" s="4" t="s">
        <v>4412</v>
      </c>
      <c r="V14" s="4" t="s">
        <v>4413</v>
      </c>
      <c r="W14" s="275"/>
      <c r="X14" s="275"/>
      <c r="Y14" s="273" t="s">
        <v>7622</v>
      </c>
    </row>
    <row r="15" spans="1:36" ht="15.75" customHeight="1">
      <c r="B15" s="262" t="s">
        <v>7623</v>
      </c>
      <c r="C15" s="263" t="s">
        <v>4323</v>
      </c>
      <c r="D15" s="270" t="s">
        <v>7624</v>
      </c>
      <c r="E15" s="2" t="s">
        <v>7560</v>
      </c>
      <c r="F15" s="5" t="s">
        <v>39</v>
      </c>
      <c r="G15" s="265" t="s">
        <v>4578</v>
      </c>
      <c r="H15" s="265" t="s">
        <v>4579</v>
      </c>
      <c r="I15" s="265" t="s">
        <v>4516</v>
      </c>
      <c r="J15" s="272" t="s">
        <v>4580</v>
      </c>
      <c r="K15" s="280" t="s">
        <v>4581</v>
      </c>
      <c r="L15" s="9" t="s">
        <v>44</v>
      </c>
      <c r="M15" s="9"/>
      <c r="N15" s="273" t="s">
        <v>4583</v>
      </c>
      <c r="O15" s="9"/>
      <c r="P15" s="10" t="s">
        <v>47</v>
      </c>
      <c r="Q15" s="5" t="s">
        <v>1406</v>
      </c>
      <c r="R15" s="5" t="s">
        <v>49</v>
      </c>
      <c r="S15" s="5" t="s">
        <v>7444</v>
      </c>
      <c r="T15" s="5" t="s">
        <v>7445</v>
      </c>
      <c r="U15" s="4" t="s">
        <v>4576</v>
      </c>
      <c r="V15" s="4" t="s">
        <v>4577</v>
      </c>
      <c r="W15" s="273" t="s">
        <v>7625</v>
      </c>
      <c r="X15" s="275"/>
      <c r="Y15" s="275"/>
      <c r="AA15" s="176" t="s">
        <v>6488</v>
      </c>
      <c r="AC15" s="176" t="s">
        <v>6489</v>
      </c>
      <c r="AE15" s="176" t="s">
        <v>6490</v>
      </c>
      <c r="AG15" s="176" t="s">
        <v>6491</v>
      </c>
      <c r="AI15" s="176" t="s">
        <v>7626</v>
      </c>
    </row>
    <row r="16" spans="1:36" ht="15.75" customHeight="1">
      <c r="B16" s="262" t="s">
        <v>7627</v>
      </c>
      <c r="C16" s="263" t="s">
        <v>4323</v>
      </c>
      <c r="D16" s="276" t="s">
        <v>7628</v>
      </c>
      <c r="E16" s="2" t="s">
        <v>7560</v>
      </c>
      <c r="F16" s="5" t="s">
        <v>39</v>
      </c>
      <c r="G16" s="277" t="s">
        <v>4358</v>
      </c>
      <c r="H16" s="277" t="s">
        <v>4359</v>
      </c>
      <c r="I16" s="277" t="s">
        <v>4360</v>
      </c>
      <c r="J16" s="272" t="s">
        <v>7629</v>
      </c>
      <c r="K16" s="267">
        <v>9892201507</v>
      </c>
      <c r="L16" s="9" t="s">
        <v>44</v>
      </c>
      <c r="M16" s="267">
        <v>9892201507</v>
      </c>
      <c r="N16" s="275"/>
      <c r="O16" s="269" t="s">
        <v>4362</v>
      </c>
      <c r="P16" s="9" t="s">
        <v>47</v>
      </c>
      <c r="Q16" s="5" t="s">
        <v>1406</v>
      </c>
      <c r="R16" s="5" t="s">
        <v>49</v>
      </c>
      <c r="S16" s="5" t="s">
        <v>7444</v>
      </c>
      <c r="T16" s="5" t="s">
        <v>7445</v>
      </c>
      <c r="U16" s="4" t="s">
        <v>4356</v>
      </c>
      <c r="V16" s="4" t="s">
        <v>4357</v>
      </c>
      <c r="W16" s="273" t="s">
        <v>7630</v>
      </c>
      <c r="X16" s="273" t="s">
        <v>7631</v>
      </c>
      <c r="Y16" s="275"/>
      <c r="AA16" s="176" t="s">
        <v>7632</v>
      </c>
      <c r="AB16" s="103" t="s">
        <v>6495</v>
      </c>
      <c r="AC16" s="176" t="s">
        <v>7633</v>
      </c>
      <c r="AD16" s="103" t="s">
        <v>6497</v>
      </c>
      <c r="AE16" s="176" t="s">
        <v>6498</v>
      </c>
      <c r="AF16" s="103" t="s">
        <v>6499</v>
      </c>
    </row>
    <row r="17" spans="2:36" ht="15.75" customHeight="1">
      <c r="B17" s="262" t="s">
        <v>7634</v>
      </c>
      <c r="C17" s="263" t="s">
        <v>4323</v>
      </c>
      <c r="D17" s="270" t="s">
        <v>7635</v>
      </c>
      <c r="E17" s="2" t="s">
        <v>7560</v>
      </c>
      <c r="F17" s="5" t="s">
        <v>39</v>
      </c>
      <c r="G17" s="265" t="s">
        <v>4466</v>
      </c>
      <c r="H17" s="265" t="s">
        <v>4467</v>
      </c>
      <c r="I17" s="10" t="s">
        <v>44</v>
      </c>
      <c r="J17" s="272" t="s">
        <v>7636</v>
      </c>
      <c r="K17" s="267">
        <v>9820842723</v>
      </c>
      <c r="L17" s="9" t="s">
        <v>44</v>
      </c>
      <c r="M17" s="267">
        <v>9820842723</v>
      </c>
      <c r="N17" s="273" t="s">
        <v>4471</v>
      </c>
      <c r="O17" s="269" t="s">
        <v>4470</v>
      </c>
      <c r="P17" s="9" t="s">
        <v>47</v>
      </c>
      <c r="Q17" s="5" t="s">
        <v>1406</v>
      </c>
      <c r="R17" s="5" t="s">
        <v>49</v>
      </c>
      <c r="S17" s="5" t="s">
        <v>7444</v>
      </c>
      <c r="T17" s="5" t="s">
        <v>7445</v>
      </c>
      <c r="U17" s="4" t="s">
        <v>4464</v>
      </c>
      <c r="V17" s="4" t="s">
        <v>4465</v>
      </c>
      <c r="W17" s="275"/>
      <c r="X17" s="275"/>
      <c r="Y17" s="275"/>
    </row>
    <row r="18" spans="2:36" ht="15.75" customHeight="1">
      <c r="B18" s="262" t="s">
        <v>7637</v>
      </c>
      <c r="C18" s="263" t="s">
        <v>4323</v>
      </c>
      <c r="D18" s="270" t="s">
        <v>7638</v>
      </c>
      <c r="E18" s="2" t="s">
        <v>7560</v>
      </c>
      <c r="F18" s="5" t="s">
        <v>39</v>
      </c>
      <c r="G18" s="265" t="s">
        <v>4445</v>
      </c>
      <c r="H18" s="265" t="s">
        <v>4446</v>
      </c>
      <c r="I18" s="10" t="s">
        <v>44</v>
      </c>
      <c r="J18" s="272" t="s">
        <v>4448</v>
      </c>
      <c r="K18" s="267">
        <v>9920077286</v>
      </c>
      <c r="L18" s="9" t="s">
        <v>44</v>
      </c>
      <c r="M18" s="267">
        <v>9920077286</v>
      </c>
      <c r="N18" s="273" t="s">
        <v>4451</v>
      </c>
      <c r="O18" s="10" t="s">
        <v>44</v>
      </c>
      <c r="P18" s="9" t="s">
        <v>47</v>
      </c>
      <c r="Q18" s="5" t="s">
        <v>1406</v>
      </c>
      <c r="R18" s="5" t="s">
        <v>49</v>
      </c>
      <c r="S18" s="5" t="s">
        <v>7444</v>
      </c>
      <c r="T18" s="5" t="s">
        <v>7445</v>
      </c>
      <c r="U18" s="4" t="s">
        <v>71</v>
      </c>
      <c r="V18" s="4" t="s">
        <v>4444</v>
      </c>
      <c r="W18" s="273" t="s">
        <v>7639</v>
      </c>
      <c r="X18" s="273" t="s">
        <v>7640</v>
      </c>
      <c r="Y18" s="273" t="s">
        <v>7641</v>
      </c>
      <c r="AA18" s="176" t="s">
        <v>6501</v>
      </c>
      <c r="AB18" s="103" t="s">
        <v>6502</v>
      </c>
      <c r="AC18" s="176" t="s">
        <v>6503</v>
      </c>
      <c r="AD18" s="103" t="s">
        <v>6504</v>
      </c>
      <c r="AE18" s="176" t="s">
        <v>6505</v>
      </c>
      <c r="AF18" s="103" t="s">
        <v>6506</v>
      </c>
    </row>
    <row r="19" spans="2:36" ht="15.75" customHeight="1">
      <c r="B19" s="414" t="s">
        <v>7642</v>
      </c>
      <c r="C19" s="263" t="s">
        <v>4323</v>
      </c>
      <c r="D19" s="264" t="s">
        <v>7643</v>
      </c>
      <c r="E19" s="2" t="s">
        <v>7560</v>
      </c>
      <c r="F19" s="5" t="s">
        <v>39</v>
      </c>
      <c r="G19" s="265" t="s">
        <v>7644</v>
      </c>
      <c r="H19" s="265" t="s">
        <v>4439</v>
      </c>
      <c r="I19" s="265" t="s">
        <v>3897</v>
      </c>
      <c r="J19" s="272" t="s">
        <v>7645</v>
      </c>
      <c r="K19" s="10">
        <v>8007193206</v>
      </c>
      <c r="L19" s="9" t="s">
        <v>44</v>
      </c>
      <c r="M19" s="10">
        <v>8007193206</v>
      </c>
      <c r="N19" s="273" t="s">
        <v>4441</v>
      </c>
      <c r="O19" s="10" t="s">
        <v>44</v>
      </c>
      <c r="P19" s="10" t="s">
        <v>47</v>
      </c>
      <c r="Q19" s="5" t="s">
        <v>1406</v>
      </c>
      <c r="R19" s="5" t="s">
        <v>49</v>
      </c>
      <c r="S19" s="5" t="s">
        <v>7444</v>
      </c>
      <c r="T19" s="5" t="s">
        <v>7445</v>
      </c>
      <c r="U19" s="4" t="s">
        <v>4436</v>
      </c>
      <c r="V19" s="4" t="s">
        <v>4437</v>
      </c>
      <c r="W19" s="275"/>
      <c r="X19" s="275"/>
      <c r="Y19" s="275"/>
      <c r="Z19" s="275"/>
    </row>
    <row r="20" spans="2:36" ht="15.75" customHeight="1">
      <c r="B20" s="262" t="s">
        <v>7646</v>
      </c>
      <c r="C20" s="263" t="s">
        <v>4323</v>
      </c>
      <c r="D20" s="270" t="s">
        <v>7647</v>
      </c>
      <c r="E20" s="2" t="s">
        <v>7560</v>
      </c>
      <c r="F20" s="5" t="s">
        <v>39</v>
      </c>
      <c r="G20" s="265" t="s">
        <v>4331</v>
      </c>
      <c r="H20" s="265" t="s">
        <v>4332</v>
      </c>
      <c r="I20" s="265" t="s">
        <v>4333</v>
      </c>
      <c r="J20" s="272" t="s">
        <v>4334</v>
      </c>
      <c r="K20" s="10">
        <v>9920470711</v>
      </c>
      <c r="L20" s="9" t="s">
        <v>44</v>
      </c>
      <c r="M20" s="10">
        <v>9920470711</v>
      </c>
      <c r="N20" s="273" t="s">
        <v>4336</v>
      </c>
      <c r="O20" s="9" t="s">
        <v>4335</v>
      </c>
      <c r="P20" s="10" t="s">
        <v>47</v>
      </c>
      <c r="Q20" s="5" t="s">
        <v>1406</v>
      </c>
      <c r="R20" s="5" t="s">
        <v>49</v>
      </c>
      <c r="S20" s="5" t="s">
        <v>7444</v>
      </c>
      <c r="T20" s="5" t="s">
        <v>7445</v>
      </c>
      <c r="U20" s="4" t="s">
        <v>4329</v>
      </c>
      <c r="V20" s="4" t="s">
        <v>4330</v>
      </c>
      <c r="W20" s="273" t="s">
        <v>7648</v>
      </c>
      <c r="X20" s="275"/>
      <c r="Y20" s="275"/>
      <c r="Z20" s="275"/>
      <c r="AA20" s="176" t="s">
        <v>4333</v>
      </c>
      <c r="AC20" s="176" t="s">
        <v>7649</v>
      </c>
      <c r="AE20" s="176" t="s">
        <v>7650</v>
      </c>
    </row>
    <row r="21" spans="2:36" ht="15.75" customHeight="1">
      <c r="B21" s="262" t="s">
        <v>7651</v>
      </c>
      <c r="C21" s="263" t="s">
        <v>4323</v>
      </c>
      <c r="D21" s="270" t="s">
        <v>7652</v>
      </c>
      <c r="E21" s="2" t="s">
        <v>7560</v>
      </c>
      <c r="F21" s="5" t="s">
        <v>39</v>
      </c>
      <c r="G21" s="265" t="s">
        <v>4569</v>
      </c>
      <c r="H21" s="265" t="s">
        <v>4570</v>
      </c>
      <c r="I21" s="265" t="s">
        <v>4571</v>
      </c>
      <c r="J21" s="272" t="s">
        <v>7653</v>
      </c>
      <c r="K21" s="267">
        <v>769956468</v>
      </c>
      <c r="L21" s="9" t="s">
        <v>44</v>
      </c>
      <c r="M21" s="267">
        <v>769956468</v>
      </c>
      <c r="N21" s="273"/>
      <c r="O21" s="269" t="s">
        <v>4573</v>
      </c>
      <c r="P21" s="9" t="s">
        <v>47</v>
      </c>
      <c r="Q21" s="5" t="s">
        <v>1406</v>
      </c>
      <c r="R21" s="5" t="s">
        <v>49</v>
      </c>
      <c r="S21" s="5" t="s">
        <v>7444</v>
      </c>
      <c r="T21" s="5" t="s">
        <v>7445</v>
      </c>
      <c r="U21" s="4" t="s">
        <v>4567</v>
      </c>
      <c r="V21" s="4" t="s">
        <v>4568</v>
      </c>
    </row>
    <row r="22" spans="2:36" ht="15.75" customHeight="1">
      <c r="B22" s="262" t="s">
        <v>7654</v>
      </c>
      <c r="C22" s="263" t="s">
        <v>4323</v>
      </c>
      <c r="D22" s="270" t="s">
        <v>7655</v>
      </c>
      <c r="E22" s="2" t="s">
        <v>7560</v>
      </c>
      <c r="F22" s="5" t="s">
        <v>39</v>
      </c>
      <c r="G22" s="265" t="s">
        <v>4456</v>
      </c>
      <c r="H22" s="265" t="s">
        <v>4457</v>
      </c>
      <c r="I22" s="10" t="s">
        <v>44</v>
      </c>
      <c r="J22" s="272" t="s">
        <v>7656</v>
      </c>
      <c r="K22" s="10">
        <v>9892050530</v>
      </c>
      <c r="L22" s="9" t="s">
        <v>44</v>
      </c>
      <c r="M22" s="10">
        <v>9892050530</v>
      </c>
      <c r="N22" s="199" t="s">
        <v>4461</v>
      </c>
      <c r="O22" s="10" t="s">
        <v>44</v>
      </c>
      <c r="P22" s="10" t="s">
        <v>47</v>
      </c>
      <c r="Q22" s="5" t="s">
        <v>1406</v>
      </c>
      <c r="R22" s="5" t="s">
        <v>49</v>
      </c>
      <c r="S22" s="5" t="s">
        <v>7444</v>
      </c>
      <c r="T22" s="5" t="s">
        <v>7445</v>
      </c>
      <c r="U22" s="4" t="s">
        <v>4454</v>
      </c>
      <c r="V22" s="4" t="s">
        <v>4455</v>
      </c>
      <c r="W22" s="273" t="s">
        <v>7657</v>
      </c>
      <c r="X22" s="275"/>
      <c r="Y22" s="275"/>
      <c r="Z22" s="275"/>
      <c r="AA22" s="176" t="s">
        <v>6508</v>
      </c>
      <c r="AB22" s="103" t="s">
        <v>6509</v>
      </c>
      <c r="AC22" s="176" t="s">
        <v>7658</v>
      </c>
      <c r="AD22" s="103" t="s">
        <v>6511</v>
      </c>
      <c r="AE22" s="176" t="s">
        <v>6512</v>
      </c>
      <c r="AF22" s="103" t="s">
        <v>6513</v>
      </c>
      <c r="AG22" s="176" t="s">
        <v>6514</v>
      </c>
      <c r="AH22" s="103" t="s">
        <v>6515</v>
      </c>
      <c r="AI22" s="176" t="s">
        <v>6516</v>
      </c>
      <c r="AJ22" s="103" t="s">
        <v>6517</v>
      </c>
    </row>
    <row r="23" spans="2:36" ht="15.75" customHeight="1">
      <c r="B23" s="262" t="s">
        <v>7659</v>
      </c>
      <c r="C23" s="263" t="s">
        <v>4323</v>
      </c>
      <c r="D23" s="264" t="s">
        <v>7660</v>
      </c>
      <c r="E23" s="2" t="s">
        <v>7560</v>
      </c>
      <c r="F23" s="5" t="s">
        <v>39</v>
      </c>
      <c r="G23" s="277" t="s">
        <v>4404</v>
      </c>
      <c r="H23" s="277" t="s">
        <v>4405</v>
      </c>
      <c r="I23" s="10" t="s">
        <v>44</v>
      </c>
      <c r="J23" s="272" t="s">
        <v>4407</v>
      </c>
      <c r="K23" s="10">
        <v>9702084679</v>
      </c>
      <c r="L23" s="9" t="s">
        <v>44</v>
      </c>
      <c r="M23" s="10">
        <v>9702084679</v>
      </c>
      <c r="N23" s="199" t="s">
        <v>4409</v>
      </c>
      <c r="O23" s="9" t="s">
        <v>4408</v>
      </c>
      <c r="P23" s="10" t="s">
        <v>47</v>
      </c>
      <c r="Q23" s="5" t="s">
        <v>1406</v>
      </c>
      <c r="R23" s="5" t="s">
        <v>49</v>
      </c>
      <c r="S23" s="5" t="s">
        <v>7444</v>
      </c>
      <c r="T23" s="5" t="s">
        <v>7445</v>
      </c>
      <c r="U23" s="4" t="s">
        <v>4402</v>
      </c>
      <c r="V23" s="4" t="s">
        <v>4403</v>
      </c>
      <c r="W23" s="273" t="s">
        <v>7661</v>
      </c>
      <c r="X23" s="273" t="s">
        <v>7662</v>
      </c>
      <c r="Y23" s="275"/>
      <c r="Z23" s="275"/>
    </row>
    <row r="24" spans="2:36" ht="15.75" customHeight="1">
      <c r="B24" s="262" t="s">
        <v>7663</v>
      </c>
      <c r="C24" s="263" t="s">
        <v>4323</v>
      </c>
      <c r="D24" s="276" t="s">
        <v>7664</v>
      </c>
      <c r="E24" s="2" t="s">
        <v>7560</v>
      </c>
      <c r="F24" s="5" t="s">
        <v>39</v>
      </c>
      <c r="G24" s="277" t="s">
        <v>4350</v>
      </c>
      <c r="H24" s="277" t="s">
        <v>4351</v>
      </c>
      <c r="I24" s="277" t="s">
        <v>4352</v>
      </c>
      <c r="J24" s="10" t="s">
        <v>44</v>
      </c>
      <c r="K24" s="10">
        <v>8779659057</v>
      </c>
      <c r="L24" s="9" t="s">
        <v>44</v>
      </c>
      <c r="M24" s="10">
        <v>8779659057</v>
      </c>
      <c r="N24" s="273"/>
      <c r="O24" s="9" t="s">
        <v>4353</v>
      </c>
      <c r="P24" s="10" t="s">
        <v>47</v>
      </c>
      <c r="Q24" s="5" t="s">
        <v>1406</v>
      </c>
      <c r="R24" s="5" t="s">
        <v>49</v>
      </c>
      <c r="S24" s="5" t="s">
        <v>7444</v>
      </c>
      <c r="T24" s="5" t="s">
        <v>7445</v>
      </c>
      <c r="U24" s="4" t="s">
        <v>71</v>
      </c>
      <c r="V24" s="4" t="s">
        <v>4349</v>
      </c>
    </row>
    <row r="25" spans="2:36" ht="15.75" customHeight="1">
      <c r="B25" s="262" t="s">
        <v>7665</v>
      </c>
      <c r="C25" s="263" t="s">
        <v>4323</v>
      </c>
      <c r="D25" s="276" t="s">
        <v>7666</v>
      </c>
      <c r="E25" s="2" t="s">
        <v>7560</v>
      </c>
      <c r="F25" s="5" t="s">
        <v>39</v>
      </c>
      <c r="G25" s="277" t="s">
        <v>4366</v>
      </c>
      <c r="H25" s="277" t="s">
        <v>4367</v>
      </c>
      <c r="I25" s="277" t="s">
        <v>4368</v>
      </c>
      <c r="J25" s="10" t="s">
        <v>44</v>
      </c>
      <c r="K25" s="10">
        <v>9833725455</v>
      </c>
      <c r="L25" s="9" t="s">
        <v>44</v>
      </c>
      <c r="M25" s="10">
        <v>9833725455</v>
      </c>
      <c r="N25" s="273"/>
      <c r="O25" s="9" t="s">
        <v>4369</v>
      </c>
      <c r="P25" s="10" t="s">
        <v>47</v>
      </c>
      <c r="Q25" s="5" t="s">
        <v>1406</v>
      </c>
      <c r="R25" s="5" t="s">
        <v>49</v>
      </c>
      <c r="S25" s="5" t="s">
        <v>7444</v>
      </c>
      <c r="T25" s="5" t="s">
        <v>7445</v>
      </c>
      <c r="U25" s="4" t="s">
        <v>71</v>
      </c>
      <c r="V25" s="4" t="s">
        <v>4365</v>
      </c>
    </row>
    <row r="26" spans="2:36" ht="15.75" customHeight="1">
      <c r="B26" s="262" t="s">
        <v>7667</v>
      </c>
      <c r="C26" s="263" t="s">
        <v>4323</v>
      </c>
      <c r="D26" s="281" t="s">
        <v>7668</v>
      </c>
      <c r="E26" s="2" t="s">
        <v>7560</v>
      </c>
      <c r="F26" s="5" t="s">
        <v>39</v>
      </c>
      <c r="G26" s="282" t="s">
        <v>7669</v>
      </c>
      <c r="H26" s="282" t="s">
        <v>4425</v>
      </c>
      <c r="I26" s="10" t="s">
        <v>44</v>
      </c>
      <c r="J26" s="10" t="s">
        <v>44</v>
      </c>
      <c r="K26" s="10">
        <v>9594430114</v>
      </c>
      <c r="L26" s="9" t="s">
        <v>44</v>
      </c>
      <c r="M26" s="10">
        <v>9594430114</v>
      </c>
      <c r="N26" s="275"/>
      <c r="O26" s="9" t="s">
        <v>4427</v>
      </c>
      <c r="P26" s="10" t="s">
        <v>47</v>
      </c>
      <c r="Q26" s="5" t="s">
        <v>1406</v>
      </c>
      <c r="R26" s="5" t="s">
        <v>49</v>
      </c>
      <c r="S26" s="5" t="s">
        <v>7444</v>
      </c>
      <c r="T26" s="5" t="s">
        <v>7445</v>
      </c>
      <c r="U26" s="4" t="s">
        <v>71</v>
      </c>
      <c r="V26" s="4" t="s">
        <v>4423</v>
      </c>
    </row>
    <row r="27" spans="2:36" ht="13.8">
      <c r="B27" s="262" t="s">
        <v>7670</v>
      </c>
      <c r="C27" s="263" t="s">
        <v>4323</v>
      </c>
      <c r="D27" s="276" t="s">
        <v>7671</v>
      </c>
      <c r="E27" s="2" t="s">
        <v>7560</v>
      </c>
      <c r="F27" s="5" t="s">
        <v>39</v>
      </c>
      <c r="G27" s="277" t="s">
        <v>4431</v>
      </c>
      <c r="H27" s="277" t="s">
        <v>4432</v>
      </c>
      <c r="I27" s="277" t="s">
        <v>4433</v>
      </c>
      <c r="J27" s="10" t="s">
        <v>44</v>
      </c>
      <c r="K27" s="267">
        <v>9819157943</v>
      </c>
      <c r="L27" s="9" t="s">
        <v>44</v>
      </c>
      <c r="M27" s="267">
        <v>9819157943</v>
      </c>
      <c r="N27" s="283"/>
      <c r="O27" s="10" t="s">
        <v>44</v>
      </c>
      <c r="P27" s="9" t="s">
        <v>47</v>
      </c>
      <c r="Q27" s="5" t="s">
        <v>1406</v>
      </c>
      <c r="R27" s="5" t="s">
        <v>49</v>
      </c>
      <c r="S27" s="5" t="s">
        <v>7444</v>
      </c>
      <c r="T27" s="5" t="s">
        <v>7445</v>
      </c>
      <c r="U27" s="4" t="s">
        <v>71</v>
      </c>
      <c r="V27" s="4" t="s">
        <v>4430</v>
      </c>
    </row>
    <row r="28" spans="2:36" ht="13.8">
      <c r="B28" s="262" t="s">
        <v>7672</v>
      </c>
      <c r="C28" s="263" t="s">
        <v>4323</v>
      </c>
      <c r="D28" s="276" t="s">
        <v>7673</v>
      </c>
      <c r="E28" s="2" t="s">
        <v>7560</v>
      </c>
      <c r="F28" s="5" t="s">
        <v>39</v>
      </c>
      <c r="G28" s="277" t="s">
        <v>4474</v>
      </c>
      <c r="H28" s="277" t="s">
        <v>4475</v>
      </c>
      <c r="I28" s="10" t="s">
        <v>44</v>
      </c>
      <c r="J28" s="10" t="s">
        <v>44</v>
      </c>
      <c r="K28" s="10">
        <v>7299999459</v>
      </c>
      <c r="L28" s="9" t="s">
        <v>44</v>
      </c>
      <c r="M28" s="10">
        <v>7299999459</v>
      </c>
      <c r="N28" s="284"/>
      <c r="O28" s="10" t="s">
        <v>44</v>
      </c>
      <c r="P28" s="10" t="s">
        <v>47</v>
      </c>
      <c r="Q28" s="5" t="s">
        <v>1406</v>
      </c>
      <c r="R28" s="5" t="s">
        <v>49</v>
      </c>
      <c r="S28" s="5" t="s">
        <v>7444</v>
      </c>
      <c r="T28" s="5" t="s">
        <v>7445</v>
      </c>
      <c r="U28" s="4" t="s">
        <v>71</v>
      </c>
      <c r="V28" s="4" t="s">
        <v>4473</v>
      </c>
    </row>
    <row r="29" spans="2:36" ht="13.8">
      <c r="B29" s="262" t="s">
        <v>7674</v>
      </c>
      <c r="C29" s="263" t="s">
        <v>4323</v>
      </c>
      <c r="D29" s="276" t="s">
        <v>7675</v>
      </c>
      <c r="E29" s="2" t="s">
        <v>7560</v>
      </c>
      <c r="F29" s="5" t="s">
        <v>39</v>
      </c>
      <c r="G29" s="277" t="s">
        <v>4514</v>
      </c>
      <c r="H29" s="277" t="s">
        <v>4515</v>
      </c>
      <c r="I29" s="10" t="s">
        <v>44</v>
      </c>
      <c r="J29" s="10" t="s">
        <v>44</v>
      </c>
      <c r="K29" s="267">
        <v>7738744374</v>
      </c>
      <c r="L29" s="9" t="s">
        <v>44</v>
      </c>
      <c r="M29" s="267">
        <v>7738744374</v>
      </c>
      <c r="N29" s="285"/>
      <c r="O29" s="10" t="s">
        <v>44</v>
      </c>
      <c r="P29" s="9" t="s">
        <v>47</v>
      </c>
      <c r="Q29" s="5" t="s">
        <v>1406</v>
      </c>
      <c r="R29" s="5" t="s">
        <v>49</v>
      </c>
      <c r="S29" s="5" t="s">
        <v>7444</v>
      </c>
      <c r="T29" s="5" t="s">
        <v>7445</v>
      </c>
      <c r="U29" s="4" t="s">
        <v>71</v>
      </c>
      <c r="V29" s="4" t="s">
        <v>4513</v>
      </c>
    </row>
    <row r="30" spans="2:36" ht="13.8">
      <c r="B30" s="262" t="s">
        <v>7676</v>
      </c>
      <c r="C30" s="263" t="s">
        <v>4323</v>
      </c>
      <c r="D30" s="276" t="s">
        <v>7677</v>
      </c>
      <c r="E30" s="2" t="s">
        <v>7560</v>
      </c>
      <c r="F30" s="5" t="s">
        <v>39</v>
      </c>
      <c r="G30" s="277" t="s">
        <v>7678</v>
      </c>
      <c r="H30" s="277" t="s">
        <v>4520</v>
      </c>
      <c r="I30" s="277" t="s">
        <v>4521</v>
      </c>
      <c r="J30" s="10" t="s">
        <v>44</v>
      </c>
      <c r="K30" s="10">
        <v>9320537219</v>
      </c>
      <c r="L30" s="9" t="s">
        <v>44</v>
      </c>
      <c r="M30" s="10">
        <v>9320537219</v>
      </c>
      <c r="N30" s="284"/>
      <c r="O30" s="9" t="s">
        <v>4522</v>
      </c>
      <c r="P30" s="10" t="s">
        <v>47</v>
      </c>
      <c r="Q30" s="5" t="s">
        <v>1406</v>
      </c>
      <c r="R30" s="5" t="s">
        <v>49</v>
      </c>
      <c r="S30" s="5" t="s">
        <v>7444</v>
      </c>
      <c r="T30" s="5" t="s">
        <v>7445</v>
      </c>
      <c r="U30" s="4" t="s">
        <v>71</v>
      </c>
      <c r="V30" s="4" t="s">
        <v>4518</v>
      </c>
    </row>
    <row r="31" spans="2:36" ht="15.6">
      <c r="B31" s="262" t="s">
        <v>7679</v>
      </c>
      <c r="C31" s="263" t="s">
        <v>4323</v>
      </c>
      <c r="D31" s="264" t="s">
        <v>7680</v>
      </c>
      <c r="E31" s="2" t="s">
        <v>7560</v>
      </c>
      <c r="F31" s="5" t="s">
        <v>39</v>
      </c>
      <c r="G31" s="265" t="s">
        <v>4525</v>
      </c>
      <c r="H31" s="265" t="s">
        <v>4526</v>
      </c>
      <c r="I31" s="265" t="s">
        <v>4527</v>
      </c>
      <c r="J31" s="10" t="s">
        <v>44</v>
      </c>
      <c r="K31" s="267">
        <v>9324559400</v>
      </c>
      <c r="L31" s="9" t="s">
        <v>44</v>
      </c>
      <c r="M31" s="267">
        <v>9324559400</v>
      </c>
      <c r="N31" s="285"/>
      <c r="O31" s="269" t="s">
        <v>4528</v>
      </c>
      <c r="P31" s="9" t="s">
        <v>47</v>
      </c>
      <c r="Q31" s="5" t="s">
        <v>1406</v>
      </c>
      <c r="R31" s="5" t="s">
        <v>49</v>
      </c>
      <c r="S31" s="5" t="s">
        <v>7444</v>
      </c>
      <c r="T31" s="5" t="s">
        <v>7445</v>
      </c>
      <c r="U31" s="4" t="s">
        <v>71</v>
      </c>
      <c r="V31" s="4" t="s">
        <v>4524</v>
      </c>
    </row>
    <row r="32" spans="2:36" ht="15.6">
      <c r="B32" s="262" t="s">
        <v>7681</v>
      </c>
      <c r="C32" s="263" t="s">
        <v>4323</v>
      </c>
      <c r="D32" s="264" t="s">
        <v>7682</v>
      </c>
      <c r="E32" s="2" t="s">
        <v>7560</v>
      </c>
      <c r="F32" s="5" t="s">
        <v>39</v>
      </c>
      <c r="G32" s="265" t="s">
        <v>7683</v>
      </c>
      <c r="H32" s="265" t="s">
        <v>4534</v>
      </c>
      <c r="I32" s="265" t="s">
        <v>4535</v>
      </c>
      <c r="J32" s="10" t="s">
        <v>44</v>
      </c>
      <c r="K32" s="10">
        <v>9322261279</v>
      </c>
      <c r="L32" s="9" t="s">
        <v>44</v>
      </c>
      <c r="M32" s="10">
        <v>9322261279</v>
      </c>
      <c r="N32" s="10" t="s">
        <v>44</v>
      </c>
      <c r="O32" s="9" t="s">
        <v>7684</v>
      </c>
      <c r="P32" s="10" t="s">
        <v>47</v>
      </c>
      <c r="Q32" s="5" t="s">
        <v>1406</v>
      </c>
      <c r="R32" s="5" t="s">
        <v>49</v>
      </c>
      <c r="S32" s="5" t="s">
        <v>7444</v>
      </c>
      <c r="T32" s="5" t="s">
        <v>7445</v>
      </c>
      <c r="U32" s="4" t="s">
        <v>4531</v>
      </c>
      <c r="V32" s="4" t="s">
        <v>4532</v>
      </c>
    </row>
    <row r="33" spans="1:36" ht="13.8">
      <c r="B33" s="262" t="s">
        <v>7685</v>
      </c>
      <c r="C33" s="263" t="s">
        <v>4323</v>
      </c>
      <c r="D33" s="264" t="s">
        <v>7686</v>
      </c>
      <c r="E33" s="2" t="s">
        <v>7560</v>
      </c>
      <c r="F33" s="5" t="s">
        <v>39</v>
      </c>
      <c r="G33" s="277" t="s">
        <v>4541</v>
      </c>
      <c r="H33" s="277" t="s">
        <v>4542</v>
      </c>
      <c r="I33" s="10" t="s">
        <v>44</v>
      </c>
      <c r="J33" s="10" t="s">
        <v>44</v>
      </c>
      <c r="K33" s="267">
        <v>9820359079</v>
      </c>
      <c r="L33" s="9" t="s">
        <v>44</v>
      </c>
      <c r="M33" s="267">
        <v>9820359079</v>
      </c>
      <c r="N33" s="10" t="s">
        <v>44</v>
      </c>
      <c r="O33" s="269" t="s">
        <v>4544</v>
      </c>
      <c r="P33" s="9" t="s">
        <v>47</v>
      </c>
      <c r="Q33" s="5" t="s">
        <v>1406</v>
      </c>
      <c r="R33" s="5" t="s">
        <v>49</v>
      </c>
      <c r="S33" s="5" t="s">
        <v>7444</v>
      </c>
      <c r="T33" s="5" t="s">
        <v>7445</v>
      </c>
      <c r="U33" s="4" t="s">
        <v>71</v>
      </c>
      <c r="V33" s="4" t="s">
        <v>71</v>
      </c>
    </row>
    <row r="34" spans="1:36" ht="13.8">
      <c r="B34" s="262" t="s">
        <v>7687</v>
      </c>
      <c r="C34" s="263" t="s">
        <v>4323</v>
      </c>
      <c r="D34" s="276" t="s">
        <v>7688</v>
      </c>
      <c r="E34" s="2" t="s">
        <v>7560</v>
      </c>
      <c r="F34" s="5" t="s">
        <v>39</v>
      </c>
      <c r="G34" s="277" t="s">
        <v>4548</v>
      </c>
      <c r="H34" s="277" t="s">
        <v>4549</v>
      </c>
      <c r="I34" s="10" t="s">
        <v>44</v>
      </c>
      <c r="J34" s="10" t="s">
        <v>44</v>
      </c>
      <c r="K34" s="10">
        <v>8824466187</v>
      </c>
      <c r="L34" s="9" t="s">
        <v>44</v>
      </c>
      <c r="M34" s="10">
        <v>8824466187</v>
      </c>
      <c r="N34" s="10" t="s">
        <v>44</v>
      </c>
      <c r="O34" s="9" t="s">
        <v>4551</v>
      </c>
      <c r="P34" s="10" t="s">
        <v>47</v>
      </c>
      <c r="Q34" s="5" t="s">
        <v>1406</v>
      </c>
      <c r="R34" s="5" t="s">
        <v>49</v>
      </c>
      <c r="S34" s="5" t="s">
        <v>7444</v>
      </c>
      <c r="T34" s="5" t="s">
        <v>7445</v>
      </c>
      <c r="U34" s="4" t="s">
        <v>71</v>
      </c>
      <c r="V34" s="4" t="s">
        <v>4547</v>
      </c>
    </row>
    <row r="35" spans="1:36" ht="13.8">
      <c r="B35" s="262" t="s">
        <v>7689</v>
      </c>
      <c r="C35" s="263" t="s">
        <v>4323</v>
      </c>
      <c r="D35" s="276" t="s">
        <v>7690</v>
      </c>
      <c r="E35" s="2" t="s">
        <v>7560</v>
      </c>
      <c r="F35" s="5" t="s">
        <v>39</v>
      </c>
      <c r="G35" s="277" t="s">
        <v>4554</v>
      </c>
      <c r="H35" s="277" t="s">
        <v>4555</v>
      </c>
      <c r="I35" s="10" t="s">
        <v>44</v>
      </c>
      <c r="J35" s="10" t="s">
        <v>44</v>
      </c>
      <c r="K35" s="267">
        <v>9920399723</v>
      </c>
      <c r="L35" s="9" t="s">
        <v>44</v>
      </c>
      <c r="M35" s="267">
        <v>9920399723</v>
      </c>
      <c r="N35" s="10" t="s">
        <v>44</v>
      </c>
      <c r="O35" s="269" t="s">
        <v>4557</v>
      </c>
      <c r="P35" s="9" t="s">
        <v>47</v>
      </c>
      <c r="Q35" s="5" t="s">
        <v>1406</v>
      </c>
      <c r="R35" s="5" t="s">
        <v>49</v>
      </c>
      <c r="S35" s="5" t="s">
        <v>7444</v>
      </c>
      <c r="T35" s="5" t="s">
        <v>7445</v>
      </c>
      <c r="U35" s="4" t="s">
        <v>71</v>
      </c>
      <c r="V35" s="4" t="s">
        <v>4553</v>
      </c>
    </row>
    <row r="36" spans="1:36" ht="13.8">
      <c r="B36" s="262" t="s">
        <v>7691</v>
      </c>
      <c r="C36" s="263" t="s">
        <v>4323</v>
      </c>
      <c r="D36" s="276" t="s">
        <v>7692</v>
      </c>
      <c r="E36" s="2" t="s">
        <v>7560</v>
      </c>
      <c r="F36" s="5" t="s">
        <v>39</v>
      </c>
      <c r="G36" s="277" t="s">
        <v>7669</v>
      </c>
      <c r="H36" s="277" t="s">
        <v>4562</v>
      </c>
      <c r="I36" s="277" t="s">
        <v>4563</v>
      </c>
      <c r="J36" s="10" t="s">
        <v>44</v>
      </c>
      <c r="K36" s="10">
        <v>7738106055</v>
      </c>
      <c r="L36" s="9" t="s">
        <v>44</v>
      </c>
      <c r="M36" s="10">
        <v>7738106055</v>
      </c>
      <c r="N36" s="10" t="s">
        <v>44</v>
      </c>
      <c r="O36" s="9" t="s">
        <v>4564</v>
      </c>
      <c r="P36" s="10" t="s">
        <v>47</v>
      </c>
      <c r="Q36" s="5" t="s">
        <v>1406</v>
      </c>
      <c r="R36" s="5" t="s">
        <v>49</v>
      </c>
      <c r="S36" s="5" t="s">
        <v>7444</v>
      </c>
      <c r="T36" s="5" t="s">
        <v>7445</v>
      </c>
      <c r="U36" s="4" t="s">
        <v>71</v>
      </c>
      <c r="V36" s="4" t="s">
        <v>4560</v>
      </c>
    </row>
    <row r="37" spans="1:36" ht="13.8">
      <c r="B37" s="262" t="s">
        <v>7693</v>
      </c>
      <c r="C37" s="263" t="s">
        <v>4323</v>
      </c>
      <c r="D37" s="276" t="s">
        <v>7694</v>
      </c>
      <c r="E37" s="2" t="s">
        <v>7560</v>
      </c>
      <c r="F37" s="5" t="s">
        <v>39</v>
      </c>
      <c r="G37" s="277" t="s">
        <v>4595</v>
      </c>
      <c r="H37" s="277" t="s">
        <v>4596</v>
      </c>
      <c r="I37" s="10" t="s">
        <v>44</v>
      </c>
      <c r="J37" s="10" t="s">
        <v>44</v>
      </c>
      <c r="K37" s="280">
        <v>8828053118</v>
      </c>
      <c r="L37" s="9" t="s">
        <v>44</v>
      </c>
      <c r="M37" s="10">
        <v>8828053118</v>
      </c>
      <c r="N37" s="10" t="s">
        <v>44</v>
      </c>
      <c r="O37" s="9" t="s">
        <v>4598</v>
      </c>
      <c r="P37" s="10" t="s">
        <v>47</v>
      </c>
      <c r="Q37" s="5" t="s">
        <v>1406</v>
      </c>
      <c r="R37" s="5" t="s">
        <v>49</v>
      </c>
      <c r="S37" s="5" t="s">
        <v>7444</v>
      </c>
      <c r="T37" s="5" t="s">
        <v>7445</v>
      </c>
      <c r="U37" s="4" t="s">
        <v>71</v>
      </c>
      <c r="V37" s="4" t="s">
        <v>4594</v>
      </c>
    </row>
    <row r="38" spans="1:36" ht="13.8">
      <c r="B38" s="262" t="s">
        <v>7695</v>
      </c>
      <c r="C38" s="263" t="s">
        <v>4323</v>
      </c>
      <c r="D38" s="276" t="s">
        <v>7696</v>
      </c>
      <c r="E38" s="2" t="s">
        <v>7560</v>
      </c>
      <c r="F38" s="5" t="s">
        <v>39</v>
      </c>
      <c r="G38" s="277" t="s">
        <v>4600</v>
      </c>
      <c r="H38" s="277" t="s">
        <v>4601</v>
      </c>
      <c r="I38" s="277" t="s">
        <v>4602</v>
      </c>
      <c r="J38" s="10" t="s">
        <v>44</v>
      </c>
      <c r="K38" s="280">
        <v>9820862583</v>
      </c>
      <c r="L38" s="9" t="s">
        <v>44</v>
      </c>
      <c r="M38" s="267">
        <v>9820862583</v>
      </c>
      <c r="N38" s="10" t="s">
        <v>44</v>
      </c>
      <c r="O38" s="269" t="s">
        <v>4604</v>
      </c>
      <c r="P38" s="9" t="s">
        <v>47</v>
      </c>
      <c r="Q38" s="5" t="s">
        <v>1406</v>
      </c>
      <c r="R38" s="5" t="s">
        <v>49</v>
      </c>
      <c r="S38" s="5" t="s">
        <v>7444</v>
      </c>
      <c r="T38" s="5" t="s">
        <v>7445</v>
      </c>
      <c r="U38" s="4" t="s">
        <v>71</v>
      </c>
      <c r="V38" s="4" t="s">
        <v>71</v>
      </c>
    </row>
    <row r="39" spans="1:36" ht="13.8">
      <c r="B39" s="262" t="s">
        <v>7697</v>
      </c>
      <c r="C39" s="263" t="s">
        <v>4323</v>
      </c>
      <c r="D39" s="276" t="s">
        <v>7698</v>
      </c>
      <c r="E39" s="2" t="s">
        <v>7560</v>
      </c>
      <c r="F39" s="5" t="s">
        <v>39</v>
      </c>
      <c r="G39" s="277" t="s">
        <v>7699</v>
      </c>
      <c r="H39" s="277" t="s">
        <v>4608</v>
      </c>
      <c r="I39" s="10" t="s">
        <v>44</v>
      </c>
      <c r="J39" s="10" t="s">
        <v>44</v>
      </c>
      <c r="K39" s="280">
        <v>9619040158</v>
      </c>
      <c r="L39" s="9" t="s">
        <v>44</v>
      </c>
      <c r="M39" s="10">
        <v>9619040158</v>
      </c>
      <c r="N39" s="10" t="s">
        <v>44</v>
      </c>
      <c r="O39" s="9" t="s">
        <v>4610</v>
      </c>
      <c r="P39" s="10" t="s">
        <v>47</v>
      </c>
      <c r="Q39" s="5" t="s">
        <v>1406</v>
      </c>
      <c r="R39" s="5" t="s">
        <v>49</v>
      </c>
      <c r="S39" s="5" t="s">
        <v>7444</v>
      </c>
      <c r="T39" s="5" t="s">
        <v>7445</v>
      </c>
      <c r="U39" s="4" t="s">
        <v>71</v>
      </c>
      <c r="V39" s="4" t="s">
        <v>4606</v>
      </c>
    </row>
    <row r="40" spans="1:36" ht="13.8">
      <c r="B40" s="262" t="s">
        <v>7700</v>
      </c>
      <c r="C40" s="263" t="s">
        <v>4323</v>
      </c>
      <c r="D40" s="276" t="s">
        <v>7701</v>
      </c>
      <c r="E40" s="2" t="s">
        <v>7560</v>
      </c>
      <c r="F40" s="5" t="s">
        <v>39</v>
      </c>
      <c r="G40" s="277" t="s">
        <v>4613</v>
      </c>
      <c r="H40" s="277" t="s">
        <v>4614</v>
      </c>
      <c r="I40" s="10" t="s">
        <v>44</v>
      </c>
      <c r="J40" s="10" t="s">
        <v>44</v>
      </c>
      <c r="K40" s="280">
        <v>9892841461</v>
      </c>
      <c r="L40" s="9" t="s">
        <v>44</v>
      </c>
      <c r="M40" s="267">
        <v>9892841461</v>
      </c>
      <c r="N40" s="10" t="s">
        <v>44</v>
      </c>
      <c r="O40" s="269" t="s">
        <v>4615</v>
      </c>
      <c r="P40" s="9" t="s">
        <v>47</v>
      </c>
      <c r="Q40" s="5" t="s">
        <v>1406</v>
      </c>
      <c r="R40" s="5" t="s">
        <v>49</v>
      </c>
      <c r="S40" s="5" t="s">
        <v>7444</v>
      </c>
      <c r="T40" s="5" t="s">
        <v>7445</v>
      </c>
      <c r="U40" s="4" t="s">
        <v>71</v>
      </c>
      <c r="V40" s="4" t="s">
        <v>4612</v>
      </c>
    </row>
    <row r="41" spans="1:36" ht="15.6">
      <c r="B41" s="286" t="s">
        <v>7702</v>
      </c>
      <c r="C41" s="263" t="s">
        <v>4323</v>
      </c>
      <c r="D41" s="264" t="s">
        <v>7703</v>
      </c>
      <c r="E41" s="2" t="s">
        <v>7560</v>
      </c>
      <c r="F41" s="5" t="s">
        <v>39</v>
      </c>
      <c r="G41" s="265" t="s">
        <v>4619</v>
      </c>
      <c r="H41" s="110" t="s">
        <v>7704</v>
      </c>
      <c r="I41" s="265" t="s">
        <v>4621</v>
      </c>
      <c r="J41" s="10" t="s">
        <v>44</v>
      </c>
      <c r="K41" s="280">
        <v>9920421202</v>
      </c>
      <c r="L41" s="9" t="s">
        <v>44</v>
      </c>
      <c r="M41" s="10">
        <v>9920421202</v>
      </c>
      <c r="N41" s="10" t="s">
        <v>44</v>
      </c>
      <c r="O41" s="10" t="s">
        <v>44</v>
      </c>
      <c r="P41" s="10" t="s">
        <v>47</v>
      </c>
      <c r="Q41" s="5" t="s">
        <v>1406</v>
      </c>
      <c r="R41" s="5" t="s">
        <v>49</v>
      </c>
      <c r="S41" s="5" t="s">
        <v>7444</v>
      </c>
      <c r="T41" s="5" t="s">
        <v>7445</v>
      </c>
      <c r="U41" s="4" t="s">
        <v>71</v>
      </c>
      <c r="V41" s="4" t="s">
        <v>4618</v>
      </c>
    </row>
    <row r="42" spans="1:36" ht="13.8">
      <c r="A42" s="287"/>
      <c r="B42" s="288" t="s">
        <v>7705</v>
      </c>
      <c r="C42" s="263" t="s">
        <v>4323</v>
      </c>
      <c r="D42" s="287"/>
      <c r="E42" s="2" t="s">
        <v>7560</v>
      </c>
      <c r="F42" s="5" t="s">
        <v>39</v>
      </c>
      <c r="G42" s="4" t="s">
        <v>7706</v>
      </c>
      <c r="H42" s="4" t="s">
        <v>7707</v>
      </c>
      <c r="I42" s="4" t="s">
        <v>7708</v>
      </c>
      <c r="J42" s="4" t="s">
        <v>7709</v>
      </c>
      <c r="K42" s="4">
        <v>8450932081</v>
      </c>
      <c r="L42" s="9" t="s">
        <v>44</v>
      </c>
      <c r="M42" s="10" t="s">
        <v>44</v>
      </c>
      <c r="N42" s="289" t="s">
        <v>7710</v>
      </c>
      <c r="O42" s="272" t="s">
        <v>7711</v>
      </c>
      <c r="P42" s="10" t="s">
        <v>47</v>
      </c>
      <c r="Q42" s="5" t="s">
        <v>1406</v>
      </c>
      <c r="R42" s="5" t="s">
        <v>49</v>
      </c>
      <c r="S42" s="5" t="s">
        <v>7444</v>
      </c>
      <c r="T42" s="5" t="s">
        <v>7445</v>
      </c>
      <c r="U42" s="4" t="s">
        <v>7712</v>
      </c>
      <c r="V42" s="4" t="s">
        <v>7713</v>
      </c>
      <c r="W42" s="287"/>
      <c r="X42" s="287"/>
      <c r="Y42" s="273" t="s">
        <v>7714</v>
      </c>
      <c r="Z42" s="275"/>
      <c r="AA42" s="275"/>
      <c r="AB42" s="287"/>
      <c r="AC42" s="287"/>
      <c r="AD42" s="287"/>
      <c r="AE42" s="287"/>
      <c r="AF42" s="287"/>
      <c r="AG42" s="287"/>
      <c r="AH42" s="287"/>
      <c r="AI42" s="287"/>
      <c r="AJ42" s="287"/>
    </row>
    <row r="43" spans="1:36" ht="13.8">
      <c r="A43" s="287"/>
      <c r="B43" s="288" t="s">
        <v>7715</v>
      </c>
      <c r="C43" s="263" t="s">
        <v>4323</v>
      </c>
      <c r="D43" s="287"/>
      <c r="E43" s="2" t="s">
        <v>7560</v>
      </c>
      <c r="F43" s="5" t="s">
        <v>39</v>
      </c>
      <c r="G43" s="4" t="s">
        <v>7716</v>
      </c>
      <c r="H43" s="4" t="s">
        <v>7717</v>
      </c>
      <c r="I43" s="4" t="s">
        <v>7718</v>
      </c>
      <c r="J43" s="4" t="s">
        <v>7719</v>
      </c>
      <c r="K43" s="4">
        <v>7977450359</v>
      </c>
      <c r="L43" s="9" t="s">
        <v>44</v>
      </c>
      <c r="M43" s="10" t="s">
        <v>44</v>
      </c>
      <c r="N43" s="275"/>
      <c r="O43" s="272" t="s">
        <v>7720</v>
      </c>
      <c r="P43" s="9" t="s">
        <v>47</v>
      </c>
      <c r="Q43" s="5" t="s">
        <v>1406</v>
      </c>
      <c r="R43" s="5" t="s">
        <v>49</v>
      </c>
      <c r="S43" s="5" t="s">
        <v>7444</v>
      </c>
      <c r="T43" s="5" t="s">
        <v>7445</v>
      </c>
      <c r="U43" s="4" t="s">
        <v>7721</v>
      </c>
      <c r="V43" s="4" t="s">
        <v>7722</v>
      </c>
      <c r="W43" s="287"/>
      <c r="X43" s="287"/>
      <c r="Y43" s="273" t="s">
        <v>7723</v>
      </c>
      <c r="Z43" s="275"/>
      <c r="AA43" s="275"/>
      <c r="AB43" s="287"/>
      <c r="AC43" s="287"/>
      <c r="AD43" s="287"/>
      <c r="AE43" s="287"/>
      <c r="AF43" s="287"/>
      <c r="AG43" s="287"/>
      <c r="AH43" s="287"/>
      <c r="AI43" s="287"/>
      <c r="AJ43" s="287"/>
    </row>
    <row r="44" spans="1:36" ht="13.8">
      <c r="A44" s="287"/>
      <c r="B44" s="288" t="s">
        <v>7724</v>
      </c>
      <c r="C44" s="263" t="s">
        <v>4323</v>
      </c>
      <c r="D44" s="287"/>
      <c r="E44" s="2" t="s">
        <v>7560</v>
      </c>
      <c r="F44" s="5" t="s">
        <v>39</v>
      </c>
      <c r="G44" s="4" t="s">
        <v>7725</v>
      </c>
      <c r="H44" s="4" t="s">
        <v>7726</v>
      </c>
      <c r="I44" s="4" t="s">
        <v>7727</v>
      </c>
      <c r="J44" s="4" t="s">
        <v>7728</v>
      </c>
      <c r="K44" s="4">
        <v>9322864983</v>
      </c>
      <c r="L44" s="9" t="s">
        <v>44</v>
      </c>
      <c r="M44" s="10" t="s">
        <v>44</v>
      </c>
      <c r="N44" s="283"/>
      <c r="O44" s="290" t="s">
        <v>7729</v>
      </c>
      <c r="P44" s="10" t="s">
        <v>47</v>
      </c>
      <c r="Q44" s="5" t="s">
        <v>1406</v>
      </c>
      <c r="R44" s="5" t="s">
        <v>49</v>
      </c>
      <c r="S44" s="5" t="s">
        <v>7444</v>
      </c>
      <c r="T44" s="5" t="s">
        <v>7445</v>
      </c>
      <c r="U44" s="4" t="s">
        <v>7730</v>
      </c>
      <c r="V44" s="4" t="s">
        <v>7731</v>
      </c>
      <c r="W44" s="287"/>
      <c r="X44" s="287"/>
      <c r="Y44" s="285" t="s">
        <v>7732</v>
      </c>
      <c r="Z44" s="283"/>
      <c r="AA44" s="283"/>
      <c r="AB44" s="287"/>
      <c r="AC44" s="287"/>
      <c r="AD44" s="287"/>
      <c r="AE44" s="287"/>
      <c r="AF44" s="287"/>
      <c r="AG44" s="287"/>
      <c r="AH44" s="287"/>
      <c r="AI44" s="287"/>
      <c r="AJ44" s="287"/>
    </row>
    <row r="45" spans="1:36" ht="13.8">
      <c r="A45" s="287"/>
      <c r="B45" s="288" t="s">
        <v>7733</v>
      </c>
      <c r="C45" s="263" t="s">
        <v>4323</v>
      </c>
      <c r="D45" s="287"/>
      <c r="E45" s="2" t="s">
        <v>7560</v>
      </c>
      <c r="F45" s="5" t="s">
        <v>39</v>
      </c>
      <c r="G45" s="4" t="s">
        <v>7734</v>
      </c>
      <c r="H45" s="4" t="s">
        <v>7735</v>
      </c>
      <c r="I45" s="4" t="s">
        <v>1939</v>
      </c>
      <c r="J45" s="4" t="s">
        <v>7736</v>
      </c>
      <c r="K45" s="4">
        <v>9930549804</v>
      </c>
      <c r="L45" s="9" t="s">
        <v>44</v>
      </c>
      <c r="M45" s="10" t="s">
        <v>44</v>
      </c>
      <c r="N45" s="291" t="s">
        <v>7737</v>
      </c>
      <c r="O45" s="266" t="s">
        <v>7738</v>
      </c>
      <c r="P45" s="10" t="s">
        <v>47</v>
      </c>
      <c r="Q45" s="5" t="s">
        <v>1406</v>
      </c>
      <c r="R45" s="5" t="s">
        <v>49</v>
      </c>
      <c r="S45" s="5" t="s">
        <v>7444</v>
      </c>
      <c r="T45" s="5" t="s">
        <v>7445</v>
      </c>
      <c r="U45" s="4" t="s">
        <v>7739</v>
      </c>
      <c r="V45" s="4" t="s">
        <v>7740</v>
      </c>
      <c r="W45" s="287"/>
      <c r="X45" s="287"/>
      <c r="Y45" s="284" t="s">
        <v>7741</v>
      </c>
      <c r="Z45" s="284" t="s">
        <v>7742</v>
      </c>
      <c r="AA45" s="268"/>
      <c r="AB45" s="287"/>
      <c r="AC45" s="287"/>
      <c r="AD45" s="287"/>
      <c r="AE45" s="287"/>
      <c r="AF45" s="287"/>
      <c r="AG45" s="287"/>
      <c r="AH45" s="287"/>
      <c r="AI45" s="287"/>
      <c r="AJ45" s="287"/>
    </row>
    <row r="46" spans="1:36" ht="13.8">
      <c r="B46" s="292" t="s">
        <v>7743</v>
      </c>
      <c r="D46" s="287"/>
      <c r="E46" s="2" t="s">
        <v>7560</v>
      </c>
      <c r="F46" s="5" t="s">
        <v>39</v>
      </c>
      <c r="G46" s="4" t="s">
        <v>7744</v>
      </c>
      <c r="H46" s="4" t="s">
        <v>7745</v>
      </c>
      <c r="I46" s="4" t="s">
        <v>7746</v>
      </c>
      <c r="J46" s="4" t="s">
        <v>7747</v>
      </c>
      <c r="K46" s="4">
        <v>9820611490</v>
      </c>
      <c r="L46" s="9" t="s">
        <v>44</v>
      </c>
      <c r="M46" s="10" t="s">
        <v>44</v>
      </c>
      <c r="N46" s="293" t="s">
        <v>7748</v>
      </c>
      <c r="O46" s="290" t="s">
        <v>7749</v>
      </c>
      <c r="P46" s="10" t="s">
        <v>47</v>
      </c>
      <c r="Q46" s="5" t="s">
        <v>1406</v>
      </c>
      <c r="R46" s="5" t="s">
        <v>49</v>
      </c>
      <c r="S46" s="5" t="s">
        <v>7444</v>
      </c>
      <c r="T46" s="5" t="s">
        <v>7445</v>
      </c>
      <c r="Y46" s="285" t="s">
        <v>7750</v>
      </c>
      <c r="Z46" s="285" t="s">
        <v>7751</v>
      </c>
      <c r="AA46" s="285" t="s">
        <v>7752</v>
      </c>
    </row>
    <row r="47" spans="1:36" ht="13.8">
      <c r="A47" s="287"/>
      <c r="B47" s="288" t="s">
        <v>7753</v>
      </c>
      <c r="C47" s="263" t="s">
        <v>4323</v>
      </c>
      <c r="D47" s="287"/>
      <c r="E47" s="2" t="s">
        <v>7560</v>
      </c>
      <c r="F47" s="5" t="s">
        <v>39</v>
      </c>
      <c r="G47" s="4" t="s">
        <v>7754</v>
      </c>
      <c r="H47" s="4" t="s">
        <v>7755</v>
      </c>
      <c r="I47" s="4" t="s">
        <v>7756</v>
      </c>
      <c r="J47" s="4" t="s">
        <v>7757</v>
      </c>
      <c r="K47" s="4">
        <v>9891919133</v>
      </c>
      <c r="L47" s="9" t="s">
        <v>44</v>
      </c>
      <c r="M47" s="10" t="s">
        <v>44</v>
      </c>
      <c r="N47" s="291" t="s">
        <v>7758</v>
      </c>
      <c r="O47" s="268"/>
      <c r="P47" s="9" t="s">
        <v>47</v>
      </c>
      <c r="Q47" s="5" t="s">
        <v>1406</v>
      </c>
      <c r="R47" s="5" t="s">
        <v>49</v>
      </c>
      <c r="S47" s="5" t="s">
        <v>7444</v>
      </c>
      <c r="T47" s="5" t="s">
        <v>7445</v>
      </c>
      <c r="U47" s="287"/>
      <c r="V47" s="287"/>
      <c r="W47" s="287"/>
      <c r="X47" s="287"/>
      <c r="Y47" s="284" t="s">
        <v>7759</v>
      </c>
      <c r="Z47" s="268"/>
      <c r="AA47" s="268"/>
      <c r="AB47" s="287"/>
      <c r="AC47" s="287"/>
      <c r="AD47" s="287"/>
      <c r="AE47" s="287"/>
      <c r="AF47" s="287"/>
      <c r="AG47" s="287"/>
      <c r="AH47" s="287"/>
      <c r="AI47" s="287"/>
      <c r="AJ47" s="287"/>
    </row>
    <row r="48" spans="1:36" ht="13.8">
      <c r="A48" s="287"/>
      <c r="B48" s="288" t="s">
        <v>7760</v>
      </c>
      <c r="C48" s="263" t="s">
        <v>4323</v>
      </c>
      <c r="D48" s="287"/>
      <c r="E48" s="2" t="s">
        <v>7560</v>
      </c>
      <c r="F48" s="5" t="s">
        <v>39</v>
      </c>
      <c r="G48" s="4" t="s">
        <v>7761</v>
      </c>
      <c r="H48" s="4" t="s">
        <v>7762</v>
      </c>
      <c r="I48" s="4" t="s">
        <v>7763</v>
      </c>
      <c r="J48" s="4" t="s">
        <v>7764</v>
      </c>
      <c r="K48" s="4">
        <v>9004021698</v>
      </c>
      <c r="L48" s="9" t="s">
        <v>44</v>
      </c>
      <c r="M48" s="10" t="s">
        <v>44</v>
      </c>
      <c r="N48" s="293" t="s">
        <v>7765</v>
      </c>
      <c r="O48" s="290" t="s">
        <v>7766</v>
      </c>
      <c r="P48" s="10" t="s">
        <v>47</v>
      </c>
      <c r="Q48" s="5" t="s">
        <v>1406</v>
      </c>
      <c r="R48" s="5" t="s">
        <v>49</v>
      </c>
      <c r="S48" s="5" t="s">
        <v>7444</v>
      </c>
      <c r="T48" s="5" t="s">
        <v>7445</v>
      </c>
      <c r="U48" s="287"/>
      <c r="V48" s="287"/>
      <c r="W48" s="287"/>
      <c r="X48" s="287"/>
      <c r="Y48" s="285" t="s">
        <v>7767</v>
      </c>
      <c r="Z48" s="283"/>
      <c r="AA48" s="283"/>
      <c r="AB48" s="287"/>
      <c r="AC48" s="287"/>
      <c r="AD48" s="287"/>
      <c r="AE48" s="287"/>
      <c r="AF48" s="287"/>
      <c r="AG48" s="287"/>
      <c r="AH48" s="287"/>
      <c r="AI48" s="287"/>
      <c r="AJ48" s="287"/>
    </row>
    <row r="49" spans="2:20" ht="13.8">
      <c r="B49" s="292" t="s">
        <v>7768</v>
      </c>
      <c r="C49" s="263" t="s">
        <v>4323</v>
      </c>
      <c r="D49" s="4" t="s">
        <v>4323</v>
      </c>
      <c r="E49" s="2" t="s">
        <v>7560</v>
      </c>
      <c r="F49" s="5" t="s">
        <v>39</v>
      </c>
      <c r="G49" s="4" t="s">
        <v>2910</v>
      </c>
      <c r="H49" s="4" t="s">
        <v>2911</v>
      </c>
      <c r="I49" s="4" t="s">
        <v>2912</v>
      </c>
      <c r="J49" s="4" t="s">
        <v>2913</v>
      </c>
      <c r="K49" s="4">
        <v>9603314626</v>
      </c>
      <c r="N49" s="168" t="s">
        <v>2914</v>
      </c>
      <c r="O49" s="4" t="s">
        <v>6061</v>
      </c>
      <c r="P49" s="10" t="s">
        <v>47</v>
      </c>
      <c r="Q49" s="5" t="s">
        <v>1406</v>
      </c>
      <c r="R49" s="5" t="s">
        <v>49</v>
      </c>
      <c r="S49" s="5" t="s">
        <v>7444</v>
      </c>
      <c r="T49" s="5" t="s">
        <v>7445</v>
      </c>
    </row>
    <row r="50" spans="2:20" ht="13.8">
      <c r="G50" s="4"/>
      <c r="H50" s="4"/>
      <c r="I50" s="4"/>
    </row>
  </sheetData>
  <hyperlinks>
    <hyperlink ref="B4" r:id="rId1" xr:uid="{00000000-0004-0000-1100-000000000000}"/>
    <hyperlink ref="D4" r:id="rId2" xr:uid="{00000000-0004-0000-1100-000001000000}"/>
    <hyperlink ref="B5" r:id="rId3" xr:uid="{00000000-0004-0000-1100-000002000000}"/>
    <hyperlink ref="D5" r:id="rId4" xr:uid="{00000000-0004-0000-1100-000003000000}"/>
    <hyperlink ref="N5" r:id="rId5" xr:uid="{00000000-0004-0000-1100-000004000000}"/>
    <hyperlink ref="O5" r:id="rId6" xr:uid="{00000000-0004-0000-1100-000005000000}"/>
    <hyperlink ref="W5" r:id="rId7" xr:uid="{00000000-0004-0000-1100-000006000000}"/>
    <hyperlink ref="X5" r:id="rId8" xr:uid="{00000000-0004-0000-1100-000007000000}"/>
    <hyperlink ref="B6" r:id="rId9" xr:uid="{00000000-0004-0000-1100-000008000000}"/>
    <hyperlink ref="D6" r:id="rId10" xr:uid="{00000000-0004-0000-1100-000009000000}"/>
    <hyperlink ref="B7" r:id="rId11" xr:uid="{00000000-0004-0000-1100-00000A000000}"/>
    <hyperlink ref="D7" r:id="rId12" xr:uid="{00000000-0004-0000-1100-00000B000000}"/>
    <hyperlink ref="W7" r:id="rId13" xr:uid="{00000000-0004-0000-1100-00000C000000}"/>
    <hyperlink ref="B8" r:id="rId14" xr:uid="{00000000-0004-0000-1100-00000D000000}"/>
    <hyperlink ref="D8" r:id="rId15" xr:uid="{00000000-0004-0000-1100-00000E000000}"/>
    <hyperlink ref="N8" r:id="rId16" xr:uid="{00000000-0004-0000-1100-00000F000000}"/>
    <hyperlink ref="W8" r:id="rId17" xr:uid="{00000000-0004-0000-1100-000010000000}"/>
    <hyperlink ref="X8" r:id="rId18" xr:uid="{00000000-0004-0000-1100-000011000000}"/>
    <hyperlink ref="Y8" r:id="rId19" xr:uid="{00000000-0004-0000-1100-000012000000}"/>
    <hyperlink ref="B9" r:id="rId20" xr:uid="{00000000-0004-0000-1100-000013000000}"/>
    <hyperlink ref="D9" r:id="rId21" xr:uid="{00000000-0004-0000-1100-000014000000}"/>
    <hyperlink ref="Y9" r:id="rId22" xr:uid="{00000000-0004-0000-1100-000015000000}"/>
    <hyperlink ref="B10" r:id="rId23" xr:uid="{00000000-0004-0000-1100-000016000000}"/>
    <hyperlink ref="D10" r:id="rId24" xr:uid="{00000000-0004-0000-1100-000017000000}"/>
    <hyperlink ref="X10" r:id="rId25" xr:uid="{00000000-0004-0000-1100-000018000000}"/>
    <hyperlink ref="B11" r:id="rId26" xr:uid="{00000000-0004-0000-1100-000019000000}"/>
    <hyperlink ref="D11" r:id="rId27" xr:uid="{00000000-0004-0000-1100-00001A000000}"/>
    <hyperlink ref="N11" r:id="rId28" xr:uid="{00000000-0004-0000-1100-00001B000000}"/>
    <hyperlink ref="W11" r:id="rId29" xr:uid="{00000000-0004-0000-1100-00001C000000}"/>
    <hyperlink ref="X11" r:id="rId30" xr:uid="{00000000-0004-0000-1100-00001D000000}"/>
    <hyperlink ref="Y11" r:id="rId31" xr:uid="{00000000-0004-0000-1100-00001E000000}"/>
    <hyperlink ref="B12" r:id="rId32" xr:uid="{00000000-0004-0000-1100-00001F000000}"/>
    <hyperlink ref="D12" r:id="rId33" xr:uid="{00000000-0004-0000-1100-000020000000}"/>
    <hyperlink ref="B13" r:id="rId34" xr:uid="{00000000-0004-0000-1100-000021000000}"/>
    <hyperlink ref="D13" r:id="rId35" xr:uid="{00000000-0004-0000-1100-000022000000}"/>
    <hyperlink ref="B14" r:id="rId36" xr:uid="{00000000-0004-0000-1100-000023000000}"/>
    <hyperlink ref="D14" r:id="rId37" xr:uid="{00000000-0004-0000-1100-000024000000}"/>
    <hyperlink ref="N14" r:id="rId38" xr:uid="{00000000-0004-0000-1100-000025000000}"/>
    <hyperlink ref="Y14" r:id="rId39" xr:uid="{00000000-0004-0000-1100-000026000000}"/>
    <hyperlink ref="B15" r:id="rId40" xr:uid="{00000000-0004-0000-1100-000027000000}"/>
    <hyperlink ref="D15" r:id="rId41" xr:uid="{00000000-0004-0000-1100-000028000000}"/>
    <hyperlink ref="N15" r:id="rId42" xr:uid="{00000000-0004-0000-1100-000029000000}"/>
    <hyperlink ref="W15" r:id="rId43" xr:uid="{00000000-0004-0000-1100-00002A000000}"/>
    <hyperlink ref="B16" r:id="rId44" xr:uid="{00000000-0004-0000-1100-00002B000000}"/>
    <hyperlink ref="D16" r:id="rId45" xr:uid="{00000000-0004-0000-1100-00002C000000}"/>
    <hyperlink ref="W16" r:id="rId46" xr:uid="{00000000-0004-0000-1100-00002D000000}"/>
    <hyperlink ref="X16" r:id="rId47" xr:uid="{00000000-0004-0000-1100-00002E000000}"/>
    <hyperlink ref="B17" r:id="rId48" xr:uid="{00000000-0004-0000-1100-00002F000000}"/>
    <hyperlink ref="D17" r:id="rId49" xr:uid="{00000000-0004-0000-1100-000030000000}"/>
    <hyperlink ref="N17" r:id="rId50" xr:uid="{00000000-0004-0000-1100-000031000000}"/>
    <hyperlink ref="B18" r:id="rId51" xr:uid="{00000000-0004-0000-1100-000032000000}"/>
    <hyperlink ref="D18" r:id="rId52" xr:uid="{00000000-0004-0000-1100-000033000000}"/>
    <hyperlink ref="N18" r:id="rId53" xr:uid="{00000000-0004-0000-1100-000034000000}"/>
    <hyperlink ref="W18" r:id="rId54" xr:uid="{00000000-0004-0000-1100-000035000000}"/>
    <hyperlink ref="X18" r:id="rId55" xr:uid="{00000000-0004-0000-1100-000036000000}"/>
    <hyperlink ref="Y18" r:id="rId56" xr:uid="{00000000-0004-0000-1100-000037000000}"/>
    <hyperlink ref="B19" r:id="rId57" xr:uid="{00000000-0004-0000-1100-000038000000}"/>
    <hyperlink ref="D19" r:id="rId58" xr:uid="{00000000-0004-0000-1100-000039000000}"/>
    <hyperlink ref="N19" r:id="rId59" xr:uid="{00000000-0004-0000-1100-00003A000000}"/>
    <hyperlink ref="B20" r:id="rId60" xr:uid="{00000000-0004-0000-1100-00003B000000}"/>
    <hyperlink ref="D20" r:id="rId61" xr:uid="{00000000-0004-0000-1100-00003C000000}"/>
    <hyperlink ref="N20" r:id="rId62" xr:uid="{00000000-0004-0000-1100-00003D000000}"/>
    <hyperlink ref="W20" r:id="rId63" xr:uid="{00000000-0004-0000-1100-00003E000000}"/>
    <hyperlink ref="B21" r:id="rId64" xr:uid="{00000000-0004-0000-1100-00003F000000}"/>
    <hyperlink ref="D21" r:id="rId65" xr:uid="{00000000-0004-0000-1100-000040000000}"/>
    <hyperlink ref="B22" r:id="rId66" xr:uid="{00000000-0004-0000-1100-000041000000}"/>
    <hyperlink ref="D22" r:id="rId67" xr:uid="{00000000-0004-0000-1100-000042000000}"/>
    <hyperlink ref="N22" r:id="rId68" xr:uid="{00000000-0004-0000-1100-000043000000}"/>
    <hyperlink ref="W22" r:id="rId69" xr:uid="{00000000-0004-0000-1100-000044000000}"/>
    <hyperlink ref="B23" r:id="rId70" xr:uid="{00000000-0004-0000-1100-000045000000}"/>
    <hyperlink ref="D23" r:id="rId71" xr:uid="{00000000-0004-0000-1100-000046000000}"/>
    <hyperlink ref="N23" r:id="rId72" xr:uid="{00000000-0004-0000-1100-000047000000}"/>
    <hyperlink ref="W23" r:id="rId73" xr:uid="{00000000-0004-0000-1100-000048000000}"/>
    <hyperlink ref="X23" r:id="rId74" xr:uid="{00000000-0004-0000-1100-000049000000}"/>
    <hyperlink ref="B24" r:id="rId75" xr:uid="{00000000-0004-0000-1100-00004A000000}"/>
    <hyperlink ref="D24" r:id="rId76" xr:uid="{00000000-0004-0000-1100-00004B000000}"/>
    <hyperlink ref="B25" r:id="rId77" xr:uid="{00000000-0004-0000-1100-00004C000000}"/>
    <hyperlink ref="D25" r:id="rId78" xr:uid="{00000000-0004-0000-1100-00004D000000}"/>
    <hyperlink ref="B26" r:id="rId79" xr:uid="{00000000-0004-0000-1100-00004E000000}"/>
    <hyperlink ref="D26" r:id="rId80" xr:uid="{00000000-0004-0000-1100-00004F000000}"/>
    <hyperlink ref="B27" r:id="rId81" xr:uid="{00000000-0004-0000-1100-000050000000}"/>
    <hyperlink ref="D27" r:id="rId82" xr:uid="{00000000-0004-0000-1100-000051000000}"/>
    <hyperlink ref="B28" r:id="rId83" xr:uid="{00000000-0004-0000-1100-000052000000}"/>
    <hyperlink ref="D28" r:id="rId84" xr:uid="{00000000-0004-0000-1100-000053000000}"/>
    <hyperlink ref="B29" r:id="rId85" xr:uid="{00000000-0004-0000-1100-000054000000}"/>
    <hyperlink ref="D29" r:id="rId86" xr:uid="{00000000-0004-0000-1100-000055000000}"/>
    <hyperlink ref="B30" r:id="rId87" xr:uid="{00000000-0004-0000-1100-000056000000}"/>
    <hyperlink ref="D30" r:id="rId88" xr:uid="{00000000-0004-0000-1100-000057000000}"/>
    <hyperlink ref="B31" r:id="rId89" xr:uid="{00000000-0004-0000-1100-000058000000}"/>
    <hyperlink ref="D31" r:id="rId90" xr:uid="{00000000-0004-0000-1100-000059000000}"/>
    <hyperlink ref="B32" r:id="rId91" xr:uid="{00000000-0004-0000-1100-00005A000000}"/>
    <hyperlink ref="D32" r:id="rId92" xr:uid="{00000000-0004-0000-1100-00005B000000}"/>
    <hyperlink ref="B33" r:id="rId93" xr:uid="{00000000-0004-0000-1100-00005C000000}"/>
    <hyperlink ref="D33" r:id="rId94" xr:uid="{00000000-0004-0000-1100-00005D000000}"/>
    <hyperlink ref="B34" r:id="rId95" xr:uid="{00000000-0004-0000-1100-00005E000000}"/>
    <hyperlink ref="D34" r:id="rId96" xr:uid="{00000000-0004-0000-1100-00005F000000}"/>
    <hyperlink ref="B35" r:id="rId97" xr:uid="{00000000-0004-0000-1100-000060000000}"/>
    <hyperlink ref="D35" r:id="rId98" xr:uid="{00000000-0004-0000-1100-000061000000}"/>
    <hyperlink ref="B36" r:id="rId99" xr:uid="{00000000-0004-0000-1100-000062000000}"/>
    <hyperlink ref="D36" r:id="rId100" xr:uid="{00000000-0004-0000-1100-000063000000}"/>
    <hyperlink ref="B37" r:id="rId101" xr:uid="{00000000-0004-0000-1100-000064000000}"/>
    <hyperlink ref="D37" r:id="rId102" xr:uid="{00000000-0004-0000-1100-000065000000}"/>
    <hyperlink ref="B38" r:id="rId103" xr:uid="{00000000-0004-0000-1100-000066000000}"/>
    <hyperlink ref="D38" r:id="rId104" xr:uid="{00000000-0004-0000-1100-000067000000}"/>
    <hyperlink ref="B39" r:id="rId105" xr:uid="{00000000-0004-0000-1100-000068000000}"/>
    <hyperlink ref="D39" r:id="rId106" xr:uid="{00000000-0004-0000-1100-000069000000}"/>
    <hyperlink ref="B40" r:id="rId107" xr:uid="{00000000-0004-0000-1100-00006A000000}"/>
    <hyperlink ref="D40" r:id="rId108" xr:uid="{00000000-0004-0000-1100-00006B000000}"/>
    <hyperlink ref="B41" r:id="rId109" xr:uid="{00000000-0004-0000-1100-00006C000000}"/>
    <hyperlink ref="D41" r:id="rId110" xr:uid="{00000000-0004-0000-1100-00006D000000}"/>
    <hyperlink ref="B42" r:id="rId111" xr:uid="{00000000-0004-0000-1100-00006E000000}"/>
    <hyperlink ref="N42" r:id="rId112" xr:uid="{00000000-0004-0000-1100-00006F000000}"/>
    <hyperlink ref="Y42" r:id="rId113" xr:uid="{00000000-0004-0000-1100-000070000000}"/>
    <hyperlink ref="B43" r:id="rId114" xr:uid="{00000000-0004-0000-1100-000071000000}"/>
    <hyperlink ref="Y43" r:id="rId115" xr:uid="{00000000-0004-0000-1100-000072000000}"/>
    <hyperlink ref="B44" r:id="rId116" xr:uid="{00000000-0004-0000-1100-000073000000}"/>
    <hyperlink ref="Y44" r:id="rId117" xr:uid="{00000000-0004-0000-1100-000074000000}"/>
    <hyperlink ref="B45" r:id="rId118" xr:uid="{00000000-0004-0000-1100-000075000000}"/>
    <hyperlink ref="N45" r:id="rId119" xr:uid="{00000000-0004-0000-1100-000076000000}"/>
    <hyperlink ref="Y45" r:id="rId120" xr:uid="{00000000-0004-0000-1100-000077000000}"/>
    <hyperlink ref="Z45" r:id="rId121" xr:uid="{00000000-0004-0000-1100-000078000000}"/>
    <hyperlink ref="B46" r:id="rId122" xr:uid="{00000000-0004-0000-1100-000079000000}"/>
    <hyperlink ref="N46" r:id="rId123" xr:uid="{00000000-0004-0000-1100-00007A000000}"/>
    <hyperlink ref="Y46" r:id="rId124" xr:uid="{00000000-0004-0000-1100-00007B000000}"/>
    <hyperlink ref="Z46" r:id="rId125" xr:uid="{00000000-0004-0000-1100-00007C000000}"/>
    <hyperlink ref="AA46" r:id="rId126" xr:uid="{00000000-0004-0000-1100-00007D000000}"/>
    <hyperlink ref="B47" r:id="rId127" xr:uid="{00000000-0004-0000-1100-00007E000000}"/>
    <hyperlink ref="N47" r:id="rId128" xr:uid="{00000000-0004-0000-1100-00007F000000}"/>
    <hyperlink ref="Y47" r:id="rId129" xr:uid="{00000000-0004-0000-1100-000080000000}"/>
    <hyperlink ref="B48" r:id="rId130" xr:uid="{00000000-0004-0000-1100-000081000000}"/>
    <hyperlink ref="N48" r:id="rId131" xr:uid="{00000000-0004-0000-1100-000082000000}"/>
    <hyperlink ref="Y48" r:id="rId132" xr:uid="{00000000-0004-0000-1100-000083000000}"/>
    <hyperlink ref="B49" r:id="rId133" xr:uid="{00000000-0004-0000-1100-000084000000}"/>
    <hyperlink ref="N49" r:id="rId134" xr:uid="{00000000-0004-0000-1100-000085000000}"/>
  </hyperlinks>
  <pageMargins left="0.7" right="0.7" top="0.75" bottom="0.75" header="0.3" footer="0.3"/>
  <tableParts count="8">
    <tablePart r:id="rId135"/>
    <tablePart r:id="rId136"/>
    <tablePart r:id="rId137"/>
    <tablePart r:id="rId138"/>
    <tablePart r:id="rId139"/>
    <tablePart r:id="rId140"/>
    <tablePart r:id="rId141"/>
    <tablePart r:id="rId14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3:AP95"/>
  <sheetViews>
    <sheetView workbookViewId="0">
      <selection activeCell="C46" sqref="C46"/>
    </sheetView>
  </sheetViews>
  <sheetFormatPr defaultColWidth="12.6640625" defaultRowHeight="15.75" customHeight="1"/>
  <cols>
    <col min="1" max="1" width="26.21875" customWidth="1"/>
    <col min="2" max="2" width="7.109375" bestFit="1" customWidth="1"/>
    <col min="3" max="3" width="67.21875" bestFit="1" customWidth="1"/>
    <col min="5" max="5" width="38.33203125" customWidth="1"/>
    <col min="6" max="6" width="27.77734375" customWidth="1"/>
    <col min="13" max="13" width="16.44140625" customWidth="1"/>
    <col min="19" max="19" width="4.33203125" bestFit="1" customWidth="1"/>
    <col min="24" max="24" width="40.5546875" bestFit="1" customWidth="1"/>
  </cols>
  <sheetData>
    <row r="3" spans="1:42" ht="13.8">
      <c r="A3" s="90"/>
      <c r="B3" s="90" t="s">
        <v>1</v>
      </c>
      <c r="C3" s="2" t="s">
        <v>639</v>
      </c>
      <c r="D3" s="2" t="s">
        <v>640</v>
      </c>
      <c r="E3" s="2" t="s">
        <v>1050</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2687</v>
      </c>
      <c r="AE3" s="5" t="s">
        <v>28</v>
      </c>
      <c r="AF3" s="5" t="s">
        <v>1546</v>
      </c>
      <c r="AG3" s="5" t="s">
        <v>29</v>
      </c>
      <c r="AH3" s="5" t="s">
        <v>1546</v>
      </c>
      <c r="AI3" s="5" t="s">
        <v>30</v>
      </c>
      <c r="AJ3" s="5" t="s">
        <v>1546</v>
      </c>
      <c r="AK3" s="5" t="s">
        <v>31</v>
      </c>
      <c r="AL3" s="5" t="s">
        <v>1546</v>
      </c>
      <c r="AM3" s="5" t="s">
        <v>32</v>
      </c>
      <c r="AN3" s="5" t="s">
        <v>1546</v>
      </c>
      <c r="AO3" s="5" t="s">
        <v>33</v>
      </c>
      <c r="AP3" s="5" t="s">
        <v>1546</v>
      </c>
    </row>
    <row r="4" spans="1:42" ht="13.8" hidden="1">
      <c r="A4" s="166"/>
      <c r="B4" s="166">
        <v>689</v>
      </c>
      <c r="C4" s="4" t="s">
        <v>2688</v>
      </c>
      <c r="D4" s="4">
        <v>919</v>
      </c>
      <c r="E4" s="4"/>
    </row>
    <row r="5" spans="1:42" ht="13.8" hidden="1">
      <c r="A5" s="166"/>
      <c r="B5" s="166">
        <v>690</v>
      </c>
      <c r="C5" s="4" t="s">
        <v>2688</v>
      </c>
      <c r="D5" s="4">
        <v>918</v>
      </c>
      <c r="E5" s="4"/>
    </row>
    <row r="6" spans="1:42" ht="13.8" hidden="1">
      <c r="A6" s="166"/>
      <c r="B6" s="166">
        <v>691</v>
      </c>
      <c r="C6" s="4" t="s">
        <v>2688</v>
      </c>
      <c r="D6" s="4">
        <v>917</v>
      </c>
      <c r="E6" s="4"/>
    </row>
    <row r="7" spans="1:42" ht="13.8" hidden="1">
      <c r="A7" s="166"/>
      <c r="B7" s="166">
        <v>692</v>
      </c>
      <c r="C7" s="4" t="s">
        <v>2688</v>
      </c>
      <c r="D7" s="4">
        <v>916</v>
      </c>
      <c r="E7" s="4"/>
    </row>
    <row r="8" spans="1:42" ht="13.8" hidden="1">
      <c r="A8" s="166"/>
      <c r="B8" s="166">
        <v>693</v>
      </c>
      <c r="C8" s="4" t="s">
        <v>2688</v>
      </c>
      <c r="D8" s="4">
        <v>915</v>
      </c>
      <c r="E8" s="4"/>
    </row>
    <row r="9" spans="1:42" ht="13.8" hidden="1">
      <c r="A9" s="166"/>
      <c r="B9" s="166">
        <v>694</v>
      </c>
      <c r="C9" s="4" t="s">
        <v>2688</v>
      </c>
      <c r="D9" s="4">
        <v>914</v>
      </c>
      <c r="E9" s="4"/>
    </row>
    <row r="10" spans="1:42" ht="13.8" hidden="1">
      <c r="A10" s="166"/>
      <c r="B10" s="166">
        <v>695</v>
      </c>
      <c r="C10" s="4" t="s">
        <v>2689</v>
      </c>
      <c r="D10" s="4">
        <v>912</v>
      </c>
      <c r="E10" s="4"/>
    </row>
    <row r="11" spans="1:42" ht="13.8" hidden="1">
      <c r="A11" s="166"/>
      <c r="B11" s="166">
        <v>696</v>
      </c>
      <c r="C11" s="4" t="s">
        <v>2690</v>
      </c>
      <c r="D11" s="4">
        <v>911</v>
      </c>
      <c r="E11" s="4"/>
    </row>
    <row r="12" spans="1:42" ht="13.8" hidden="1">
      <c r="A12" s="166"/>
      <c r="B12" s="166">
        <v>697</v>
      </c>
      <c r="C12" s="4" t="s">
        <v>2691</v>
      </c>
      <c r="D12" s="4">
        <v>1009</v>
      </c>
      <c r="E12" s="4"/>
    </row>
    <row r="13" spans="1:42" ht="13.8" hidden="1">
      <c r="A13" s="166"/>
      <c r="B13" s="166">
        <v>698</v>
      </c>
      <c r="C13" s="4" t="s">
        <v>2692</v>
      </c>
      <c r="D13" s="4">
        <v>1063</v>
      </c>
      <c r="E13" s="4"/>
    </row>
    <row r="14" spans="1:42" ht="13.8" hidden="1">
      <c r="A14" s="166"/>
      <c r="B14" s="166">
        <v>699</v>
      </c>
      <c r="C14" s="4" t="s">
        <v>2693</v>
      </c>
      <c r="D14" s="4">
        <v>1064</v>
      </c>
      <c r="E14" s="4"/>
    </row>
    <row r="15" spans="1:42" ht="13.8" hidden="1">
      <c r="A15" s="166"/>
      <c r="B15" s="166">
        <v>700</v>
      </c>
      <c r="C15" s="4" t="s">
        <v>2694</v>
      </c>
      <c r="D15" s="4">
        <v>1066</v>
      </c>
      <c r="E15" s="4"/>
    </row>
    <row r="16" spans="1:42" ht="13.8" hidden="1">
      <c r="A16" s="166"/>
      <c r="B16" s="166">
        <v>701</v>
      </c>
      <c r="C16" s="4" t="s">
        <v>2695</v>
      </c>
      <c r="D16" s="4">
        <v>1068</v>
      </c>
      <c r="E16" s="4"/>
    </row>
    <row r="17" spans="1:5" ht="13.8" hidden="1">
      <c r="A17" s="166"/>
      <c r="B17" s="166">
        <v>702</v>
      </c>
      <c r="C17" s="4" t="s">
        <v>2696</v>
      </c>
      <c r="D17" s="4">
        <v>1069</v>
      </c>
      <c r="E17" s="4"/>
    </row>
    <row r="18" spans="1:5" ht="13.8" hidden="1">
      <c r="A18" s="166"/>
      <c r="B18" s="166">
        <v>703</v>
      </c>
      <c r="C18" s="4" t="s">
        <v>2697</v>
      </c>
      <c r="D18" s="4">
        <v>1070</v>
      </c>
      <c r="E18" s="4"/>
    </row>
    <row r="19" spans="1:5" ht="13.8" hidden="1">
      <c r="A19" s="166"/>
      <c r="B19" s="166">
        <v>704</v>
      </c>
      <c r="C19" s="4" t="s">
        <v>2698</v>
      </c>
      <c r="D19" s="4">
        <v>1071</v>
      </c>
      <c r="E19" s="4"/>
    </row>
    <row r="20" spans="1:5" ht="13.8" hidden="1">
      <c r="A20" s="166"/>
      <c r="B20" s="166">
        <v>705</v>
      </c>
      <c r="C20" s="4" t="s">
        <v>2699</v>
      </c>
      <c r="D20" s="4">
        <v>1072</v>
      </c>
      <c r="E20" s="4"/>
    </row>
    <row r="21" spans="1:5" ht="13.8" hidden="1">
      <c r="A21" s="166"/>
      <c r="B21" s="166">
        <v>706</v>
      </c>
      <c r="C21" s="4" t="s">
        <v>2700</v>
      </c>
      <c r="D21" s="4">
        <v>1073</v>
      </c>
      <c r="E21" s="4"/>
    </row>
    <row r="22" spans="1:5" ht="13.8" hidden="1">
      <c r="A22" s="166"/>
      <c r="B22" s="166">
        <v>707</v>
      </c>
      <c r="C22" s="4" t="s">
        <v>2701</v>
      </c>
      <c r="D22" s="4">
        <v>1074</v>
      </c>
      <c r="E22" s="4"/>
    </row>
    <row r="23" spans="1:5" ht="13.8" hidden="1">
      <c r="A23" s="166"/>
      <c r="B23" s="166">
        <v>708</v>
      </c>
      <c r="C23" s="4" t="s">
        <v>2702</v>
      </c>
      <c r="D23" s="4">
        <v>1075</v>
      </c>
      <c r="E23" s="4"/>
    </row>
    <row r="24" spans="1:5" ht="13.8" hidden="1">
      <c r="A24" s="166"/>
      <c r="B24" s="166">
        <v>709</v>
      </c>
      <c r="C24" s="4" t="s">
        <v>2703</v>
      </c>
      <c r="D24" s="4">
        <v>1076</v>
      </c>
      <c r="E24" s="4"/>
    </row>
    <row r="25" spans="1:5" ht="13.8" hidden="1">
      <c r="A25" s="166"/>
      <c r="B25" s="166">
        <v>710</v>
      </c>
      <c r="C25" s="4" t="s">
        <v>2704</v>
      </c>
      <c r="D25" s="4">
        <v>1077</v>
      </c>
      <c r="E25" s="4"/>
    </row>
    <row r="26" spans="1:5" ht="13.8" hidden="1">
      <c r="A26" s="166"/>
      <c r="B26" s="166">
        <v>711</v>
      </c>
      <c r="C26" s="4" t="s">
        <v>2705</v>
      </c>
      <c r="D26" s="4">
        <v>1078</v>
      </c>
      <c r="E26" s="4"/>
    </row>
    <row r="27" spans="1:5" ht="13.8" hidden="1">
      <c r="A27" s="166"/>
      <c r="B27" s="166">
        <v>712</v>
      </c>
      <c r="C27" s="4" t="s">
        <v>2706</v>
      </c>
      <c r="D27" s="4">
        <v>1079</v>
      </c>
      <c r="E27" s="4"/>
    </row>
    <row r="28" spans="1:5" ht="13.8" hidden="1">
      <c r="A28" s="166"/>
      <c r="B28" s="166">
        <v>713</v>
      </c>
      <c r="C28" s="4" t="s">
        <v>2707</v>
      </c>
      <c r="D28" s="4">
        <v>1081</v>
      </c>
      <c r="E28" s="4"/>
    </row>
    <row r="29" spans="1:5" ht="13.8" hidden="1">
      <c r="A29" s="166"/>
      <c r="B29" s="166">
        <v>714</v>
      </c>
      <c r="C29" s="4" t="s">
        <v>2708</v>
      </c>
      <c r="D29" s="4">
        <v>1083</v>
      </c>
      <c r="E29" s="4"/>
    </row>
    <row r="30" spans="1:5" ht="13.8" hidden="1">
      <c r="A30" s="166"/>
      <c r="B30" s="166">
        <v>715</v>
      </c>
      <c r="C30" s="4" t="s">
        <v>2709</v>
      </c>
      <c r="D30" s="4">
        <v>1084</v>
      </c>
      <c r="E30" s="4"/>
    </row>
    <row r="31" spans="1:5" ht="13.8" hidden="1">
      <c r="A31" s="166"/>
      <c r="B31" s="166">
        <v>716</v>
      </c>
      <c r="C31" s="4" t="s">
        <v>2710</v>
      </c>
      <c r="D31" s="4">
        <v>1085</v>
      </c>
      <c r="E31" s="4"/>
    </row>
    <row r="32" spans="1:5" ht="13.8" hidden="1">
      <c r="A32" s="166"/>
      <c r="B32" s="166">
        <v>717</v>
      </c>
      <c r="C32" s="4" t="s">
        <v>2711</v>
      </c>
      <c r="D32" s="4">
        <v>1086</v>
      </c>
      <c r="E32" s="4"/>
    </row>
    <row r="33" spans="1:24" ht="13.8" hidden="1">
      <c r="A33" s="166"/>
      <c r="B33" s="166">
        <v>718</v>
      </c>
      <c r="C33" s="4" t="s">
        <v>2712</v>
      </c>
      <c r="D33" s="4">
        <v>1087</v>
      </c>
      <c r="E33" s="4"/>
    </row>
    <row r="34" spans="1:24" ht="13.8" hidden="1">
      <c r="A34" s="166"/>
      <c r="B34" s="166">
        <v>719</v>
      </c>
      <c r="C34" s="4" t="s">
        <v>2712</v>
      </c>
      <c r="D34" s="4">
        <v>1088</v>
      </c>
      <c r="E34" s="4"/>
    </row>
    <row r="35" spans="1:24" ht="13.8" hidden="1">
      <c r="A35" s="166"/>
      <c r="B35" s="166">
        <v>720</v>
      </c>
      <c r="C35" s="4" t="s">
        <v>2713</v>
      </c>
      <c r="D35" s="4">
        <v>1089</v>
      </c>
      <c r="E35" s="4"/>
    </row>
    <row r="36" spans="1:24" ht="13.8" hidden="1">
      <c r="A36" s="166"/>
      <c r="B36" s="166">
        <v>721</v>
      </c>
      <c r="C36" s="4" t="s">
        <v>2714</v>
      </c>
      <c r="D36" s="4">
        <v>1090</v>
      </c>
      <c r="E36" s="4"/>
    </row>
    <row r="37" spans="1:24" ht="13.8" hidden="1">
      <c r="A37" s="166"/>
      <c r="B37" s="166">
        <v>722</v>
      </c>
      <c r="C37" s="4" t="s">
        <v>2715</v>
      </c>
      <c r="D37" s="4">
        <v>1091</v>
      </c>
      <c r="E37" s="4"/>
    </row>
    <row r="38" spans="1:24" ht="13.8" hidden="1">
      <c r="A38" s="166"/>
      <c r="B38" s="166">
        <v>723</v>
      </c>
      <c r="C38" s="4" t="s">
        <v>2716</v>
      </c>
      <c r="D38" s="4">
        <v>1092</v>
      </c>
      <c r="E38" s="4"/>
    </row>
    <row r="39" spans="1:24" ht="13.8" hidden="1">
      <c r="A39" s="166"/>
      <c r="B39" s="166">
        <v>724</v>
      </c>
      <c r="C39" s="4" t="s">
        <v>2717</v>
      </c>
      <c r="D39" s="4">
        <v>1093</v>
      </c>
      <c r="E39" s="4"/>
    </row>
    <row r="40" spans="1:24" ht="13.8" hidden="1">
      <c r="A40" s="166"/>
      <c r="B40" s="166">
        <v>725</v>
      </c>
      <c r="C40" s="4" t="s">
        <v>2718</v>
      </c>
      <c r="D40" s="4">
        <v>1094</v>
      </c>
      <c r="E40" s="4"/>
    </row>
    <row r="41" spans="1:24" ht="13.8" hidden="1">
      <c r="A41" s="166"/>
      <c r="B41" s="166">
        <v>726</v>
      </c>
      <c r="C41" s="4" t="s">
        <v>2719</v>
      </c>
      <c r="D41" s="4">
        <v>1131</v>
      </c>
      <c r="E41" s="4"/>
    </row>
    <row r="42" spans="1:24" ht="13.8" hidden="1">
      <c r="A42" s="166"/>
      <c r="B42" s="166">
        <v>727</v>
      </c>
      <c r="C42" s="4" t="s">
        <v>2720</v>
      </c>
      <c r="D42" s="4">
        <v>1134</v>
      </c>
      <c r="E42" s="4"/>
    </row>
    <row r="43" spans="1:24" ht="13.8">
      <c r="A43" s="167" t="s">
        <v>2721</v>
      </c>
      <c r="B43" s="166">
        <v>733</v>
      </c>
      <c r="C43" s="4" t="s">
        <v>2722</v>
      </c>
      <c r="D43" s="4">
        <v>1251</v>
      </c>
      <c r="E43" s="4" t="s">
        <v>2723</v>
      </c>
      <c r="F43" s="168" t="s">
        <v>2723</v>
      </c>
      <c r="G43" s="2" t="s">
        <v>2724</v>
      </c>
      <c r="I43" s="4" t="s">
        <v>2725</v>
      </c>
      <c r="J43" s="4" t="s">
        <v>2726</v>
      </c>
      <c r="K43" s="4" t="s">
        <v>2727</v>
      </c>
      <c r="L43" s="4" t="s">
        <v>2728</v>
      </c>
      <c r="M43" s="4" t="s">
        <v>8279</v>
      </c>
      <c r="P43" s="168" t="s">
        <v>2729</v>
      </c>
      <c r="R43" s="4" t="s">
        <v>47</v>
      </c>
      <c r="S43" s="45" t="s">
        <v>48</v>
      </c>
      <c r="T43" s="45" t="s">
        <v>49</v>
      </c>
      <c r="U43" s="45" t="s">
        <v>49</v>
      </c>
      <c r="V43" s="45" t="s">
        <v>48</v>
      </c>
      <c r="W43" s="4" t="s">
        <v>71</v>
      </c>
      <c r="X43" s="4" t="s">
        <v>2730</v>
      </c>
    </row>
    <row r="44" spans="1:24" ht="13.8">
      <c r="A44" s="166"/>
      <c r="B44" s="166">
        <v>734</v>
      </c>
      <c r="C44" s="4" t="s">
        <v>2731</v>
      </c>
      <c r="D44" s="4">
        <v>8886</v>
      </c>
      <c r="E44" s="4" t="s">
        <v>2732</v>
      </c>
      <c r="F44" s="168" t="s">
        <v>2732</v>
      </c>
      <c r="G44" s="2" t="s">
        <v>2733</v>
      </c>
      <c r="I44" s="4" t="s">
        <v>2725</v>
      </c>
      <c r="J44" s="4" t="s">
        <v>2734</v>
      </c>
      <c r="K44" s="4" t="s">
        <v>2735</v>
      </c>
      <c r="L44" s="4" t="s">
        <v>2728</v>
      </c>
      <c r="M44" s="4">
        <v>7021783598</v>
      </c>
      <c r="P44" s="168" t="s">
        <v>2736</v>
      </c>
      <c r="R44" s="4" t="s">
        <v>47</v>
      </c>
      <c r="S44" s="45" t="s">
        <v>48</v>
      </c>
      <c r="T44" s="45" t="s">
        <v>301</v>
      </c>
      <c r="U44" s="45" t="s">
        <v>301</v>
      </c>
      <c r="V44" s="45" t="s">
        <v>48</v>
      </c>
      <c r="W44" s="4" t="s">
        <v>71</v>
      </c>
      <c r="X44" s="4" t="s">
        <v>2737</v>
      </c>
    </row>
    <row r="45" spans="1:24" ht="13.8">
      <c r="A45" s="166"/>
      <c r="B45" s="166">
        <v>735</v>
      </c>
      <c r="C45" s="4" t="s">
        <v>2738</v>
      </c>
      <c r="D45" s="4">
        <v>6292</v>
      </c>
      <c r="E45" s="4" t="s">
        <v>2739</v>
      </c>
      <c r="F45" s="168" t="s">
        <v>2739</v>
      </c>
      <c r="G45" s="2" t="s">
        <v>2740</v>
      </c>
      <c r="I45" s="4" t="s">
        <v>2725</v>
      </c>
      <c r="J45" s="4" t="s">
        <v>2741</v>
      </c>
      <c r="K45" s="4" t="s">
        <v>545</v>
      </c>
      <c r="L45" s="4" t="s">
        <v>2728</v>
      </c>
      <c r="M45" s="4" t="s">
        <v>8279</v>
      </c>
      <c r="P45" s="168" t="s">
        <v>2742</v>
      </c>
      <c r="R45" s="4" t="s">
        <v>47</v>
      </c>
      <c r="S45" s="45" t="s">
        <v>48</v>
      </c>
      <c r="T45" s="45" t="s">
        <v>312</v>
      </c>
      <c r="U45" s="45" t="s">
        <v>312</v>
      </c>
      <c r="V45" s="45" t="s">
        <v>48</v>
      </c>
      <c r="W45" s="4" t="s">
        <v>2743</v>
      </c>
      <c r="X45" s="4" t="s">
        <v>2744</v>
      </c>
    </row>
    <row r="46" spans="1:24" ht="13.8">
      <c r="A46" s="166"/>
      <c r="B46" s="166">
        <v>736</v>
      </c>
      <c r="C46" s="4" t="s">
        <v>2745</v>
      </c>
      <c r="D46" s="4">
        <v>1475</v>
      </c>
      <c r="E46" s="4" t="s">
        <v>2746</v>
      </c>
      <c r="F46" s="168" t="s">
        <v>2746</v>
      </c>
      <c r="G46" s="2" t="s">
        <v>2747</v>
      </c>
      <c r="I46" s="4" t="s">
        <v>2748</v>
      </c>
      <c r="J46" s="4" t="s">
        <v>2749</v>
      </c>
      <c r="K46" s="4" t="s">
        <v>2750</v>
      </c>
      <c r="L46" s="4" t="s">
        <v>2751</v>
      </c>
      <c r="M46" s="4">
        <v>90225381396</v>
      </c>
      <c r="P46" s="168" t="s">
        <v>2752</v>
      </c>
      <c r="R46" s="4" t="s">
        <v>47</v>
      </c>
      <c r="S46" s="45" t="s">
        <v>48</v>
      </c>
      <c r="T46" s="45" t="s">
        <v>322</v>
      </c>
      <c r="U46" s="45" t="s">
        <v>322</v>
      </c>
      <c r="V46" s="45" t="s">
        <v>48</v>
      </c>
      <c r="W46" s="4" t="s">
        <v>71</v>
      </c>
      <c r="X46" s="4" t="s">
        <v>2753</v>
      </c>
    </row>
    <row r="47" spans="1:24" ht="13.8">
      <c r="A47" s="166"/>
      <c r="B47" s="166">
        <v>741</v>
      </c>
      <c r="C47" s="4" t="s">
        <v>2754</v>
      </c>
      <c r="D47" s="4">
        <v>9861</v>
      </c>
      <c r="E47" s="4" t="s">
        <v>2755</v>
      </c>
      <c r="F47" s="168" t="s">
        <v>2755</v>
      </c>
      <c r="G47" s="2" t="s">
        <v>2756</v>
      </c>
      <c r="I47" s="4" t="s">
        <v>2757</v>
      </c>
      <c r="J47" s="4" t="s">
        <v>2758</v>
      </c>
      <c r="K47" s="4" t="s">
        <v>260</v>
      </c>
      <c r="L47" s="4" t="s">
        <v>2759</v>
      </c>
      <c r="M47" s="4">
        <v>9820692870</v>
      </c>
      <c r="P47" s="4" t="s">
        <v>71</v>
      </c>
      <c r="R47" s="4" t="s">
        <v>47</v>
      </c>
      <c r="S47" s="45" t="s">
        <v>48</v>
      </c>
      <c r="T47" s="45" t="s">
        <v>1437</v>
      </c>
      <c r="U47" s="45" t="s">
        <v>1437</v>
      </c>
      <c r="V47" s="45" t="s">
        <v>48</v>
      </c>
      <c r="W47" s="4" t="s">
        <v>2760</v>
      </c>
      <c r="X47" s="4" t="s">
        <v>2761</v>
      </c>
    </row>
    <row r="48" spans="1:24" ht="13.8">
      <c r="A48" s="166"/>
      <c r="B48" s="166">
        <v>743</v>
      </c>
      <c r="C48" s="4" t="s">
        <v>2762</v>
      </c>
      <c r="D48" s="4">
        <v>9539</v>
      </c>
      <c r="E48" s="4" t="s">
        <v>2763</v>
      </c>
      <c r="F48" s="168" t="s">
        <v>2763</v>
      </c>
      <c r="G48" s="2" t="s">
        <v>2764</v>
      </c>
      <c r="I48" s="4" t="s">
        <v>2765</v>
      </c>
      <c r="J48" s="4" t="s">
        <v>2766</v>
      </c>
      <c r="K48" s="4" t="s">
        <v>2767</v>
      </c>
      <c r="L48" s="4" t="s">
        <v>2768</v>
      </c>
      <c r="M48" s="4" t="s">
        <v>8279</v>
      </c>
      <c r="P48" s="168" t="s">
        <v>2769</v>
      </c>
      <c r="R48" s="4" t="s">
        <v>47</v>
      </c>
      <c r="S48" s="45" t="s">
        <v>48</v>
      </c>
      <c r="T48" s="45" t="s">
        <v>1445</v>
      </c>
      <c r="U48" s="45" t="s">
        <v>1445</v>
      </c>
      <c r="V48" s="45" t="s">
        <v>48</v>
      </c>
      <c r="W48" s="4" t="s">
        <v>2770</v>
      </c>
      <c r="X48" s="4" t="s">
        <v>2771</v>
      </c>
    </row>
    <row r="49" spans="1:24" ht="13.8">
      <c r="A49" s="166"/>
      <c r="B49" s="166">
        <v>745</v>
      </c>
      <c r="C49" s="4" t="s">
        <v>2772</v>
      </c>
      <c r="D49" s="4">
        <v>4491</v>
      </c>
      <c r="E49" s="4" t="s">
        <v>2763</v>
      </c>
      <c r="F49" s="168" t="s">
        <v>2763</v>
      </c>
      <c r="G49" s="2" t="s">
        <v>2773</v>
      </c>
      <c r="I49" s="4" t="s">
        <v>2765</v>
      </c>
      <c r="J49" s="4" t="s">
        <v>2774</v>
      </c>
      <c r="K49" s="4" t="s">
        <v>2767</v>
      </c>
      <c r="L49" s="4" t="s">
        <v>2775</v>
      </c>
      <c r="M49" s="4" t="s">
        <v>8279</v>
      </c>
      <c r="P49" s="168" t="s">
        <v>2776</v>
      </c>
      <c r="R49" s="4" t="s">
        <v>47</v>
      </c>
      <c r="S49" s="45" t="s">
        <v>48</v>
      </c>
      <c r="T49" s="45" t="s">
        <v>1453</v>
      </c>
      <c r="U49" s="45" t="s">
        <v>1453</v>
      </c>
      <c r="V49" s="45" t="s">
        <v>48</v>
      </c>
      <c r="W49" s="4" t="s">
        <v>2777</v>
      </c>
      <c r="X49" s="4" t="s">
        <v>2778</v>
      </c>
    </row>
    <row r="50" spans="1:24" ht="13.8">
      <c r="A50" s="166"/>
      <c r="B50" s="166">
        <v>746</v>
      </c>
      <c r="C50" s="4" t="s">
        <v>2779</v>
      </c>
      <c r="D50" s="4">
        <v>876</v>
      </c>
      <c r="E50" s="4" t="s">
        <v>2780</v>
      </c>
      <c r="F50" s="168" t="s">
        <v>2780</v>
      </c>
      <c r="G50" s="2" t="s">
        <v>2781</v>
      </c>
      <c r="I50" s="4" t="s">
        <v>2782</v>
      </c>
      <c r="J50" s="4" t="s">
        <v>2783</v>
      </c>
      <c r="K50" s="4" t="s">
        <v>2784</v>
      </c>
      <c r="L50" s="4" t="s">
        <v>2785</v>
      </c>
      <c r="M50" s="4">
        <v>7400480852</v>
      </c>
      <c r="P50" s="168" t="s">
        <v>2786</v>
      </c>
      <c r="R50" s="4" t="s">
        <v>47</v>
      </c>
      <c r="S50" s="45" t="s">
        <v>48</v>
      </c>
      <c r="T50" s="45" t="s">
        <v>1458</v>
      </c>
      <c r="U50" s="45" t="s">
        <v>1458</v>
      </c>
      <c r="V50" s="45" t="s">
        <v>48</v>
      </c>
      <c r="W50" s="4" t="s">
        <v>71</v>
      </c>
      <c r="X50" s="4" t="s">
        <v>2787</v>
      </c>
    </row>
    <row r="51" spans="1:24" ht="13.8">
      <c r="A51" s="166"/>
      <c r="B51" s="166">
        <v>747</v>
      </c>
      <c r="C51" s="4" t="s">
        <v>2788</v>
      </c>
      <c r="D51" s="4">
        <v>9997</v>
      </c>
      <c r="E51" s="4" t="s">
        <v>2789</v>
      </c>
      <c r="F51" s="168" t="s">
        <v>2789</v>
      </c>
      <c r="G51" s="2" t="s">
        <v>2790</v>
      </c>
      <c r="I51" s="4" t="s">
        <v>1031</v>
      </c>
      <c r="J51" s="4" t="s">
        <v>2791</v>
      </c>
      <c r="K51" s="4" t="s">
        <v>2792</v>
      </c>
      <c r="L51" s="4" t="s">
        <v>1033</v>
      </c>
      <c r="M51" s="4">
        <v>9913252758</v>
      </c>
      <c r="P51" s="168" t="s">
        <v>2793</v>
      </c>
      <c r="R51" s="4" t="s">
        <v>47</v>
      </c>
      <c r="S51" s="45" t="s">
        <v>48</v>
      </c>
      <c r="T51" s="45" t="s">
        <v>1466</v>
      </c>
      <c r="U51" s="45" t="s">
        <v>1466</v>
      </c>
      <c r="V51" s="45" t="s">
        <v>48</v>
      </c>
      <c r="W51" s="4" t="s">
        <v>71</v>
      </c>
      <c r="X51" s="4" t="s">
        <v>2794</v>
      </c>
    </row>
    <row r="52" spans="1:24" ht="13.8" hidden="1">
      <c r="A52" s="166"/>
      <c r="B52" s="166">
        <v>748</v>
      </c>
      <c r="C52" s="4" t="s">
        <v>2795</v>
      </c>
      <c r="D52" s="4">
        <v>3321</v>
      </c>
      <c r="E52" s="4"/>
      <c r="R52" s="4" t="s">
        <v>47</v>
      </c>
      <c r="S52" s="45" t="s">
        <v>48</v>
      </c>
      <c r="T52" s="45" t="s">
        <v>1474</v>
      </c>
      <c r="U52" s="45" t="s">
        <v>1474</v>
      </c>
      <c r="V52" s="45" t="s">
        <v>48</v>
      </c>
    </row>
    <row r="53" spans="1:24" ht="13.8" hidden="1">
      <c r="A53" s="166"/>
      <c r="B53" s="166">
        <v>749</v>
      </c>
      <c r="C53" s="4" t="s">
        <v>2796</v>
      </c>
      <c r="D53" s="4">
        <v>1113</v>
      </c>
      <c r="E53" s="4"/>
      <c r="R53" s="4" t="s">
        <v>47</v>
      </c>
      <c r="S53" s="45" t="s">
        <v>48</v>
      </c>
      <c r="T53" s="45" t="s">
        <v>1483</v>
      </c>
      <c r="U53" s="45" t="s">
        <v>1483</v>
      </c>
      <c r="V53" s="45" t="s">
        <v>48</v>
      </c>
    </row>
    <row r="54" spans="1:24" ht="13.8" hidden="1">
      <c r="A54" s="166"/>
      <c r="B54" s="166">
        <v>750</v>
      </c>
      <c r="C54" s="4" t="s">
        <v>2797</v>
      </c>
      <c r="D54" s="4">
        <v>1007</v>
      </c>
      <c r="E54" s="4"/>
      <c r="R54" s="4" t="s">
        <v>47</v>
      </c>
      <c r="S54" s="45" t="s">
        <v>48</v>
      </c>
      <c r="T54" s="45" t="s">
        <v>1490</v>
      </c>
      <c r="U54" s="45" t="s">
        <v>1490</v>
      </c>
      <c r="V54" s="45" t="s">
        <v>48</v>
      </c>
    </row>
    <row r="55" spans="1:24" ht="13.8">
      <c r="A55" s="166"/>
      <c r="B55" s="166">
        <v>751</v>
      </c>
      <c r="C55" s="4" t="s">
        <v>2798</v>
      </c>
      <c r="D55" s="4">
        <v>3741</v>
      </c>
      <c r="E55" s="4"/>
      <c r="I55" s="4" t="s">
        <v>2799</v>
      </c>
      <c r="J55" s="4" t="s">
        <v>2800</v>
      </c>
      <c r="K55" s="4" t="s">
        <v>2644</v>
      </c>
      <c r="L55" s="4" t="s">
        <v>71</v>
      </c>
      <c r="M55" s="4">
        <v>9833283756</v>
      </c>
      <c r="P55" s="4" t="s">
        <v>71</v>
      </c>
      <c r="R55" s="4" t="s">
        <v>47</v>
      </c>
      <c r="S55" s="45" t="s">
        <v>48</v>
      </c>
      <c r="T55" s="45" t="s">
        <v>1498</v>
      </c>
      <c r="U55" s="45" t="s">
        <v>1498</v>
      </c>
      <c r="V55" s="45" t="s">
        <v>48</v>
      </c>
      <c r="W55" s="4" t="s">
        <v>2801</v>
      </c>
      <c r="X55" s="4" t="s">
        <v>2802</v>
      </c>
    </row>
    <row r="56" spans="1:24" ht="13.8" hidden="1">
      <c r="A56" s="166"/>
      <c r="B56" s="166">
        <v>754</v>
      </c>
      <c r="C56" s="4" t="s">
        <v>2803</v>
      </c>
      <c r="D56" s="4">
        <v>7138</v>
      </c>
      <c r="E56" s="4"/>
      <c r="I56" s="4" t="s">
        <v>89</v>
      </c>
      <c r="J56" s="4" t="s">
        <v>2804</v>
      </c>
      <c r="K56" s="4" t="s">
        <v>91</v>
      </c>
      <c r="L56" s="4" t="s">
        <v>71</v>
      </c>
      <c r="M56" s="4">
        <v>9769401691</v>
      </c>
      <c r="P56" s="4" t="s">
        <v>71</v>
      </c>
      <c r="R56" s="4" t="s">
        <v>47</v>
      </c>
      <c r="S56" s="45" t="s">
        <v>48</v>
      </c>
      <c r="T56" s="45" t="s">
        <v>1507</v>
      </c>
      <c r="U56" s="45" t="s">
        <v>1507</v>
      </c>
      <c r="V56" s="45" t="s">
        <v>48</v>
      </c>
      <c r="W56" s="4" t="s">
        <v>2805</v>
      </c>
      <c r="X56" s="4" t="s">
        <v>2806</v>
      </c>
    </row>
    <row r="57" spans="1:24" ht="13.8" hidden="1">
      <c r="A57" s="166"/>
      <c r="B57" s="166">
        <v>755</v>
      </c>
      <c r="C57" s="4" t="s">
        <v>2807</v>
      </c>
      <c r="D57" s="4">
        <v>5738</v>
      </c>
      <c r="E57" s="4"/>
      <c r="I57" s="4" t="s">
        <v>2808</v>
      </c>
      <c r="J57" s="4" t="s">
        <v>2809</v>
      </c>
      <c r="K57" s="4" t="s">
        <v>2810</v>
      </c>
      <c r="L57" s="4" t="s">
        <v>2811</v>
      </c>
      <c r="M57" s="4" t="s">
        <v>71</v>
      </c>
      <c r="P57" s="4" t="s">
        <v>71</v>
      </c>
      <c r="R57" s="4" t="s">
        <v>47</v>
      </c>
      <c r="S57" s="45" t="s">
        <v>48</v>
      </c>
      <c r="T57" s="45" t="s">
        <v>1515</v>
      </c>
      <c r="U57" s="45" t="s">
        <v>1515</v>
      </c>
      <c r="V57" s="45" t="s">
        <v>48</v>
      </c>
      <c r="W57" s="4" t="s">
        <v>2812</v>
      </c>
      <c r="X57" s="4" t="s">
        <v>2813</v>
      </c>
    </row>
    <row r="58" spans="1:24" ht="13.8">
      <c r="A58" s="166"/>
      <c r="B58" s="166">
        <v>758</v>
      </c>
      <c r="C58" s="4" t="s">
        <v>2814</v>
      </c>
      <c r="D58" s="4">
        <v>8876</v>
      </c>
      <c r="E58" s="4"/>
      <c r="I58" s="4" t="s">
        <v>2815</v>
      </c>
      <c r="J58" s="4" t="s">
        <v>2814</v>
      </c>
      <c r="K58" s="4" t="s">
        <v>71</v>
      </c>
      <c r="L58" s="4" t="s">
        <v>71</v>
      </c>
      <c r="M58" s="4" t="s">
        <v>71</v>
      </c>
      <c r="P58" s="4" t="s">
        <v>71</v>
      </c>
      <c r="R58" s="4" t="s">
        <v>47</v>
      </c>
      <c r="S58" s="45" t="s">
        <v>48</v>
      </c>
      <c r="T58" s="45" t="s">
        <v>1521</v>
      </c>
      <c r="U58" s="45" t="s">
        <v>1521</v>
      </c>
      <c r="V58" s="45" t="s">
        <v>48</v>
      </c>
      <c r="W58" s="4" t="s">
        <v>71</v>
      </c>
      <c r="X58" s="4" t="s">
        <v>71</v>
      </c>
    </row>
    <row r="59" spans="1:24" ht="13.8">
      <c r="A59" s="166"/>
      <c r="B59" s="166">
        <v>761</v>
      </c>
      <c r="C59" s="4" t="s">
        <v>2816</v>
      </c>
      <c r="D59" s="4">
        <v>1447</v>
      </c>
      <c r="E59" s="4"/>
      <c r="I59" s="4" t="s">
        <v>2817</v>
      </c>
      <c r="J59" s="4" t="s">
        <v>2818</v>
      </c>
      <c r="K59" s="4" t="s">
        <v>78</v>
      </c>
      <c r="L59" s="4" t="s">
        <v>2819</v>
      </c>
      <c r="M59" s="4">
        <v>9967351920</v>
      </c>
      <c r="P59" s="168" t="s">
        <v>2820</v>
      </c>
      <c r="R59" s="4" t="s">
        <v>47</v>
      </c>
      <c r="S59" s="45" t="s">
        <v>48</v>
      </c>
      <c r="T59" s="45" t="s">
        <v>1529</v>
      </c>
      <c r="U59" s="45" t="s">
        <v>1529</v>
      </c>
      <c r="V59" s="45" t="s">
        <v>48</v>
      </c>
      <c r="W59" s="4" t="s">
        <v>71</v>
      </c>
      <c r="X59" s="4" t="s">
        <v>2821</v>
      </c>
    </row>
    <row r="60" spans="1:24" ht="13.8">
      <c r="A60" s="166"/>
      <c r="B60" s="166">
        <v>762</v>
      </c>
      <c r="C60" s="4" t="s">
        <v>2822</v>
      </c>
      <c r="D60" s="4">
        <v>1448</v>
      </c>
      <c r="E60" s="4"/>
      <c r="I60" s="4" t="s">
        <v>2817</v>
      </c>
      <c r="J60" s="4" t="s">
        <v>2823</v>
      </c>
      <c r="K60" s="4" t="s">
        <v>2824</v>
      </c>
      <c r="L60" s="4" t="s">
        <v>2819</v>
      </c>
      <c r="M60" s="4">
        <v>9820023209</v>
      </c>
      <c r="P60" s="168" t="s">
        <v>2820</v>
      </c>
      <c r="R60" s="4" t="s">
        <v>47</v>
      </c>
      <c r="S60" s="45" t="s">
        <v>48</v>
      </c>
      <c r="T60" s="45" t="s">
        <v>1539</v>
      </c>
      <c r="U60" s="45" t="s">
        <v>1539</v>
      </c>
      <c r="V60" s="45" t="s">
        <v>48</v>
      </c>
      <c r="W60" s="4" t="s">
        <v>71</v>
      </c>
      <c r="X60" s="4" t="s">
        <v>2825</v>
      </c>
    </row>
    <row r="61" spans="1:24" ht="13.8">
      <c r="A61" s="166"/>
      <c r="B61" s="166">
        <v>763</v>
      </c>
      <c r="C61" s="4" t="s">
        <v>2826</v>
      </c>
      <c r="D61" s="4">
        <v>6956</v>
      </c>
      <c r="E61" s="4"/>
      <c r="I61" s="4" t="s">
        <v>2827</v>
      </c>
      <c r="J61" s="4" t="s">
        <v>1704</v>
      </c>
      <c r="K61" s="4" t="s">
        <v>534</v>
      </c>
      <c r="L61" s="4" t="s">
        <v>71</v>
      </c>
      <c r="M61" s="4">
        <v>9022512767</v>
      </c>
      <c r="P61" s="4" t="s">
        <v>71</v>
      </c>
      <c r="R61" s="4" t="s">
        <v>47</v>
      </c>
      <c r="S61" s="45" t="s">
        <v>48</v>
      </c>
      <c r="T61" s="45" t="s">
        <v>2828</v>
      </c>
      <c r="U61" s="45" t="s">
        <v>2828</v>
      </c>
      <c r="V61" s="45" t="s">
        <v>48</v>
      </c>
      <c r="W61" s="4" t="s">
        <v>2829</v>
      </c>
      <c r="X61" s="4" t="s">
        <v>71</v>
      </c>
    </row>
    <row r="62" spans="1:24" ht="13.8">
      <c r="A62" s="166"/>
      <c r="B62" s="166">
        <v>764</v>
      </c>
      <c r="C62" s="4" t="s">
        <v>2830</v>
      </c>
      <c r="D62" s="4">
        <v>7545</v>
      </c>
      <c r="E62" s="4"/>
      <c r="I62" s="4" t="s">
        <v>2831</v>
      </c>
      <c r="J62" s="4" t="s">
        <v>2830</v>
      </c>
      <c r="K62" s="4" t="s">
        <v>2832</v>
      </c>
      <c r="L62" s="4" t="s">
        <v>2833</v>
      </c>
      <c r="M62" s="4">
        <v>9029934614</v>
      </c>
      <c r="P62" s="4" t="s">
        <v>71</v>
      </c>
      <c r="R62" s="4" t="s">
        <v>47</v>
      </c>
      <c r="S62" s="45" t="s">
        <v>48</v>
      </c>
      <c r="T62" s="45" t="s">
        <v>2834</v>
      </c>
      <c r="U62" s="45" t="s">
        <v>2834</v>
      </c>
      <c r="V62" s="45" t="s">
        <v>48</v>
      </c>
      <c r="W62" s="4" t="s">
        <v>2835</v>
      </c>
      <c r="X62" s="4" t="s">
        <v>2836</v>
      </c>
    </row>
    <row r="63" spans="1:24" ht="13.8">
      <c r="A63" s="166"/>
      <c r="B63" s="166">
        <v>765</v>
      </c>
      <c r="C63" s="4" t="s">
        <v>2837</v>
      </c>
      <c r="D63" s="4">
        <v>7297</v>
      </c>
      <c r="E63" s="4"/>
      <c r="I63" s="4" t="s">
        <v>2838</v>
      </c>
      <c r="J63" s="4" t="s">
        <v>2839</v>
      </c>
      <c r="K63" s="4" t="s">
        <v>534</v>
      </c>
      <c r="L63" s="4" t="s">
        <v>2840</v>
      </c>
      <c r="M63" s="4">
        <v>9892130129</v>
      </c>
      <c r="P63" s="4" t="s">
        <v>71</v>
      </c>
      <c r="R63" s="4" t="s">
        <v>47</v>
      </c>
      <c r="S63" s="45" t="s">
        <v>48</v>
      </c>
      <c r="T63" s="45" t="s">
        <v>2841</v>
      </c>
      <c r="U63" s="45" t="s">
        <v>2841</v>
      </c>
      <c r="V63" s="45" t="s">
        <v>48</v>
      </c>
      <c r="W63" s="4" t="s">
        <v>2842</v>
      </c>
      <c r="X63" s="4" t="s">
        <v>2843</v>
      </c>
    </row>
    <row r="64" spans="1:24" ht="13.8">
      <c r="A64" s="166"/>
      <c r="B64" s="166">
        <v>766</v>
      </c>
      <c r="C64" s="4" t="s">
        <v>2844</v>
      </c>
      <c r="D64" s="4">
        <v>2773</v>
      </c>
      <c r="E64" s="4"/>
      <c r="I64" s="4" t="s">
        <v>2845</v>
      </c>
      <c r="J64" s="4" t="s">
        <v>2846</v>
      </c>
      <c r="K64" s="4" t="s">
        <v>2847</v>
      </c>
      <c r="L64" s="4" t="s">
        <v>71</v>
      </c>
      <c r="M64" s="4">
        <v>8291118926</v>
      </c>
      <c r="P64" s="168" t="s">
        <v>80</v>
      </c>
      <c r="R64" s="4" t="s">
        <v>47</v>
      </c>
      <c r="S64" s="45" t="s">
        <v>48</v>
      </c>
      <c r="T64" s="45" t="s">
        <v>2848</v>
      </c>
      <c r="U64" s="45" t="s">
        <v>2848</v>
      </c>
      <c r="V64" s="45" t="s">
        <v>48</v>
      </c>
      <c r="W64" s="4" t="s">
        <v>2849</v>
      </c>
      <c r="X64" s="4" t="s">
        <v>2850</v>
      </c>
    </row>
    <row r="65" spans="1:24" ht="13.8">
      <c r="A65" s="166"/>
      <c r="B65" s="166">
        <v>768</v>
      </c>
      <c r="C65" s="4" t="s">
        <v>2851</v>
      </c>
      <c r="D65" s="4">
        <v>2712</v>
      </c>
      <c r="E65" s="4"/>
      <c r="I65" s="4" t="s">
        <v>2851</v>
      </c>
      <c r="J65" s="4" t="s">
        <v>2852</v>
      </c>
      <c r="K65" s="4" t="s">
        <v>2810</v>
      </c>
      <c r="L65" s="4" t="s">
        <v>2853</v>
      </c>
      <c r="M65" s="4">
        <v>9833529301</v>
      </c>
      <c r="P65" s="168" t="s">
        <v>2854</v>
      </c>
      <c r="R65" s="4" t="s">
        <v>47</v>
      </c>
      <c r="S65" s="45" t="s">
        <v>48</v>
      </c>
      <c r="T65" s="45" t="s">
        <v>2855</v>
      </c>
      <c r="U65" s="45" t="s">
        <v>2855</v>
      </c>
      <c r="V65" s="45" t="s">
        <v>48</v>
      </c>
      <c r="W65" s="4" t="s">
        <v>2856</v>
      </c>
      <c r="X65" s="4" t="s">
        <v>2857</v>
      </c>
    </row>
    <row r="66" spans="1:24" ht="13.8">
      <c r="A66" s="166"/>
      <c r="B66" s="166">
        <v>769</v>
      </c>
      <c r="C66" s="4" t="s">
        <v>2858</v>
      </c>
      <c r="D66" s="4">
        <v>2306</v>
      </c>
      <c r="E66" s="4"/>
      <c r="I66" s="4" t="s">
        <v>2859</v>
      </c>
      <c r="J66" s="4" t="s">
        <v>2860</v>
      </c>
      <c r="K66" s="4" t="s">
        <v>2861</v>
      </c>
      <c r="L66" s="4" t="s">
        <v>2862</v>
      </c>
      <c r="M66" s="4">
        <v>9833909686</v>
      </c>
      <c r="P66" s="168" t="s">
        <v>2863</v>
      </c>
      <c r="R66" s="4" t="s">
        <v>47</v>
      </c>
      <c r="S66" s="45" t="s">
        <v>48</v>
      </c>
      <c r="T66" s="45" t="s">
        <v>2864</v>
      </c>
      <c r="U66" s="45" t="s">
        <v>2864</v>
      </c>
      <c r="V66" s="45" t="s">
        <v>48</v>
      </c>
      <c r="W66" s="4" t="s">
        <v>2865</v>
      </c>
      <c r="X66" s="4" t="s">
        <v>2866</v>
      </c>
    </row>
    <row r="67" spans="1:24" ht="13.8">
      <c r="A67" s="166"/>
      <c r="B67" s="166">
        <v>771</v>
      </c>
      <c r="C67" s="4" t="s">
        <v>2867</v>
      </c>
      <c r="D67" s="4">
        <v>1864</v>
      </c>
      <c r="I67" s="4" t="s">
        <v>2868</v>
      </c>
      <c r="J67" s="4" t="s">
        <v>2869</v>
      </c>
      <c r="K67" s="4" t="s">
        <v>507</v>
      </c>
      <c r="L67" s="4" t="s">
        <v>2870</v>
      </c>
      <c r="M67" s="4">
        <v>7715933230</v>
      </c>
      <c r="P67" s="4" t="s">
        <v>71</v>
      </c>
      <c r="R67" s="4" t="s">
        <v>47</v>
      </c>
      <c r="S67" s="45" t="s">
        <v>48</v>
      </c>
      <c r="T67" s="45" t="s">
        <v>2871</v>
      </c>
      <c r="U67" s="45" t="s">
        <v>2871</v>
      </c>
      <c r="V67" s="45" t="s">
        <v>48</v>
      </c>
      <c r="W67" s="4" t="s">
        <v>2872</v>
      </c>
      <c r="X67" s="4" t="s">
        <v>2873</v>
      </c>
    </row>
    <row r="68" spans="1:24" ht="13.8">
      <c r="A68" s="166"/>
      <c r="B68" s="166">
        <v>772</v>
      </c>
      <c r="C68" s="4" t="s">
        <v>2874</v>
      </c>
      <c r="D68" s="4">
        <v>282</v>
      </c>
      <c r="I68" s="4" t="s">
        <v>2875</v>
      </c>
      <c r="J68" s="4" t="s">
        <v>2876</v>
      </c>
      <c r="K68" s="4" t="s">
        <v>545</v>
      </c>
      <c r="L68" s="4" t="s">
        <v>71</v>
      </c>
      <c r="M68" s="4">
        <v>9887540065</v>
      </c>
      <c r="P68" s="168" t="s">
        <v>2877</v>
      </c>
      <c r="R68" s="4" t="s">
        <v>47</v>
      </c>
      <c r="S68" s="45" t="s">
        <v>48</v>
      </c>
      <c r="T68" s="45" t="s">
        <v>2878</v>
      </c>
      <c r="U68" s="45" t="s">
        <v>2878</v>
      </c>
      <c r="V68" s="45" t="s">
        <v>48</v>
      </c>
      <c r="W68" s="4" t="s">
        <v>71</v>
      </c>
      <c r="X68" s="4" t="s">
        <v>71</v>
      </c>
    </row>
    <row r="69" spans="1:24" ht="13.8">
      <c r="A69" s="166"/>
      <c r="B69" s="166">
        <v>774</v>
      </c>
      <c r="C69" s="4" t="s">
        <v>2879</v>
      </c>
      <c r="D69" s="4">
        <v>5266</v>
      </c>
      <c r="I69" s="4" t="s">
        <v>2880</v>
      </c>
      <c r="J69" s="4" t="s">
        <v>2881</v>
      </c>
      <c r="K69" s="4" t="s">
        <v>507</v>
      </c>
      <c r="L69" s="4" t="s">
        <v>71</v>
      </c>
      <c r="M69" s="4">
        <v>8779032265</v>
      </c>
      <c r="P69" s="4" t="s">
        <v>71</v>
      </c>
      <c r="R69" s="4" t="s">
        <v>47</v>
      </c>
      <c r="S69" s="45" t="s">
        <v>48</v>
      </c>
      <c r="T69" s="45" t="s">
        <v>2882</v>
      </c>
      <c r="U69" s="45" t="s">
        <v>2882</v>
      </c>
      <c r="V69" s="45" t="s">
        <v>48</v>
      </c>
      <c r="W69" s="4" t="s">
        <v>71</v>
      </c>
      <c r="X69" s="4" t="s">
        <v>2883</v>
      </c>
    </row>
    <row r="70" spans="1:24" ht="13.8">
      <c r="A70" s="166"/>
      <c r="B70" s="166">
        <v>778</v>
      </c>
      <c r="C70" s="4" t="s">
        <v>2884</v>
      </c>
      <c r="D70" s="4">
        <v>7163</v>
      </c>
      <c r="I70" s="4" t="s">
        <v>2885</v>
      </c>
      <c r="J70" s="4" t="s">
        <v>2886</v>
      </c>
      <c r="K70" s="4" t="s">
        <v>2887</v>
      </c>
      <c r="L70" s="4" t="s">
        <v>71</v>
      </c>
      <c r="M70" s="4">
        <v>8080833834</v>
      </c>
      <c r="P70" s="4" t="s">
        <v>71</v>
      </c>
      <c r="R70" s="4" t="s">
        <v>47</v>
      </c>
      <c r="S70" s="45" t="s">
        <v>48</v>
      </c>
      <c r="T70" s="45" t="s">
        <v>2888</v>
      </c>
      <c r="U70" s="45" t="s">
        <v>2888</v>
      </c>
      <c r="V70" s="45" t="s">
        <v>48</v>
      </c>
      <c r="W70" s="4" t="s">
        <v>71</v>
      </c>
      <c r="X70" s="4" t="s">
        <v>71</v>
      </c>
    </row>
    <row r="71" spans="1:24" ht="13.8">
      <c r="A71" s="166"/>
      <c r="B71" s="166">
        <v>780</v>
      </c>
      <c r="C71" s="4" t="s">
        <v>2889</v>
      </c>
      <c r="D71" s="4">
        <v>9737</v>
      </c>
      <c r="I71" s="4" t="s">
        <v>2890</v>
      </c>
      <c r="J71" s="4" t="s">
        <v>2891</v>
      </c>
      <c r="K71" s="4" t="s">
        <v>71</v>
      </c>
      <c r="L71" s="4" t="s">
        <v>71</v>
      </c>
      <c r="M71" s="4" t="s">
        <v>2892</v>
      </c>
      <c r="P71" s="4" t="s">
        <v>71</v>
      </c>
      <c r="R71" s="4" t="s">
        <v>47</v>
      </c>
      <c r="S71" s="45" t="s">
        <v>48</v>
      </c>
      <c r="T71" s="45" t="s">
        <v>2893</v>
      </c>
      <c r="U71" s="45" t="s">
        <v>2893</v>
      </c>
      <c r="V71" s="45" t="s">
        <v>48</v>
      </c>
      <c r="W71" s="4" t="s">
        <v>71</v>
      </c>
      <c r="X71" s="4" t="s">
        <v>71</v>
      </c>
    </row>
    <row r="72" spans="1:24" ht="13.8">
      <c r="A72" s="166"/>
      <c r="B72" s="166">
        <v>782</v>
      </c>
      <c r="C72" s="4" t="s">
        <v>2894</v>
      </c>
      <c r="D72" s="4">
        <v>326</v>
      </c>
      <c r="I72" s="4" t="s">
        <v>2895</v>
      </c>
      <c r="J72" s="4" t="s">
        <v>2896</v>
      </c>
      <c r="K72" s="4" t="s">
        <v>2897</v>
      </c>
      <c r="L72" s="4" t="s">
        <v>71</v>
      </c>
      <c r="M72" s="4">
        <v>9172881872</v>
      </c>
      <c r="P72" s="168" t="s">
        <v>2898</v>
      </c>
      <c r="R72" s="4" t="s">
        <v>47</v>
      </c>
      <c r="S72" s="45" t="s">
        <v>48</v>
      </c>
      <c r="T72" s="45" t="s">
        <v>2899</v>
      </c>
      <c r="U72" s="45" t="s">
        <v>2899</v>
      </c>
      <c r="V72" s="45" t="s">
        <v>48</v>
      </c>
      <c r="W72" s="4" t="s">
        <v>71</v>
      </c>
      <c r="X72" s="4" t="s">
        <v>2900</v>
      </c>
    </row>
    <row r="73" spans="1:24" ht="13.8">
      <c r="A73" s="166"/>
      <c r="B73" s="166">
        <v>786</v>
      </c>
      <c r="C73" s="4" t="s">
        <v>2901</v>
      </c>
      <c r="D73" s="4">
        <v>4001</v>
      </c>
      <c r="I73" s="4" t="s">
        <v>2902</v>
      </c>
      <c r="J73" s="4" t="s">
        <v>2903</v>
      </c>
      <c r="K73" s="4" t="s">
        <v>545</v>
      </c>
      <c r="L73" s="4" t="s">
        <v>2904</v>
      </c>
      <c r="M73" s="4">
        <v>9619035525</v>
      </c>
      <c r="P73" s="168" t="s">
        <v>2905</v>
      </c>
      <c r="R73" s="4" t="s">
        <v>47</v>
      </c>
      <c r="S73" s="45" t="s">
        <v>48</v>
      </c>
      <c r="T73" s="45" t="s">
        <v>2906</v>
      </c>
      <c r="U73" s="45" t="s">
        <v>2906</v>
      </c>
      <c r="V73" s="45" t="s">
        <v>48</v>
      </c>
      <c r="W73" s="4" t="s">
        <v>2907</v>
      </c>
      <c r="X73" s="4" t="s">
        <v>2908</v>
      </c>
    </row>
    <row r="74" spans="1:24" ht="13.8">
      <c r="A74" s="166"/>
      <c r="B74" s="166">
        <v>788</v>
      </c>
      <c r="C74" s="4" t="s">
        <v>2909</v>
      </c>
      <c r="D74" s="4">
        <v>1364</v>
      </c>
      <c r="I74" s="4" t="s">
        <v>2910</v>
      </c>
      <c r="J74" s="4" t="s">
        <v>2911</v>
      </c>
      <c r="K74" s="4" t="s">
        <v>2912</v>
      </c>
      <c r="L74" s="4" t="s">
        <v>2913</v>
      </c>
      <c r="M74" s="4">
        <v>9603314626</v>
      </c>
      <c r="P74" s="168" t="s">
        <v>2914</v>
      </c>
      <c r="R74" s="4" t="s">
        <v>47</v>
      </c>
      <c r="S74" s="45" t="s">
        <v>48</v>
      </c>
      <c r="T74" s="45" t="s">
        <v>2915</v>
      </c>
      <c r="U74" s="45" t="s">
        <v>2915</v>
      </c>
      <c r="V74" s="45" t="s">
        <v>48</v>
      </c>
      <c r="W74" s="4" t="s">
        <v>71</v>
      </c>
      <c r="X74" s="4" t="s">
        <v>71</v>
      </c>
    </row>
    <row r="75" spans="1:24" ht="13.8">
      <c r="A75" s="166"/>
      <c r="B75" s="166">
        <v>791</v>
      </c>
      <c r="C75" s="4" t="s">
        <v>2916</v>
      </c>
      <c r="D75" s="4">
        <v>9562</v>
      </c>
      <c r="I75" s="4" t="s">
        <v>2917</v>
      </c>
      <c r="J75" s="4" t="s">
        <v>2918</v>
      </c>
      <c r="K75" s="4" t="s">
        <v>2473</v>
      </c>
      <c r="L75" s="4" t="s">
        <v>2919</v>
      </c>
      <c r="M75" s="4">
        <v>919820320705</v>
      </c>
      <c r="P75" s="168" t="s">
        <v>2920</v>
      </c>
      <c r="R75" s="4" t="s">
        <v>47</v>
      </c>
      <c r="S75" s="45" t="s">
        <v>48</v>
      </c>
      <c r="T75" s="45" t="s">
        <v>2915</v>
      </c>
      <c r="U75" s="45" t="s">
        <v>2915</v>
      </c>
      <c r="V75" s="45" t="s">
        <v>48</v>
      </c>
      <c r="W75" s="4" t="s">
        <v>71</v>
      </c>
      <c r="X75" s="4" t="s">
        <v>467</v>
      </c>
    </row>
    <row r="76" spans="1:24" ht="13.8">
      <c r="A76" s="166"/>
      <c r="B76" s="166"/>
      <c r="C76" s="4"/>
      <c r="D76" s="4"/>
      <c r="R76" s="4"/>
    </row>
    <row r="77" spans="1:24" ht="13.8">
      <c r="A77" s="166"/>
      <c r="B77" s="166"/>
      <c r="C77" s="4"/>
      <c r="D77" s="4"/>
      <c r="R77" s="4"/>
    </row>
    <row r="78" spans="1:24" ht="13.8">
      <c r="A78" s="166"/>
      <c r="B78" s="166"/>
      <c r="C78" s="4"/>
      <c r="D78" s="4"/>
      <c r="R78" s="4"/>
    </row>
    <row r="79" spans="1:24" ht="13.8">
      <c r="A79" s="166"/>
      <c r="B79" s="166"/>
      <c r="C79" s="4"/>
      <c r="D79" s="4"/>
      <c r="R79" s="4"/>
    </row>
    <row r="80" spans="1:24" ht="13.8">
      <c r="A80" s="166"/>
      <c r="B80" s="166"/>
      <c r="C80" s="4"/>
      <c r="D80" s="4"/>
      <c r="R80" s="4"/>
    </row>
    <row r="81" spans="18:18" ht="13.8">
      <c r="R81" s="4"/>
    </row>
    <row r="82" spans="18:18" ht="13.8">
      <c r="R82" s="4"/>
    </row>
    <row r="83" spans="18:18" ht="13.8">
      <c r="R83" s="4"/>
    </row>
    <row r="84" spans="18:18" ht="13.8">
      <c r="R84" s="4"/>
    </row>
    <row r="85" spans="18:18" ht="13.8">
      <c r="R85" s="4"/>
    </row>
    <row r="86" spans="18:18" ht="13.8">
      <c r="R86" s="4"/>
    </row>
    <row r="87" spans="18:18" ht="13.8">
      <c r="R87" s="4"/>
    </row>
    <row r="88" spans="18:18" ht="13.8">
      <c r="R88" s="4"/>
    </row>
    <row r="89" spans="18:18" ht="13.8">
      <c r="R89" s="4"/>
    </row>
    <row r="90" spans="18:18" ht="13.8">
      <c r="R90" s="4"/>
    </row>
    <row r="91" spans="18:18" ht="13.8">
      <c r="R91" s="4"/>
    </row>
    <row r="92" spans="18:18" ht="13.8">
      <c r="R92" s="4"/>
    </row>
    <row r="93" spans="18:18" ht="13.8">
      <c r="R93" s="4"/>
    </row>
    <row r="94" spans="18:18" ht="13.8">
      <c r="R94" s="4"/>
    </row>
    <row r="95" spans="18:18" ht="13.8">
      <c r="R95" s="4"/>
    </row>
  </sheetData>
  <hyperlinks>
    <hyperlink ref="F43" r:id="rId1" xr:uid="{00000000-0004-0000-0600-000000000000}"/>
    <hyperlink ref="P43" r:id="rId2" xr:uid="{00000000-0004-0000-0600-000001000000}"/>
    <hyperlink ref="F44" r:id="rId3" xr:uid="{00000000-0004-0000-0600-000002000000}"/>
    <hyperlink ref="P44" r:id="rId4" xr:uid="{00000000-0004-0000-0600-000003000000}"/>
    <hyperlink ref="F45" r:id="rId5" xr:uid="{00000000-0004-0000-0600-000004000000}"/>
    <hyperlink ref="P45" r:id="rId6" xr:uid="{00000000-0004-0000-0600-000005000000}"/>
    <hyperlink ref="F46" r:id="rId7" xr:uid="{00000000-0004-0000-0600-000006000000}"/>
    <hyperlink ref="P46" r:id="rId8" xr:uid="{00000000-0004-0000-0600-000007000000}"/>
    <hyperlink ref="F47" r:id="rId9" xr:uid="{00000000-0004-0000-0600-000008000000}"/>
    <hyperlink ref="F48" r:id="rId10" xr:uid="{00000000-0004-0000-0600-000009000000}"/>
    <hyperlink ref="P48" r:id="rId11" xr:uid="{00000000-0004-0000-0600-00000A000000}"/>
    <hyperlink ref="F49" r:id="rId12" xr:uid="{00000000-0004-0000-0600-00000B000000}"/>
    <hyperlink ref="P49" r:id="rId13" xr:uid="{00000000-0004-0000-0600-00000C000000}"/>
    <hyperlink ref="F50" r:id="rId14" xr:uid="{00000000-0004-0000-0600-00000D000000}"/>
    <hyperlink ref="P50" r:id="rId15" xr:uid="{00000000-0004-0000-0600-00000E000000}"/>
    <hyperlink ref="F51" r:id="rId16" xr:uid="{00000000-0004-0000-0600-00000F000000}"/>
    <hyperlink ref="P51" r:id="rId17" xr:uid="{00000000-0004-0000-0600-000010000000}"/>
    <hyperlink ref="P59" r:id="rId18" xr:uid="{00000000-0004-0000-0600-000011000000}"/>
    <hyperlink ref="P60" r:id="rId19" xr:uid="{00000000-0004-0000-0600-000012000000}"/>
    <hyperlink ref="P64" r:id="rId20" xr:uid="{00000000-0004-0000-0600-000013000000}"/>
    <hyperlink ref="P65" r:id="rId21" xr:uid="{00000000-0004-0000-0600-000014000000}"/>
    <hyperlink ref="P66" r:id="rId22" xr:uid="{00000000-0004-0000-0600-000015000000}"/>
    <hyperlink ref="P68" r:id="rId23" xr:uid="{00000000-0004-0000-0600-000016000000}"/>
    <hyperlink ref="P72" r:id="rId24" xr:uid="{00000000-0004-0000-0600-000017000000}"/>
    <hyperlink ref="P73" r:id="rId25" xr:uid="{00000000-0004-0000-0600-000018000000}"/>
    <hyperlink ref="P74" r:id="rId26" xr:uid="{00000000-0004-0000-0600-000019000000}"/>
    <hyperlink ref="P75" r:id="rId27" xr:uid="{00000000-0004-0000-0600-00001A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AP59"/>
  <sheetViews>
    <sheetView topLeftCell="A45" workbookViewId="0">
      <pane xSplit="3" topLeftCell="D1" activePane="topRight" state="frozen"/>
      <selection pane="topRight" activeCell="O22" sqref="O22"/>
    </sheetView>
  </sheetViews>
  <sheetFormatPr defaultColWidth="12.6640625" defaultRowHeight="15.75" customHeight="1"/>
  <cols>
    <col min="1" max="1" width="18.33203125" customWidth="1"/>
    <col min="3" max="3" width="48.77734375" customWidth="1"/>
    <col min="4" max="4" width="0.33203125" customWidth="1"/>
    <col min="32" max="32" width="21.109375" customWidth="1"/>
  </cols>
  <sheetData>
    <row r="3" spans="1:42" ht="13.8">
      <c r="A3" s="90" t="s">
        <v>1545</v>
      </c>
      <c r="B3" s="90" t="s">
        <v>1</v>
      </c>
      <c r="C3" s="2" t="s">
        <v>639</v>
      </c>
      <c r="D3" s="2" t="s">
        <v>640</v>
      </c>
      <c r="E3" s="2" t="s">
        <v>1050</v>
      </c>
      <c r="F3" s="2" t="s">
        <v>4</v>
      </c>
      <c r="G3" s="2" t="s">
        <v>5</v>
      </c>
      <c r="H3" s="2" t="s">
        <v>6</v>
      </c>
      <c r="I3" s="2" t="s">
        <v>7</v>
      </c>
      <c r="J3" s="2" t="s">
        <v>8</v>
      </c>
      <c r="K3" s="2" t="s">
        <v>9</v>
      </c>
      <c r="L3" s="2" t="s">
        <v>10</v>
      </c>
      <c r="M3" s="2" t="s">
        <v>11</v>
      </c>
      <c r="N3" s="1" t="s">
        <v>12</v>
      </c>
      <c r="O3" s="2" t="s">
        <v>13</v>
      </c>
      <c r="P3" s="2" t="s">
        <v>14</v>
      </c>
      <c r="Q3" s="2" t="s">
        <v>15</v>
      </c>
      <c r="R3" s="2" t="s">
        <v>16</v>
      </c>
      <c r="S3" s="3" t="s">
        <v>17</v>
      </c>
      <c r="T3" s="3" t="s">
        <v>18</v>
      </c>
      <c r="U3" s="3" t="s">
        <v>19</v>
      </c>
      <c r="V3" s="3" t="s">
        <v>20</v>
      </c>
      <c r="W3" s="4" t="s">
        <v>21</v>
      </c>
      <c r="X3" s="4" t="s">
        <v>22</v>
      </c>
      <c r="Y3" s="5" t="s">
        <v>23</v>
      </c>
      <c r="Z3" s="5" t="s">
        <v>24</v>
      </c>
      <c r="AA3" s="5" t="s">
        <v>25</v>
      </c>
      <c r="AB3" s="5" t="s">
        <v>26</v>
      </c>
      <c r="AC3" s="5" t="s">
        <v>27</v>
      </c>
      <c r="AD3" s="5" t="s">
        <v>1546</v>
      </c>
      <c r="AE3" s="5" t="s">
        <v>28</v>
      </c>
      <c r="AF3" s="5" t="s">
        <v>1546</v>
      </c>
      <c r="AG3" s="5" t="s">
        <v>29</v>
      </c>
      <c r="AH3" s="5" t="s">
        <v>1546</v>
      </c>
      <c r="AI3" s="5" t="s">
        <v>30</v>
      </c>
      <c r="AJ3" s="5" t="s">
        <v>1547</v>
      </c>
      <c r="AK3" s="5" t="s">
        <v>31</v>
      </c>
      <c r="AL3" s="5"/>
      <c r="AM3" s="5" t="s">
        <v>32</v>
      </c>
      <c r="AN3" s="5"/>
      <c r="AO3" s="5" t="s">
        <v>33</v>
      </c>
      <c r="AP3" s="5"/>
    </row>
    <row r="4" spans="1:42" ht="16.8">
      <c r="A4" s="6" t="s">
        <v>34</v>
      </c>
      <c r="B4" s="6">
        <v>144</v>
      </c>
      <c r="C4" s="44" t="s">
        <v>1548</v>
      </c>
      <c r="D4" s="6">
        <v>1041</v>
      </c>
      <c r="E4" s="6"/>
      <c r="F4" s="44" t="s">
        <v>1549</v>
      </c>
      <c r="G4" s="20" t="s">
        <v>1550</v>
      </c>
      <c r="H4" s="6"/>
      <c r="I4" s="20" t="s">
        <v>1551</v>
      </c>
      <c r="J4" s="20" t="s">
        <v>1552</v>
      </c>
      <c r="K4" s="20" t="s">
        <v>1553</v>
      </c>
      <c r="L4" s="86" t="s">
        <v>1288</v>
      </c>
      <c r="M4" s="20">
        <v>9920484605</v>
      </c>
      <c r="N4" s="18" t="s">
        <v>44</v>
      </c>
      <c r="O4" s="20">
        <v>9920484605</v>
      </c>
      <c r="P4" s="22" t="s">
        <v>1289</v>
      </c>
      <c r="Q4" s="19" t="s">
        <v>44</v>
      </c>
      <c r="R4" s="6" t="s">
        <v>47</v>
      </c>
      <c r="S4" s="45" t="s">
        <v>170</v>
      </c>
      <c r="T4" s="45" t="s">
        <v>49</v>
      </c>
      <c r="U4" s="45" t="s">
        <v>1290</v>
      </c>
      <c r="V4" s="45" t="s">
        <v>1291</v>
      </c>
      <c r="W4" s="17" t="s">
        <v>71</v>
      </c>
      <c r="X4" s="16" t="s">
        <v>1554</v>
      </c>
      <c r="Y4" s="6"/>
      <c r="Z4" s="6"/>
      <c r="AA4" s="6"/>
      <c r="AB4" s="6"/>
      <c r="AC4" s="17" t="s">
        <v>1293</v>
      </c>
      <c r="AD4" s="17" t="s">
        <v>1294</v>
      </c>
      <c r="AE4" s="17" t="s">
        <v>1295</v>
      </c>
      <c r="AF4" s="17" t="s">
        <v>1296</v>
      </c>
      <c r="AG4" s="17" t="s">
        <v>1297</v>
      </c>
      <c r="AH4" s="17" t="s">
        <v>1298</v>
      </c>
      <c r="AI4" s="6"/>
      <c r="AJ4" s="6"/>
      <c r="AK4" s="6"/>
      <c r="AL4" s="6"/>
      <c r="AM4" s="6"/>
      <c r="AN4" s="6"/>
      <c r="AO4" s="6"/>
      <c r="AP4" s="6"/>
    </row>
    <row r="5" spans="1:42" ht="16.8" hidden="1">
      <c r="A5" s="6"/>
      <c r="B5" s="6">
        <v>145</v>
      </c>
      <c r="C5" s="44" t="s">
        <v>1555</v>
      </c>
      <c r="D5" s="6"/>
      <c r="E5" s="6"/>
      <c r="F5" s="44" t="s">
        <v>1556</v>
      </c>
      <c r="G5" s="20" t="s">
        <v>1557</v>
      </c>
      <c r="H5" s="6"/>
      <c r="I5" s="20" t="s">
        <v>1558</v>
      </c>
      <c r="J5" s="20" t="s">
        <v>1559</v>
      </c>
      <c r="K5" s="20" t="s">
        <v>1560</v>
      </c>
      <c r="L5" s="86" t="s">
        <v>1561</v>
      </c>
      <c r="M5" s="20">
        <v>7021031804</v>
      </c>
      <c r="N5" s="18" t="s">
        <v>44</v>
      </c>
      <c r="O5" s="20">
        <v>7021031804</v>
      </c>
      <c r="P5" s="44" t="s">
        <v>1562</v>
      </c>
      <c r="Q5" s="19" t="s">
        <v>44</v>
      </c>
      <c r="R5" s="6" t="s">
        <v>47</v>
      </c>
      <c r="S5" s="45" t="s">
        <v>48</v>
      </c>
      <c r="T5" s="45" t="s">
        <v>49</v>
      </c>
      <c r="U5" s="45" t="s">
        <v>1563</v>
      </c>
      <c r="V5" s="45" t="s">
        <v>49</v>
      </c>
      <c r="W5" s="17" t="s">
        <v>71</v>
      </c>
      <c r="X5" s="17" t="s">
        <v>1564</v>
      </c>
      <c r="Y5" s="6"/>
      <c r="Z5" s="6"/>
      <c r="AA5" s="6"/>
      <c r="AB5" s="6"/>
      <c r="AC5" s="17" t="s">
        <v>1565</v>
      </c>
      <c r="AD5" s="17" t="s">
        <v>1566</v>
      </c>
      <c r="AE5" s="17" t="s">
        <v>1567</v>
      </c>
      <c r="AF5" s="17" t="s">
        <v>1568</v>
      </c>
      <c r="AG5" s="17" t="s">
        <v>1569</v>
      </c>
      <c r="AH5" s="17" t="s">
        <v>1570</v>
      </c>
      <c r="AI5" s="17" t="s">
        <v>1571</v>
      </c>
      <c r="AJ5" s="17" t="s">
        <v>1572</v>
      </c>
      <c r="AK5" s="17" t="s">
        <v>1573</v>
      </c>
      <c r="AL5" s="6"/>
      <c r="AM5" s="17" t="s">
        <v>1573</v>
      </c>
      <c r="AN5" s="17" t="s">
        <v>1574</v>
      </c>
      <c r="AO5" s="6"/>
      <c r="AP5" s="6"/>
    </row>
    <row r="6" spans="1:42" ht="16.8" hidden="1">
      <c r="A6" s="6"/>
      <c r="B6" s="6">
        <v>146</v>
      </c>
      <c r="C6" s="44" t="s">
        <v>1575</v>
      </c>
      <c r="D6" s="6"/>
      <c r="E6" s="6"/>
      <c r="F6" s="44" t="s">
        <v>1576</v>
      </c>
      <c r="G6" s="20" t="s">
        <v>1577</v>
      </c>
      <c r="H6" s="6"/>
      <c r="I6" s="20" t="s">
        <v>1578</v>
      </c>
      <c r="J6" s="20" t="s">
        <v>1579</v>
      </c>
      <c r="K6" s="20" t="s">
        <v>78</v>
      </c>
      <c r="L6" s="86" t="s">
        <v>1580</v>
      </c>
      <c r="M6" s="20">
        <f>61430442201</f>
        <v>61430442201</v>
      </c>
      <c r="N6" s="18" t="s">
        <v>44</v>
      </c>
      <c r="O6" s="20">
        <f>61430442201</f>
        <v>61430442201</v>
      </c>
      <c r="P6" s="22" t="s">
        <v>1581</v>
      </c>
      <c r="Q6" s="19" t="s">
        <v>44</v>
      </c>
      <c r="R6" s="6" t="s">
        <v>47</v>
      </c>
      <c r="S6" s="45" t="s">
        <v>48</v>
      </c>
      <c r="T6" s="45" t="s">
        <v>1582</v>
      </c>
      <c r="U6" s="45" t="s">
        <v>1583</v>
      </c>
      <c r="V6" s="45" t="s">
        <v>1583</v>
      </c>
      <c r="W6" s="17" t="s">
        <v>71</v>
      </c>
      <c r="X6" s="17" t="s">
        <v>1584</v>
      </c>
      <c r="Y6" s="6"/>
      <c r="Z6" s="6"/>
      <c r="AA6" s="6"/>
      <c r="AB6" s="6"/>
      <c r="AC6" s="17" t="s">
        <v>1585</v>
      </c>
      <c r="AD6" s="17" t="s">
        <v>1586</v>
      </c>
      <c r="AE6" s="17" t="s">
        <v>1587</v>
      </c>
      <c r="AF6" s="17" t="s">
        <v>1588</v>
      </c>
      <c r="AG6" s="17" t="s">
        <v>1589</v>
      </c>
      <c r="AH6" s="17" t="s">
        <v>1590</v>
      </c>
      <c r="AI6" s="17" t="s">
        <v>1591</v>
      </c>
      <c r="AJ6" s="17" t="s">
        <v>1592</v>
      </c>
      <c r="AK6" s="6"/>
      <c r="AL6" s="6"/>
      <c r="AM6" s="6"/>
      <c r="AN6" s="6"/>
      <c r="AO6" s="6"/>
      <c r="AP6" s="6"/>
    </row>
    <row r="7" spans="1:42" ht="16.8" hidden="1">
      <c r="A7" s="6"/>
      <c r="B7" s="6">
        <v>147</v>
      </c>
      <c r="C7" s="44" t="s">
        <v>1593</v>
      </c>
      <c r="D7" s="6"/>
      <c r="E7" s="6"/>
      <c r="F7" s="44" t="s">
        <v>1594</v>
      </c>
      <c r="G7" s="20" t="s">
        <v>1595</v>
      </c>
      <c r="H7" s="6"/>
      <c r="I7" s="20" t="s">
        <v>1596</v>
      </c>
      <c r="J7" s="20" t="s">
        <v>1597</v>
      </c>
      <c r="K7" s="20" t="s">
        <v>1598</v>
      </c>
      <c r="L7" s="19" t="s">
        <v>1580</v>
      </c>
      <c r="M7" s="20">
        <v>8070905905</v>
      </c>
      <c r="N7" s="18" t="s">
        <v>44</v>
      </c>
      <c r="O7" s="20">
        <v>8070905905</v>
      </c>
      <c r="P7" s="22" t="s">
        <v>1599</v>
      </c>
      <c r="Q7" s="87" t="s">
        <v>1600</v>
      </c>
      <c r="R7" s="6" t="s">
        <v>47</v>
      </c>
      <c r="S7" s="45" t="s">
        <v>48</v>
      </c>
      <c r="T7" s="45" t="s">
        <v>1582</v>
      </c>
      <c r="U7" s="45" t="s">
        <v>1583</v>
      </c>
      <c r="V7" s="45" t="s">
        <v>1601</v>
      </c>
      <c r="W7" s="17" t="s">
        <v>71</v>
      </c>
      <c r="X7" s="17" t="s">
        <v>1584</v>
      </c>
      <c r="Y7" s="6"/>
      <c r="Z7" s="6"/>
      <c r="AA7" s="6"/>
      <c r="AB7" s="6"/>
      <c r="AC7" s="17" t="s">
        <v>1585</v>
      </c>
      <c r="AD7" s="17" t="s">
        <v>1586</v>
      </c>
      <c r="AE7" s="17" t="s">
        <v>1587</v>
      </c>
      <c r="AF7" s="17" t="s">
        <v>1588</v>
      </c>
      <c r="AG7" s="17" t="s">
        <v>1589</v>
      </c>
      <c r="AH7" s="17" t="s">
        <v>1590</v>
      </c>
      <c r="AI7" s="17" t="s">
        <v>1591</v>
      </c>
      <c r="AJ7" s="17" t="s">
        <v>1592</v>
      </c>
      <c r="AK7" s="6"/>
      <c r="AL7" s="6"/>
      <c r="AM7" s="6"/>
      <c r="AN7" s="6"/>
      <c r="AO7" s="6"/>
      <c r="AP7" s="6"/>
    </row>
    <row r="8" spans="1:42" ht="16.8" hidden="1">
      <c r="A8" s="6"/>
      <c r="B8" s="6">
        <v>148</v>
      </c>
      <c r="C8" s="106" t="s">
        <v>1602</v>
      </c>
      <c r="D8" s="6"/>
      <c r="E8" s="6"/>
      <c r="F8" s="44" t="s">
        <v>1603</v>
      </c>
      <c r="G8" s="20" t="s">
        <v>1604</v>
      </c>
      <c r="H8" s="6"/>
      <c r="I8" s="20" t="s">
        <v>1578</v>
      </c>
      <c r="J8" s="20" t="s">
        <v>1605</v>
      </c>
      <c r="K8" s="20" t="s">
        <v>1606</v>
      </c>
      <c r="L8" s="86" t="s">
        <v>1580</v>
      </c>
      <c r="M8" s="20">
        <v>8062260000</v>
      </c>
      <c r="N8" s="18" t="s">
        <v>44</v>
      </c>
      <c r="O8" s="20">
        <v>8062260000</v>
      </c>
      <c r="P8" s="22" t="s">
        <v>1599</v>
      </c>
      <c r="Q8" s="19" t="s">
        <v>44</v>
      </c>
      <c r="R8" s="6" t="s">
        <v>47</v>
      </c>
      <c r="S8" s="45" t="s">
        <v>48</v>
      </c>
      <c r="T8" s="45" t="s">
        <v>1582</v>
      </c>
      <c r="U8" s="45" t="s">
        <v>1583</v>
      </c>
      <c r="V8" s="45" t="s">
        <v>1601</v>
      </c>
      <c r="W8" s="17" t="s">
        <v>71</v>
      </c>
      <c r="X8" s="17" t="s">
        <v>1584</v>
      </c>
      <c r="Y8" s="6"/>
      <c r="Z8" s="6"/>
      <c r="AA8" s="6"/>
      <c r="AB8" s="6"/>
      <c r="AC8" s="17" t="s">
        <v>1585</v>
      </c>
      <c r="AD8" s="17" t="s">
        <v>1586</v>
      </c>
      <c r="AE8" s="17" t="s">
        <v>1587</v>
      </c>
      <c r="AF8" s="17" t="s">
        <v>1588</v>
      </c>
      <c r="AG8" s="17" t="s">
        <v>1589</v>
      </c>
      <c r="AH8" s="17" t="s">
        <v>1590</v>
      </c>
      <c r="AI8" s="17" t="s">
        <v>1591</v>
      </c>
      <c r="AJ8" s="17" t="s">
        <v>1592</v>
      </c>
      <c r="AK8" s="6"/>
      <c r="AL8" s="6"/>
      <c r="AM8" s="6"/>
      <c r="AN8" s="6"/>
      <c r="AO8" s="6"/>
      <c r="AP8" s="6"/>
    </row>
    <row r="9" spans="1:42" ht="16.8" hidden="1">
      <c r="A9" s="6"/>
      <c r="B9" s="6">
        <v>149</v>
      </c>
      <c r="C9" s="44" t="s">
        <v>1607</v>
      </c>
      <c r="D9" s="6"/>
      <c r="E9" s="6"/>
      <c r="F9" s="44" t="s">
        <v>1608</v>
      </c>
      <c r="G9" s="20" t="s">
        <v>1609</v>
      </c>
      <c r="H9" s="6"/>
      <c r="I9" s="20" t="s">
        <v>1578</v>
      </c>
      <c r="J9" s="20" t="s">
        <v>1559</v>
      </c>
      <c r="K9" s="20" t="s">
        <v>1610</v>
      </c>
      <c r="L9" s="86" t="s">
        <v>1580</v>
      </c>
      <c r="M9" s="20">
        <v>7021031804</v>
      </c>
      <c r="N9" s="18" t="s">
        <v>44</v>
      </c>
      <c r="O9" s="20">
        <v>7021031804</v>
      </c>
      <c r="P9" s="44" t="s">
        <v>1599</v>
      </c>
      <c r="Q9" s="19" t="s">
        <v>44</v>
      </c>
      <c r="R9" s="6" t="s">
        <v>47</v>
      </c>
      <c r="S9" s="45" t="s">
        <v>48</v>
      </c>
      <c r="T9" s="45" t="s">
        <v>1582</v>
      </c>
      <c r="U9" s="45" t="s">
        <v>1583</v>
      </c>
      <c r="V9" s="45" t="s">
        <v>1601</v>
      </c>
      <c r="W9" s="17" t="s">
        <v>71</v>
      </c>
      <c r="X9" s="17" t="s">
        <v>1584</v>
      </c>
      <c r="Y9" s="6"/>
      <c r="Z9" s="6"/>
      <c r="AA9" s="6"/>
      <c r="AB9" s="6"/>
      <c r="AC9" s="17" t="s">
        <v>1585</v>
      </c>
      <c r="AD9" s="17" t="s">
        <v>1586</v>
      </c>
      <c r="AE9" s="17" t="s">
        <v>1587</v>
      </c>
      <c r="AF9" s="17" t="s">
        <v>1588</v>
      </c>
      <c r="AG9" s="17" t="s">
        <v>1589</v>
      </c>
      <c r="AH9" s="17" t="s">
        <v>1590</v>
      </c>
      <c r="AI9" s="17" t="s">
        <v>1591</v>
      </c>
      <c r="AJ9" s="17" t="s">
        <v>1592</v>
      </c>
      <c r="AK9" s="6"/>
      <c r="AL9" s="6"/>
      <c r="AM9" s="6"/>
      <c r="AN9" s="6"/>
      <c r="AO9" s="6"/>
      <c r="AP9" s="6"/>
    </row>
    <row r="10" spans="1:42" ht="16.8">
      <c r="A10" s="25" t="s">
        <v>34</v>
      </c>
      <c r="B10" s="25">
        <v>150</v>
      </c>
      <c r="C10" s="58" t="s">
        <v>1611</v>
      </c>
      <c r="D10" s="25">
        <v>1019</v>
      </c>
      <c r="E10" s="25"/>
      <c r="F10" s="58" t="s">
        <v>1612</v>
      </c>
      <c r="G10" s="31" t="s">
        <v>1613</v>
      </c>
      <c r="H10" s="25"/>
      <c r="I10" s="30" t="s">
        <v>1614</v>
      </c>
      <c r="J10" s="31" t="s">
        <v>1615</v>
      </c>
      <c r="K10" s="30" t="s">
        <v>44</v>
      </c>
      <c r="L10" s="30" t="s">
        <v>44</v>
      </c>
      <c r="M10" s="31">
        <v>9819946897</v>
      </c>
      <c r="N10" s="54">
        <v>9653111064</v>
      </c>
      <c r="O10" s="31">
        <v>9819946897</v>
      </c>
      <c r="P10" s="30" t="s">
        <v>44</v>
      </c>
      <c r="Q10" s="29" t="s">
        <v>1616</v>
      </c>
      <c r="R10" s="25" t="s">
        <v>47</v>
      </c>
      <c r="S10" s="51" t="s">
        <v>1617</v>
      </c>
      <c r="T10" s="51" t="s">
        <v>49</v>
      </c>
      <c r="U10" s="51" t="s">
        <v>1618</v>
      </c>
      <c r="V10" s="51" t="s">
        <v>1619</v>
      </c>
      <c r="W10" s="28" t="s">
        <v>71</v>
      </c>
      <c r="X10" s="28" t="s">
        <v>71</v>
      </c>
      <c r="Y10" s="25"/>
      <c r="Z10" s="25"/>
      <c r="AA10" s="25"/>
      <c r="AB10" s="25"/>
      <c r="AC10" s="25"/>
      <c r="AD10" s="25"/>
      <c r="AE10" s="25"/>
      <c r="AF10" s="25"/>
      <c r="AG10" s="25"/>
      <c r="AH10" s="25"/>
      <c r="AI10" s="25"/>
      <c r="AJ10" s="25"/>
      <c r="AK10" s="25"/>
      <c r="AL10" s="25"/>
      <c r="AM10" s="25"/>
      <c r="AN10" s="25"/>
      <c r="AO10" s="25"/>
      <c r="AP10" s="25"/>
    </row>
    <row r="11" spans="1:42" ht="16.8">
      <c r="A11" s="25" t="s">
        <v>34</v>
      </c>
      <c r="B11" s="25">
        <v>151</v>
      </c>
      <c r="C11" s="58" t="s">
        <v>1620</v>
      </c>
      <c r="D11" s="25">
        <v>1059</v>
      </c>
      <c r="E11" s="25"/>
      <c r="F11" s="60" t="s">
        <v>1621</v>
      </c>
      <c r="G11" s="31" t="s">
        <v>1622</v>
      </c>
      <c r="H11" s="25"/>
      <c r="I11" s="31" t="s">
        <v>1623</v>
      </c>
      <c r="J11" s="31" t="s">
        <v>1624</v>
      </c>
      <c r="K11" s="31" t="s">
        <v>1625</v>
      </c>
      <c r="L11" s="59" t="s">
        <v>1626</v>
      </c>
      <c r="M11" s="31">
        <v>9819860110</v>
      </c>
      <c r="N11" s="29" t="s">
        <v>44</v>
      </c>
      <c r="O11" s="31">
        <v>9819860110</v>
      </c>
      <c r="P11" s="33" t="s">
        <v>1627</v>
      </c>
      <c r="Q11" s="29"/>
      <c r="R11" s="25" t="s">
        <v>47</v>
      </c>
      <c r="S11" s="51" t="s">
        <v>170</v>
      </c>
      <c r="T11" s="51" t="s">
        <v>1628</v>
      </c>
      <c r="U11" s="51" t="s">
        <v>1629</v>
      </c>
      <c r="V11" s="51" t="s">
        <v>48</v>
      </c>
      <c r="W11" s="28" t="s">
        <v>71</v>
      </c>
      <c r="X11" s="28" t="s">
        <v>1630</v>
      </c>
      <c r="Y11" s="25"/>
      <c r="Z11" s="25"/>
      <c r="AA11" s="25"/>
      <c r="AB11" s="25"/>
      <c r="AC11" s="25"/>
      <c r="AD11" s="25"/>
      <c r="AE11" s="25"/>
      <c r="AF11" s="25"/>
      <c r="AG11" s="25"/>
      <c r="AH11" s="25"/>
      <c r="AI11" s="25"/>
      <c r="AJ11" s="25"/>
      <c r="AK11" s="25"/>
      <c r="AL11" s="25"/>
      <c r="AM11" s="25"/>
      <c r="AN11" s="25"/>
      <c r="AO11" s="25"/>
      <c r="AP11" s="25"/>
    </row>
    <row r="12" spans="1:42" ht="16.8">
      <c r="A12" s="25" t="s">
        <v>34</v>
      </c>
      <c r="B12" s="25">
        <v>152</v>
      </c>
      <c r="C12" s="58" t="s">
        <v>1631</v>
      </c>
      <c r="D12" s="25">
        <v>1060</v>
      </c>
      <c r="E12" s="25"/>
      <c r="F12" s="58" t="s">
        <v>1632</v>
      </c>
      <c r="G12" s="30" t="s">
        <v>1633</v>
      </c>
      <c r="H12" s="25"/>
      <c r="I12" s="31" t="s">
        <v>1634</v>
      </c>
      <c r="J12" s="30" t="s">
        <v>1635</v>
      </c>
      <c r="K12" s="31" t="s">
        <v>1636</v>
      </c>
      <c r="L12" s="30" t="s">
        <v>1637</v>
      </c>
      <c r="M12" s="31">
        <v>9987779979</v>
      </c>
      <c r="N12" s="29" t="s">
        <v>44</v>
      </c>
      <c r="O12" s="31">
        <v>9987779979</v>
      </c>
      <c r="P12" s="33" t="s">
        <v>1638</v>
      </c>
      <c r="Q12" s="29"/>
      <c r="R12" s="25" t="s">
        <v>47</v>
      </c>
      <c r="S12" s="51" t="s">
        <v>300</v>
      </c>
      <c r="T12" s="51" t="s">
        <v>1628</v>
      </c>
      <c r="U12" s="51" t="s">
        <v>1639</v>
      </c>
      <c r="V12" s="51" t="s">
        <v>48</v>
      </c>
      <c r="W12" s="28" t="s">
        <v>71</v>
      </c>
      <c r="X12" s="28" t="s">
        <v>1640</v>
      </c>
      <c r="Y12" s="25"/>
      <c r="Z12" s="25"/>
      <c r="AA12" s="25"/>
      <c r="AB12" s="25"/>
      <c r="AC12" s="25"/>
      <c r="AD12" s="25"/>
      <c r="AE12" s="25"/>
      <c r="AF12" s="25"/>
      <c r="AG12" s="25"/>
      <c r="AH12" s="25"/>
      <c r="AI12" s="25"/>
      <c r="AJ12" s="25"/>
      <c r="AK12" s="25"/>
      <c r="AL12" s="25"/>
      <c r="AM12" s="25"/>
      <c r="AN12" s="25"/>
      <c r="AO12" s="25"/>
      <c r="AP12" s="25"/>
    </row>
    <row r="13" spans="1:42" ht="13.8">
      <c r="A13" s="6" t="s">
        <v>34</v>
      </c>
      <c r="B13" s="6">
        <v>153</v>
      </c>
      <c r="C13" s="44" t="s">
        <v>1641</v>
      </c>
      <c r="D13" s="6">
        <v>1080</v>
      </c>
      <c r="E13" s="6"/>
      <c r="F13" s="44" t="s">
        <v>1642</v>
      </c>
      <c r="G13" s="111" t="s">
        <v>1643</v>
      </c>
      <c r="H13" s="6"/>
      <c r="I13" s="111" t="s">
        <v>1644</v>
      </c>
      <c r="J13" s="111" t="s">
        <v>1645</v>
      </c>
      <c r="K13" s="111" t="s">
        <v>191</v>
      </c>
      <c r="L13" s="112" t="s">
        <v>1646</v>
      </c>
      <c r="M13" s="111">
        <v>9830006429</v>
      </c>
      <c r="N13" s="18" t="s">
        <v>44</v>
      </c>
      <c r="O13" s="111">
        <v>9830006429</v>
      </c>
      <c r="P13" s="19" t="s">
        <v>44</v>
      </c>
      <c r="Q13" s="19" t="s">
        <v>44</v>
      </c>
      <c r="R13" s="6" t="s">
        <v>47</v>
      </c>
      <c r="S13" s="18" t="s">
        <v>395</v>
      </c>
      <c r="T13" s="18" t="s">
        <v>395</v>
      </c>
      <c r="U13" s="18" t="s">
        <v>395</v>
      </c>
      <c r="V13" s="18" t="s">
        <v>395</v>
      </c>
      <c r="W13" s="17" t="s">
        <v>71</v>
      </c>
      <c r="X13" s="17" t="s">
        <v>1647</v>
      </c>
      <c r="Y13" s="6"/>
      <c r="Z13" s="6"/>
      <c r="AA13" s="6"/>
      <c r="AB13" s="6"/>
      <c r="AC13" s="6"/>
      <c r="AD13" s="6"/>
      <c r="AE13" s="6"/>
      <c r="AF13" s="6"/>
      <c r="AG13" s="6"/>
      <c r="AH13" s="6"/>
      <c r="AI13" s="6"/>
      <c r="AJ13" s="6"/>
      <c r="AK13" s="6"/>
      <c r="AL13" s="6"/>
      <c r="AM13" s="6"/>
      <c r="AN13" s="6"/>
      <c r="AO13" s="6"/>
      <c r="AP13" s="6"/>
    </row>
    <row r="14" spans="1:42" ht="18" customHeight="1">
      <c r="A14" s="25" t="s">
        <v>1648</v>
      </c>
      <c r="B14" s="25">
        <v>154</v>
      </c>
      <c r="C14" s="58" t="s">
        <v>1649</v>
      </c>
      <c r="D14" s="25">
        <v>1098</v>
      </c>
      <c r="E14" s="25"/>
      <c r="F14" s="29" t="s">
        <v>1650</v>
      </c>
      <c r="G14" s="30" t="s">
        <v>1651</v>
      </c>
      <c r="H14" s="25"/>
      <c r="I14" s="30" t="s">
        <v>1652</v>
      </c>
      <c r="J14" s="30" t="s">
        <v>1653</v>
      </c>
      <c r="K14" s="30" t="s">
        <v>191</v>
      </c>
      <c r="L14" s="30" t="s">
        <v>1654</v>
      </c>
      <c r="M14" s="113">
        <v>9984559999</v>
      </c>
      <c r="N14" s="29" t="s">
        <v>44</v>
      </c>
      <c r="O14" s="30">
        <v>9984559999</v>
      </c>
      <c r="P14" s="33" t="s">
        <v>1655</v>
      </c>
      <c r="Q14" s="114" t="s">
        <v>1656</v>
      </c>
      <c r="R14" s="25" t="s">
        <v>47</v>
      </c>
      <c r="S14" s="29" t="s">
        <v>395</v>
      </c>
      <c r="T14" s="29" t="s">
        <v>395</v>
      </c>
      <c r="U14" s="29" t="s">
        <v>395</v>
      </c>
      <c r="V14" s="29" t="s">
        <v>395</v>
      </c>
      <c r="W14" s="28" t="s">
        <v>71</v>
      </c>
      <c r="X14" s="28" t="s">
        <v>71</v>
      </c>
      <c r="Y14" s="25"/>
      <c r="Z14" s="25"/>
      <c r="AA14" s="25"/>
      <c r="AB14" s="25"/>
      <c r="AC14" s="25"/>
      <c r="AD14" s="25"/>
      <c r="AE14" s="25"/>
      <c r="AF14" s="25"/>
      <c r="AG14" s="25"/>
      <c r="AH14" s="25"/>
      <c r="AI14" s="25"/>
      <c r="AJ14" s="25"/>
      <c r="AK14" s="25"/>
      <c r="AL14" s="25"/>
      <c r="AM14" s="25"/>
      <c r="AN14" s="25"/>
      <c r="AO14" s="25"/>
      <c r="AP14" s="25"/>
    </row>
    <row r="15" spans="1:42" ht="16.8">
      <c r="A15" s="25" t="s">
        <v>34</v>
      </c>
      <c r="B15" s="25">
        <v>155</v>
      </c>
      <c r="C15" s="58" t="s">
        <v>1657</v>
      </c>
      <c r="D15" s="25">
        <v>1106</v>
      </c>
      <c r="E15" s="25"/>
      <c r="F15" s="58" t="s">
        <v>1658</v>
      </c>
      <c r="G15" s="31" t="s">
        <v>1659</v>
      </c>
      <c r="H15" s="25"/>
      <c r="I15" s="31" t="s">
        <v>1660</v>
      </c>
      <c r="J15" s="31" t="s">
        <v>1661</v>
      </c>
      <c r="K15" s="31" t="s">
        <v>1662</v>
      </c>
      <c r="L15" s="59" t="s">
        <v>1663</v>
      </c>
      <c r="M15" s="31">
        <f>16464250063</f>
        <v>16464250063</v>
      </c>
      <c r="N15" s="29" t="s">
        <v>44</v>
      </c>
      <c r="O15" s="31">
        <f>16464250063</f>
        <v>16464250063</v>
      </c>
      <c r="P15" s="33" t="s">
        <v>1664</v>
      </c>
      <c r="Q15" s="30" t="s">
        <v>44</v>
      </c>
      <c r="R15" s="25" t="s">
        <v>47</v>
      </c>
      <c r="S15" s="51" t="s">
        <v>170</v>
      </c>
      <c r="T15" s="51" t="s">
        <v>1665</v>
      </c>
      <c r="U15" s="51" t="s">
        <v>1665</v>
      </c>
      <c r="V15" s="51" t="s">
        <v>48</v>
      </c>
      <c r="W15" s="28" t="s">
        <v>1666</v>
      </c>
      <c r="X15" s="28" t="s">
        <v>1667</v>
      </c>
      <c r="Y15" s="25"/>
      <c r="Z15" s="25"/>
      <c r="AA15" s="25"/>
      <c r="AB15" s="25"/>
      <c r="AC15" s="28" t="s">
        <v>1668</v>
      </c>
      <c r="AD15" s="28" t="s">
        <v>1669</v>
      </c>
      <c r="AE15" s="28" t="s">
        <v>1670</v>
      </c>
      <c r="AF15" s="28" t="s">
        <v>1671</v>
      </c>
      <c r="AG15" s="28" t="s">
        <v>1672</v>
      </c>
      <c r="AH15" s="28" t="s">
        <v>1673</v>
      </c>
      <c r="AI15" s="28" t="s">
        <v>1674</v>
      </c>
      <c r="AJ15" s="28" t="s">
        <v>1675</v>
      </c>
      <c r="AK15" s="28" t="s">
        <v>1676</v>
      </c>
      <c r="AL15" s="28" t="s">
        <v>1677</v>
      </c>
      <c r="AM15" s="28" t="s">
        <v>1678</v>
      </c>
      <c r="AN15" s="28" t="s">
        <v>1679</v>
      </c>
      <c r="AO15" s="25"/>
      <c r="AP15" s="25"/>
    </row>
    <row r="16" spans="1:42" ht="16.8">
      <c r="A16" s="25" t="s">
        <v>34</v>
      </c>
      <c r="B16" s="25">
        <v>156</v>
      </c>
      <c r="C16" s="58" t="s">
        <v>1680</v>
      </c>
      <c r="D16" s="25">
        <v>1107</v>
      </c>
      <c r="E16" s="25"/>
      <c r="F16" s="58" t="s">
        <v>1681</v>
      </c>
      <c r="G16" s="56" t="s">
        <v>1682</v>
      </c>
      <c r="H16" s="25"/>
      <c r="I16" s="31" t="s">
        <v>1660</v>
      </c>
      <c r="J16" s="56" t="s">
        <v>1683</v>
      </c>
      <c r="K16" s="56" t="s">
        <v>1684</v>
      </c>
      <c r="L16" s="115" t="s">
        <v>1685</v>
      </c>
      <c r="M16" s="56">
        <v>9176367939</v>
      </c>
      <c r="N16" s="57">
        <v>9960169707</v>
      </c>
      <c r="O16" s="56">
        <v>9176367939</v>
      </c>
      <c r="P16" s="33" t="s">
        <v>1664</v>
      </c>
      <c r="Q16" s="30" t="s">
        <v>44</v>
      </c>
      <c r="R16" s="25" t="s">
        <v>47</v>
      </c>
      <c r="S16" s="51" t="s">
        <v>300</v>
      </c>
      <c r="T16" s="51" t="s">
        <v>1686</v>
      </c>
      <c r="U16" s="51" t="s">
        <v>1686</v>
      </c>
      <c r="V16" s="51" t="s">
        <v>48</v>
      </c>
      <c r="W16" s="28" t="s">
        <v>1687</v>
      </c>
      <c r="X16" s="28" t="s">
        <v>1667</v>
      </c>
      <c r="Y16" s="25"/>
      <c r="Z16" s="25"/>
      <c r="AA16" s="25"/>
      <c r="AB16" s="25"/>
      <c r="AC16" s="28" t="s">
        <v>1668</v>
      </c>
      <c r="AD16" s="28" t="s">
        <v>1669</v>
      </c>
      <c r="AE16" s="28" t="s">
        <v>1670</v>
      </c>
      <c r="AF16" s="28" t="s">
        <v>1671</v>
      </c>
      <c r="AG16" s="28" t="s">
        <v>1672</v>
      </c>
      <c r="AH16" s="28" t="s">
        <v>1673</v>
      </c>
      <c r="AI16" s="28" t="s">
        <v>1674</v>
      </c>
      <c r="AJ16" s="28" t="s">
        <v>1675</v>
      </c>
      <c r="AK16" s="28" t="s">
        <v>1676</v>
      </c>
      <c r="AL16" s="28" t="s">
        <v>1677</v>
      </c>
      <c r="AM16" s="28" t="s">
        <v>1678</v>
      </c>
      <c r="AN16" s="28" t="s">
        <v>1679</v>
      </c>
      <c r="AO16" s="25"/>
      <c r="AP16" s="25"/>
    </row>
    <row r="17" spans="1:42" ht="14.4" hidden="1">
      <c r="A17" s="6"/>
      <c r="B17" s="6">
        <v>157</v>
      </c>
      <c r="C17" s="44" t="s">
        <v>1688</v>
      </c>
      <c r="D17" s="6"/>
      <c r="E17" s="6"/>
      <c r="F17" s="44" t="s">
        <v>1689</v>
      </c>
      <c r="G17" s="116" t="s">
        <v>1690</v>
      </c>
      <c r="H17" s="6"/>
      <c r="I17" s="116" t="s">
        <v>1691</v>
      </c>
      <c r="J17" s="116" t="s">
        <v>1692</v>
      </c>
      <c r="K17" s="116" t="s">
        <v>1693</v>
      </c>
      <c r="L17" s="117" t="s">
        <v>1694</v>
      </c>
      <c r="M17" s="116">
        <v>9967758499</v>
      </c>
      <c r="N17" s="118">
        <v>9321697279</v>
      </c>
      <c r="O17" s="116">
        <v>9967758499</v>
      </c>
      <c r="P17" s="22" t="s">
        <v>1695</v>
      </c>
      <c r="Q17" s="119" t="s">
        <v>1696</v>
      </c>
      <c r="R17" s="6" t="s">
        <v>47</v>
      </c>
      <c r="S17" s="45" t="s">
        <v>990</v>
      </c>
      <c r="T17" s="45" t="s">
        <v>1697</v>
      </c>
      <c r="U17" s="45" t="s">
        <v>1697</v>
      </c>
      <c r="V17" s="45" t="s">
        <v>1698</v>
      </c>
      <c r="W17" s="17" t="s">
        <v>1699</v>
      </c>
      <c r="X17" s="17" t="s">
        <v>1700</v>
      </c>
      <c r="Y17" s="6"/>
      <c r="Z17" s="6"/>
      <c r="AA17" s="6"/>
      <c r="AB17" s="6"/>
      <c r="AC17" s="6"/>
      <c r="AD17" s="6"/>
      <c r="AE17" s="6"/>
      <c r="AF17" s="6"/>
      <c r="AG17" s="6"/>
      <c r="AH17" s="6"/>
      <c r="AI17" s="6"/>
      <c r="AJ17" s="6"/>
      <c r="AK17" s="6"/>
      <c r="AL17" s="6"/>
      <c r="AM17" s="6"/>
      <c r="AN17" s="6"/>
      <c r="AO17" s="6"/>
      <c r="AP17" s="6"/>
    </row>
    <row r="18" spans="1:42" ht="14.4" hidden="1">
      <c r="A18" s="6"/>
      <c r="B18" s="6">
        <v>158</v>
      </c>
      <c r="C18" s="106" t="s">
        <v>1701</v>
      </c>
      <c r="D18" s="6"/>
      <c r="E18" s="6"/>
      <c r="F18" s="120" t="s">
        <v>1702</v>
      </c>
      <c r="G18" s="116" t="s">
        <v>1703</v>
      </c>
      <c r="H18" s="6"/>
      <c r="I18" s="116" t="s">
        <v>1691</v>
      </c>
      <c r="J18" s="116" t="s">
        <v>1704</v>
      </c>
      <c r="K18" s="116" t="s">
        <v>1693</v>
      </c>
      <c r="L18" s="117" t="s">
        <v>1694</v>
      </c>
      <c r="M18" s="116">
        <v>8208406133</v>
      </c>
      <c r="N18" s="118">
        <v>9321697279</v>
      </c>
      <c r="O18" s="116">
        <v>8208406133</v>
      </c>
      <c r="P18" s="22" t="s">
        <v>1695</v>
      </c>
      <c r="Q18" s="119" t="s">
        <v>1705</v>
      </c>
      <c r="R18" s="6" t="s">
        <v>47</v>
      </c>
      <c r="S18" s="45" t="s">
        <v>1706</v>
      </c>
      <c r="T18" s="45" t="s">
        <v>1707</v>
      </c>
      <c r="U18" s="45" t="s">
        <v>1707</v>
      </c>
      <c r="V18" s="45" t="s">
        <v>1698</v>
      </c>
      <c r="W18" s="17" t="s">
        <v>1708</v>
      </c>
      <c r="X18" s="17" t="s">
        <v>1700</v>
      </c>
      <c r="Y18" s="6"/>
      <c r="Z18" s="6"/>
      <c r="AA18" s="6"/>
      <c r="AB18" s="6"/>
      <c r="AC18" s="6"/>
      <c r="AD18" s="6"/>
      <c r="AE18" s="6"/>
      <c r="AF18" s="6"/>
      <c r="AG18" s="6"/>
      <c r="AH18" s="6"/>
      <c r="AI18" s="6"/>
      <c r="AJ18" s="6"/>
      <c r="AK18" s="6"/>
      <c r="AL18" s="6"/>
      <c r="AM18" s="6"/>
      <c r="AN18" s="6"/>
      <c r="AO18" s="6"/>
      <c r="AP18" s="6"/>
    </row>
    <row r="19" spans="1:42" ht="14.4" hidden="1">
      <c r="A19" s="6"/>
      <c r="B19" s="6">
        <v>159</v>
      </c>
      <c r="C19" s="106" t="s">
        <v>1709</v>
      </c>
      <c r="D19" s="6"/>
      <c r="E19" s="6"/>
      <c r="F19" s="44" t="s">
        <v>1710</v>
      </c>
      <c r="G19" s="116" t="s">
        <v>1711</v>
      </c>
      <c r="H19" s="6"/>
      <c r="I19" s="116" t="s">
        <v>1691</v>
      </c>
      <c r="J19" s="121" t="s">
        <v>1712</v>
      </c>
      <c r="K19" s="121" t="s">
        <v>1713</v>
      </c>
      <c r="L19" s="117" t="s">
        <v>1694</v>
      </c>
      <c r="M19" s="121">
        <v>9321697279</v>
      </c>
      <c r="N19" s="18" t="s">
        <v>44</v>
      </c>
      <c r="O19" s="121">
        <v>9321697279</v>
      </c>
      <c r="P19" s="22" t="s">
        <v>1695</v>
      </c>
      <c r="Q19" s="119" t="s">
        <v>1714</v>
      </c>
      <c r="R19" s="6" t="s">
        <v>47</v>
      </c>
      <c r="S19" s="45" t="s">
        <v>1715</v>
      </c>
      <c r="T19" s="45" t="s">
        <v>1716</v>
      </c>
      <c r="U19" s="45" t="s">
        <v>1716</v>
      </c>
      <c r="V19" s="45" t="s">
        <v>1698</v>
      </c>
      <c r="W19" s="17" t="s">
        <v>1717</v>
      </c>
      <c r="X19" s="17" t="s">
        <v>1700</v>
      </c>
      <c r="Y19" s="6"/>
      <c r="Z19" s="6"/>
      <c r="AA19" s="6"/>
      <c r="AB19" s="6"/>
      <c r="AC19" s="6"/>
      <c r="AD19" s="6"/>
      <c r="AE19" s="6"/>
      <c r="AF19" s="6"/>
      <c r="AG19" s="6"/>
      <c r="AH19" s="6"/>
      <c r="AI19" s="6"/>
      <c r="AJ19" s="6"/>
      <c r="AK19" s="6"/>
      <c r="AL19" s="6"/>
      <c r="AM19" s="6"/>
      <c r="AN19" s="6"/>
      <c r="AO19" s="6"/>
      <c r="AP19" s="6"/>
    </row>
    <row r="20" spans="1:42" ht="14.4" hidden="1">
      <c r="A20" s="6"/>
      <c r="B20" s="6">
        <v>160</v>
      </c>
      <c r="C20" s="44" t="s">
        <v>1718</v>
      </c>
      <c r="D20" s="6"/>
      <c r="E20" s="6"/>
      <c r="F20" s="44" t="s">
        <v>1689</v>
      </c>
      <c r="G20" s="116" t="s">
        <v>1719</v>
      </c>
      <c r="H20" s="6"/>
      <c r="I20" s="116" t="s">
        <v>1691</v>
      </c>
      <c r="J20" s="19" t="s">
        <v>1720</v>
      </c>
      <c r="K20" s="19" t="s">
        <v>1693</v>
      </c>
      <c r="L20" s="117" t="s">
        <v>1694</v>
      </c>
      <c r="M20" s="108">
        <v>9321697279</v>
      </c>
      <c r="N20" s="18" t="s">
        <v>44</v>
      </c>
      <c r="O20" s="19">
        <v>9321697279</v>
      </c>
      <c r="P20" s="22" t="s">
        <v>1695</v>
      </c>
      <c r="Q20" s="119" t="s">
        <v>1721</v>
      </c>
      <c r="R20" s="6" t="s">
        <v>47</v>
      </c>
      <c r="S20" s="45" t="s">
        <v>1722</v>
      </c>
      <c r="T20" s="45" t="s">
        <v>1723</v>
      </c>
      <c r="U20" s="45" t="s">
        <v>1723</v>
      </c>
      <c r="V20" s="45" t="s">
        <v>1698</v>
      </c>
      <c r="W20" s="17" t="s">
        <v>71</v>
      </c>
      <c r="X20" s="17" t="s">
        <v>1700</v>
      </c>
      <c r="Y20" s="6"/>
      <c r="Z20" s="6"/>
      <c r="AA20" s="6"/>
      <c r="AB20" s="6"/>
      <c r="AC20" s="6"/>
      <c r="AD20" s="6"/>
      <c r="AE20" s="6"/>
      <c r="AF20" s="6"/>
      <c r="AG20" s="6"/>
      <c r="AH20" s="6"/>
      <c r="AI20" s="6"/>
      <c r="AJ20" s="6"/>
      <c r="AK20" s="6"/>
      <c r="AL20" s="6"/>
      <c r="AM20" s="6"/>
      <c r="AN20" s="6"/>
      <c r="AO20" s="6"/>
      <c r="AP20" s="6"/>
    </row>
    <row r="21" spans="1:42" ht="16.8">
      <c r="A21" s="25" t="s">
        <v>34</v>
      </c>
      <c r="B21" s="25">
        <v>161</v>
      </c>
      <c r="C21" s="58" t="s">
        <v>1724</v>
      </c>
      <c r="D21" s="25">
        <v>1115</v>
      </c>
      <c r="E21" s="25"/>
      <c r="F21" s="58" t="s">
        <v>1725</v>
      </c>
      <c r="G21" s="31" t="s">
        <v>1726</v>
      </c>
      <c r="H21" s="25"/>
      <c r="I21" s="31" t="s">
        <v>1727</v>
      </c>
      <c r="J21" s="31" t="s">
        <v>1728</v>
      </c>
      <c r="K21" s="31" t="s">
        <v>1729</v>
      </c>
      <c r="L21" s="59" t="s">
        <v>1730</v>
      </c>
      <c r="M21" s="31">
        <v>9082395719</v>
      </c>
      <c r="N21" s="29" t="s">
        <v>44</v>
      </c>
      <c r="O21" s="31">
        <v>9082395719</v>
      </c>
      <c r="P21" s="58" t="s">
        <v>1731</v>
      </c>
      <c r="Q21" s="122"/>
      <c r="R21" s="25" t="s">
        <v>47</v>
      </c>
      <c r="S21" s="51" t="s">
        <v>170</v>
      </c>
      <c r="T21" s="51" t="s">
        <v>1732</v>
      </c>
      <c r="U21" s="51" t="s">
        <v>1733</v>
      </c>
      <c r="V21" s="51" t="s">
        <v>465</v>
      </c>
      <c r="W21" s="28" t="s">
        <v>1734</v>
      </c>
      <c r="X21" s="28" t="s">
        <v>1735</v>
      </c>
      <c r="Y21" s="25"/>
      <c r="Z21" s="25"/>
      <c r="AA21" s="25"/>
      <c r="AB21" s="25"/>
      <c r="AC21" s="25" t="s">
        <v>1736</v>
      </c>
      <c r="AD21" s="28" t="s">
        <v>1737</v>
      </c>
      <c r="AE21" s="25" t="s">
        <v>1738</v>
      </c>
      <c r="AF21" s="28" t="s">
        <v>1739</v>
      </c>
      <c r="AG21" s="25" t="s">
        <v>1740</v>
      </c>
      <c r="AH21" s="28" t="s">
        <v>1741</v>
      </c>
      <c r="AI21" s="28" t="s">
        <v>1742</v>
      </c>
      <c r="AJ21" s="28" t="s">
        <v>1743</v>
      </c>
      <c r="AK21" s="28" t="s">
        <v>1744</v>
      </c>
      <c r="AL21" s="28" t="s">
        <v>1745</v>
      </c>
      <c r="AM21" s="28" t="s">
        <v>1229</v>
      </c>
      <c r="AN21" s="28" t="s">
        <v>1746</v>
      </c>
      <c r="AO21" s="28" t="s">
        <v>1747</v>
      </c>
      <c r="AP21" s="28" t="s">
        <v>1748</v>
      </c>
    </row>
    <row r="22" spans="1:42" ht="13.8">
      <c r="A22" s="25" t="s">
        <v>34</v>
      </c>
      <c r="B22" s="25">
        <v>162</v>
      </c>
      <c r="C22" s="58" t="s">
        <v>1749</v>
      </c>
      <c r="D22" s="25">
        <v>1116</v>
      </c>
      <c r="E22" s="25"/>
      <c r="F22" s="58" t="s">
        <v>1750</v>
      </c>
      <c r="G22" s="30" t="s">
        <v>1751</v>
      </c>
      <c r="H22" s="25"/>
      <c r="I22" s="30" t="s">
        <v>1752</v>
      </c>
      <c r="J22" s="30" t="s">
        <v>1753</v>
      </c>
      <c r="K22" s="30" t="s">
        <v>534</v>
      </c>
      <c r="L22" s="50" t="s">
        <v>1754</v>
      </c>
      <c r="M22" s="113">
        <v>950604111</v>
      </c>
      <c r="N22" s="123">
        <v>9920157793</v>
      </c>
      <c r="O22" s="30">
        <v>950604111</v>
      </c>
      <c r="P22" s="33" t="s">
        <v>1755</v>
      </c>
      <c r="Q22" s="30" t="s">
        <v>44</v>
      </c>
      <c r="R22" s="25" t="s">
        <v>47</v>
      </c>
      <c r="S22" s="51" t="s">
        <v>1756</v>
      </c>
      <c r="T22" s="51" t="s">
        <v>49</v>
      </c>
      <c r="U22" s="51" t="s">
        <v>1757</v>
      </c>
      <c r="V22" s="51" t="s">
        <v>1756</v>
      </c>
      <c r="W22" s="28" t="s">
        <v>71</v>
      </c>
      <c r="X22" s="28" t="s">
        <v>1758</v>
      </c>
      <c r="Y22" s="25"/>
      <c r="Z22" s="25"/>
      <c r="AA22" s="25"/>
      <c r="AB22" s="25"/>
      <c r="AC22" s="25"/>
      <c r="AD22" s="25"/>
      <c r="AE22" s="25"/>
      <c r="AF22" s="25"/>
      <c r="AG22" s="25"/>
      <c r="AH22" s="25"/>
      <c r="AI22" s="25"/>
      <c r="AJ22" s="25"/>
      <c r="AK22" s="25"/>
      <c r="AL22" s="25"/>
      <c r="AM22" s="25"/>
      <c r="AN22" s="25"/>
      <c r="AO22" s="25"/>
      <c r="AP22" s="25"/>
    </row>
    <row r="23" spans="1:42" ht="15.6">
      <c r="A23" s="25" t="s">
        <v>34</v>
      </c>
      <c r="B23" s="25">
        <v>163</v>
      </c>
      <c r="C23" s="58" t="s">
        <v>1759</v>
      </c>
      <c r="D23" s="25">
        <v>1117</v>
      </c>
      <c r="E23" s="25"/>
      <c r="F23" s="58" t="s">
        <v>1760</v>
      </c>
      <c r="G23" s="82" t="s">
        <v>1761</v>
      </c>
      <c r="H23" s="25"/>
      <c r="I23" s="82" t="s">
        <v>1762</v>
      </c>
      <c r="J23" s="82" t="s">
        <v>1763</v>
      </c>
      <c r="K23" s="82" t="s">
        <v>1764</v>
      </c>
      <c r="L23" s="83" t="s">
        <v>1765</v>
      </c>
      <c r="M23" s="82">
        <v>9820298682</v>
      </c>
      <c r="N23" s="29" t="s">
        <v>44</v>
      </c>
      <c r="O23" s="82">
        <v>9820298682</v>
      </c>
      <c r="P23" s="30" t="s">
        <v>44</v>
      </c>
      <c r="Q23" s="30" t="s">
        <v>44</v>
      </c>
      <c r="R23" s="25" t="s">
        <v>47</v>
      </c>
      <c r="S23" s="51" t="s">
        <v>1766</v>
      </c>
      <c r="T23" s="51" t="s">
        <v>1767</v>
      </c>
      <c r="U23" s="51" t="s">
        <v>1768</v>
      </c>
      <c r="V23" s="51" t="s">
        <v>1769</v>
      </c>
      <c r="W23" s="28" t="s">
        <v>1770</v>
      </c>
      <c r="X23" s="28" t="s">
        <v>1771</v>
      </c>
      <c r="Y23" s="25"/>
      <c r="Z23" s="25"/>
      <c r="AA23" s="25"/>
      <c r="AB23" s="25"/>
      <c r="AC23" s="25"/>
      <c r="AD23" s="25"/>
      <c r="AE23" s="25"/>
      <c r="AF23" s="25"/>
      <c r="AG23" s="25"/>
      <c r="AH23" s="25"/>
      <c r="AI23" s="25"/>
      <c r="AJ23" s="25"/>
      <c r="AK23" s="25"/>
      <c r="AL23" s="25"/>
      <c r="AM23" s="25"/>
      <c r="AN23" s="25"/>
      <c r="AO23" s="25"/>
      <c r="AP23" s="25"/>
    </row>
    <row r="24" spans="1:42" ht="13.8">
      <c r="A24" s="25" t="s">
        <v>34</v>
      </c>
      <c r="B24" s="25">
        <v>164</v>
      </c>
      <c r="C24" s="58" t="s">
        <v>1772</v>
      </c>
      <c r="D24" s="25">
        <v>1118</v>
      </c>
      <c r="E24" s="25"/>
      <c r="F24" s="58" t="s">
        <v>1773</v>
      </c>
      <c r="G24" s="30" t="s">
        <v>1774</v>
      </c>
      <c r="H24" s="25"/>
      <c r="I24" s="30" t="s">
        <v>1775</v>
      </c>
      <c r="J24" s="30" t="s">
        <v>1776</v>
      </c>
      <c r="K24" s="30" t="s">
        <v>116</v>
      </c>
      <c r="L24" s="30" t="s">
        <v>44</v>
      </c>
      <c r="M24" s="113">
        <v>9820081014</v>
      </c>
      <c r="N24" s="123">
        <v>9022299660</v>
      </c>
      <c r="O24" s="30">
        <v>9820081014</v>
      </c>
      <c r="P24" s="30" t="s">
        <v>44</v>
      </c>
      <c r="Q24" s="30" t="s">
        <v>44</v>
      </c>
      <c r="R24" s="25" t="s">
        <v>47</v>
      </c>
      <c r="S24" s="51" t="s">
        <v>212</v>
      </c>
      <c r="T24" s="51" t="s">
        <v>1777</v>
      </c>
      <c r="U24" s="51" t="s">
        <v>1777</v>
      </c>
      <c r="V24" s="51" t="s">
        <v>1778</v>
      </c>
      <c r="W24" s="28" t="s">
        <v>71</v>
      </c>
      <c r="X24" s="28" t="s">
        <v>71</v>
      </c>
      <c r="Y24" s="25"/>
      <c r="Z24" s="25"/>
      <c r="AA24" s="25"/>
      <c r="AB24" s="25"/>
      <c r="AC24" s="25"/>
      <c r="AD24" s="25"/>
      <c r="AE24" s="25"/>
      <c r="AF24" s="25"/>
      <c r="AG24" s="25"/>
      <c r="AH24" s="25"/>
      <c r="AI24" s="25"/>
      <c r="AJ24" s="25"/>
      <c r="AK24" s="25"/>
      <c r="AL24" s="25"/>
      <c r="AM24" s="25"/>
      <c r="AN24" s="25"/>
      <c r="AO24" s="25"/>
      <c r="AP24" s="25"/>
    </row>
    <row r="25" spans="1:42" ht="16.8">
      <c r="A25" s="25" t="s">
        <v>34</v>
      </c>
      <c r="B25" s="25">
        <v>165</v>
      </c>
      <c r="C25" s="58" t="s">
        <v>1779</v>
      </c>
      <c r="D25" s="25">
        <v>1119</v>
      </c>
      <c r="E25" s="25"/>
      <c r="F25" s="58" t="s">
        <v>1780</v>
      </c>
      <c r="G25" s="31" t="s">
        <v>1781</v>
      </c>
      <c r="H25" s="25"/>
      <c r="I25" s="31" t="s">
        <v>1782</v>
      </c>
      <c r="J25" s="31" t="s">
        <v>1783</v>
      </c>
      <c r="K25" s="31" t="s">
        <v>534</v>
      </c>
      <c r="L25" s="30" t="s">
        <v>44</v>
      </c>
      <c r="M25" s="31">
        <v>8655241941</v>
      </c>
      <c r="N25" s="29" t="s">
        <v>44</v>
      </c>
      <c r="O25" s="31">
        <v>8655241941</v>
      </c>
      <c r="P25" s="30" t="s">
        <v>44</v>
      </c>
      <c r="Q25" s="30" t="s">
        <v>44</v>
      </c>
      <c r="R25" s="25" t="s">
        <v>47</v>
      </c>
      <c r="S25" s="51" t="s">
        <v>1784</v>
      </c>
      <c r="T25" s="51" t="s">
        <v>1785</v>
      </c>
      <c r="U25" s="51" t="s">
        <v>1786</v>
      </c>
      <c r="V25" s="51" t="s">
        <v>48</v>
      </c>
      <c r="W25" s="28" t="s">
        <v>71</v>
      </c>
      <c r="X25" s="28" t="s">
        <v>1787</v>
      </c>
      <c r="Y25" s="25"/>
      <c r="Z25" s="25"/>
      <c r="AA25" s="25"/>
      <c r="AB25" s="25"/>
      <c r="AC25" s="28" t="s">
        <v>1788</v>
      </c>
      <c r="AD25" s="28" t="s">
        <v>1789</v>
      </c>
      <c r="AE25" s="28" t="s">
        <v>1790</v>
      </c>
      <c r="AF25" s="28" t="s">
        <v>1791</v>
      </c>
      <c r="AG25" s="28" t="s">
        <v>1792</v>
      </c>
      <c r="AH25" s="28" t="s">
        <v>1793</v>
      </c>
      <c r="AI25" s="28" t="s">
        <v>1794</v>
      </c>
      <c r="AJ25" s="28" t="s">
        <v>1795</v>
      </c>
      <c r="AK25" s="25"/>
      <c r="AL25" s="25"/>
      <c r="AM25" s="25"/>
      <c r="AN25" s="25"/>
      <c r="AO25" s="25"/>
      <c r="AP25" s="25"/>
    </row>
    <row r="26" spans="1:42" ht="16.8">
      <c r="A26" s="25" t="s">
        <v>34</v>
      </c>
      <c r="B26" s="25">
        <v>166</v>
      </c>
      <c r="C26" s="58" t="s">
        <v>1796</v>
      </c>
      <c r="D26" s="25">
        <v>1121</v>
      </c>
      <c r="E26" s="25"/>
      <c r="F26" s="58" t="s">
        <v>1797</v>
      </c>
      <c r="G26" s="31" t="s">
        <v>1798</v>
      </c>
      <c r="H26" s="25"/>
      <c r="I26" s="31" t="s">
        <v>1799</v>
      </c>
      <c r="J26" s="31" t="s">
        <v>1800</v>
      </c>
      <c r="K26" s="29"/>
      <c r="L26" s="59" t="s">
        <v>1801</v>
      </c>
      <c r="M26" s="31">
        <v>9833409290</v>
      </c>
      <c r="N26" s="29" t="s">
        <v>44</v>
      </c>
      <c r="O26" s="31">
        <v>9833409290</v>
      </c>
      <c r="P26" s="30" t="s">
        <v>44</v>
      </c>
      <c r="Q26" s="62" t="s">
        <v>1802</v>
      </c>
      <c r="R26" s="25" t="s">
        <v>47</v>
      </c>
      <c r="S26" s="51" t="s">
        <v>364</v>
      </c>
      <c r="T26" s="51" t="s">
        <v>1803</v>
      </c>
      <c r="U26" s="51" t="s">
        <v>1803</v>
      </c>
      <c r="V26" s="51" t="s">
        <v>1804</v>
      </c>
      <c r="W26" s="28" t="s">
        <v>71</v>
      </c>
      <c r="X26" s="28" t="s">
        <v>1805</v>
      </c>
      <c r="Y26" s="25"/>
      <c r="Z26" s="25"/>
      <c r="AA26" s="25"/>
      <c r="AB26" s="25"/>
      <c r="AC26" s="28" t="s">
        <v>1806</v>
      </c>
      <c r="AD26" s="28" t="s">
        <v>1807</v>
      </c>
      <c r="AE26" s="28" t="s">
        <v>1808</v>
      </c>
      <c r="AF26" s="28" t="s">
        <v>1809</v>
      </c>
      <c r="AG26" s="28" t="s">
        <v>1810</v>
      </c>
      <c r="AH26" s="28" t="s">
        <v>1811</v>
      </c>
      <c r="AI26" s="28" t="s">
        <v>1812</v>
      </c>
      <c r="AJ26" s="28" t="s">
        <v>1813</v>
      </c>
      <c r="AK26" s="28" t="s">
        <v>1814</v>
      </c>
      <c r="AL26" s="28" t="s">
        <v>1815</v>
      </c>
      <c r="AM26" s="28" t="s">
        <v>1816</v>
      </c>
      <c r="AN26" s="28" t="s">
        <v>1817</v>
      </c>
      <c r="AO26" s="28" t="s">
        <v>1818</v>
      </c>
      <c r="AP26" s="28" t="s">
        <v>1819</v>
      </c>
    </row>
    <row r="27" spans="1:42" ht="16.8">
      <c r="A27" s="6" t="s">
        <v>34</v>
      </c>
      <c r="B27" s="6">
        <v>167</v>
      </c>
      <c r="C27" s="44" t="s">
        <v>1820</v>
      </c>
      <c r="D27" s="6">
        <v>1125</v>
      </c>
      <c r="E27" s="6"/>
      <c r="F27" s="44" t="s">
        <v>1821</v>
      </c>
      <c r="G27" s="20" t="s">
        <v>1822</v>
      </c>
      <c r="H27" s="6"/>
      <c r="I27" s="20" t="s">
        <v>1823</v>
      </c>
      <c r="J27" s="20" t="s">
        <v>1824</v>
      </c>
      <c r="K27" s="20" t="s">
        <v>1825</v>
      </c>
      <c r="L27" s="86" t="s">
        <v>1826</v>
      </c>
      <c r="M27" s="20">
        <v>9051646424</v>
      </c>
      <c r="N27" s="61">
        <v>9051238122</v>
      </c>
      <c r="O27" s="20">
        <v>9051646424</v>
      </c>
      <c r="P27" s="22" t="s">
        <v>1827</v>
      </c>
      <c r="Q27" s="19" t="s">
        <v>44</v>
      </c>
      <c r="R27" s="6" t="s">
        <v>47</v>
      </c>
      <c r="S27" s="45" t="s">
        <v>49</v>
      </c>
      <c r="T27" s="45" t="s">
        <v>1828</v>
      </c>
      <c r="U27" s="45" t="s">
        <v>1829</v>
      </c>
      <c r="V27" s="45" t="s">
        <v>48</v>
      </c>
      <c r="W27" s="17" t="s">
        <v>71</v>
      </c>
      <c r="X27" s="17" t="s">
        <v>1830</v>
      </c>
      <c r="Y27" s="6"/>
      <c r="Z27" s="6"/>
      <c r="AA27" s="6"/>
      <c r="AB27" s="6"/>
      <c r="AC27" s="6"/>
      <c r="AD27" s="6"/>
      <c r="AE27" s="6"/>
      <c r="AF27" s="6"/>
      <c r="AG27" s="6"/>
      <c r="AH27" s="6"/>
      <c r="AI27" s="6"/>
      <c r="AJ27" s="6"/>
      <c r="AK27" s="6"/>
      <c r="AL27" s="6"/>
      <c r="AM27" s="6"/>
      <c r="AN27" s="6"/>
      <c r="AO27" s="6"/>
      <c r="AP27" s="6"/>
    </row>
    <row r="28" spans="1:42" ht="13.8">
      <c r="A28" s="6" t="s">
        <v>1831</v>
      </c>
      <c r="B28" s="6">
        <v>168</v>
      </c>
      <c r="C28" s="44" t="s">
        <v>1832</v>
      </c>
      <c r="D28" s="6">
        <v>1126</v>
      </c>
      <c r="E28" s="6"/>
      <c r="F28" s="44" t="s">
        <v>1833</v>
      </c>
      <c r="G28" s="19" t="s">
        <v>1834</v>
      </c>
      <c r="H28" s="6"/>
      <c r="I28" s="19" t="s">
        <v>1835</v>
      </c>
      <c r="J28" s="19" t="s">
        <v>1835</v>
      </c>
      <c r="K28" s="19" t="s">
        <v>1836</v>
      </c>
      <c r="L28" s="21" t="s">
        <v>1837</v>
      </c>
      <c r="M28" s="19">
        <v>7044127834</v>
      </c>
      <c r="N28" s="18" t="s">
        <v>44</v>
      </c>
      <c r="O28" s="19">
        <v>7044127834</v>
      </c>
      <c r="P28" s="22" t="s">
        <v>1838</v>
      </c>
      <c r="Q28" s="19" t="s">
        <v>44</v>
      </c>
      <c r="R28" s="6" t="s">
        <v>47</v>
      </c>
      <c r="S28" s="45" t="s">
        <v>1839</v>
      </c>
      <c r="T28" s="45" t="s">
        <v>1059</v>
      </c>
      <c r="U28" s="45" t="s">
        <v>1840</v>
      </c>
      <c r="V28" s="45" t="s">
        <v>48</v>
      </c>
      <c r="W28" s="17" t="s">
        <v>71</v>
      </c>
      <c r="X28" s="17" t="s">
        <v>1841</v>
      </c>
      <c r="Y28" s="6"/>
      <c r="Z28" s="6"/>
      <c r="AA28" s="6"/>
      <c r="AB28" s="6"/>
      <c r="AC28" s="6"/>
      <c r="AD28" s="6"/>
      <c r="AE28" s="6"/>
      <c r="AF28" s="6"/>
      <c r="AG28" s="6"/>
      <c r="AH28" s="6"/>
      <c r="AI28" s="6"/>
      <c r="AJ28" s="6"/>
      <c r="AK28" s="6"/>
      <c r="AL28" s="6"/>
      <c r="AM28" s="6"/>
      <c r="AN28" s="6"/>
      <c r="AO28" s="6"/>
      <c r="AP28" s="6"/>
    </row>
    <row r="29" spans="1:42" ht="13.8">
      <c r="A29" s="25" t="s">
        <v>1831</v>
      </c>
      <c r="B29" s="25">
        <v>169</v>
      </c>
      <c r="C29" s="58" t="s">
        <v>1842</v>
      </c>
      <c r="D29" s="25">
        <v>1130</v>
      </c>
      <c r="E29" s="25"/>
      <c r="F29" s="58" t="s">
        <v>1843</v>
      </c>
      <c r="G29" s="56" t="s">
        <v>1844</v>
      </c>
      <c r="H29" s="25"/>
      <c r="I29" s="56" t="s">
        <v>1845</v>
      </c>
      <c r="J29" s="56" t="s">
        <v>1846</v>
      </c>
      <c r="K29" s="56" t="s">
        <v>545</v>
      </c>
      <c r="L29" s="30" t="s">
        <v>44</v>
      </c>
      <c r="M29" s="56">
        <v>8591697900</v>
      </c>
      <c r="N29" s="57">
        <v>9356964996</v>
      </c>
      <c r="O29" s="56">
        <v>8591697900</v>
      </c>
      <c r="P29" s="30" t="s">
        <v>44</v>
      </c>
      <c r="Q29" s="30" t="s">
        <v>44</v>
      </c>
      <c r="R29" s="25" t="s">
        <v>47</v>
      </c>
      <c r="S29" s="51" t="s">
        <v>1847</v>
      </c>
      <c r="T29" s="51" t="s">
        <v>49</v>
      </c>
      <c r="U29" s="51" t="s">
        <v>49</v>
      </c>
      <c r="V29" s="51" t="s">
        <v>1848</v>
      </c>
      <c r="W29" s="28" t="s">
        <v>71</v>
      </c>
      <c r="X29" s="28" t="s">
        <v>1849</v>
      </c>
      <c r="Y29" s="25"/>
      <c r="Z29" s="25"/>
      <c r="AA29" s="25"/>
      <c r="AB29" s="25"/>
      <c r="AC29" s="28" t="s">
        <v>1850</v>
      </c>
      <c r="AD29" s="28" t="s">
        <v>1851</v>
      </c>
      <c r="AE29" s="28" t="s">
        <v>1852</v>
      </c>
      <c r="AF29" s="28" t="s">
        <v>1853</v>
      </c>
      <c r="AG29" s="28" t="s">
        <v>1854</v>
      </c>
      <c r="AH29" s="28" t="s">
        <v>1855</v>
      </c>
      <c r="AI29" s="25"/>
      <c r="AJ29" s="25"/>
      <c r="AK29" s="25"/>
      <c r="AL29" s="25"/>
      <c r="AM29" s="25"/>
      <c r="AN29" s="25"/>
      <c r="AO29" s="25"/>
      <c r="AP29" s="25"/>
    </row>
    <row r="30" spans="1:42" ht="14.4">
      <c r="A30" s="25" t="s">
        <v>1831</v>
      </c>
      <c r="B30" s="25">
        <v>170</v>
      </c>
      <c r="C30" s="58" t="s">
        <v>1856</v>
      </c>
      <c r="D30" s="25">
        <v>1133</v>
      </c>
      <c r="E30" s="25"/>
      <c r="F30" s="58" t="s">
        <v>1857</v>
      </c>
      <c r="G30" s="124" t="s">
        <v>1858</v>
      </c>
      <c r="H30" s="25"/>
      <c r="I30" s="124" t="s">
        <v>1859</v>
      </c>
      <c r="J30" s="124" t="s">
        <v>1860</v>
      </c>
      <c r="K30" s="124" t="s">
        <v>1861</v>
      </c>
      <c r="L30" s="29"/>
      <c r="M30" s="124">
        <v>9833930531</v>
      </c>
      <c r="N30" s="29" t="s">
        <v>44</v>
      </c>
      <c r="O30" s="124">
        <v>9833930531</v>
      </c>
      <c r="P30" s="30" t="s">
        <v>44</v>
      </c>
      <c r="Q30" s="125" t="s">
        <v>1862</v>
      </c>
      <c r="R30" s="25" t="s">
        <v>47</v>
      </c>
      <c r="S30" s="51" t="s">
        <v>170</v>
      </c>
      <c r="T30" s="51" t="s">
        <v>1863</v>
      </c>
      <c r="U30" s="51" t="s">
        <v>1864</v>
      </c>
      <c r="V30" s="51" t="s">
        <v>292</v>
      </c>
      <c r="W30" s="28" t="s">
        <v>1865</v>
      </c>
      <c r="X30" s="28" t="s">
        <v>1866</v>
      </c>
      <c r="Y30" s="25"/>
      <c r="Z30" s="25"/>
      <c r="AA30" s="25"/>
      <c r="AB30" s="25"/>
      <c r="AC30" s="25"/>
      <c r="AD30" s="25"/>
      <c r="AE30" s="25"/>
      <c r="AF30" s="25"/>
      <c r="AG30" s="25"/>
      <c r="AH30" s="25"/>
      <c r="AI30" s="25"/>
      <c r="AJ30" s="25"/>
      <c r="AK30" s="25"/>
      <c r="AL30" s="25"/>
      <c r="AM30" s="25"/>
      <c r="AN30" s="25"/>
      <c r="AO30" s="25"/>
      <c r="AP30" s="25"/>
    </row>
    <row r="31" spans="1:42" ht="13.8">
      <c r="A31" s="6" t="s">
        <v>1867</v>
      </c>
      <c r="B31" s="6">
        <v>171</v>
      </c>
      <c r="C31" s="44" t="s">
        <v>1868</v>
      </c>
      <c r="D31" s="6">
        <v>1135</v>
      </c>
      <c r="E31" s="6"/>
      <c r="F31" s="44" t="s">
        <v>1869</v>
      </c>
      <c r="G31" s="19" t="s">
        <v>1870</v>
      </c>
      <c r="H31" s="6"/>
      <c r="I31" s="19" t="s">
        <v>1871</v>
      </c>
      <c r="J31" s="19" t="s">
        <v>1872</v>
      </c>
      <c r="K31" s="19" t="s">
        <v>1873</v>
      </c>
      <c r="L31" s="19" t="s">
        <v>44</v>
      </c>
      <c r="M31" s="108">
        <v>8080704119</v>
      </c>
      <c r="N31" s="18" t="s">
        <v>44</v>
      </c>
      <c r="O31" s="19">
        <v>8080704119</v>
      </c>
      <c r="P31" s="19" t="s">
        <v>44</v>
      </c>
      <c r="Q31" s="19" t="s">
        <v>44</v>
      </c>
      <c r="R31" s="6" t="s">
        <v>47</v>
      </c>
      <c r="S31" s="45" t="s">
        <v>1874</v>
      </c>
      <c r="T31" s="45" t="s">
        <v>49</v>
      </c>
      <c r="U31" s="45" t="s">
        <v>1875</v>
      </c>
      <c r="V31" s="45" t="s">
        <v>48</v>
      </c>
      <c r="W31" s="17" t="s">
        <v>71</v>
      </c>
      <c r="X31" s="17" t="s">
        <v>1876</v>
      </c>
      <c r="Y31" s="6"/>
      <c r="Z31" s="6"/>
      <c r="AA31" s="6"/>
      <c r="AB31" s="6"/>
      <c r="AC31" s="6"/>
      <c r="AD31" s="6"/>
      <c r="AE31" s="6"/>
      <c r="AF31" s="6"/>
      <c r="AG31" s="6"/>
      <c r="AH31" s="6"/>
      <c r="AI31" s="6"/>
      <c r="AJ31" s="6"/>
      <c r="AK31" s="6"/>
      <c r="AL31" s="6"/>
      <c r="AM31" s="6"/>
      <c r="AN31" s="6"/>
      <c r="AO31" s="6"/>
      <c r="AP31" s="6"/>
    </row>
    <row r="32" spans="1:42" ht="15.6">
      <c r="A32" s="25" t="s">
        <v>1867</v>
      </c>
      <c r="B32" s="25">
        <v>172</v>
      </c>
      <c r="C32" s="58" t="s">
        <v>1877</v>
      </c>
      <c r="D32" s="25">
        <v>1137</v>
      </c>
      <c r="E32" s="25"/>
      <c r="F32" s="58" t="s">
        <v>1878</v>
      </c>
      <c r="G32" s="82" t="s">
        <v>1879</v>
      </c>
      <c r="H32" s="25"/>
      <c r="I32" s="82" t="s">
        <v>1880</v>
      </c>
      <c r="J32" s="82" t="s">
        <v>1881</v>
      </c>
      <c r="K32" s="82" t="s">
        <v>1882</v>
      </c>
      <c r="L32" s="30" t="s">
        <v>44</v>
      </c>
      <c r="M32" s="82">
        <v>7777029097</v>
      </c>
      <c r="N32" s="29" t="s">
        <v>44</v>
      </c>
      <c r="O32" s="82">
        <v>7777029097</v>
      </c>
      <c r="P32" s="30" t="s">
        <v>44</v>
      </c>
      <c r="Q32" s="30" t="s">
        <v>44</v>
      </c>
      <c r="R32" s="25" t="s">
        <v>47</v>
      </c>
      <c r="S32" s="51" t="s">
        <v>1883</v>
      </c>
      <c r="T32" s="51" t="s">
        <v>1617</v>
      </c>
      <c r="U32" s="51" t="s">
        <v>48</v>
      </c>
      <c r="V32" s="51" t="s">
        <v>1884</v>
      </c>
      <c r="W32" s="28" t="s">
        <v>71</v>
      </c>
      <c r="X32" s="28" t="s">
        <v>1885</v>
      </c>
      <c r="Y32" s="25"/>
      <c r="Z32" s="25"/>
      <c r="AA32" s="25"/>
      <c r="AB32" s="25"/>
      <c r="AC32" s="25"/>
      <c r="AD32" s="25"/>
      <c r="AE32" s="25"/>
      <c r="AF32" s="25"/>
      <c r="AG32" s="25"/>
      <c r="AH32" s="25"/>
      <c r="AI32" s="25"/>
      <c r="AJ32" s="25"/>
      <c r="AK32" s="25"/>
      <c r="AL32" s="25"/>
      <c r="AM32" s="25"/>
      <c r="AN32" s="25"/>
      <c r="AO32" s="25"/>
      <c r="AP32" s="25"/>
    </row>
    <row r="33" spans="1:42" ht="16.8">
      <c r="A33" s="25"/>
      <c r="B33" s="25">
        <v>173</v>
      </c>
      <c r="C33" s="58" t="s">
        <v>1886</v>
      </c>
      <c r="D33" s="25">
        <v>1138</v>
      </c>
      <c r="E33" s="25"/>
      <c r="F33" s="58" t="s">
        <v>1887</v>
      </c>
      <c r="G33" s="31" t="s">
        <v>1888</v>
      </c>
      <c r="H33" s="25"/>
      <c r="I33" s="31" t="s">
        <v>1889</v>
      </c>
      <c r="J33" s="31" t="s">
        <v>1890</v>
      </c>
      <c r="K33" s="31" t="s">
        <v>116</v>
      </c>
      <c r="L33" s="30" t="s">
        <v>44</v>
      </c>
      <c r="M33" s="31">
        <v>9820947010</v>
      </c>
      <c r="N33" s="29" t="s">
        <v>44</v>
      </c>
      <c r="O33" s="31">
        <v>9820947010</v>
      </c>
      <c r="P33" s="30" t="s">
        <v>44</v>
      </c>
      <c r="Q33" s="30" t="s">
        <v>44</v>
      </c>
      <c r="R33" s="25" t="s">
        <v>47</v>
      </c>
      <c r="S33" s="51" t="s">
        <v>1891</v>
      </c>
      <c r="T33" s="51" t="s">
        <v>48</v>
      </c>
      <c r="U33" s="51" t="s">
        <v>48</v>
      </c>
      <c r="V33" s="51" t="s">
        <v>1891</v>
      </c>
      <c r="W33" s="28" t="s">
        <v>71</v>
      </c>
      <c r="X33" s="28" t="s">
        <v>1892</v>
      </c>
      <c r="Y33" s="25"/>
      <c r="Z33" s="25"/>
      <c r="AA33" s="25"/>
      <c r="AB33" s="25"/>
      <c r="AC33" s="25"/>
      <c r="AD33" s="25"/>
      <c r="AE33" s="25"/>
      <c r="AF33" s="25"/>
      <c r="AG33" s="25"/>
      <c r="AH33" s="25"/>
      <c r="AI33" s="25"/>
      <c r="AJ33" s="25"/>
      <c r="AK33" s="25"/>
      <c r="AL33" s="25"/>
      <c r="AM33" s="25"/>
      <c r="AN33" s="25"/>
      <c r="AO33" s="25"/>
      <c r="AP33" s="25"/>
    </row>
    <row r="34" spans="1:42" ht="13.8">
      <c r="A34" s="25" t="s">
        <v>1893</v>
      </c>
      <c r="B34" s="25">
        <v>174</v>
      </c>
      <c r="C34" s="58" t="s">
        <v>1894</v>
      </c>
      <c r="D34" s="25">
        <v>1139</v>
      </c>
      <c r="E34" s="25"/>
      <c r="F34" s="58" t="s">
        <v>1895</v>
      </c>
      <c r="G34" s="30" t="s">
        <v>1896</v>
      </c>
      <c r="H34" s="25"/>
      <c r="I34" s="30" t="s">
        <v>1897</v>
      </c>
      <c r="J34" s="30" t="s">
        <v>1898</v>
      </c>
      <c r="K34" s="29"/>
      <c r="L34" s="50" t="s">
        <v>1899</v>
      </c>
      <c r="M34" s="113">
        <v>9903635366</v>
      </c>
      <c r="N34" s="123">
        <v>7044096610</v>
      </c>
      <c r="O34" s="30">
        <v>9903635366</v>
      </c>
      <c r="P34" s="30" t="s">
        <v>44</v>
      </c>
      <c r="Q34" s="30" t="s">
        <v>44</v>
      </c>
      <c r="R34" s="25" t="s">
        <v>47</v>
      </c>
      <c r="S34" s="51" t="s">
        <v>170</v>
      </c>
      <c r="T34" s="51" t="s">
        <v>49</v>
      </c>
      <c r="U34" s="51" t="s">
        <v>197</v>
      </c>
      <c r="V34" s="51" t="s">
        <v>49</v>
      </c>
      <c r="W34" s="28" t="s">
        <v>71</v>
      </c>
      <c r="X34" s="28" t="s">
        <v>1900</v>
      </c>
      <c r="Y34" s="25"/>
      <c r="Z34" s="25"/>
      <c r="AA34" s="25"/>
      <c r="AB34" s="25"/>
      <c r="AC34" s="25"/>
      <c r="AD34" s="25"/>
      <c r="AE34" s="25"/>
      <c r="AF34" s="25"/>
      <c r="AG34" s="25"/>
      <c r="AH34" s="25"/>
      <c r="AI34" s="25"/>
      <c r="AJ34" s="25"/>
      <c r="AK34" s="25"/>
      <c r="AL34" s="25"/>
      <c r="AM34" s="25"/>
      <c r="AN34" s="25"/>
      <c r="AO34" s="25"/>
      <c r="AP34" s="25"/>
    </row>
    <row r="35" spans="1:42" ht="13.8">
      <c r="A35" s="25" t="s">
        <v>1901</v>
      </c>
      <c r="B35" s="25">
        <v>175</v>
      </c>
      <c r="C35" s="58" t="s">
        <v>1902</v>
      </c>
      <c r="D35" s="25">
        <v>1160</v>
      </c>
      <c r="E35" s="25"/>
      <c r="F35" s="58" t="s">
        <v>1903</v>
      </c>
      <c r="G35" s="30" t="s">
        <v>1904</v>
      </c>
      <c r="H35" s="25"/>
      <c r="I35" s="30" t="s">
        <v>1905</v>
      </c>
      <c r="J35" s="30" t="s">
        <v>1906</v>
      </c>
      <c r="K35" s="30" t="s">
        <v>545</v>
      </c>
      <c r="L35" s="50" t="s">
        <v>1907</v>
      </c>
      <c r="M35" s="113">
        <v>7977963942</v>
      </c>
      <c r="N35" s="29" t="s">
        <v>44</v>
      </c>
      <c r="O35" s="30">
        <v>7977963942</v>
      </c>
      <c r="P35" s="30" t="s">
        <v>44</v>
      </c>
      <c r="Q35" s="114" t="s">
        <v>1908</v>
      </c>
      <c r="R35" s="25" t="s">
        <v>47</v>
      </c>
      <c r="S35" s="51" t="s">
        <v>49</v>
      </c>
      <c r="T35" s="51" t="s">
        <v>1909</v>
      </c>
      <c r="U35" s="51" t="s">
        <v>1910</v>
      </c>
      <c r="V35" s="51" t="s">
        <v>1911</v>
      </c>
      <c r="W35" s="28" t="s">
        <v>71</v>
      </c>
      <c r="X35" s="28" t="s">
        <v>1912</v>
      </c>
      <c r="Y35" s="25"/>
      <c r="Z35" s="25"/>
      <c r="AA35" s="25"/>
      <c r="AB35" s="25"/>
      <c r="AC35" s="25"/>
      <c r="AD35" s="25"/>
      <c r="AE35" s="25"/>
      <c r="AF35" s="25"/>
      <c r="AG35" s="25"/>
      <c r="AH35" s="25"/>
      <c r="AI35" s="25"/>
      <c r="AJ35" s="25"/>
      <c r="AK35" s="25"/>
      <c r="AL35" s="25"/>
      <c r="AM35" s="25"/>
      <c r="AN35" s="25"/>
      <c r="AO35" s="25"/>
      <c r="AP35" s="25"/>
    </row>
    <row r="36" spans="1:42" ht="13.8">
      <c r="A36" s="25" t="s">
        <v>1901</v>
      </c>
      <c r="B36" s="25">
        <v>176</v>
      </c>
      <c r="C36" s="58" t="s">
        <v>1913</v>
      </c>
      <c r="D36" s="25">
        <v>1165</v>
      </c>
      <c r="E36" s="25"/>
      <c r="F36" s="58" t="s">
        <v>1914</v>
      </c>
      <c r="G36" s="30" t="s">
        <v>1915</v>
      </c>
      <c r="H36" s="25"/>
      <c r="I36" s="30" t="s">
        <v>1916</v>
      </c>
      <c r="J36" s="30" t="s">
        <v>1916</v>
      </c>
      <c r="K36" s="30" t="s">
        <v>44</v>
      </c>
      <c r="L36" s="30" t="s">
        <v>44</v>
      </c>
      <c r="M36" s="113">
        <v>9699393949</v>
      </c>
      <c r="N36" s="123">
        <v>9004073801</v>
      </c>
      <c r="O36" s="30">
        <v>9699393949</v>
      </c>
      <c r="P36" s="30" t="s">
        <v>44</v>
      </c>
      <c r="Q36" s="126" t="s">
        <v>1917</v>
      </c>
      <c r="R36" s="25" t="s">
        <v>47</v>
      </c>
      <c r="S36" s="51" t="s">
        <v>170</v>
      </c>
      <c r="T36" s="51" t="s">
        <v>49</v>
      </c>
      <c r="U36" s="51" t="s">
        <v>1918</v>
      </c>
      <c r="V36" s="51" t="s">
        <v>1919</v>
      </c>
      <c r="W36" s="28" t="s">
        <v>71</v>
      </c>
      <c r="X36" s="28" t="s">
        <v>1920</v>
      </c>
      <c r="Y36" s="25"/>
      <c r="Z36" s="25"/>
      <c r="AA36" s="25"/>
      <c r="AB36" s="25"/>
      <c r="AC36" s="25"/>
      <c r="AD36" s="25"/>
      <c r="AE36" s="25"/>
      <c r="AF36" s="25"/>
      <c r="AG36" s="25"/>
      <c r="AH36" s="25"/>
      <c r="AI36" s="25"/>
      <c r="AJ36" s="25"/>
      <c r="AK36" s="25"/>
      <c r="AL36" s="25"/>
      <c r="AM36" s="25"/>
      <c r="AN36" s="25"/>
      <c r="AO36" s="25"/>
      <c r="AP36" s="25"/>
    </row>
    <row r="37" spans="1:42" ht="14.4">
      <c r="A37" s="25"/>
      <c r="B37" s="25">
        <v>177</v>
      </c>
      <c r="C37" s="58" t="s">
        <v>1921</v>
      </c>
      <c r="D37" s="25">
        <v>1166</v>
      </c>
      <c r="E37" s="25"/>
      <c r="F37" s="58" t="s">
        <v>1922</v>
      </c>
      <c r="G37" s="124" t="s">
        <v>1923</v>
      </c>
      <c r="H37" s="25"/>
      <c r="I37" s="30" t="s">
        <v>44</v>
      </c>
      <c r="J37" s="124" t="s">
        <v>1924</v>
      </c>
      <c r="K37" s="124" t="s">
        <v>1925</v>
      </c>
      <c r="L37" s="127" t="s">
        <v>1926</v>
      </c>
      <c r="M37" s="124">
        <v>8286810610</v>
      </c>
      <c r="N37" s="128">
        <v>7506202736</v>
      </c>
      <c r="O37" s="124">
        <v>8286810610</v>
      </c>
      <c r="P37" s="33" t="s">
        <v>1927</v>
      </c>
      <c r="Q37" s="30" t="s">
        <v>44</v>
      </c>
      <c r="R37" s="25" t="s">
        <v>47</v>
      </c>
      <c r="S37" s="51" t="s">
        <v>170</v>
      </c>
      <c r="T37" s="51" t="s">
        <v>49</v>
      </c>
      <c r="U37" s="51" t="s">
        <v>1928</v>
      </c>
      <c r="V37" s="51" t="s">
        <v>49</v>
      </c>
      <c r="W37" s="28" t="s">
        <v>1929</v>
      </c>
      <c r="X37" s="28" t="s">
        <v>1930</v>
      </c>
      <c r="Y37" s="25"/>
      <c r="Z37" s="25"/>
      <c r="AA37" s="25"/>
      <c r="AB37" s="25"/>
      <c r="AC37" s="28" t="s">
        <v>1931</v>
      </c>
      <c r="AD37" s="28" t="s">
        <v>1932</v>
      </c>
      <c r="AE37" s="28" t="s">
        <v>1933</v>
      </c>
      <c r="AF37" s="28" t="s">
        <v>1934</v>
      </c>
      <c r="AG37" s="28" t="s">
        <v>1935</v>
      </c>
      <c r="AH37" s="28" t="s">
        <v>1936</v>
      </c>
      <c r="AI37" s="28" t="s">
        <v>1937</v>
      </c>
      <c r="AJ37" s="28" t="s">
        <v>1938</v>
      </c>
      <c r="AK37" s="28" t="s">
        <v>1939</v>
      </c>
      <c r="AL37" s="28" t="s">
        <v>1940</v>
      </c>
      <c r="AM37" s="28" t="s">
        <v>1941</v>
      </c>
      <c r="AN37" s="28" t="s">
        <v>1942</v>
      </c>
      <c r="AO37" s="28" t="s">
        <v>1943</v>
      </c>
      <c r="AP37" s="28" t="s">
        <v>1944</v>
      </c>
    </row>
    <row r="38" spans="1:42" ht="16.8">
      <c r="A38" s="25" t="s">
        <v>1945</v>
      </c>
      <c r="B38" s="25">
        <v>178</v>
      </c>
      <c r="C38" s="58" t="s">
        <v>1946</v>
      </c>
      <c r="D38" s="25">
        <v>1170</v>
      </c>
      <c r="E38" s="25"/>
      <c r="F38" s="58" t="s">
        <v>1947</v>
      </c>
      <c r="G38" s="31" t="s">
        <v>1948</v>
      </c>
      <c r="H38" s="25"/>
      <c r="I38" s="30" t="s">
        <v>44</v>
      </c>
      <c r="J38" s="31" t="s">
        <v>1949</v>
      </c>
      <c r="K38" s="31" t="s">
        <v>1950</v>
      </c>
      <c r="L38" s="30" t="s">
        <v>44</v>
      </c>
      <c r="M38" s="31">
        <v>9167547808</v>
      </c>
      <c r="N38" s="29" t="s">
        <v>44</v>
      </c>
      <c r="O38" s="31">
        <v>9167547808</v>
      </c>
      <c r="P38" s="30" t="s">
        <v>44</v>
      </c>
      <c r="Q38" s="30" t="s">
        <v>44</v>
      </c>
      <c r="R38" s="25" t="s">
        <v>47</v>
      </c>
      <c r="S38" s="29" t="s">
        <v>395</v>
      </c>
      <c r="T38" s="29" t="s">
        <v>395</v>
      </c>
      <c r="U38" s="29" t="s">
        <v>395</v>
      </c>
      <c r="V38" s="29" t="s">
        <v>395</v>
      </c>
      <c r="W38" s="28" t="s">
        <v>71</v>
      </c>
      <c r="X38" s="28" t="s">
        <v>71</v>
      </c>
      <c r="Y38" s="25"/>
      <c r="Z38" s="25"/>
      <c r="AA38" s="25"/>
      <c r="AB38" s="25"/>
      <c r="AC38" s="25"/>
      <c r="AD38" s="25"/>
      <c r="AE38" s="25"/>
      <c r="AF38" s="25"/>
      <c r="AG38" s="25"/>
      <c r="AH38" s="25"/>
      <c r="AI38" s="25"/>
      <c r="AJ38" s="25"/>
      <c r="AK38" s="25"/>
      <c r="AL38" s="25"/>
      <c r="AM38" s="25"/>
      <c r="AN38" s="25"/>
      <c r="AO38" s="25"/>
      <c r="AP38" s="25"/>
    </row>
    <row r="39" spans="1:42" ht="13.8">
      <c r="A39" s="25" t="s">
        <v>874</v>
      </c>
      <c r="B39" s="25">
        <v>179</v>
      </c>
      <c r="C39" s="58" t="s">
        <v>1951</v>
      </c>
      <c r="D39" s="25">
        <v>1171</v>
      </c>
      <c r="E39" s="25"/>
      <c r="F39" s="58" t="s">
        <v>1952</v>
      </c>
      <c r="G39" s="56" t="s">
        <v>1953</v>
      </c>
      <c r="H39" s="25"/>
      <c r="I39" s="56" t="s">
        <v>1954</v>
      </c>
      <c r="J39" s="56" t="s">
        <v>1955</v>
      </c>
      <c r="K39" s="56" t="s">
        <v>42</v>
      </c>
      <c r="L39" s="115" t="s">
        <v>1956</v>
      </c>
      <c r="M39" s="56">
        <v>9967119121</v>
      </c>
      <c r="N39" s="29" t="s">
        <v>44</v>
      </c>
      <c r="O39" s="56">
        <v>9967119121</v>
      </c>
      <c r="P39" s="30" t="s">
        <v>44</v>
      </c>
      <c r="Q39" s="30" t="s">
        <v>44</v>
      </c>
      <c r="R39" s="25" t="s">
        <v>47</v>
      </c>
      <c r="S39" s="51" t="s">
        <v>170</v>
      </c>
      <c r="T39" s="51" t="s">
        <v>49</v>
      </c>
      <c r="U39" s="51" t="s">
        <v>1957</v>
      </c>
      <c r="V39" s="51" t="s">
        <v>48</v>
      </c>
      <c r="W39" s="28" t="s">
        <v>71</v>
      </c>
      <c r="X39" s="28" t="s">
        <v>1958</v>
      </c>
      <c r="Y39" s="25"/>
      <c r="Z39" s="25"/>
      <c r="AA39" s="25"/>
      <c r="AB39" s="25"/>
      <c r="AC39" s="28" t="s">
        <v>1959</v>
      </c>
      <c r="AD39" s="28" t="s">
        <v>1960</v>
      </c>
      <c r="AE39" s="28" t="s">
        <v>1961</v>
      </c>
      <c r="AF39" s="28" t="s">
        <v>1962</v>
      </c>
      <c r="AG39" s="28" t="s">
        <v>1963</v>
      </c>
      <c r="AH39" s="28" t="s">
        <v>1964</v>
      </c>
      <c r="AI39" s="28" t="s">
        <v>1965</v>
      </c>
      <c r="AJ39" s="28" t="s">
        <v>1966</v>
      </c>
      <c r="AK39" s="28" t="s">
        <v>1967</v>
      </c>
      <c r="AL39" s="28" t="s">
        <v>1968</v>
      </c>
      <c r="AM39" s="28" t="s">
        <v>1969</v>
      </c>
      <c r="AN39" s="28" t="s">
        <v>1970</v>
      </c>
      <c r="AO39" s="28" t="s">
        <v>1971</v>
      </c>
      <c r="AP39" s="28" t="s">
        <v>1972</v>
      </c>
    </row>
    <row r="40" spans="1:42" ht="13.8">
      <c r="A40" s="25" t="s">
        <v>1945</v>
      </c>
      <c r="B40" s="25">
        <v>180</v>
      </c>
      <c r="C40" s="58" t="s">
        <v>1973</v>
      </c>
      <c r="D40" s="25">
        <v>1173</v>
      </c>
      <c r="E40" s="25"/>
      <c r="F40" s="58" t="s">
        <v>1974</v>
      </c>
      <c r="G40" s="30" t="s">
        <v>1975</v>
      </c>
      <c r="H40" s="25"/>
      <c r="I40" s="30" t="s">
        <v>1976</v>
      </c>
      <c r="J40" s="30" t="s">
        <v>1977</v>
      </c>
      <c r="K40" s="30" t="s">
        <v>42</v>
      </c>
      <c r="L40" s="30" t="s">
        <v>44</v>
      </c>
      <c r="M40" s="113">
        <v>9831788868</v>
      </c>
      <c r="N40" s="29" t="s">
        <v>44</v>
      </c>
      <c r="O40" s="30">
        <v>9831788868</v>
      </c>
      <c r="P40" s="30" t="s">
        <v>44</v>
      </c>
      <c r="Q40" s="129" t="s">
        <v>1978</v>
      </c>
      <c r="R40" s="25" t="s">
        <v>47</v>
      </c>
      <c r="S40" s="29" t="s">
        <v>395</v>
      </c>
      <c r="T40" s="29" t="s">
        <v>395</v>
      </c>
      <c r="U40" s="29" t="s">
        <v>395</v>
      </c>
      <c r="V40" s="29" t="s">
        <v>395</v>
      </c>
      <c r="W40" s="28" t="s">
        <v>71</v>
      </c>
      <c r="X40" s="28" t="s">
        <v>1979</v>
      </c>
      <c r="Y40" s="25"/>
      <c r="Z40" s="25"/>
      <c r="AA40" s="25"/>
      <c r="AB40" s="25"/>
      <c r="AC40" s="25"/>
      <c r="AD40" s="25"/>
      <c r="AE40" s="25"/>
      <c r="AF40" s="25"/>
      <c r="AG40" s="25"/>
      <c r="AH40" s="25"/>
      <c r="AI40" s="25"/>
      <c r="AJ40" s="25"/>
      <c r="AK40" s="25"/>
      <c r="AL40" s="25"/>
      <c r="AM40" s="25"/>
      <c r="AN40" s="25"/>
      <c r="AO40" s="25"/>
      <c r="AP40" s="25"/>
    </row>
    <row r="41" spans="1:42" ht="13.8">
      <c r="A41" s="25" t="s">
        <v>1980</v>
      </c>
      <c r="B41" s="25">
        <v>181</v>
      </c>
      <c r="C41" s="58" t="s">
        <v>1981</v>
      </c>
      <c r="D41" s="25">
        <v>1174</v>
      </c>
      <c r="E41" s="25"/>
      <c r="F41" s="58" t="s">
        <v>1982</v>
      </c>
      <c r="G41" s="30" t="s">
        <v>1983</v>
      </c>
      <c r="H41" s="25"/>
      <c r="I41" s="30" t="s">
        <v>1976</v>
      </c>
      <c r="J41" s="30" t="s">
        <v>1984</v>
      </c>
      <c r="K41" s="30" t="s">
        <v>1985</v>
      </c>
      <c r="L41" s="30" t="s">
        <v>44</v>
      </c>
      <c r="M41" s="113">
        <v>8697046543</v>
      </c>
      <c r="N41" s="29" t="s">
        <v>44</v>
      </c>
      <c r="O41" s="30">
        <v>8697046543</v>
      </c>
      <c r="P41" s="30" t="s">
        <v>44</v>
      </c>
      <c r="Q41" s="30" t="s">
        <v>44</v>
      </c>
      <c r="R41" s="25" t="s">
        <v>47</v>
      </c>
      <c r="S41" s="29" t="s">
        <v>395</v>
      </c>
      <c r="T41" s="29" t="s">
        <v>395</v>
      </c>
      <c r="U41" s="29" t="s">
        <v>395</v>
      </c>
      <c r="V41" s="29" t="s">
        <v>395</v>
      </c>
      <c r="W41" s="28" t="s">
        <v>71</v>
      </c>
      <c r="X41" s="28" t="s">
        <v>1986</v>
      </c>
      <c r="Y41" s="25"/>
      <c r="Z41" s="25"/>
      <c r="AA41" s="25"/>
      <c r="AB41" s="25"/>
      <c r="AC41" s="25"/>
      <c r="AD41" s="25"/>
      <c r="AE41" s="25"/>
      <c r="AF41" s="25"/>
      <c r="AG41" s="25"/>
      <c r="AH41" s="25"/>
      <c r="AI41" s="25"/>
      <c r="AJ41" s="25"/>
      <c r="AK41" s="25"/>
      <c r="AL41" s="25"/>
      <c r="AM41" s="25"/>
      <c r="AN41" s="25"/>
      <c r="AO41" s="25"/>
      <c r="AP41" s="25"/>
    </row>
    <row r="42" spans="1:42" ht="13.8">
      <c r="A42" s="25" t="s">
        <v>1987</v>
      </c>
      <c r="B42" s="25">
        <v>182</v>
      </c>
      <c r="C42" s="58" t="s">
        <v>1988</v>
      </c>
      <c r="D42" s="25">
        <v>1175</v>
      </c>
      <c r="E42" s="25"/>
      <c r="F42" s="58" t="s">
        <v>1989</v>
      </c>
      <c r="G42" s="49" t="s">
        <v>1990</v>
      </c>
      <c r="H42" s="25"/>
      <c r="I42" s="49" t="s">
        <v>1991</v>
      </c>
      <c r="J42" s="49" t="s">
        <v>1992</v>
      </c>
      <c r="K42" s="49" t="s">
        <v>507</v>
      </c>
      <c r="L42" s="130" t="s">
        <v>1993</v>
      </c>
      <c r="M42" s="49">
        <v>9921947820</v>
      </c>
      <c r="N42" s="29" t="s">
        <v>44</v>
      </c>
      <c r="O42" s="49">
        <v>9921947820</v>
      </c>
      <c r="P42" s="30" t="s">
        <v>44</v>
      </c>
      <c r="Q42" s="30" t="s">
        <v>44</v>
      </c>
      <c r="R42" s="25" t="s">
        <v>47</v>
      </c>
      <c r="S42" s="51" t="s">
        <v>1994</v>
      </c>
      <c r="T42" s="51" t="s">
        <v>1995</v>
      </c>
      <c r="U42" s="51" t="s">
        <v>1996</v>
      </c>
      <c r="V42" s="51" t="s">
        <v>1997</v>
      </c>
      <c r="W42" s="28" t="s">
        <v>71</v>
      </c>
      <c r="X42" s="28" t="s">
        <v>1998</v>
      </c>
      <c r="Y42" s="25"/>
      <c r="Z42" s="25"/>
      <c r="AA42" s="25"/>
      <c r="AB42" s="25"/>
      <c r="AC42" s="25"/>
      <c r="AD42" s="25"/>
      <c r="AE42" s="25"/>
      <c r="AF42" s="25"/>
      <c r="AG42" s="25"/>
      <c r="AH42" s="25"/>
      <c r="AI42" s="25"/>
      <c r="AJ42" s="25"/>
      <c r="AK42" s="25"/>
      <c r="AL42" s="25"/>
      <c r="AM42" s="25"/>
      <c r="AN42" s="25"/>
      <c r="AO42" s="25"/>
      <c r="AP42" s="25"/>
    </row>
    <row r="43" spans="1:42" ht="13.8">
      <c r="A43" s="6" t="s">
        <v>500</v>
      </c>
      <c r="B43" s="6">
        <v>183</v>
      </c>
      <c r="C43" s="44" t="s">
        <v>1999</v>
      </c>
      <c r="D43" s="6">
        <v>1176</v>
      </c>
      <c r="E43" s="6"/>
      <c r="F43" s="22" t="s">
        <v>2000</v>
      </c>
      <c r="G43" s="19" t="s">
        <v>1999</v>
      </c>
      <c r="H43" s="6"/>
      <c r="I43" s="19" t="s">
        <v>2001</v>
      </c>
      <c r="J43" s="19" t="s">
        <v>2001</v>
      </c>
      <c r="K43" s="19" t="s">
        <v>44</v>
      </c>
      <c r="L43" s="19" t="s">
        <v>44</v>
      </c>
      <c r="M43" s="19">
        <v>8446053121</v>
      </c>
      <c r="N43" s="18">
        <v>9323934121</v>
      </c>
      <c r="O43" s="19">
        <v>8446053121</v>
      </c>
      <c r="P43" s="19" t="s">
        <v>44</v>
      </c>
      <c r="Q43" s="131" t="s">
        <v>2002</v>
      </c>
      <c r="R43" s="6" t="s">
        <v>47</v>
      </c>
      <c r="S43" s="45" t="s">
        <v>170</v>
      </c>
      <c r="T43" s="45" t="s">
        <v>48</v>
      </c>
      <c r="U43" s="45" t="s">
        <v>2003</v>
      </c>
      <c r="V43" s="45" t="s">
        <v>48</v>
      </c>
      <c r="W43" s="17" t="s">
        <v>71</v>
      </c>
      <c r="X43" s="17" t="s">
        <v>2004</v>
      </c>
      <c r="Y43" s="6"/>
      <c r="Z43" s="6"/>
      <c r="AA43" s="6"/>
      <c r="AB43" s="6"/>
      <c r="AC43" s="6"/>
      <c r="AD43" s="6"/>
      <c r="AE43" s="6"/>
      <c r="AF43" s="6"/>
      <c r="AG43" s="6"/>
      <c r="AH43" s="6"/>
      <c r="AI43" s="6"/>
      <c r="AJ43" s="6"/>
      <c r="AK43" s="6"/>
      <c r="AL43" s="6"/>
      <c r="AM43" s="6"/>
      <c r="AN43" s="6"/>
      <c r="AO43" s="6"/>
      <c r="AP43" s="6"/>
    </row>
    <row r="44" spans="1:42" ht="15.6">
      <c r="A44" s="25" t="s">
        <v>874</v>
      </c>
      <c r="B44" s="25">
        <v>184</v>
      </c>
      <c r="C44" s="58" t="s">
        <v>2005</v>
      </c>
      <c r="D44" s="25">
        <v>1177</v>
      </c>
      <c r="E44" s="25"/>
      <c r="F44" s="81" t="s">
        <v>2006</v>
      </c>
      <c r="G44" s="82" t="s">
        <v>2007</v>
      </c>
      <c r="H44" s="25"/>
      <c r="I44" s="30" t="s">
        <v>44</v>
      </c>
      <c r="J44" s="82" t="s">
        <v>2008</v>
      </c>
      <c r="K44" s="82" t="s">
        <v>2009</v>
      </c>
      <c r="L44" s="29"/>
      <c r="M44" s="82">
        <v>9987655062</v>
      </c>
      <c r="N44" s="29" t="s">
        <v>44</v>
      </c>
      <c r="O44" s="82">
        <v>9987655062</v>
      </c>
      <c r="P44" s="30" t="s">
        <v>44</v>
      </c>
      <c r="Q44" s="30" t="s">
        <v>44</v>
      </c>
      <c r="R44" s="25" t="s">
        <v>47</v>
      </c>
      <c r="S44" s="51" t="s">
        <v>170</v>
      </c>
      <c r="T44" s="51" t="s">
        <v>2010</v>
      </c>
      <c r="U44" s="51" t="s">
        <v>2011</v>
      </c>
      <c r="V44" s="51" t="s">
        <v>2012</v>
      </c>
      <c r="W44" s="28" t="s">
        <v>2013</v>
      </c>
      <c r="X44" s="28" t="s">
        <v>2014</v>
      </c>
      <c r="Y44" s="25"/>
      <c r="Z44" s="25"/>
      <c r="AA44" s="25"/>
      <c r="AB44" s="25"/>
      <c r="AC44" s="25"/>
      <c r="AD44" s="25"/>
      <c r="AE44" s="25"/>
      <c r="AF44" s="25"/>
      <c r="AG44" s="25"/>
      <c r="AH44" s="25"/>
      <c r="AI44" s="25"/>
      <c r="AJ44" s="25"/>
      <c r="AK44" s="25"/>
      <c r="AL44" s="25"/>
      <c r="AM44" s="25"/>
      <c r="AN44" s="25"/>
      <c r="AO44" s="25"/>
      <c r="AP44" s="25"/>
    </row>
    <row r="45" spans="1:42" ht="16.8">
      <c r="A45" s="25" t="s">
        <v>874</v>
      </c>
      <c r="B45" s="25">
        <v>185</v>
      </c>
      <c r="C45" s="58" t="s">
        <v>2015</v>
      </c>
      <c r="D45" s="25">
        <v>1180</v>
      </c>
      <c r="E45" s="25"/>
      <c r="F45" s="60" t="s">
        <v>2016</v>
      </c>
      <c r="G45" s="31" t="s">
        <v>2017</v>
      </c>
      <c r="H45" s="25"/>
      <c r="I45" s="31" t="s">
        <v>2018</v>
      </c>
      <c r="J45" s="31" t="s">
        <v>2019</v>
      </c>
      <c r="K45" s="31" t="s">
        <v>191</v>
      </c>
      <c r="L45" s="59" t="s">
        <v>2020</v>
      </c>
      <c r="M45" s="31">
        <v>8080877002</v>
      </c>
      <c r="N45" s="54">
        <v>9321144918</v>
      </c>
      <c r="O45" s="31">
        <v>8080877002</v>
      </c>
      <c r="P45" s="33" t="s">
        <v>2021</v>
      </c>
      <c r="Q45" s="30" t="s">
        <v>44</v>
      </c>
      <c r="R45" s="25" t="s">
        <v>47</v>
      </c>
      <c r="S45" s="51" t="s">
        <v>170</v>
      </c>
      <c r="T45" s="51" t="s">
        <v>2022</v>
      </c>
      <c r="U45" s="51" t="s">
        <v>2023</v>
      </c>
      <c r="V45" s="51" t="s">
        <v>48</v>
      </c>
      <c r="W45" s="28" t="s">
        <v>71</v>
      </c>
      <c r="X45" s="28" t="s">
        <v>2024</v>
      </c>
      <c r="Y45" s="25"/>
      <c r="Z45" s="25"/>
      <c r="AA45" s="25"/>
      <c r="AB45" s="25"/>
      <c r="AC45" s="28" t="s">
        <v>2025</v>
      </c>
      <c r="AD45" s="28" t="s">
        <v>2026</v>
      </c>
      <c r="AE45" s="28" t="s">
        <v>2027</v>
      </c>
      <c r="AF45" s="28" t="s">
        <v>2028</v>
      </c>
      <c r="AG45" s="28" t="s">
        <v>2027</v>
      </c>
      <c r="AH45" s="28" t="s">
        <v>2029</v>
      </c>
      <c r="AI45" s="25"/>
      <c r="AJ45" s="25"/>
      <c r="AK45" s="25"/>
      <c r="AL45" s="25"/>
      <c r="AM45" s="25"/>
      <c r="AN45" s="25"/>
      <c r="AO45" s="25"/>
      <c r="AP45" s="25"/>
    </row>
    <row r="46" spans="1:42" ht="14.4">
      <c r="A46" s="25" t="s">
        <v>130</v>
      </c>
      <c r="B46" s="25">
        <v>186</v>
      </c>
      <c r="C46" s="58" t="s">
        <v>2030</v>
      </c>
      <c r="D46" s="25">
        <v>1181</v>
      </c>
      <c r="E46" s="25"/>
      <c r="F46" s="58" t="s">
        <v>2031</v>
      </c>
      <c r="G46" s="124" t="s">
        <v>2032</v>
      </c>
      <c r="H46" s="25"/>
      <c r="I46" s="124" t="s">
        <v>2033</v>
      </c>
      <c r="J46" s="124" t="s">
        <v>2034</v>
      </c>
      <c r="K46" s="124" t="s">
        <v>2035</v>
      </c>
      <c r="L46" s="127" t="s">
        <v>2036</v>
      </c>
      <c r="M46" s="124">
        <v>7050657559</v>
      </c>
      <c r="N46" s="128">
        <v>9326647067</v>
      </c>
      <c r="O46" s="124">
        <v>7050657559</v>
      </c>
      <c r="P46" s="30" t="s">
        <v>44</v>
      </c>
      <c r="Q46" s="30" t="s">
        <v>44</v>
      </c>
      <c r="R46" s="25" t="s">
        <v>47</v>
      </c>
      <c r="S46" s="51" t="s">
        <v>170</v>
      </c>
      <c r="T46" s="51" t="s">
        <v>49</v>
      </c>
      <c r="U46" s="51" t="s">
        <v>2037</v>
      </c>
      <c r="V46" s="51" t="s">
        <v>1617</v>
      </c>
      <c r="W46" s="28" t="s">
        <v>71</v>
      </c>
      <c r="X46" s="28" t="s">
        <v>71</v>
      </c>
      <c r="Y46" s="25"/>
      <c r="Z46" s="25"/>
      <c r="AA46" s="25"/>
      <c r="AB46" s="25"/>
      <c r="AC46" s="25"/>
      <c r="AD46" s="25"/>
      <c r="AE46" s="25"/>
      <c r="AF46" s="25"/>
      <c r="AG46" s="25"/>
      <c r="AH46" s="25"/>
      <c r="AI46" s="25"/>
      <c r="AJ46" s="25"/>
      <c r="AK46" s="25"/>
      <c r="AL46" s="25"/>
      <c r="AM46" s="25"/>
      <c r="AN46" s="25"/>
      <c r="AO46" s="25"/>
      <c r="AP46" s="25"/>
    </row>
    <row r="47" spans="1:42" ht="16.8">
      <c r="A47" s="25" t="s">
        <v>2038</v>
      </c>
      <c r="B47" s="25">
        <v>187</v>
      </c>
      <c r="C47" s="58" t="s">
        <v>2039</v>
      </c>
      <c r="D47" s="25">
        <v>1182</v>
      </c>
      <c r="E47" s="25"/>
      <c r="F47" s="60" t="s">
        <v>2040</v>
      </c>
      <c r="G47" s="31" t="s">
        <v>2041</v>
      </c>
      <c r="H47" s="25"/>
      <c r="I47" s="31" t="s">
        <v>2042</v>
      </c>
      <c r="J47" s="31" t="s">
        <v>2043</v>
      </c>
      <c r="K47" s="31" t="s">
        <v>2044</v>
      </c>
      <c r="L47" s="59" t="s">
        <v>2045</v>
      </c>
      <c r="M47" s="31">
        <v>7987590946</v>
      </c>
      <c r="N47" s="29" t="s">
        <v>44</v>
      </c>
      <c r="O47" s="31">
        <v>7987590946</v>
      </c>
      <c r="P47" s="30" t="s">
        <v>44</v>
      </c>
      <c r="Q47" s="30" t="s">
        <v>44</v>
      </c>
      <c r="R47" s="25" t="s">
        <v>47</v>
      </c>
      <c r="S47" s="29" t="s">
        <v>395</v>
      </c>
      <c r="T47" s="29" t="s">
        <v>395</v>
      </c>
      <c r="U47" s="29" t="s">
        <v>395</v>
      </c>
      <c r="V47" s="29" t="s">
        <v>395</v>
      </c>
      <c r="W47" s="28" t="s">
        <v>71</v>
      </c>
      <c r="X47" s="28" t="s">
        <v>71</v>
      </c>
      <c r="Y47" s="25"/>
      <c r="Z47" s="25"/>
      <c r="AA47" s="25"/>
      <c r="AB47" s="25"/>
      <c r="AC47" s="25"/>
      <c r="AD47" s="25"/>
      <c r="AE47" s="25"/>
      <c r="AF47" s="25"/>
      <c r="AG47" s="25"/>
      <c r="AH47" s="25"/>
      <c r="AI47" s="25"/>
      <c r="AJ47" s="25"/>
      <c r="AK47" s="25"/>
      <c r="AL47" s="25"/>
      <c r="AM47" s="25"/>
      <c r="AN47" s="25"/>
      <c r="AO47" s="25"/>
      <c r="AP47" s="25"/>
    </row>
    <row r="48" spans="1:42" ht="13.8">
      <c r="A48" s="25" t="s">
        <v>2046</v>
      </c>
      <c r="B48" s="25">
        <v>188</v>
      </c>
      <c r="C48" s="58" t="s">
        <v>2047</v>
      </c>
      <c r="D48" s="25">
        <v>1184</v>
      </c>
      <c r="E48" s="25"/>
      <c r="F48" s="132" t="s">
        <v>2048</v>
      </c>
      <c r="G48" s="49" t="s">
        <v>2049</v>
      </c>
      <c r="H48" s="25"/>
      <c r="I48" s="49" t="s">
        <v>2050</v>
      </c>
      <c r="J48" s="49" t="s">
        <v>2051</v>
      </c>
      <c r="K48" s="49" t="s">
        <v>42</v>
      </c>
      <c r="L48" s="130" t="s">
        <v>2052</v>
      </c>
      <c r="M48" s="49">
        <v>9821050365</v>
      </c>
      <c r="N48" s="29" t="s">
        <v>44</v>
      </c>
      <c r="O48" s="49">
        <v>9821050365</v>
      </c>
      <c r="P48" s="33" t="s">
        <v>2053</v>
      </c>
      <c r="Q48" s="30" t="s">
        <v>44</v>
      </c>
      <c r="R48" s="25" t="s">
        <v>47</v>
      </c>
      <c r="S48" s="51" t="s">
        <v>170</v>
      </c>
      <c r="T48" s="51" t="s">
        <v>49</v>
      </c>
      <c r="U48" s="51" t="s">
        <v>2054</v>
      </c>
      <c r="V48" s="51" t="s">
        <v>2055</v>
      </c>
      <c r="W48" s="28" t="s">
        <v>71</v>
      </c>
      <c r="X48" s="28" t="s">
        <v>2056</v>
      </c>
      <c r="Y48" s="25"/>
      <c r="Z48" s="25"/>
      <c r="AA48" s="25"/>
      <c r="AB48" s="25"/>
      <c r="AC48" s="25"/>
      <c r="AD48" s="25"/>
      <c r="AE48" s="25"/>
      <c r="AF48" s="25"/>
      <c r="AG48" s="25"/>
      <c r="AH48" s="25"/>
      <c r="AI48" s="25"/>
      <c r="AJ48" s="25"/>
      <c r="AK48" s="25"/>
      <c r="AL48" s="25"/>
      <c r="AM48" s="25"/>
      <c r="AN48" s="25"/>
      <c r="AO48" s="25"/>
      <c r="AP48" s="25"/>
    </row>
    <row r="49" spans="1:42" ht="13.8">
      <c r="A49" s="6" t="s">
        <v>500</v>
      </c>
      <c r="B49" s="6">
        <v>189</v>
      </c>
      <c r="C49" s="44" t="s">
        <v>2057</v>
      </c>
      <c r="D49" s="6">
        <v>1185</v>
      </c>
      <c r="E49" s="6"/>
      <c r="F49" s="107" t="s">
        <v>2058</v>
      </c>
      <c r="G49" s="19" t="s">
        <v>2059</v>
      </c>
      <c r="H49" s="6"/>
      <c r="I49" s="108" t="s">
        <v>2060</v>
      </c>
      <c r="J49" s="108" t="s">
        <v>2061</v>
      </c>
      <c r="K49" s="108" t="s">
        <v>116</v>
      </c>
      <c r="L49" s="19" t="s">
        <v>44</v>
      </c>
      <c r="M49" s="108">
        <v>7045111355</v>
      </c>
      <c r="N49" s="18" t="s">
        <v>44</v>
      </c>
      <c r="O49" s="108">
        <v>7045111355</v>
      </c>
      <c r="P49" s="19" t="s">
        <v>44</v>
      </c>
      <c r="Q49" s="19" t="s">
        <v>44</v>
      </c>
      <c r="R49" s="6" t="s">
        <v>47</v>
      </c>
      <c r="S49" s="45" t="s">
        <v>2062</v>
      </c>
      <c r="T49" s="45" t="s">
        <v>49</v>
      </c>
      <c r="U49" s="45" t="s">
        <v>49</v>
      </c>
      <c r="V49" s="45" t="s">
        <v>48</v>
      </c>
      <c r="W49" s="17" t="s">
        <v>71</v>
      </c>
      <c r="X49" s="17" t="s">
        <v>71</v>
      </c>
      <c r="Y49" s="6"/>
      <c r="Z49" s="6"/>
      <c r="AA49" s="6"/>
      <c r="AB49" s="6"/>
      <c r="AC49" s="6"/>
      <c r="AD49" s="6"/>
      <c r="AE49" s="6"/>
      <c r="AF49" s="6"/>
      <c r="AG49" s="6"/>
      <c r="AH49" s="6"/>
      <c r="AI49" s="6"/>
      <c r="AJ49" s="6"/>
      <c r="AK49" s="6"/>
      <c r="AL49" s="6"/>
      <c r="AM49" s="6"/>
      <c r="AN49" s="6"/>
      <c r="AO49" s="6"/>
      <c r="AP49" s="6"/>
    </row>
    <row r="50" spans="1:42" ht="13.8">
      <c r="A50" s="6" t="s">
        <v>500</v>
      </c>
      <c r="B50" s="6">
        <v>190</v>
      </c>
      <c r="C50" s="44" t="s">
        <v>2063</v>
      </c>
      <c r="D50" s="6">
        <v>1186</v>
      </c>
      <c r="E50" s="6"/>
      <c r="F50" s="107" t="s">
        <v>2064</v>
      </c>
      <c r="G50" s="19" t="s">
        <v>2065</v>
      </c>
      <c r="H50" s="6"/>
      <c r="I50" s="19" t="s">
        <v>2066</v>
      </c>
      <c r="J50" s="108" t="s">
        <v>2067</v>
      </c>
      <c r="K50" s="108" t="s">
        <v>2068</v>
      </c>
      <c r="L50" s="19" t="s">
        <v>44</v>
      </c>
      <c r="M50" s="108">
        <v>9664086422</v>
      </c>
      <c r="N50" s="18" t="s">
        <v>44</v>
      </c>
      <c r="O50" s="108">
        <v>9664086422</v>
      </c>
      <c r="P50" s="19" t="s">
        <v>44</v>
      </c>
      <c r="Q50" s="19" t="s">
        <v>44</v>
      </c>
      <c r="R50" s="6" t="s">
        <v>47</v>
      </c>
      <c r="S50" s="18" t="s">
        <v>395</v>
      </c>
      <c r="T50" s="18" t="s">
        <v>395</v>
      </c>
      <c r="U50" s="18" t="s">
        <v>395</v>
      </c>
      <c r="V50" s="18" t="s">
        <v>395</v>
      </c>
      <c r="W50" s="17" t="s">
        <v>71</v>
      </c>
      <c r="X50" s="17" t="s">
        <v>71</v>
      </c>
      <c r="Y50" s="6"/>
      <c r="Z50" s="6"/>
      <c r="AA50" s="6"/>
      <c r="AB50" s="6"/>
      <c r="AC50" s="6"/>
      <c r="AD50" s="6"/>
      <c r="AE50" s="6"/>
      <c r="AF50" s="6"/>
      <c r="AG50" s="6"/>
      <c r="AH50" s="6"/>
      <c r="AI50" s="6"/>
      <c r="AJ50" s="6"/>
      <c r="AK50" s="6"/>
      <c r="AL50" s="6"/>
      <c r="AM50" s="6"/>
      <c r="AN50" s="6"/>
      <c r="AO50" s="6"/>
      <c r="AP50" s="6"/>
    </row>
    <row r="51" spans="1:42" ht="13.8">
      <c r="A51" s="6" t="s">
        <v>500</v>
      </c>
      <c r="B51" s="6">
        <v>191</v>
      </c>
      <c r="C51" s="44" t="s">
        <v>2069</v>
      </c>
      <c r="D51" s="6">
        <v>1187</v>
      </c>
      <c r="E51" s="6"/>
      <c r="F51" s="133" t="s">
        <v>2070</v>
      </c>
      <c r="G51" s="121" t="s">
        <v>2071</v>
      </c>
      <c r="H51" s="6"/>
      <c r="I51" s="19" t="s">
        <v>44</v>
      </c>
      <c r="J51" s="121" t="s">
        <v>2072</v>
      </c>
      <c r="K51" s="121" t="s">
        <v>2073</v>
      </c>
      <c r="L51" s="18"/>
      <c r="M51" s="121">
        <v>7219460020</v>
      </c>
      <c r="N51" s="134">
        <v>7219460020</v>
      </c>
      <c r="O51" s="121">
        <v>7219460020</v>
      </c>
      <c r="P51" s="22" t="s">
        <v>2074</v>
      </c>
      <c r="Q51" s="19" t="s">
        <v>44</v>
      </c>
      <c r="R51" s="6" t="s">
        <v>47</v>
      </c>
      <c r="S51" s="45" t="s">
        <v>2075</v>
      </c>
      <c r="T51" s="45" t="s">
        <v>48</v>
      </c>
      <c r="U51" s="45" t="s">
        <v>2076</v>
      </c>
      <c r="V51" s="45" t="s">
        <v>1306</v>
      </c>
      <c r="W51" s="17" t="s">
        <v>71</v>
      </c>
      <c r="X51" s="17" t="s">
        <v>71</v>
      </c>
      <c r="Y51" s="6"/>
      <c r="Z51" s="6"/>
      <c r="AA51" s="6"/>
      <c r="AB51" s="6"/>
      <c r="AC51" s="6"/>
      <c r="AD51" s="6"/>
      <c r="AE51" s="6"/>
      <c r="AF51" s="6"/>
      <c r="AG51" s="6"/>
      <c r="AH51" s="6"/>
      <c r="AI51" s="6"/>
      <c r="AJ51" s="6"/>
      <c r="AK51" s="6"/>
      <c r="AL51" s="6"/>
      <c r="AM51" s="6"/>
      <c r="AN51" s="6"/>
      <c r="AO51" s="6"/>
      <c r="AP51" s="6"/>
    </row>
    <row r="52" spans="1:42" ht="16.8">
      <c r="A52" s="6" t="s">
        <v>130</v>
      </c>
      <c r="B52" s="6">
        <v>192</v>
      </c>
      <c r="C52" s="44" t="s">
        <v>2077</v>
      </c>
      <c r="D52" s="6">
        <v>1188</v>
      </c>
      <c r="E52" s="6"/>
      <c r="F52" s="80" t="s">
        <v>2078</v>
      </c>
      <c r="G52" s="20" t="s">
        <v>2079</v>
      </c>
      <c r="H52" s="6"/>
      <c r="I52" s="20" t="s">
        <v>2080</v>
      </c>
      <c r="J52" s="20" t="s">
        <v>2080</v>
      </c>
      <c r="K52" s="20" t="s">
        <v>2081</v>
      </c>
      <c r="L52" s="19" t="s">
        <v>44</v>
      </c>
      <c r="M52" s="20">
        <v>7715068245</v>
      </c>
      <c r="N52" s="61">
        <v>9004272487</v>
      </c>
      <c r="O52" s="20">
        <v>7715068245</v>
      </c>
      <c r="P52" s="19" t="s">
        <v>44</v>
      </c>
      <c r="Q52" s="87" t="s">
        <v>2082</v>
      </c>
      <c r="R52" s="6" t="s">
        <v>47</v>
      </c>
      <c r="S52" s="45" t="s">
        <v>2083</v>
      </c>
      <c r="T52" s="45" t="s">
        <v>49</v>
      </c>
      <c r="U52" s="45" t="s">
        <v>49</v>
      </c>
      <c r="V52" s="45" t="s">
        <v>1778</v>
      </c>
      <c r="W52" s="17" t="s">
        <v>71</v>
      </c>
      <c r="X52" s="17" t="s">
        <v>71</v>
      </c>
      <c r="Y52" s="6"/>
      <c r="Z52" s="6"/>
      <c r="AA52" s="6"/>
      <c r="AB52" s="6"/>
      <c r="AC52" s="6"/>
      <c r="AD52" s="6"/>
      <c r="AE52" s="6"/>
      <c r="AF52" s="6"/>
      <c r="AG52" s="6"/>
      <c r="AH52" s="6"/>
      <c r="AI52" s="6"/>
      <c r="AJ52" s="6"/>
      <c r="AK52" s="6"/>
      <c r="AL52" s="6"/>
      <c r="AM52" s="6"/>
      <c r="AN52" s="6"/>
      <c r="AO52" s="6"/>
      <c r="AP52" s="6"/>
    </row>
    <row r="53" spans="1:42" ht="13.8">
      <c r="A53" s="6" t="s">
        <v>130</v>
      </c>
      <c r="B53" s="6">
        <v>193</v>
      </c>
      <c r="C53" s="44" t="s">
        <v>2084</v>
      </c>
      <c r="D53" s="6">
        <v>1189</v>
      </c>
      <c r="E53" s="6"/>
      <c r="F53" s="135" t="s">
        <v>2085</v>
      </c>
      <c r="G53" s="111" t="s">
        <v>2086</v>
      </c>
      <c r="H53" s="6"/>
      <c r="I53" s="111" t="s">
        <v>2087</v>
      </c>
      <c r="J53" s="111" t="s">
        <v>2088</v>
      </c>
      <c r="K53" s="111" t="s">
        <v>2089</v>
      </c>
      <c r="L53" s="112" t="s">
        <v>2090</v>
      </c>
      <c r="M53" s="111">
        <v>777394435</v>
      </c>
      <c r="N53" s="136">
        <v>9158181924</v>
      </c>
      <c r="O53" s="111">
        <v>777394435</v>
      </c>
      <c r="P53" s="19" t="s">
        <v>44</v>
      </c>
      <c r="Q53" s="137" t="s">
        <v>2091</v>
      </c>
      <c r="R53" s="6" t="s">
        <v>47</v>
      </c>
      <c r="S53" s="45" t="s">
        <v>2092</v>
      </c>
      <c r="T53" s="45" t="s">
        <v>49</v>
      </c>
      <c r="U53" s="45" t="s">
        <v>2093</v>
      </c>
      <c r="V53" s="45" t="s">
        <v>1083</v>
      </c>
      <c r="W53" s="17" t="s">
        <v>71</v>
      </c>
      <c r="X53" s="17" t="s">
        <v>2094</v>
      </c>
      <c r="Y53" s="6"/>
      <c r="Z53" s="6"/>
      <c r="AA53" s="6"/>
      <c r="AB53" s="6"/>
      <c r="AC53" s="6"/>
      <c r="AD53" s="6"/>
      <c r="AE53" s="6"/>
      <c r="AF53" s="6"/>
      <c r="AG53" s="6"/>
      <c r="AH53" s="6"/>
      <c r="AI53" s="6"/>
      <c r="AJ53" s="6"/>
      <c r="AK53" s="6"/>
      <c r="AL53" s="6"/>
      <c r="AM53" s="6"/>
      <c r="AN53" s="6"/>
      <c r="AO53" s="6"/>
      <c r="AP53" s="6"/>
    </row>
    <row r="54" spans="1:42" ht="13.8">
      <c r="A54" s="25" t="s">
        <v>130</v>
      </c>
      <c r="B54" s="25">
        <v>194</v>
      </c>
      <c r="C54" s="58" t="s">
        <v>2095</v>
      </c>
      <c r="D54" s="25">
        <v>1190</v>
      </c>
      <c r="E54" s="25"/>
      <c r="F54" s="138" t="s">
        <v>2096</v>
      </c>
      <c r="G54" s="30" t="s">
        <v>2097</v>
      </c>
      <c r="H54" s="25"/>
      <c r="I54" s="113" t="s">
        <v>2098</v>
      </c>
      <c r="J54" s="113" t="s">
        <v>2099</v>
      </c>
      <c r="K54" s="113" t="s">
        <v>2100</v>
      </c>
      <c r="L54" s="30" t="s">
        <v>44</v>
      </c>
      <c r="M54" s="113">
        <v>9373290157</v>
      </c>
      <c r="N54" s="29" t="s">
        <v>44</v>
      </c>
      <c r="O54" s="113">
        <v>9373290157</v>
      </c>
      <c r="P54" s="30" t="s">
        <v>44</v>
      </c>
      <c r="Q54" s="30" t="s">
        <v>44</v>
      </c>
      <c r="R54" s="25" t="s">
        <v>47</v>
      </c>
      <c r="S54" s="29" t="s">
        <v>395</v>
      </c>
      <c r="T54" s="29" t="s">
        <v>395</v>
      </c>
      <c r="U54" s="29" t="s">
        <v>395</v>
      </c>
      <c r="V54" s="29" t="s">
        <v>395</v>
      </c>
      <c r="W54" s="28" t="s">
        <v>71</v>
      </c>
      <c r="X54" s="28" t="s">
        <v>71</v>
      </c>
      <c r="Y54" s="25"/>
      <c r="Z54" s="25"/>
      <c r="AA54" s="25"/>
      <c r="AB54" s="25"/>
      <c r="AC54" s="25"/>
      <c r="AD54" s="25"/>
      <c r="AE54" s="25"/>
      <c r="AF54" s="25"/>
      <c r="AG54" s="25"/>
      <c r="AH54" s="25"/>
      <c r="AI54" s="25"/>
      <c r="AJ54" s="25"/>
      <c r="AK54" s="25"/>
      <c r="AL54" s="25"/>
      <c r="AM54" s="25"/>
      <c r="AN54" s="25"/>
      <c r="AO54" s="25"/>
      <c r="AP54" s="25"/>
    </row>
    <row r="55" spans="1:42" ht="13.8">
      <c r="A55" s="25" t="s">
        <v>2101</v>
      </c>
      <c r="B55" s="25">
        <v>195</v>
      </c>
      <c r="C55" s="58" t="s">
        <v>2102</v>
      </c>
      <c r="D55" s="25">
        <v>1191</v>
      </c>
      <c r="E55" s="25"/>
      <c r="F55" s="132" t="s">
        <v>2103</v>
      </c>
      <c r="G55" s="49" t="s">
        <v>2104</v>
      </c>
      <c r="H55" s="25"/>
      <c r="I55" s="49" t="s">
        <v>2105</v>
      </c>
      <c r="J55" s="49" t="s">
        <v>2106</v>
      </c>
      <c r="K55" s="49" t="s">
        <v>507</v>
      </c>
      <c r="L55" s="130" t="s">
        <v>2107</v>
      </c>
      <c r="M55" s="49">
        <v>9967220115</v>
      </c>
      <c r="N55" s="29" t="s">
        <v>44</v>
      </c>
      <c r="O55" s="49">
        <v>9967220115</v>
      </c>
      <c r="P55" s="30" t="s">
        <v>44</v>
      </c>
      <c r="Q55" s="30" t="s">
        <v>44</v>
      </c>
      <c r="R55" s="25" t="s">
        <v>47</v>
      </c>
      <c r="S55" s="51" t="s">
        <v>2108</v>
      </c>
      <c r="T55" s="51" t="s">
        <v>2109</v>
      </c>
      <c r="U55" s="51" t="s">
        <v>2110</v>
      </c>
      <c r="V55" s="51" t="s">
        <v>2055</v>
      </c>
      <c r="W55" s="28" t="s">
        <v>71</v>
      </c>
      <c r="X55" s="28" t="s">
        <v>2111</v>
      </c>
      <c r="Y55" s="25"/>
      <c r="Z55" s="25"/>
      <c r="AA55" s="25"/>
      <c r="AB55" s="25"/>
      <c r="AC55" s="25"/>
      <c r="AD55" s="25"/>
      <c r="AE55" s="25"/>
      <c r="AF55" s="25"/>
      <c r="AG55" s="25"/>
      <c r="AH55" s="25"/>
      <c r="AI55" s="25"/>
      <c r="AJ55" s="25"/>
      <c r="AK55" s="25"/>
      <c r="AL55" s="25"/>
      <c r="AM55" s="25"/>
      <c r="AN55" s="25"/>
      <c r="AO55" s="25"/>
      <c r="AP55" s="25"/>
    </row>
    <row r="56" spans="1:42" ht="13.8">
      <c r="A56" s="25" t="s">
        <v>2101</v>
      </c>
      <c r="B56" s="25">
        <v>196</v>
      </c>
      <c r="C56" s="58" t="s">
        <v>2112</v>
      </c>
      <c r="D56" s="25">
        <v>1192</v>
      </c>
      <c r="E56" s="25"/>
      <c r="F56" s="138" t="s">
        <v>2113</v>
      </c>
      <c r="G56" s="30" t="s">
        <v>2114</v>
      </c>
      <c r="H56" s="25"/>
      <c r="I56" s="113" t="s">
        <v>2115</v>
      </c>
      <c r="J56" s="113" t="s">
        <v>2116</v>
      </c>
      <c r="K56" s="113" t="s">
        <v>42</v>
      </c>
      <c r="L56" s="30" t="s">
        <v>44</v>
      </c>
      <c r="M56" s="113">
        <v>7045671515</v>
      </c>
      <c r="N56" s="123">
        <v>7738551515</v>
      </c>
      <c r="O56" s="113">
        <v>7045671515</v>
      </c>
      <c r="P56" s="33" t="s">
        <v>2117</v>
      </c>
      <c r="Q56" s="29"/>
      <c r="R56" s="25" t="s">
        <v>47</v>
      </c>
      <c r="S56" s="51" t="s">
        <v>2118</v>
      </c>
      <c r="T56" s="51" t="s">
        <v>48</v>
      </c>
      <c r="U56" s="51" t="s">
        <v>2119</v>
      </c>
      <c r="V56" s="51" t="s">
        <v>48</v>
      </c>
      <c r="W56" s="28" t="s">
        <v>71</v>
      </c>
      <c r="X56" s="28" t="s">
        <v>2120</v>
      </c>
      <c r="Y56" s="25"/>
      <c r="Z56" s="25"/>
      <c r="AA56" s="25"/>
      <c r="AB56" s="25"/>
      <c r="AC56" s="25"/>
      <c r="AD56" s="25"/>
      <c r="AE56" s="25"/>
      <c r="AF56" s="25"/>
      <c r="AG56" s="25"/>
      <c r="AH56" s="25"/>
      <c r="AI56" s="25"/>
      <c r="AJ56" s="25"/>
      <c r="AK56" s="25"/>
      <c r="AL56" s="25"/>
      <c r="AM56" s="25"/>
      <c r="AN56" s="25"/>
      <c r="AO56" s="25"/>
      <c r="AP56" s="25"/>
    </row>
    <row r="57" spans="1:42" ht="13.8">
      <c r="A57" s="25" t="s">
        <v>2101</v>
      </c>
      <c r="B57" s="25">
        <v>197</v>
      </c>
      <c r="C57" s="58" t="s">
        <v>2121</v>
      </c>
      <c r="D57" s="25">
        <v>1193</v>
      </c>
      <c r="E57" s="25"/>
      <c r="F57" s="138" t="s">
        <v>2122</v>
      </c>
      <c r="G57" s="30" t="s">
        <v>2123</v>
      </c>
      <c r="H57" s="25"/>
      <c r="I57" s="30" t="s">
        <v>2124</v>
      </c>
      <c r="J57" s="30" t="s">
        <v>2125</v>
      </c>
      <c r="K57" s="113" t="s">
        <v>1191</v>
      </c>
      <c r="L57" s="139" t="s">
        <v>2126</v>
      </c>
      <c r="M57" s="113">
        <v>7021112677</v>
      </c>
      <c r="N57" s="29" t="s">
        <v>44</v>
      </c>
      <c r="O57" s="113">
        <v>7021112677</v>
      </c>
      <c r="P57" s="30" t="s">
        <v>44</v>
      </c>
      <c r="Q57" s="30" t="s">
        <v>44</v>
      </c>
      <c r="R57" s="25" t="s">
        <v>47</v>
      </c>
      <c r="S57" s="51" t="s">
        <v>364</v>
      </c>
      <c r="T57" s="51" t="s">
        <v>2127</v>
      </c>
      <c r="U57" s="51" t="s">
        <v>2128</v>
      </c>
      <c r="V57" s="51" t="s">
        <v>1059</v>
      </c>
      <c r="W57" s="28" t="s">
        <v>2129</v>
      </c>
      <c r="X57" s="28" t="s">
        <v>2130</v>
      </c>
      <c r="Y57" s="25"/>
      <c r="Z57" s="25"/>
      <c r="AA57" s="25"/>
      <c r="AB57" s="25"/>
      <c r="AC57" s="25"/>
      <c r="AD57" s="25"/>
      <c r="AE57" s="25"/>
      <c r="AF57" s="25"/>
      <c r="AG57" s="25"/>
      <c r="AH57" s="25"/>
      <c r="AI57" s="25"/>
      <c r="AJ57" s="25"/>
      <c r="AK57" s="25"/>
      <c r="AL57" s="25"/>
      <c r="AM57" s="25"/>
      <c r="AN57" s="25"/>
      <c r="AO57" s="25"/>
      <c r="AP57" s="25"/>
    </row>
    <row r="58" spans="1:42" ht="13.8">
      <c r="A58" s="25" t="s">
        <v>130</v>
      </c>
      <c r="B58" s="25">
        <v>198</v>
      </c>
      <c r="C58" s="58" t="s">
        <v>2131</v>
      </c>
      <c r="D58" s="25">
        <v>1195</v>
      </c>
      <c r="E58" s="25"/>
      <c r="F58" s="138" t="s">
        <v>2132</v>
      </c>
      <c r="G58" s="30" t="s">
        <v>2133</v>
      </c>
      <c r="H58" s="25"/>
      <c r="I58" s="113" t="s">
        <v>2134</v>
      </c>
      <c r="J58" s="113" t="s">
        <v>2135</v>
      </c>
      <c r="K58" s="113" t="s">
        <v>2136</v>
      </c>
      <c r="L58" s="30" t="s">
        <v>44</v>
      </c>
      <c r="M58" s="113">
        <v>9423443188</v>
      </c>
      <c r="N58" s="29" t="s">
        <v>44</v>
      </c>
      <c r="O58" s="113">
        <v>9423443188</v>
      </c>
      <c r="P58" s="33" t="s">
        <v>2137</v>
      </c>
      <c r="Q58" s="29"/>
      <c r="R58" s="25" t="s">
        <v>47</v>
      </c>
      <c r="S58" s="51" t="s">
        <v>170</v>
      </c>
      <c r="T58" s="51" t="s">
        <v>49</v>
      </c>
      <c r="U58" s="51" t="s">
        <v>2138</v>
      </c>
      <c r="V58" s="51" t="s">
        <v>212</v>
      </c>
      <c r="W58" s="28" t="s">
        <v>71</v>
      </c>
      <c r="X58" s="28" t="s">
        <v>2139</v>
      </c>
      <c r="Y58" s="25"/>
      <c r="Z58" s="25"/>
      <c r="AA58" s="25"/>
      <c r="AB58" s="25"/>
      <c r="AC58" s="25"/>
      <c r="AD58" s="25"/>
      <c r="AE58" s="25"/>
      <c r="AF58" s="25"/>
      <c r="AG58" s="25"/>
      <c r="AH58" s="25"/>
      <c r="AI58" s="25"/>
      <c r="AJ58" s="25"/>
      <c r="AK58" s="25"/>
      <c r="AL58" s="25"/>
      <c r="AM58" s="25"/>
      <c r="AN58" s="25"/>
      <c r="AO58" s="25"/>
      <c r="AP58" s="25"/>
    </row>
    <row r="59" spans="1:42" ht="13.8">
      <c r="A59" s="34"/>
      <c r="B59" s="34">
        <v>199</v>
      </c>
      <c r="C59" s="35" t="s">
        <v>2140</v>
      </c>
      <c r="D59" s="34">
        <v>1196</v>
      </c>
      <c r="E59" s="34"/>
      <c r="F59" s="40"/>
      <c r="G59" s="140" t="s">
        <v>2141</v>
      </c>
      <c r="H59" s="34"/>
      <c r="I59" s="140" t="s">
        <v>2142</v>
      </c>
      <c r="J59" s="140" t="s">
        <v>2141</v>
      </c>
      <c r="K59" s="140" t="s">
        <v>2143</v>
      </c>
      <c r="L59" s="140" t="s">
        <v>2144</v>
      </c>
      <c r="M59" s="40"/>
      <c r="N59" s="40" t="s">
        <v>44</v>
      </c>
      <c r="O59" s="39" t="s">
        <v>44</v>
      </c>
      <c r="P59" s="39" t="s">
        <v>44</v>
      </c>
      <c r="Q59" s="39" t="s">
        <v>44</v>
      </c>
      <c r="R59" s="34" t="s">
        <v>47</v>
      </c>
      <c r="S59" s="40" t="s">
        <v>395</v>
      </c>
      <c r="T59" s="40" t="s">
        <v>395</v>
      </c>
      <c r="U59" s="40" t="s">
        <v>395</v>
      </c>
      <c r="V59" s="40" t="s">
        <v>395</v>
      </c>
      <c r="W59" s="37" t="s">
        <v>2145</v>
      </c>
      <c r="X59" s="37" t="s">
        <v>2146</v>
      </c>
      <c r="Y59" s="34"/>
      <c r="Z59" s="34"/>
      <c r="AA59" s="34"/>
      <c r="AB59" s="34"/>
      <c r="AC59" s="34"/>
      <c r="AD59" s="34"/>
      <c r="AE59" s="34"/>
      <c r="AF59" s="34"/>
      <c r="AG59" s="34"/>
      <c r="AH59" s="34"/>
      <c r="AI59" s="34"/>
      <c r="AJ59" s="34"/>
      <c r="AK59" s="34"/>
      <c r="AL59" s="34"/>
      <c r="AM59" s="34"/>
      <c r="AN59" s="34"/>
      <c r="AO59" s="34"/>
      <c r="AP59" s="34"/>
    </row>
  </sheetData>
  <hyperlinks>
    <hyperlink ref="C4" r:id="rId1" xr:uid="{00000000-0004-0000-0400-000000000000}"/>
    <hyperlink ref="F4" r:id="rId2" xr:uid="{00000000-0004-0000-0400-000001000000}"/>
    <hyperlink ref="P4" r:id="rId3" xr:uid="{00000000-0004-0000-0400-000002000000}"/>
    <hyperlink ref="C5" r:id="rId4" xr:uid="{00000000-0004-0000-0400-000003000000}"/>
    <hyperlink ref="F5" r:id="rId5" xr:uid="{00000000-0004-0000-0400-000004000000}"/>
    <hyperlink ref="P5" r:id="rId6" xr:uid="{00000000-0004-0000-0400-000005000000}"/>
    <hyperlink ref="C6" r:id="rId7" xr:uid="{00000000-0004-0000-0400-000006000000}"/>
    <hyperlink ref="F6" r:id="rId8" xr:uid="{00000000-0004-0000-0400-000007000000}"/>
    <hyperlink ref="P6" r:id="rId9" xr:uid="{00000000-0004-0000-0400-000008000000}"/>
    <hyperlink ref="C7" r:id="rId10" xr:uid="{00000000-0004-0000-0400-000009000000}"/>
    <hyperlink ref="F7" r:id="rId11" xr:uid="{00000000-0004-0000-0400-00000A000000}"/>
    <hyperlink ref="P7" r:id="rId12" xr:uid="{00000000-0004-0000-0400-00000B000000}"/>
    <hyperlink ref="Q7" r:id="rId13" xr:uid="{00000000-0004-0000-0400-00000C000000}"/>
    <hyperlink ref="C8" r:id="rId14" xr:uid="{00000000-0004-0000-0400-00000D000000}"/>
    <hyperlink ref="F8" r:id="rId15" xr:uid="{00000000-0004-0000-0400-00000E000000}"/>
    <hyperlink ref="P8" r:id="rId16" xr:uid="{00000000-0004-0000-0400-00000F000000}"/>
    <hyperlink ref="C9" r:id="rId17" xr:uid="{00000000-0004-0000-0400-000010000000}"/>
    <hyperlink ref="F9" r:id="rId18" xr:uid="{00000000-0004-0000-0400-000011000000}"/>
    <hyperlink ref="P9" r:id="rId19" xr:uid="{00000000-0004-0000-0400-000012000000}"/>
    <hyperlink ref="C10" r:id="rId20" xr:uid="{00000000-0004-0000-0400-000013000000}"/>
    <hyperlink ref="F10" r:id="rId21" xr:uid="{00000000-0004-0000-0400-000014000000}"/>
    <hyperlink ref="C11" r:id="rId22" xr:uid="{00000000-0004-0000-0400-000015000000}"/>
    <hyperlink ref="F11" r:id="rId23" xr:uid="{00000000-0004-0000-0400-000016000000}"/>
    <hyperlink ref="P11" r:id="rId24" xr:uid="{00000000-0004-0000-0400-000017000000}"/>
    <hyperlink ref="C12" r:id="rId25" xr:uid="{00000000-0004-0000-0400-000018000000}"/>
    <hyperlink ref="F12" r:id="rId26" xr:uid="{00000000-0004-0000-0400-000019000000}"/>
    <hyperlink ref="P12" r:id="rId27" xr:uid="{00000000-0004-0000-0400-00001A000000}"/>
    <hyperlink ref="C13" r:id="rId28" xr:uid="{00000000-0004-0000-0400-00001B000000}"/>
    <hyperlink ref="F13" r:id="rId29" xr:uid="{00000000-0004-0000-0400-00001C000000}"/>
    <hyperlink ref="C14" r:id="rId30" xr:uid="{00000000-0004-0000-0400-00001D000000}"/>
    <hyperlink ref="P14" r:id="rId31" xr:uid="{00000000-0004-0000-0400-00001E000000}"/>
    <hyperlink ref="C15" r:id="rId32" xr:uid="{00000000-0004-0000-0400-00001F000000}"/>
    <hyperlink ref="F15" r:id="rId33" xr:uid="{00000000-0004-0000-0400-000020000000}"/>
    <hyperlink ref="P15" r:id="rId34" xr:uid="{00000000-0004-0000-0400-000021000000}"/>
    <hyperlink ref="C16" r:id="rId35" xr:uid="{00000000-0004-0000-0400-000022000000}"/>
    <hyperlink ref="F16" r:id="rId36" xr:uid="{00000000-0004-0000-0400-000023000000}"/>
    <hyperlink ref="P16" r:id="rId37" xr:uid="{00000000-0004-0000-0400-000024000000}"/>
    <hyperlink ref="C17" r:id="rId38" xr:uid="{00000000-0004-0000-0400-000025000000}"/>
    <hyperlink ref="F17" r:id="rId39" xr:uid="{00000000-0004-0000-0400-000026000000}"/>
    <hyperlink ref="P17" r:id="rId40" xr:uid="{00000000-0004-0000-0400-000027000000}"/>
    <hyperlink ref="Q17" r:id="rId41" xr:uid="{00000000-0004-0000-0400-000028000000}"/>
    <hyperlink ref="C18" r:id="rId42" xr:uid="{00000000-0004-0000-0400-000029000000}"/>
    <hyperlink ref="P18" r:id="rId43" xr:uid="{00000000-0004-0000-0400-00002A000000}"/>
    <hyperlink ref="Q18" r:id="rId44" xr:uid="{00000000-0004-0000-0400-00002B000000}"/>
    <hyperlink ref="C19" r:id="rId45" xr:uid="{00000000-0004-0000-0400-00002C000000}"/>
    <hyperlink ref="F19" r:id="rId46" xr:uid="{00000000-0004-0000-0400-00002D000000}"/>
    <hyperlink ref="P19" r:id="rId47" xr:uid="{00000000-0004-0000-0400-00002E000000}"/>
    <hyperlink ref="Q19" r:id="rId48" xr:uid="{00000000-0004-0000-0400-00002F000000}"/>
    <hyperlink ref="C20" r:id="rId49" xr:uid="{00000000-0004-0000-0400-000030000000}"/>
    <hyperlink ref="F20" r:id="rId50" xr:uid="{00000000-0004-0000-0400-000031000000}"/>
    <hyperlink ref="P20" r:id="rId51" xr:uid="{00000000-0004-0000-0400-000032000000}"/>
    <hyperlink ref="Q20" r:id="rId52" xr:uid="{00000000-0004-0000-0400-000033000000}"/>
    <hyperlink ref="C21" r:id="rId53" xr:uid="{00000000-0004-0000-0400-000034000000}"/>
    <hyperlink ref="F21" r:id="rId54" xr:uid="{00000000-0004-0000-0400-000035000000}"/>
    <hyperlink ref="P21" r:id="rId55" xr:uid="{00000000-0004-0000-0400-000036000000}"/>
    <hyperlink ref="C22" r:id="rId56" xr:uid="{00000000-0004-0000-0400-000037000000}"/>
    <hyperlink ref="F22" r:id="rId57" xr:uid="{00000000-0004-0000-0400-000038000000}"/>
    <hyperlink ref="P22" r:id="rId58" xr:uid="{00000000-0004-0000-0400-000039000000}"/>
    <hyperlink ref="C23" r:id="rId59" xr:uid="{00000000-0004-0000-0400-00003A000000}"/>
    <hyperlink ref="F23" r:id="rId60" xr:uid="{00000000-0004-0000-0400-00003B000000}"/>
    <hyperlink ref="C24" r:id="rId61" xr:uid="{00000000-0004-0000-0400-00003C000000}"/>
    <hyperlink ref="F24" r:id="rId62" xr:uid="{00000000-0004-0000-0400-00003D000000}"/>
    <hyperlink ref="C25" r:id="rId63" xr:uid="{00000000-0004-0000-0400-00003E000000}"/>
    <hyperlink ref="F25" r:id="rId64" xr:uid="{00000000-0004-0000-0400-00003F000000}"/>
    <hyperlink ref="C26" r:id="rId65" xr:uid="{00000000-0004-0000-0400-000040000000}"/>
    <hyperlink ref="F26" r:id="rId66" xr:uid="{00000000-0004-0000-0400-000041000000}"/>
    <hyperlink ref="C27" r:id="rId67" xr:uid="{00000000-0004-0000-0400-000042000000}"/>
    <hyperlink ref="F27" r:id="rId68" xr:uid="{00000000-0004-0000-0400-000043000000}"/>
    <hyperlink ref="P27" r:id="rId69" xr:uid="{00000000-0004-0000-0400-000044000000}"/>
    <hyperlink ref="C28" r:id="rId70" xr:uid="{00000000-0004-0000-0400-000045000000}"/>
    <hyperlink ref="F28" r:id="rId71" xr:uid="{00000000-0004-0000-0400-000046000000}"/>
    <hyperlink ref="P28" r:id="rId72" xr:uid="{00000000-0004-0000-0400-000047000000}"/>
    <hyperlink ref="C29" r:id="rId73" xr:uid="{00000000-0004-0000-0400-000048000000}"/>
    <hyperlink ref="F29" r:id="rId74" xr:uid="{00000000-0004-0000-0400-000049000000}"/>
    <hyperlink ref="C30" r:id="rId75" xr:uid="{00000000-0004-0000-0400-00004A000000}"/>
    <hyperlink ref="F30" r:id="rId76" xr:uid="{00000000-0004-0000-0400-00004B000000}"/>
    <hyperlink ref="C31" r:id="rId77" xr:uid="{00000000-0004-0000-0400-00004C000000}"/>
    <hyperlink ref="F31" r:id="rId78" xr:uid="{00000000-0004-0000-0400-00004D000000}"/>
    <hyperlink ref="C32" r:id="rId79" xr:uid="{00000000-0004-0000-0400-00004E000000}"/>
    <hyperlink ref="F32" r:id="rId80" xr:uid="{00000000-0004-0000-0400-00004F000000}"/>
    <hyperlink ref="C33" r:id="rId81" xr:uid="{00000000-0004-0000-0400-000050000000}"/>
    <hyperlink ref="F33" r:id="rId82" xr:uid="{00000000-0004-0000-0400-000051000000}"/>
    <hyperlink ref="C34" r:id="rId83" xr:uid="{00000000-0004-0000-0400-000052000000}"/>
    <hyperlink ref="F34" r:id="rId84" xr:uid="{00000000-0004-0000-0400-000053000000}"/>
    <hyperlink ref="C35" r:id="rId85" xr:uid="{00000000-0004-0000-0400-000054000000}"/>
    <hyperlink ref="F35" r:id="rId86" xr:uid="{00000000-0004-0000-0400-000055000000}"/>
    <hyperlink ref="C36" r:id="rId87" xr:uid="{00000000-0004-0000-0400-000056000000}"/>
    <hyperlink ref="F36" r:id="rId88" xr:uid="{00000000-0004-0000-0400-000057000000}"/>
    <hyperlink ref="Q36" r:id="rId89" xr:uid="{00000000-0004-0000-0400-000058000000}"/>
    <hyperlink ref="C37" r:id="rId90" xr:uid="{00000000-0004-0000-0400-000059000000}"/>
    <hyperlink ref="F37" r:id="rId91" xr:uid="{00000000-0004-0000-0400-00005A000000}"/>
    <hyperlink ref="P37" r:id="rId92" xr:uid="{00000000-0004-0000-0400-00005B000000}"/>
    <hyperlink ref="C38" r:id="rId93" xr:uid="{00000000-0004-0000-0400-00005C000000}"/>
    <hyperlink ref="F38" r:id="rId94" xr:uid="{00000000-0004-0000-0400-00005D000000}"/>
    <hyperlink ref="C39" r:id="rId95" xr:uid="{00000000-0004-0000-0400-00005E000000}"/>
    <hyperlink ref="F39" r:id="rId96" xr:uid="{00000000-0004-0000-0400-00005F000000}"/>
    <hyperlink ref="C40" r:id="rId97" xr:uid="{00000000-0004-0000-0400-000060000000}"/>
    <hyperlink ref="F40" r:id="rId98" xr:uid="{00000000-0004-0000-0400-000061000000}"/>
    <hyperlink ref="C41" r:id="rId99" xr:uid="{00000000-0004-0000-0400-000062000000}"/>
    <hyperlink ref="F41" r:id="rId100" xr:uid="{00000000-0004-0000-0400-000063000000}"/>
    <hyperlink ref="C42" r:id="rId101" xr:uid="{00000000-0004-0000-0400-000064000000}"/>
    <hyperlink ref="F42" r:id="rId102" xr:uid="{00000000-0004-0000-0400-000065000000}"/>
    <hyperlink ref="C43" r:id="rId103" xr:uid="{00000000-0004-0000-0400-000066000000}"/>
    <hyperlink ref="F43" r:id="rId104" xr:uid="{00000000-0004-0000-0400-000067000000}"/>
    <hyperlink ref="Q43" r:id="rId105" xr:uid="{00000000-0004-0000-0400-000068000000}"/>
    <hyperlink ref="C44" r:id="rId106" xr:uid="{00000000-0004-0000-0400-000069000000}"/>
    <hyperlink ref="F44" r:id="rId107" xr:uid="{00000000-0004-0000-0400-00006A000000}"/>
    <hyperlink ref="C45" r:id="rId108" xr:uid="{00000000-0004-0000-0400-00006B000000}"/>
    <hyperlink ref="F45" r:id="rId109" xr:uid="{00000000-0004-0000-0400-00006C000000}"/>
    <hyperlink ref="P45" r:id="rId110" xr:uid="{00000000-0004-0000-0400-00006D000000}"/>
    <hyperlink ref="C46" r:id="rId111" xr:uid="{00000000-0004-0000-0400-00006E000000}"/>
    <hyperlink ref="F46" r:id="rId112" xr:uid="{00000000-0004-0000-0400-00006F000000}"/>
    <hyperlink ref="C47" r:id="rId113" xr:uid="{00000000-0004-0000-0400-000070000000}"/>
    <hyperlink ref="F47" r:id="rId114" xr:uid="{00000000-0004-0000-0400-000071000000}"/>
    <hyperlink ref="C48" r:id="rId115" xr:uid="{00000000-0004-0000-0400-000072000000}"/>
    <hyperlink ref="F48" r:id="rId116" xr:uid="{00000000-0004-0000-0400-000073000000}"/>
    <hyperlink ref="P48" r:id="rId117" xr:uid="{00000000-0004-0000-0400-000074000000}"/>
    <hyperlink ref="C49" r:id="rId118" xr:uid="{00000000-0004-0000-0400-000075000000}"/>
    <hyperlink ref="F49" r:id="rId119" xr:uid="{00000000-0004-0000-0400-000076000000}"/>
    <hyperlink ref="C50" r:id="rId120" xr:uid="{00000000-0004-0000-0400-000077000000}"/>
    <hyperlink ref="F50" r:id="rId121" xr:uid="{00000000-0004-0000-0400-000078000000}"/>
    <hyperlink ref="C51" r:id="rId122" xr:uid="{00000000-0004-0000-0400-000079000000}"/>
    <hyperlink ref="F51" r:id="rId123" xr:uid="{00000000-0004-0000-0400-00007A000000}"/>
    <hyperlink ref="P51" r:id="rId124" xr:uid="{00000000-0004-0000-0400-00007B000000}"/>
    <hyperlink ref="C52" r:id="rId125" xr:uid="{00000000-0004-0000-0400-00007C000000}"/>
    <hyperlink ref="F52" r:id="rId126" xr:uid="{00000000-0004-0000-0400-00007D000000}"/>
    <hyperlink ref="Q52" r:id="rId127" xr:uid="{00000000-0004-0000-0400-00007E000000}"/>
    <hyperlink ref="C53" r:id="rId128" xr:uid="{00000000-0004-0000-0400-00007F000000}"/>
    <hyperlink ref="F53" r:id="rId129" xr:uid="{00000000-0004-0000-0400-000080000000}"/>
    <hyperlink ref="Q53" r:id="rId130" xr:uid="{00000000-0004-0000-0400-000081000000}"/>
    <hyperlink ref="C54" r:id="rId131" xr:uid="{00000000-0004-0000-0400-000082000000}"/>
    <hyperlink ref="F54" r:id="rId132" xr:uid="{00000000-0004-0000-0400-000083000000}"/>
    <hyperlink ref="C55" r:id="rId133" xr:uid="{00000000-0004-0000-0400-000084000000}"/>
    <hyperlink ref="F55" r:id="rId134" xr:uid="{00000000-0004-0000-0400-000085000000}"/>
    <hyperlink ref="C56" r:id="rId135" xr:uid="{00000000-0004-0000-0400-000086000000}"/>
    <hyperlink ref="F56" r:id="rId136" xr:uid="{00000000-0004-0000-0400-000087000000}"/>
    <hyperlink ref="P56" r:id="rId137" xr:uid="{00000000-0004-0000-0400-000088000000}"/>
    <hyperlink ref="C57" r:id="rId138" xr:uid="{00000000-0004-0000-0400-000089000000}"/>
    <hyperlink ref="F57" r:id="rId139" xr:uid="{00000000-0004-0000-0400-00008A000000}"/>
    <hyperlink ref="C58" r:id="rId140" xr:uid="{00000000-0004-0000-0400-00008B000000}"/>
    <hyperlink ref="F58" r:id="rId141" xr:uid="{00000000-0004-0000-0400-00008C000000}"/>
    <hyperlink ref="P58" r:id="rId142" xr:uid="{00000000-0004-0000-0400-00008D000000}"/>
    <hyperlink ref="C59" r:id="rId143" xr:uid="{00000000-0004-0000-0400-00008E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1"/>
  <sheetViews>
    <sheetView workbookViewId="0">
      <selection activeCell="G10" sqref="G10"/>
    </sheetView>
  </sheetViews>
  <sheetFormatPr defaultColWidth="12.6640625" defaultRowHeight="15.75" customHeight="1"/>
  <cols>
    <col min="1" max="1" width="24" customWidth="1"/>
  </cols>
  <sheetData>
    <row r="1" spans="1:5">
      <c r="A1" s="169" t="s">
        <v>325</v>
      </c>
      <c r="B1" s="169"/>
    </row>
    <row r="2" spans="1:5">
      <c r="A2" s="2" t="s">
        <v>2921</v>
      </c>
      <c r="B2" s="2" t="s">
        <v>2922</v>
      </c>
      <c r="E2" t="s">
        <v>8307</v>
      </c>
    </row>
    <row r="3" spans="1:5">
      <c r="A3" s="2" t="s">
        <v>2923</v>
      </c>
      <c r="B3" s="2" t="s">
        <v>39</v>
      </c>
      <c r="E3" t="s">
        <v>8308</v>
      </c>
    </row>
    <row r="4" spans="1:5">
      <c r="A4" s="2" t="s">
        <v>2924</v>
      </c>
      <c r="B4" s="2" t="s">
        <v>39</v>
      </c>
    </row>
    <row r="5" spans="1:5">
      <c r="A5" s="2" t="s">
        <v>2781</v>
      </c>
      <c r="B5" s="2" t="s">
        <v>39</v>
      </c>
    </row>
    <row r="6" spans="1:5">
      <c r="A6" s="2" t="s">
        <v>2925</v>
      </c>
      <c r="B6" s="2" t="s">
        <v>39</v>
      </c>
    </row>
    <row r="7" spans="1:5">
      <c r="A7" s="2" t="s">
        <v>2926</v>
      </c>
      <c r="B7" s="2" t="s">
        <v>39</v>
      </c>
    </row>
    <row r="8" spans="1:5">
      <c r="A8" s="2" t="s">
        <v>2927</v>
      </c>
      <c r="B8" s="2" t="s">
        <v>39</v>
      </c>
    </row>
    <row r="9" spans="1:5">
      <c r="A9" s="2" t="s">
        <v>2928</v>
      </c>
      <c r="B9" s="2" t="s">
        <v>39</v>
      </c>
    </row>
    <row r="10" spans="1:5">
      <c r="A10" s="2" t="s">
        <v>2929</v>
      </c>
      <c r="B10" s="2" t="s">
        <v>39</v>
      </c>
    </row>
    <row r="11" spans="1:5">
      <c r="A11" s="2" t="s">
        <v>2930</v>
      </c>
      <c r="B11" s="2" t="s">
        <v>39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784"/>
  <sheetViews>
    <sheetView workbookViewId="0">
      <pane ySplit="1" topLeftCell="A424" activePane="bottomLeft" state="frozen"/>
      <selection pane="bottomLeft" activeCell="B143" sqref="B143"/>
    </sheetView>
  </sheetViews>
  <sheetFormatPr defaultColWidth="12.6640625" defaultRowHeight="15.75" customHeight="1"/>
  <cols>
    <col min="1" max="1" width="7.33203125" customWidth="1"/>
    <col min="2" max="2" width="102.88671875" bestFit="1" customWidth="1"/>
    <col min="3" max="3" width="12.5546875" bestFit="1" customWidth="1"/>
    <col min="4" max="4" width="23.5546875" bestFit="1" customWidth="1"/>
    <col min="5" max="5" width="41.109375" bestFit="1" customWidth="1"/>
    <col min="6" max="6" width="15.21875" customWidth="1"/>
    <col min="7" max="7" width="52.6640625" bestFit="1" customWidth="1"/>
    <col min="8" max="8" width="47.77734375" customWidth="1"/>
    <col min="9" max="9" width="66.21875" customWidth="1"/>
    <col min="10" max="10" width="62.33203125" customWidth="1"/>
    <col min="11" max="11" width="17" customWidth="1"/>
    <col min="12" max="12" width="39" bestFit="1" customWidth="1"/>
    <col min="13" max="13" width="19.21875" customWidth="1"/>
    <col min="14" max="14" width="205.77734375" bestFit="1" customWidth="1"/>
    <col min="15" max="15" width="247" customWidth="1"/>
    <col min="16" max="16" width="111.77734375" bestFit="1" customWidth="1"/>
    <col min="17" max="17" width="13.77734375" customWidth="1"/>
  </cols>
  <sheetData>
    <row r="1" spans="1:26" ht="14.4">
      <c r="A1" s="170" t="s">
        <v>2931</v>
      </c>
      <c r="B1" s="4" t="s">
        <v>2932</v>
      </c>
      <c r="C1" s="4" t="s">
        <v>2933</v>
      </c>
      <c r="D1" s="4" t="s">
        <v>2934</v>
      </c>
      <c r="E1" s="4" t="s">
        <v>21</v>
      </c>
      <c r="F1" s="4" t="s">
        <v>22</v>
      </c>
      <c r="G1" s="4" t="s">
        <v>2935</v>
      </c>
      <c r="H1" s="4" t="s">
        <v>2936</v>
      </c>
      <c r="I1" s="4" t="s">
        <v>2937</v>
      </c>
      <c r="J1" s="4" t="s">
        <v>2938</v>
      </c>
      <c r="K1" s="4" t="s">
        <v>2939</v>
      </c>
      <c r="L1" s="4" t="s">
        <v>2940</v>
      </c>
      <c r="M1" s="4" t="s">
        <v>2941</v>
      </c>
      <c r="N1" s="4" t="s">
        <v>2942</v>
      </c>
      <c r="O1" s="4" t="s">
        <v>2943</v>
      </c>
      <c r="P1" s="4" t="s">
        <v>2944</v>
      </c>
      <c r="Q1" s="171" t="s">
        <v>2945</v>
      </c>
      <c r="R1" s="172"/>
      <c r="S1" s="172"/>
      <c r="T1" s="172"/>
      <c r="U1" s="172"/>
      <c r="V1" s="172"/>
      <c r="W1" s="172"/>
      <c r="X1" s="172"/>
      <c r="Y1" s="172"/>
      <c r="Z1" s="172"/>
    </row>
    <row r="2" spans="1:26" ht="13.8">
      <c r="A2" s="166">
        <v>1</v>
      </c>
      <c r="B2" s="4" t="s">
        <v>36</v>
      </c>
      <c r="C2" s="4">
        <v>149</v>
      </c>
      <c r="D2" s="4" t="s">
        <v>2946</v>
      </c>
      <c r="E2" s="4" t="s">
        <v>52</v>
      </c>
      <c r="F2" s="4" t="s">
        <v>52</v>
      </c>
      <c r="G2" s="4" t="s">
        <v>40</v>
      </c>
      <c r="H2" s="4" t="s">
        <v>41</v>
      </c>
      <c r="I2" s="4" t="s">
        <v>42</v>
      </c>
      <c r="J2" s="4" t="s">
        <v>43</v>
      </c>
      <c r="K2" s="4">
        <v>9892891823</v>
      </c>
      <c r="L2" s="4" t="s">
        <v>37</v>
      </c>
      <c r="M2" s="4">
        <v>9892891823</v>
      </c>
      <c r="N2" s="4" t="s">
        <v>2947</v>
      </c>
      <c r="O2" s="4" t="s">
        <v>71</v>
      </c>
      <c r="P2" s="168" t="s">
        <v>45</v>
      </c>
      <c r="Q2" s="4" t="s">
        <v>47</v>
      </c>
      <c r="R2" s="172"/>
      <c r="S2" s="172"/>
      <c r="T2" s="172"/>
      <c r="U2" s="172"/>
      <c r="V2" s="172"/>
      <c r="W2" s="172"/>
      <c r="X2" s="172"/>
      <c r="Y2" s="172"/>
      <c r="Z2" s="172"/>
    </row>
    <row r="3" spans="1:26" ht="13.8">
      <c r="A3" s="166">
        <v>2</v>
      </c>
      <c r="B3" s="4" t="s">
        <v>54</v>
      </c>
      <c r="C3" s="4">
        <v>150</v>
      </c>
      <c r="D3" s="4" t="s">
        <v>71</v>
      </c>
      <c r="E3" s="4" t="s">
        <v>62</v>
      </c>
      <c r="F3" s="4" t="s">
        <v>52</v>
      </c>
      <c r="G3" s="4" t="s">
        <v>40</v>
      </c>
      <c r="H3" s="4" t="s">
        <v>57</v>
      </c>
      <c r="I3" s="4" t="s">
        <v>58</v>
      </c>
      <c r="J3" s="4" t="s">
        <v>59</v>
      </c>
      <c r="K3" s="4" t="s">
        <v>60</v>
      </c>
      <c r="L3" s="4" t="s">
        <v>2948</v>
      </c>
      <c r="M3" s="4" t="s">
        <v>60</v>
      </c>
      <c r="N3" s="4" t="s">
        <v>2949</v>
      </c>
      <c r="O3" s="4" t="s">
        <v>71</v>
      </c>
      <c r="P3" s="168" t="s">
        <v>45</v>
      </c>
      <c r="Q3" s="4" t="s">
        <v>47</v>
      </c>
      <c r="R3" s="172"/>
      <c r="S3" s="172"/>
      <c r="T3" s="172"/>
      <c r="U3" s="172"/>
      <c r="V3" s="172"/>
      <c r="W3" s="172"/>
      <c r="X3" s="172"/>
      <c r="Y3" s="172"/>
      <c r="Z3" s="172"/>
    </row>
    <row r="4" spans="1:26" ht="13.8">
      <c r="A4" s="166">
        <v>3</v>
      </c>
      <c r="B4" s="4" t="s">
        <v>2950</v>
      </c>
      <c r="C4" s="4">
        <v>157</v>
      </c>
      <c r="D4" s="4" t="s">
        <v>2951</v>
      </c>
      <c r="E4" s="4" t="s">
        <v>71</v>
      </c>
      <c r="F4" s="4" t="s">
        <v>71</v>
      </c>
      <c r="G4" s="4" t="s">
        <v>66</v>
      </c>
      <c r="H4" s="4" t="s">
        <v>67</v>
      </c>
      <c r="I4" s="4" t="s">
        <v>68</v>
      </c>
      <c r="J4" s="4" t="s">
        <v>71</v>
      </c>
      <c r="K4" s="4">
        <v>7506194091</v>
      </c>
      <c r="L4" s="4" t="s">
        <v>2952</v>
      </c>
      <c r="M4" s="4">
        <v>7506194091</v>
      </c>
      <c r="N4" s="4" t="s">
        <v>2953</v>
      </c>
      <c r="O4" s="4" t="s">
        <v>71</v>
      </c>
      <c r="P4" s="4" t="s">
        <v>71</v>
      </c>
      <c r="Q4" s="4" t="s">
        <v>47</v>
      </c>
      <c r="R4" s="172"/>
      <c r="S4" s="172"/>
      <c r="T4" s="172"/>
      <c r="U4" s="172"/>
      <c r="V4" s="172"/>
      <c r="W4" s="172"/>
      <c r="X4" s="172"/>
      <c r="Y4" s="172"/>
      <c r="Z4" s="172"/>
    </row>
    <row r="5" spans="1:26" ht="13.8">
      <c r="A5" s="166">
        <v>4</v>
      </c>
      <c r="B5" s="4" t="s">
        <v>73</v>
      </c>
      <c r="C5" s="4">
        <v>158</v>
      </c>
      <c r="D5" s="4" t="s">
        <v>2954</v>
      </c>
      <c r="E5" s="4" t="s">
        <v>83</v>
      </c>
      <c r="F5" s="4" t="s">
        <v>83</v>
      </c>
      <c r="G5" s="4" t="s">
        <v>76</v>
      </c>
      <c r="H5" s="4" t="s">
        <v>77</v>
      </c>
      <c r="I5" s="4" t="s">
        <v>78</v>
      </c>
      <c r="J5" s="4" t="s">
        <v>79</v>
      </c>
      <c r="K5" s="4">
        <v>9930141714</v>
      </c>
      <c r="L5" s="4" t="s">
        <v>74</v>
      </c>
      <c r="M5" s="4">
        <v>9930141714</v>
      </c>
      <c r="N5" s="4" t="s">
        <v>2955</v>
      </c>
      <c r="O5" s="4" t="s">
        <v>71</v>
      </c>
      <c r="P5" s="168" t="s">
        <v>80</v>
      </c>
      <c r="Q5" s="4" t="s">
        <v>47</v>
      </c>
      <c r="R5" s="172"/>
      <c r="S5" s="172"/>
      <c r="T5" s="172"/>
      <c r="U5" s="172"/>
      <c r="V5" s="172"/>
      <c r="W5" s="172"/>
      <c r="X5" s="172"/>
      <c r="Y5" s="172"/>
      <c r="Z5" s="172"/>
    </row>
    <row r="6" spans="1:26" ht="13.8">
      <c r="A6" s="166">
        <v>5</v>
      </c>
      <c r="B6" s="4" t="s">
        <v>86</v>
      </c>
      <c r="C6" s="4">
        <v>161</v>
      </c>
      <c r="D6" s="4" t="s">
        <v>2956</v>
      </c>
      <c r="E6" s="4" t="s">
        <v>94</v>
      </c>
      <c r="F6" s="4" t="s">
        <v>94</v>
      </c>
      <c r="G6" s="4" t="s">
        <v>89</v>
      </c>
      <c r="H6" s="4" t="s">
        <v>90</v>
      </c>
      <c r="I6" s="4" t="s">
        <v>91</v>
      </c>
      <c r="J6" s="4" t="s">
        <v>71</v>
      </c>
      <c r="K6" s="4">
        <v>9769401691</v>
      </c>
      <c r="L6" s="4" t="s">
        <v>87</v>
      </c>
      <c r="M6" s="4">
        <v>9769401691</v>
      </c>
      <c r="N6" s="4" t="s">
        <v>71</v>
      </c>
      <c r="O6" s="4" t="s">
        <v>71</v>
      </c>
      <c r="P6" s="4" t="s">
        <v>71</v>
      </c>
      <c r="Q6" s="4" t="s">
        <v>47</v>
      </c>
      <c r="R6" s="172"/>
      <c r="S6" s="172"/>
      <c r="T6" s="172"/>
      <c r="U6" s="172"/>
      <c r="V6" s="172"/>
      <c r="W6" s="172"/>
      <c r="X6" s="172"/>
      <c r="Y6" s="172"/>
      <c r="Z6" s="172"/>
    </row>
    <row r="7" spans="1:26" ht="13.8">
      <c r="A7" s="166">
        <v>6</v>
      </c>
      <c r="B7" s="4" t="s">
        <v>96</v>
      </c>
      <c r="C7" s="4">
        <v>211</v>
      </c>
      <c r="D7" s="4" t="s">
        <v>2957</v>
      </c>
      <c r="E7" s="4" t="s">
        <v>102</v>
      </c>
      <c r="F7" s="4" t="s">
        <v>52</v>
      </c>
      <c r="G7" s="4" t="s">
        <v>40</v>
      </c>
      <c r="H7" s="4" t="s">
        <v>99</v>
      </c>
      <c r="I7" s="4" t="s">
        <v>100</v>
      </c>
      <c r="J7" s="4" t="s">
        <v>101</v>
      </c>
      <c r="K7" s="4">
        <v>9324545101</v>
      </c>
      <c r="L7" s="4" t="s">
        <v>97</v>
      </c>
      <c r="M7" s="4">
        <v>9324545101</v>
      </c>
      <c r="N7" s="4" t="s">
        <v>2947</v>
      </c>
      <c r="O7" s="4" t="s">
        <v>71</v>
      </c>
      <c r="P7" s="168" t="s">
        <v>45</v>
      </c>
      <c r="Q7" s="4" t="s">
        <v>47</v>
      </c>
      <c r="R7" s="172"/>
      <c r="S7" s="172"/>
      <c r="T7" s="172"/>
      <c r="U7" s="172"/>
      <c r="V7" s="172"/>
      <c r="W7" s="172"/>
      <c r="X7" s="172"/>
      <c r="Y7" s="172"/>
      <c r="Z7" s="172"/>
    </row>
    <row r="8" spans="1:26" ht="13.8">
      <c r="A8" s="166">
        <v>7</v>
      </c>
      <c r="B8" s="4" t="s">
        <v>104</v>
      </c>
      <c r="C8" s="4">
        <v>233</v>
      </c>
      <c r="D8" s="4" t="s">
        <v>71</v>
      </c>
      <c r="E8" s="4" t="s">
        <v>71</v>
      </c>
      <c r="F8" s="4" t="s">
        <v>71</v>
      </c>
      <c r="G8" s="4" t="s">
        <v>71</v>
      </c>
      <c r="H8" s="4" t="s">
        <v>107</v>
      </c>
      <c r="I8" s="4" t="s">
        <v>108</v>
      </c>
      <c r="J8" s="4" t="s">
        <v>109</v>
      </c>
      <c r="K8" s="4">
        <v>7208186169</v>
      </c>
      <c r="L8" s="4" t="s">
        <v>2958</v>
      </c>
      <c r="M8" s="4">
        <v>7208186169</v>
      </c>
      <c r="N8" s="4" t="s">
        <v>71</v>
      </c>
      <c r="O8" s="4" t="s">
        <v>71</v>
      </c>
      <c r="P8" s="4" t="s">
        <v>71</v>
      </c>
      <c r="Q8" s="4" t="s">
        <v>47</v>
      </c>
      <c r="R8" s="172"/>
      <c r="S8" s="172"/>
      <c r="T8" s="172"/>
      <c r="U8" s="172"/>
      <c r="V8" s="172"/>
      <c r="W8" s="172"/>
      <c r="X8" s="172"/>
      <c r="Y8" s="172"/>
      <c r="Z8" s="172"/>
    </row>
    <row r="9" spans="1:26" ht="13.8">
      <c r="A9" s="166">
        <v>8</v>
      </c>
      <c r="B9" s="4" t="s">
        <v>111</v>
      </c>
      <c r="C9" s="4">
        <v>238</v>
      </c>
      <c r="D9" s="4" t="s">
        <v>2959</v>
      </c>
      <c r="E9" s="4" t="s">
        <v>118</v>
      </c>
      <c r="F9" s="4" t="s">
        <v>118</v>
      </c>
      <c r="G9" s="4" t="s">
        <v>114</v>
      </c>
      <c r="H9" s="4" t="s">
        <v>2960</v>
      </c>
      <c r="I9" s="4" t="s">
        <v>116</v>
      </c>
      <c r="J9" s="4" t="s">
        <v>117</v>
      </c>
      <c r="K9" s="4">
        <v>9820160166</v>
      </c>
      <c r="L9" s="4" t="s">
        <v>2961</v>
      </c>
      <c r="M9" s="4">
        <v>9820160166</v>
      </c>
      <c r="N9" s="4" t="s">
        <v>71</v>
      </c>
      <c r="O9" s="4" t="s">
        <v>71</v>
      </c>
      <c r="P9" s="4" t="s">
        <v>71</v>
      </c>
      <c r="Q9" s="4" t="s">
        <v>47</v>
      </c>
      <c r="R9" s="172"/>
      <c r="S9" s="172"/>
      <c r="T9" s="172"/>
      <c r="U9" s="172"/>
      <c r="V9" s="172"/>
      <c r="W9" s="172"/>
      <c r="X9" s="172"/>
      <c r="Y9" s="172"/>
      <c r="Z9" s="172"/>
    </row>
    <row r="10" spans="1:26" ht="13.8">
      <c r="A10" s="166">
        <v>9</v>
      </c>
      <c r="B10" s="4" t="s">
        <v>120</v>
      </c>
      <c r="C10" s="4">
        <v>270</v>
      </c>
      <c r="D10" s="4" t="s">
        <v>2962</v>
      </c>
      <c r="E10" s="4" t="s">
        <v>71</v>
      </c>
      <c r="F10" s="4" t="s">
        <v>129</v>
      </c>
      <c r="G10" s="4" t="s">
        <v>123</v>
      </c>
      <c r="H10" s="4" t="s">
        <v>124</v>
      </c>
      <c r="I10" s="4" t="s">
        <v>116</v>
      </c>
      <c r="J10" s="4" t="s">
        <v>125</v>
      </c>
      <c r="K10" s="4">
        <v>9146534013</v>
      </c>
      <c r="L10" s="4" t="s">
        <v>2963</v>
      </c>
      <c r="M10" s="4">
        <v>9146534013</v>
      </c>
      <c r="N10" s="4" t="s">
        <v>2964</v>
      </c>
      <c r="O10" s="4" t="s">
        <v>71</v>
      </c>
      <c r="P10" s="4" t="s">
        <v>71</v>
      </c>
      <c r="Q10" s="4" t="s">
        <v>47</v>
      </c>
      <c r="R10" s="172"/>
      <c r="S10" s="172"/>
      <c r="T10" s="172"/>
      <c r="U10" s="172"/>
      <c r="V10" s="172"/>
      <c r="W10" s="172"/>
      <c r="X10" s="172"/>
      <c r="Y10" s="172"/>
      <c r="Z10" s="172"/>
    </row>
    <row r="11" spans="1:26" ht="13.8">
      <c r="A11" s="166">
        <v>10</v>
      </c>
      <c r="B11" s="4" t="s">
        <v>147</v>
      </c>
      <c r="C11" s="4">
        <v>278</v>
      </c>
      <c r="D11" s="4" t="s">
        <v>2965</v>
      </c>
      <c r="E11" s="4" t="s">
        <v>71</v>
      </c>
      <c r="F11" s="4" t="s">
        <v>159</v>
      </c>
      <c r="G11" s="4" t="s">
        <v>150</v>
      </c>
      <c r="H11" s="4" t="s">
        <v>151</v>
      </c>
      <c r="I11" s="4" t="s">
        <v>78</v>
      </c>
      <c r="J11" s="4" t="s">
        <v>152</v>
      </c>
      <c r="K11" s="4">
        <v>9323280709</v>
      </c>
      <c r="L11" s="4" t="s">
        <v>2966</v>
      </c>
      <c r="M11" s="4">
        <v>9323280709</v>
      </c>
      <c r="N11" s="4" t="s">
        <v>2967</v>
      </c>
      <c r="O11" s="4" t="s">
        <v>71</v>
      </c>
      <c r="P11" s="168" t="s">
        <v>153</v>
      </c>
      <c r="Q11" s="4" t="s">
        <v>47</v>
      </c>
      <c r="R11" s="172"/>
      <c r="S11" s="172"/>
      <c r="T11" s="172"/>
      <c r="U11" s="172"/>
      <c r="V11" s="172"/>
      <c r="W11" s="172"/>
      <c r="X11" s="172"/>
      <c r="Y11" s="172"/>
      <c r="Z11" s="172"/>
    </row>
    <row r="12" spans="1:26" ht="13.8">
      <c r="A12" s="166">
        <v>11</v>
      </c>
      <c r="B12" s="4" t="s">
        <v>161</v>
      </c>
      <c r="C12" s="4">
        <v>279</v>
      </c>
      <c r="D12" s="4" t="s">
        <v>2968</v>
      </c>
      <c r="E12" s="4" t="s">
        <v>71</v>
      </c>
      <c r="F12" s="4" t="s">
        <v>71</v>
      </c>
      <c r="G12" s="4" t="s">
        <v>164</v>
      </c>
      <c r="H12" s="4" t="s">
        <v>165</v>
      </c>
      <c r="I12" s="4" t="s">
        <v>166</v>
      </c>
      <c r="J12" s="4" t="s">
        <v>167</v>
      </c>
      <c r="K12" s="4">
        <v>8452040352</v>
      </c>
      <c r="L12" s="4" t="s">
        <v>2969</v>
      </c>
      <c r="M12" s="4">
        <v>8452040352</v>
      </c>
      <c r="N12" s="4" t="s">
        <v>2970</v>
      </c>
      <c r="O12" s="4" t="s">
        <v>71</v>
      </c>
      <c r="P12" s="168" t="s">
        <v>168</v>
      </c>
      <c r="Q12" s="4" t="s">
        <v>47</v>
      </c>
      <c r="R12" s="172"/>
      <c r="S12" s="172"/>
      <c r="T12" s="172"/>
      <c r="U12" s="172"/>
      <c r="V12" s="172"/>
      <c r="W12" s="172"/>
      <c r="X12" s="172"/>
      <c r="Y12" s="172"/>
      <c r="Z12" s="172"/>
    </row>
    <row r="13" spans="1:26" ht="13.8">
      <c r="A13" s="166">
        <v>772</v>
      </c>
      <c r="B13" s="4" t="s">
        <v>2874</v>
      </c>
      <c r="C13" s="4">
        <v>282</v>
      </c>
      <c r="D13" s="4" t="s">
        <v>6044</v>
      </c>
      <c r="E13" s="4" t="s">
        <v>71</v>
      </c>
      <c r="F13" s="4" t="s">
        <v>71</v>
      </c>
      <c r="G13" s="4" t="s">
        <v>2875</v>
      </c>
      <c r="H13" s="4" t="s">
        <v>2876</v>
      </c>
      <c r="I13" s="4" t="s">
        <v>545</v>
      </c>
      <c r="J13" s="4" t="s">
        <v>71</v>
      </c>
      <c r="K13" s="4">
        <v>9887540065</v>
      </c>
      <c r="L13" s="4" t="s">
        <v>6045</v>
      </c>
      <c r="M13" s="4">
        <v>7304976221</v>
      </c>
      <c r="N13" s="4" t="s">
        <v>71</v>
      </c>
      <c r="O13" s="4" t="s">
        <v>71</v>
      </c>
      <c r="P13" s="168" t="s">
        <v>2877</v>
      </c>
      <c r="Q13" s="4" t="s">
        <v>47</v>
      </c>
      <c r="R13" s="172"/>
      <c r="S13" s="172"/>
      <c r="T13" s="172"/>
      <c r="U13" s="172"/>
      <c r="V13" s="172"/>
      <c r="W13" s="172"/>
      <c r="X13" s="172"/>
      <c r="Y13" s="172"/>
      <c r="Z13" s="172"/>
    </row>
    <row r="14" spans="1:26" ht="13.8">
      <c r="A14" s="166">
        <v>12</v>
      </c>
      <c r="B14" s="4" t="s">
        <v>174</v>
      </c>
      <c r="C14" s="4">
        <v>300</v>
      </c>
      <c r="D14" s="4" t="s">
        <v>71</v>
      </c>
      <c r="E14" s="4" t="s">
        <v>71</v>
      </c>
      <c r="F14" s="4" t="s">
        <v>184</v>
      </c>
      <c r="G14" s="4" t="s">
        <v>177</v>
      </c>
      <c r="H14" s="4" t="s">
        <v>178</v>
      </c>
      <c r="I14" s="4" t="s">
        <v>71</v>
      </c>
      <c r="J14" s="4" t="s">
        <v>179</v>
      </c>
      <c r="K14" s="4">
        <v>9930589029</v>
      </c>
      <c r="L14" s="4" t="s">
        <v>2971</v>
      </c>
      <c r="M14" s="4">
        <v>9930589029</v>
      </c>
      <c r="N14" s="4" t="s">
        <v>2972</v>
      </c>
      <c r="O14" s="4" t="s">
        <v>71</v>
      </c>
      <c r="P14" s="168" t="s">
        <v>180</v>
      </c>
      <c r="Q14" s="4" t="s">
        <v>47</v>
      </c>
      <c r="R14" s="172"/>
      <c r="S14" s="172"/>
      <c r="T14" s="172"/>
      <c r="U14" s="172"/>
      <c r="V14" s="172"/>
      <c r="W14" s="172"/>
      <c r="X14" s="172"/>
      <c r="Y14" s="172"/>
      <c r="Z14" s="172"/>
    </row>
    <row r="15" spans="1:26" ht="13.8">
      <c r="A15" s="166">
        <v>13</v>
      </c>
      <c r="B15" s="4" t="s">
        <v>186</v>
      </c>
      <c r="C15" s="4">
        <v>301</v>
      </c>
      <c r="D15" s="4" t="s">
        <v>2973</v>
      </c>
      <c r="E15" s="4" t="s">
        <v>71</v>
      </c>
      <c r="F15" s="4" t="s">
        <v>199</v>
      </c>
      <c r="G15" s="4" t="s">
        <v>189</v>
      </c>
      <c r="H15" s="4" t="s">
        <v>190</v>
      </c>
      <c r="I15" s="4" t="s">
        <v>191</v>
      </c>
      <c r="J15" s="4" t="s">
        <v>192</v>
      </c>
      <c r="K15" s="4">
        <v>9821300401</v>
      </c>
      <c r="L15" s="4" t="s">
        <v>187</v>
      </c>
      <c r="M15" s="4">
        <v>9821300401</v>
      </c>
      <c r="N15" s="4" t="s">
        <v>2974</v>
      </c>
      <c r="O15" s="4" t="s">
        <v>71</v>
      </c>
      <c r="P15" s="168" t="s">
        <v>193</v>
      </c>
      <c r="Q15" s="4" t="s">
        <v>47</v>
      </c>
      <c r="R15" s="172"/>
      <c r="S15" s="172"/>
      <c r="T15" s="172"/>
      <c r="U15" s="172"/>
      <c r="V15" s="172"/>
      <c r="W15" s="172"/>
      <c r="X15" s="172"/>
      <c r="Y15" s="172"/>
      <c r="Z15" s="172"/>
    </row>
    <row r="16" spans="1:26" ht="13.8">
      <c r="A16" s="166">
        <v>14</v>
      </c>
      <c r="B16" s="4" t="s">
        <v>202</v>
      </c>
      <c r="C16" s="4">
        <v>302</v>
      </c>
      <c r="D16" s="4" t="s">
        <v>2975</v>
      </c>
      <c r="E16" s="4" t="s">
        <v>71</v>
      </c>
      <c r="F16" s="4" t="s">
        <v>213</v>
      </c>
      <c r="G16" s="4" t="s">
        <v>205</v>
      </c>
      <c r="H16" s="4" t="s">
        <v>206</v>
      </c>
      <c r="I16" s="4" t="s">
        <v>207</v>
      </c>
      <c r="J16" s="4" t="s">
        <v>208</v>
      </c>
      <c r="K16" s="4">
        <v>9702255504</v>
      </c>
      <c r="L16" s="4" t="s">
        <v>2976</v>
      </c>
      <c r="M16" s="4">
        <v>9702255504</v>
      </c>
      <c r="N16" s="4" t="s">
        <v>210</v>
      </c>
      <c r="O16" s="4" t="s">
        <v>71</v>
      </c>
      <c r="P16" s="168" t="s">
        <v>209</v>
      </c>
      <c r="Q16" s="4" t="s">
        <v>47</v>
      </c>
      <c r="R16" s="172"/>
      <c r="S16" s="172"/>
      <c r="T16" s="172"/>
      <c r="U16" s="172"/>
      <c r="V16" s="172"/>
      <c r="W16" s="172"/>
      <c r="X16" s="172"/>
      <c r="Y16" s="172"/>
      <c r="Z16" s="172"/>
    </row>
    <row r="17" spans="1:26" ht="13.8">
      <c r="A17" s="166">
        <v>15</v>
      </c>
      <c r="B17" s="4" t="s">
        <v>215</v>
      </c>
      <c r="C17" s="4">
        <v>306</v>
      </c>
      <c r="D17" s="4" t="s">
        <v>71</v>
      </c>
      <c r="E17" s="4" t="s">
        <v>71</v>
      </c>
      <c r="F17" s="4" t="s">
        <v>225</v>
      </c>
      <c r="G17" s="4" t="s">
        <v>218</v>
      </c>
      <c r="H17" s="4" t="s">
        <v>219</v>
      </c>
      <c r="I17" s="4" t="s">
        <v>71</v>
      </c>
      <c r="J17" s="4" t="s">
        <v>71</v>
      </c>
      <c r="K17" s="4">
        <v>9833178484</v>
      </c>
      <c r="L17" s="4" t="s">
        <v>2977</v>
      </c>
      <c r="M17" s="4">
        <v>9833178484</v>
      </c>
      <c r="N17" s="4" t="s">
        <v>2978</v>
      </c>
      <c r="O17" s="4" t="s">
        <v>71</v>
      </c>
      <c r="P17" s="168" t="s">
        <v>220</v>
      </c>
      <c r="Q17" s="4" t="s">
        <v>47</v>
      </c>
      <c r="R17" s="172"/>
      <c r="S17" s="172"/>
      <c r="T17" s="172"/>
      <c r="U17" s="172"/>
      <c r="V17" s="172"/>
      <c r="W17" s="172"/>
      <c r="X17" s="172"/>
      <c r="Y17" s="172"/>
      <c r="Z17" s="172"/>
    </row>
    <row r="18" spans="1:26" ht="13.8">
      <c r="A18" s="166">
        <v>16</v>
      </c>
      <c r="B18" s="4" t="s">
        <v>132</v>
      </c>
      <c r="C18" s="4">
        <v>326</v>
      </c>
      <c r="D18" s="4" t="s">
        <v>2979</v>
      </c>
      <c r="E18" s="4" t="s">
        <v>71</v>
      </c>
      <c r="F18" s="4" t="s">
        <v>144</v>
      </c>
      <c r="G18" s="4" t="s">
        <v>135</v>
      </c>
      <c r="H18" s="4" t="s">
        <v>2980</v>
      </c>
      <c r="I18" s="4" t="s">
        <v>137</v>
      </c>
      <c r="J18" s="4" t="s">
        <v>138</v>
      </c>
      <c r="K18" s="4">
        <v>9167372039</v>
      </c>
      <c r="L18" s="4" t="s">
        <v>2981</v>
      </c>
      <c r="M18" s="4">
        <v>9167372039</v>
      </c>
      <c r="N18" s="4" t="s">
        <v>2982</v>
      </c>
      <c r="O18" s="4" t="s">
        <v>71</v>
      </c>
      <c r="P18" s="168" t="s">
        <v>139</v>
      </c>
      <c r="Q18" s="4" t="s">
        <v>47</v>
      </c>
      <c r="R18" s="172"/>
      <c r="S18" s="172"/>
      <c r="T18" s="172"/>
      <c r="U18" s="172"/>
      <c r="V18" s="172"/>
      <c r="W18" s="172"/>
      <c r="X18" s="172"/>
      <c r="Y18" s="172"/>
      <c r="Z18" s="172"/>
    </row>
    <row r="19" spans="1:26" ht="13.8">
      <c r="A19" s="166">
        <v>782</v>
      </c>
      <c r="B19" s="4" t="s">
        <v>2894</v>
      </c>
      <c r="C19" s="4">
        <v>326</v>
      </c>
      <c r="D19" s="4" t="s">
        <v>6052</v>
      </c>
      <c r="E19" s="4" t="s">
        <v>71</v>
      </c>
      <c r="F19" s="4" t="s">
        <v>71</v>
      </c>
      <c r="G19" s="4" t="s">
        <v>2890</v>
      </c>
      <c r="H19" s="4" t="s">
        <v>2891</v>
      </c>
      <c r="I19" s="4" t="s">
        <v>71</v>
      </c>
      <c r="J19" s="4" t="s">
        <v>71</v>
      </c>
      <c r="K19" s="4" t="s">
        <v>2892</v>
      </c>
      <c r="L19" s="4" t="s">
        <v>6053</v>
      </c>
      <c r="M19" s="4" t="s">
        <v>71</v>
      </c>
      <c r="N19" s="4" t="s">
        <v>71</v>
      </c>
      <c r="O19" s="4" t="s">
        <v>71</v>
      </c>
      <c r="P19" s="4" t="s">
        <v>71</v>
      </c>
      <c r="Q19" s="4" t="s">
        <v>47</v>
      </c>
      <c r="R19" s="172"/>
      <c r="S19" s="172"/>
      <c r="T19" s="172"/>
      <c r="U19" s="172"/>
      <c r="V19" s="172"/>
      <c r="W19" s="172"/>
      <c r="X19" s="172"/>
      <c r="Y19" s="172"/>
      <c r="Z19" s="172"/>
    </row>
    <row r="20" spans="1:26" ht="13.8">
      <c r="A20" s="166">
        <v>17</v>
      </c>
      <c r="B20" s="4" t="s">
        <v>227</v>
      </c>
      <c r="C20" s="4">
        <v>387</v>
      </c>
      <c r="D20" s="4" t="s">
        <v>2983</v>
      </c>
      <c r="E20" s="4" t="s">
        <v>71</v>
      </c>
      <c r="F20" s="4" t="s">
        <v>239</v>
      </c>
      <c r="G20" s="4" t="s">
        <v>230</v>
      </c>
      <c r="H20" s="4" t="s">
        <v>231</v>
      </c>
      <c r="I20" s="4" t="s">
        <v>232</v>
      </c>
      <c r="J20" s="4" t="s">
        <v>2984</v>
      </c>
      <c r="K20" s="4">
        <v>8879950624</v>
      </c>
      <c r="L20" s="4" t="s">
        <v>228</v>
      </c>
      <c r="M20" s="4">
        <v>8879950624</v>
      </c>
      <c r="N20" s="4" t="s">
        <v>2985</v>
      </c>
      <c r="O20" s="4" t="s">
        <v>71</v>
      </c>
      <c r="P20" s="4" t="s">
        <v>71</v>
      </c>
      <c r="Q20" s="4" t="s">
        <v>47</v>
      </c>
      <c r="R20" s="172"/>
      <c r="S20" s="172"/>
      <c r="T20" s="172"/>
      <c r="U20" s="172"/>
      <c r="V20" s="172"/>
      <c r="W20" s="172"/>
      <c r="X20" s="172"/>
      <c r="Y20" s="172"/>
      <c r="Z20" s="172"/>
    </row>
    <row r="21" spans="1:26" ht="13.8">
      <c r="A21" s="166">
        <v>18</v>
      </c>
      <c r="B21" s="4" t="s">
        <v>241</v>
      </c>
      <c r="C21" s="4">
        <v>402</v>
      </c>
      <c r="D21" s="4" t="s">
        <v>2986</v>
      </c>
      <c r="E21" s="4" t="s">
        <v>71</v>
      </c>
      <c r="F21" s="4" t="s">
        <v>239</v>
      </c>
      <c r="G21" s="4" t="s">
        <v>243</v>
      </c>
      <c r="H21" s="4" t="s">
        <v>244</v>
      </c>
      <c r="I21" s="4" t="s">
        <v>58</v>
      </c>
      <c r="J21" s="4" t="s">
        <v>245</v>
      </c>
      <c r="K21" s="4">
        <v>9869804124</v>
      </c>
      <c r="L21" s="4" t="s">
        <v>228</v>
      </c>
      <c r="M21" s="4">
        <v>9869804124</v>
      </c>
      <c r="N21" s="4" t="s">
        <v>2985</v>
      </c>
      <c r="O21" s="4" t="s">
        <v>71</v>
      </c>
      <c r="P21" s="4" t="s">
        <v>71</v>
      </c>
      <c r="Q21" s="4" t="s">
        <v>47</v>
      </c>
      <c r="R21" s="172"/>
      <c r="S21" s="172"/>
      <c r="T21" s="172"/>
      <c r="U21" s="172"/>
      <c r="V21" s="172"/>
      <c r="W21" s="172"/>
      <c r="X21" s="172"/>
      <c r="Y21" s="172"/>
      <c r="Z21" s="172"/>
    </row>
    <row r="22" spans="1:26" ht="13.8">
      <c r="A22" s="166">
        <v>19</v>
      </c>
      <c r="B22" s="4" t="s">
        <v>249</v>
      </c>
      <c r="C22" s="4">
        <v>403</v>
      </c>
      <c r="D22" s="4" t="s">
        <v>2987</v>
      </c>
      <c r="E22" s="4" t="s">
        <v>71</v>
      </c>
      <c r="F22" s="4" t="s">
        <v>144</v>
      </c>
      <c r="G22" s="4" t="s">
        <v>135</v>
      </c>
      <c r="H22" s="4" t="s">
        <v>2988</v>
      </c>
      <c r="I22" s="4" t="s">
        <v>253</v>
      </c>
      <c r="J22" s="4" t="s">
        <v>138</v>
      </c>
      <c r="K22" s="4">
        <v>9662336578</v>
      </c>
      <c r="L22" s="4" t="s">
        <v>2981</v>
      </c>
      <c r="M22" s="4">
        <v>9662336578</v>
      </c>
      <c r="N22" s="4" t="s">
        <v>2989</v>
      </c>
      <c r="O22" s="4" t="s">
        <v>71</v>
      </c>
      <c r="P22" s="168" t="s">
        <v>139</v>
      </c>
      <c r="Q22" s="4" t="s">
        <v>47</v>
      </c>
      <c r="R22" s="172"/>
      <c r="S22" s="172"/>
      <c r="T22" s="172"/>
      <c r="U22" s="172"/>
      <c r="V22" s="172"/>
      <c r="W22" s="172"/>
      <c r="X22" s="172"/>
      <c r="Y22" s="172"/>
      <c r="Z22" s="172"/>
    </row>
    <row r="23" spans="1:26" ht="13.8">
      <c r="A23" s="166">
        <v>20</v>
      </c>
      <c r="B23" s="4" t="s">
        <v>256</v>
      </c>
      <c r="C23" s="4">
        <v>404</v>
      </c>
      <c r="D23" s="4" t="s">
        <v>2990</v>
      </c>
      <c r="E23" s="4" t="s">
        <v>71</v>
      </c>
      <c r="F23" s="4" t="s">
        <v>144</v>
      </c>
      <c r="G23" s="4" t="s">
        <v>135</v>
      </c>
      <c r="H23" s="4" t="s">
        <v>2991</v>
      </c>
      <c r="I23" s="4" t="s">
        <v>260</v>
      </c>
      <c r="J23" s="4" t="s">
        <v>138</v>
      </c>
      <c r="K23" s="4">
        <v>9324226442</v>
      </c>
      <c r="L23" s="4" t="s">
        <v>2981</v>
      </c>
      <c r="M23" s="4">
        <v>9324226442</v>
      </c>
      <c r="N23" s="4" t="s">
        <v>2989</v>
      </c>
      <c r="O23" s="4" t="s">
        <v>71</v>
      </c>
      <c r="P23" s="168" t="s">
        <v>139</v>
      </c>
      <c r="Q23" s="4" t="s">
        <v>47</v>
      </c>
      <c r="R23" s="172"/>
      <c r="S23" s="172"/>
      <c r="T23" s="172"/>
      <c r="U23" s="172"/>
      <c r="V23" s="172"/>
      <c r="W23" s="172"/>
      <c r="X23" s="172"/>
      <c r="Y23" s="172"/>
      <c r="Z23" s="172"/>
    </row>
    <row r="24" spans="1:26" ht="13.8">
      <c r="A24" s="166">
        <v>21</v>
      </c>
      <c r="B24" s="4" t="s">
        <v>262</v>
      </c>
      <c r="C24" s="4">
        <v>405</v>
      </c>
      <c r="D24" s="4" t="s">
        <v>2992</v>
      </c>
      <c r="E24" s="4" t="s">
        <v>71</v>
      </c>
      <c r="F24" s="4" t="s">
        <v>144</v>
      </c>
      <c r="G24" s="4" t="s">
        <v>135</v>
      </c>
      <c r="H24" s="4" t="s">
        <v>2993</v>
      </c>
      <c r="I24" s="4" t="s">
        <v>260</v>
      </c>
      <c r="J24" s="4" t="s">
        <v>138</v>
      </c>
      <c r="K24" s="4">
        <v>9821004738</v>
      </c>
      <c r="L24" s="4" t="s">
        <v>2981</v>
      </c>
      <c r="M24" s="4">
        <v>9821004738</v>
      </c>
      <c r="N24" s="4" t="s">
        <v>2989</v>
      </c>
      <c r="O24" s="4" t="s">
        <v>71</v>
      </c>
      <c r="P24" s="168" t="s">
        <v>139</v>
      </c>
      <c r="Q24" s="4" t="s">
        <v>47</v>
      </c>
      <c r="R24" s="172"/>
      <c r="S24" s="172"/>
      <c r="T24" s="172"/>
      <c r="U24" s="172"/>
      <c r="V24" s="172"/>
      <c r="W24" s="172"/>
      <c r="X24" s="172"/>
      <c r="Y24" s="172"/>
      <c r="Z24" s="172"/>
    </row>
    <row r="25" spans="1:26" ht="13.8">
      <c r="A25" s="166">
        <v>22</v>
      </c>
      <c r="B25" s="4" t="s">
        <v>267</v>
      </c>
      <c r="C25" s="4">
        <v>406</v>
      </c>
      <c r="D25" s="4" t="s">
        <v>2994</v>
      </c>
      <c r="E25" s="4" t="s">
        <v>71</v>
      </c>
      <c r="F25" s="4" t="s">
        <v>144</v>
      </c>
      <c r="G25" s="4" t="s">
        <v>135</v>
      </c>
      <c r="H25" s="4" t="s">
        <v>2995</v>
      </c>
      <c r="I25" s="4" t="s">
        <v>271</v>
      </c>
      <c r="J25" s="4" t="s">
        <v>138</v>
      </c>
      <c r="K25" s="4">
        <v>7738294928</v>
      </c>
      <c r="L25" s="4" t="s">
        <v>2981</v>
      </c>
      <c r="M25" s="4">
        <v>7738294928</v>
      </c>
      <c r="N25" s="4" t="s">
        <v>2989</v>
      </c>
      <c r="O25" s="4" t="s">
        <v>71</v>
      </c>
      <c r="P25" s="168" t="s">
        <v>139</v>
      </c>
      <c r="Q25" s="4" t="s">
        <v>47</v>
      </c>
      <c r="R25" s="172"/>
      <c r="S25" s="172"/>
      <c r="T25" s="172"/>
      <c r="U25" s="172"/>
      <c r="V25" s="172"/>
      <c r="W25" s="172"/>
      <c r="X25" s="172"/>
      <c r="Y25" s="172"/>
      <c r="Z25" s="172"/>
    </row>
    <row r="26" spans="1:26" ht="13.8">
      <c r="A26" s="166">
        <v>23</v>
      </c>
      <c r="B26" s="4" t="s">
        <v>273</v>
      </c>
      <c r="C26" s="4">
        <v>424</v>
      </c>
      <c r="D26" s="4" t="s">
        <v>2996</v>
      </c>
      <c r="E26" s="4" t="s">
        <v>71</v>
      </c>
      <c r="F26" s="4" t="s">
        <v>283</v>
      </c>
      <c r="G26" s="4" t="s">
        <v>276</v>
      </c>
      <c r="H26" s="4" t="s">
        <v>277</v>
      </c>
      <c r="I26" s="4" t="s">
        <v>278</v>
      </c>
      <c r="J26" s="4" t="s">
        <v>2997</v>
      </c>
      <c r="K26" s="4">
        <v>9867770001</v>
      </c>
      <c r="L26" s="4" t="s">
        <v>2998</v>
      </c>
      <c r="M26" s="4">
        <v>9867770001</v>
      </c>
      <c r="N26" s="4" t="s">
        <v>2999</v>
      </c>
      <c r="O26" s="4" t="s">
        <v>71</v>
      </c>
      <c r="P26" s="4" t="s">
        <v>71</v>
      </c>
      <c r="Q26" s="4" t="s">
        <v>47</v>
      </c>
      <c r="R26" s="172"/>
      <c r="S26" s="172"/>
      <c r="T26" s="172"/>
      <c r="U26" s="172"/>
      <c r="V26" s="172"/>
      <c r="W26" s="172"/>
      <c r="X26" s="172"/>
      <c r="Y26" s="172"/>
      <c r="Z26" s="172"/>
    </row>
    <row r="27" spans="1:26" ht="13.8">
      <c r="A27" s="166">
        <v>24</v>
      </c>
      <c r="B27" s="4" t="s">
        <v>285</v>
      </c>
      <c r="C27" s="4">
        <v>448</v>
      </c>
      <c r="D27" s="4" t="s">
        <v>71</v>
      </c>
      <c r="E27" s="4" t="s">
        <v>71</v>
      </c>
      <c r="F27" s="4" t="s">
        <v>293</v>
      </c>
      <c r="G27" s="4" t="s">
        <v>288</v>
      </c>
      <c r="H27" s="4" t="s">
        <v>3000</v>
      </c>
      <c r="I27" s="4" t="s">
        <v>71</v>
      </c>
      <c r="J27" s="4" t="s">
        <v>290</v>
      </c>
      <c r="K27" s="4">
        <v>9867308841</v>
      </c>
      <c r="L27" s="4" t="s">
        <v>286</v>
      </c>
      <c r="M27" s="4">
        <v>9867308841</v>
      </c>
      <c r="N27" s="4" t="s">
        <v>71</v>
      </c>
      <c r="O27" s="4" t="s">
        <v>71</v>
      </c>
      <c r="P27" s="4" t="s">
        <v>71</v>
      </c>
      <c r="Q27" s="4" t="s">
        <v>47</v>
      </c>
      <c r="R27" s="172"/>
      <c r="S27" s="172"/>
      <c r="T27" s="172"/>
      <c r="U27" s="172"/>
      <c r="V27" s="172"/>
      <c r="W27" s="172"/>
      <c r="X27" s="172"/>
      <c r="Y27" s="172"/>
      <c r="Z27" s="172"/>
    </row>
    <row r="28" spans="1:26" ht="13.8">
      <c r="A28" s="166">
        <v>25</v>
      </c>
      <c r="B28" s="4" t="s">
        <v>295</v>
      </c>
      <c r="C28" s="4">
        <v>449</v>
      </c>
      <c r="D28" s="4" t="s">
        <v>3001</v>
      </c>
      <c r="E28" s="4" t="s">
        <v>71</v>
      </c>
      <c r="F28" s="4" t="s">
        <v>293</v>
      </c>
      <c r="G28" s="4" t="s">
        <v>288</v>
      </c>
      <c r="H28" s="4" t="s">
        <v>3002</v>
      </c>
      <c r="I28" s="4" t="s">
        <v>71</v>
      </c>
      <c r="J28" s="4" t="s">
        <v>290</v>
      </c>
      <c r="K28" s="4">
        <v>8850703667</v>
      </c>
      <c r="L28" s="4" t="s">
        <v>3003</v>
      </c>
      <c r="M28" s="4">
        <v>8850703667</v>
      </c>
      <c r="N28" s="4" t="s">
        <v>71</v>
      </c>
      <c r="O28" s="4" t="s">
        <v>71</v>
      </c>
      <c r="P28" s="4" t="s">
        <v>71</v>
      </c>
      <c r="Q28" s="4" t="s">
        <v>47</v>
      </c>
      <c r="R28" s="172"/>
      <c r="S28" s="172"/>
      <c r="T28" s="172"/>
      <c r="U28" s="172"/>
      <c r="V28" s="172"/>
      <c r="W28" s="172"/>
      <c r="X28" s="172"/>
      <c r="Y28" s="172"/>
      <c r="Z28" s="172"/>
    </row>
    <row r="29" spans="1:26" ht="13.8">
      <c r="A29" s="166">
        <v>26</v>
      </c>
      <c r="B29" s="4" t="s">
        <v>305</v>
      </c>
      <c r="C29" s="4">
        <v>450</v>
      </c>
      <c r="D29" s="4" t="s">
        <v>71</v>
      </c>
      <c r="E29" s="4" t="s">
        <v>71</v>
      </c>
      <c r="F29" s="4" t="s">
        <v>293</v>
      </c>
      <c r="G29" s="4" t="s">
        <v>288</v>
      </c>
      <c r="H29" s="4" t="s">
        <v>308</v>
      </c>
      <c r="I29" s="4" t="s">
        <v>309</v>
      </c>
      <c r="J29" s="4" t="s">
        <v>290</v>
      </c>
      <c r="K29" s="4">
        <v>8850703667</v>
      </c>
      <c r="L29" s="4" t="s">
        <v>286</v>
      </c>
      <c r="M29" s="4">
        <v>8850703667</v>
      </c>
      <c r="N29" s="4" t="s">
        <v>71</v>
      </c>
      <c r="O29" s="4" t="s">
        <v>71</v>
      </c>
      <c r="P29" s="4" t="s">
        <v>71</v>
      </c>
      <c r="Q29" s="4" t="s">
        <v>47</v>
      </c>
      <c r="R29" s="172"/>
      <c r="S29" s="172"/>
      <c r="T29" s="172"/>
      <c r="U29" s="172"/>
      <c r="V29" s="172"/>
      <c r="W29" s="172"/>
      <c r="X29" s="172"/>
      <c r="Y29" s="172"/>
      <c r="Z29" s="172"/>
    </row>
    <row r="30" spans="1:26" ht="13.8">
      <c r="A30" s="166">
        <v>27</v>
      </c>
      <c r="B30" s="4" t="s">
        <v>316</v>
      </c>
      <c r="C30" s="4">
        <v>451</v>
      </c>
      <c r="D30" s="4" t="s">
        <v>71</v>
      </c>
      <c r="E30" s="4" t="s">
        <v>71</v>
      </c>
      <c r="F30" s="4" t="s">
        <v>293</v>
      </c>
      <c r="G30" s="4" t="s">
        <v>288</v>
      </c>
      <c r="H30" s="4" t="s">
        <v>3004</v>
      </c>
      <c r="I30" s="4" t="s">
        <v>71</v>
      </c>
      <c r="J30" s="4" t="s">
        <v>290</v>
      </c>
      <c r="K30" s="4">
        <v>9819042381</v>
      </c>
      <c r="L30" s="4" t="s">
        <v>286</v>
      </c>
      <c r="M30" s="4">
        <v>9819042381</v>
      </c>
      <c r="N30" s="4" t="s">
        <v>71</v>
      </c>
      <c r="O30" s="4" t="s">
        <v>71</v>
      </c>
      <c r="P30" s="4" t="s">
        <v>71</v>
      </c>
      <c r="Q30" s="4" t="s">
        <v>47</v>
      </c>
      <c r="R30" s="172"/>
      <c r="S30" s="172"/>
      <c r="T30" s="172"/>
      <c r="U30" s="172"/>
      <c r="V30" s="172"/>
      <c r="W30" s="172"/>
      <c r="X30" s="172"/>
      <c r="Y30" s="172"/>
      <c r="Z30" s="172"/>
    </row>
    <row r="31" spans="1:26" ht="13.8">
      <c r="A31" s="166">
        <v>28</v>
      </c>
      <c r="B31" s="4" t="s">
        <v>328</v>
      </c>
      <c r="C31" s="4">
        <v>452</v>
      </c>
      <c r="D31" s="4" t="s">
        <v>3005</v>
      </c>
      <c r="E31" s="4" t="s">
        <v>71</v>
      </c>
      <c r="F31" s="4" t="s">
        <v>338</v>
      </c>
      <c r="G31" s="4" t="s">
        <v>331</v>
      </c>
      <c r="H31" s="4" t="s">
        <v>332</v>
      </c>
      <c r="I31" s="4" t="s">
        <v>333</v>
      </c>
      <c r="J31" s="4" t="s">
        <v>334</v>
      </c>
      <c r="K31" s="4" t="s">
        <v>71</v>
      </c>
      <c r="L31" s="4" t="s">
        <v>3006</v>
      </c>
      <c r="M31" s="4" t="s">
        <v>71</v>
      </c>
      <c r="N31" s="4" t="s">
        <v>71</v>
      </c>
      <c r="O31" s="4" t="s">
        <v>71</v>
      </c>
      <c r="P31" s="4" t="s">
        <v>71</v>
      </c>
      <c r="Q31" s="4" t="s">
        <v>47</v>
      </c>
      <c r="R31" s="172"/>
      <c r="S31" s="172"/>
      <c r="T31" s="172"/>
      <c r="U31" s="172"/>
      <c r="V31" s="172"/>
      <c r="W31" s="172"/>
      <c r="X31" s="172"/>
      <c r="Y31" s="172"/>
      <c r="Z31" s="172"/>
    </row>
    <row r="32" spans="1:26" ht="13.8">
      <c r="A32" s="166">
        <v>29</v>
      </c>
      <c r="B32" s="4" t="s">
        <v>340</v>
      </c>
      <c r="C32" s="4">
        <v>458</v>
      </c>
      <c r="D32" s="4" t="s">
        <v>3007</v>
      </c>
      <c r="E32" s="4" t="s">
        <v>71</v>
      </c>
      <c r="F32" s="4" t="s">
        <v>71</v>
      </c>
      <c r="G32" s="4" t="s">
        <v>343</v>
      </c>
      <c r="H32" s="4" t="s">
        <v>3008</v>
      </c>
      <c r="I32" s="4" t="s">
        <v>345</v>
      </c>
      <c r="J32" s="4" t="s">
        <v>346</v>
      </c>
      <c r="K32" s="4" t="s">
        <v>71</v>
      </c>
      <c r="L32" s="4" t="s">
        <v>341</v>
      </c>
      <c r="M32" s="4" t="s">
        <v>71</v>
      </c>
      <c r="N32" s="4" t="s">
        <v>3009</v>
      </c>
      <c r="O32" s="4" t="s">
        <v>71</v>
      </c>
      <c r="P32" s="4" t="s">
        <v>71</v>
      </c>
      <c r="Q32" s="4" t="s">
        <v>47</v>
      </c>
      <c r="R32" s="172"/>
      <c r="S32" s="172"/>
      <c r="T32" s="172"/>
      <c r="U32" s="172"/>
      <c r="V32" s="172"/>
      <c r="W32" s="172"/>
      <c r="X32" s="172"/>
      <c r="Y32" s="172"/>
      <c r="Z32" s="172"/>
    </row>
    <row r="33" spans="1:26" ht="13.8">
      <c r="A33" s="166">
        <v>30</v>
      </c>
      <c r="B33" s="4" t="s">
        <v>352</v>
      </c>
      <c r="C33" s="4">
        <v>459</v>
      </c>
      <c r="D33" s="4" t="s">
        <v>3010</v>
      </c>
      <c r="E33" s="4" t="s">
        <v>71</v>
      </c>
      <c r="F33" s="4" t="s">
        <v>71</v>
      </c>
      <c r="G33" s="4" t="s">
        <v>343</v>
      </c>
      <c r="H33" s="4" t="s">
        <v>355</v>
      </c>
      <c r="I33" s="4" t="s">
        <v>356</v>
      </c>
      <c r="J33" s="4" t="s">
        <v>346</v>
      </c>
      <c r="K33" s="4" t="s">
        <v>71</v>
      </c>
      <c r="L33" s="4" t="s">
        <v>3011</v>
      </c>
      <c r="M33" s="4" t="s">
        <v>71</v>
      </c>
      <c r="N33" s="4" t="s">
        <v>3009</v>
      </c>
      <c r="O33" s="4" t="s">
        <v>71</v>
      </c>
      <c r="P33" s="4" t="s">
        <v>71</v>
      </c>
      <c r="Q33" s="4" t="s">
        <v>47</v>
      </c>
      <c r="R33" s="172"/>
      <c r="S33" s="172"/>
      <c r="T33" s="172"/>
      <c r="U33" s="172"/>
      <c r="V33" s="172"/>
      <c r="W33" s="172"/>
      <c r="X33" s="172"/>
      <c r="Y33" s="172"/>
      <c r="Z33" s="172"/>
    </row>
    <row r="34" spans="1:26" ht="13.8">
      <c r="A34" s="166">
        <v>31</v>
      </c>
      <c r="B34" s="4" t="s">
        <v>359</v>
      </c>
      <c r="C34" s="4">
        <v>460</v>
      </c>
      <c r="D34" s="4" t="s">
        <v>71</v>
      </c>
      <c r="E34" s="4" t="s">
        <v>71</v>
      </c>
      <c r="F34" s="4" t="s">
        <v>71</v>
      </c>
      <c r="G34" s="4" t="s">
        <v>343</v>
      </c>
      <c r="H34" s="4" t="s">
        <v>362</v>
      </c>
      <c r="I34" s="4" t="s">
        <v>345</v>
      </c>
      <c r="J34" s="4" t="s">
        <v>346</v>
      </c>
      <c r="K34" s="4">
        <v>9920449944</v>
      </c>
      <c r="L34" s="4" t="s">
        <v>3012</v>
      </c>
      <c r="M34" s="4">
        <v>9920449944</v>
      </c>
      <c r="N34" s="4" t="s">
        <v>3009</v>
      </c>
      <c r="O34" s="4" t="s">
        <v>71</v>
      </c>
      <c r="P34" s="4" t="s">
        <v>71</v>
      </c>
      <c r="Q34" s="4" t="s">
        <v>47</v>
      </c>
      <c r="R34" s="172"/>
      <c r="S34" s="172"/>
      <c r="T34" s="172"/>
      <c r="U34" s="172"/>
      <c r="V34" s="172"/>
      <c r="W34" s="172"/>
      <c r="X34" s="172"/>
      <c r="Y34" s="172"/>
      <c r="Z34" s="172"/>
    </row>
    <row r="35" spans="1:26" ht="13.8">
      <c r="A35" s="166">
        <v>32</v>
      </c>
      <c r="B35" s="4" t="s">
        <v>367</v>
      </c>
      <c r="C35" s="4">
        <v>488</v>
      </c>
      <c r="D35" s="4" t="s">
        <v>3013</v>
      </c>
      <c r="E35" s="4" t="s">
        <v>71</v>
      </c>
      <c r="F35" s="4" t="s">
        <v>377</v>
      </c>
      <c r="G35" s="4" t="s">
        <v>370</v>
      </c>
      <c r="H35" s="4" t="s">
        <v>371</v>
      </c>
      <c r="I35" s="4" t="s">
        <v>71</v>
      </c>
      <c r="J35" s="4" t="s">
        <v>3014</v>
      </c>
      <c r="K35" s="4">
        <v>9820291283</v>
      </c>
      <c r="L35" s="4" t="s">
        <v>3015</v>
      </c>
      <c r="M35" s="4">
        <v>9820291283</v>
      </c>
      <c r="N35" s="4" t="s">
        <v>373</v>
      </c>
      <c r="O35" s="4" t="s">
        <v>71</v>
      </c>
      <c r="P35" s="4" t="s">
        <v>71</v>
      </c>
      <c r="Q35" s="4" t="s">
        <v>47</v>
      </c>
      <c r="R35" s="172"/>
      <c r="S35" s="172"/>
      <c r="T35" s="172"/>
      <c r="U35" s="172"/>
      <c r="V35" s="172"/>
      <c r="W35" s="172"/>
      <c r="X35" s="172"/>
      <c r="Y35" s="172"/>
      <c r="Z35" s="172"/>
    </row>
    <row r="36" spans="1:26" ht="13.8">
      <c r="A36" s="166">
        <v>494</v>
      </c>
      <c r="B36" s="4" t="s">
        <v>5094</v>
      </c>
      <c r="C36" s="4">
        <v>502</v>
      </c>
      <c r="D36" s="4" t="s">
        <v>5095</v>
      </c>
      <c r="E36" s="4" t="s">
        <v>71</v>
      </c>
      <c r="F36" s="4" t="s">
        <v>5096</v>
      </c>
      <c r="G36" s="4" t="s">
        <v>5097</v>
      </c>
      <c r="H36" s="4" t="s">
        <v>5098</v>
      </c>
      <c r="I36" s="4" t="s">
        <v>71</v>
      </c>
      <c r="J36" s="4" t="s">
        <v>71</v>
      </c>
      <c r="K36" s="4">
        <v>9824077142</v>
      </c>
      <c r="L36" s="4" t="s">
        <v>5099</v>
      </c>
      <c r="M36" s="4">
        <v>9824077142</v>
      </c>
      <c r="N36" s="4" t="s">
        <v>71</v>
      </c>
      <c r="O36" s="4" t="s">
        <v>71</v>
      </c>
      <c r="P36" s="168" t="s">
        <v>5100</v>
      </c>
      <c r="Q36" s="4" t="s">
        <v>47</v>
      </c>
      <c r="R36" s="172"/>
      <c r="S36" s="172"/>
      <c r="T36" s="172"/>
      <c r="U36" s="172"/>
      <c r="V36" s="172"/>
      <c r="W36" s="172"/>
      <c r="X36" s="172"/>
      <c r="Y36" s="172"/>
      <c r="Z36" s="172"/>
    </row>
    <row r="37" spans="1:26" ht="13.8">
      <c r="A37" s="166">
        <v>495</v>
      </c>
      <c r="B37" s="4" t="s">
        <v>5101</v>
      </c>
      <c r="C37" s="4">
        <v>503</v>
      </c>
      <c r="D37" s="4" t="s">
        <v>5102</v>
      </c>
      <c r="E37" s="4" t="s">
        <v>71</v>
      </c>
      <c r="F37" s="4" t="s">
        <v>5096</v>
      </c>
      <c r="G37" s="4" t="s">
        <v>5097</v>
      </c>
      <c r="H37" s="4" t="s">
        <v>5103</v>
      </c>
      <c r="I37" s="4" t="s">
        <v>71</v>
      </c>
      <c r="J37" s="4" t="s">
        <v>71</v>
      </c>
      <c r="K37" s="4">
        <v>9824068796</v>
      </c>
      <c r="L37" s="4" t="s">
        <v>5104</v>
      </c>
      <c r="M37" s="4">
        <v>9824068796</v>
      </c>
      <c r="N37" s="4" t="s">
        <v>71</v>
      </c>
      <c r="O37" s="4" t="s">
        <v>71</v>
      </c>
      <c r="P37" s="168" t="s">
        <v>5100</v>
      </c>
      <c r="Q37" s="4" t="s">
        <v>47</v>
      </c>
      <c r="R37" s="172"/>
      <c r="S37" s="172"/>
      <c r="T37" s="172"/>
      <c r="U37" s="172"/>
      <c r="V37" s="172"/>
      <c r="W37" s="172"/>
      <c r="X37" s="172"/>
      <c r="Y37" s="172"/>
      <c r="Z37" s="172"/>
    </row>
    <row r="38" spans="1:26" ht="13.8">
      <c r="A38" s="166">
        <v>496</v>
      </c>
      <c r="B38" s="4" t="s">
        <v>5105</v>
      </c>
      <c r="C38" s="4">
        <v>504</v>
      </c>
      <c r="D38" s="4" t="s">
        <v>71</v>
      </c>
      <c r="E38" s="4" t="s">
        <v>71</v>
      </c>
      <c r="F38" s="4" t="s">
        <v>5096</v>
      </c>
      <c r="G38" s="4" t="s">
        <v>5097</v>
      </c>
      <c r="H38" s="4" t="s">
        <v>5106</v>
      </c>
      <c r="I38" s="4" t="s">
        <v>71</v>
      </c>
      <c r="J38" s="4" t="s">
        <v>71</v>
      </c>
      <c r="K38" s="4">
        <v>9727056000</v>
      </c>
      <c r="L38" s="4" t="s">
        <v>5107</v>
      </c>
      <c r="M38" s="4">
        <v>9727056000</v>
      </c>
      <c r="N38" s="4" t="s">
        <v>71</v>
      </c>
      <c r="O38" s="4" t="s">
        <v>71</v>
      </c>
      <c r="P38" s="168" t="s">
        <v>5100</v>
      </c>
      <c r="Q38" s="4" t="s">
        <v>47</v>
      </c>
      <c r="R38" s="172"/>
      <c r="S38" s="172"/>
      <c r="T38" s="172"/>
      <c r="U38" s="172"/>
      <c r="V38" s="172"/>
      <c r="W38" s="172"/>
      <c r="X38" s="172"/>
      <c r="Y38" s="172"/>
      <c r="Z38" s="172"/>
    </row>
    <row r="39" spans="1:26" ht="13.8">
      <c r="A39" s="166">
        <v>497</v>
      </c>
      <c r="B39" s="4" t="s">
        <v>5108</v>
      </c>
      <c r="C39" s="4">
        <v>505</v>
      </c>
      <c r="D39" s="4" t="s">
        <v>71</v>
      </c>
      <c r="E39" s="4" t="s">
        <v>71</v>
      </c>
      <c r="F39" s="4" t="s">
        <v>5096</v>
      </c>
      <c r="G39" s="4" t="s">
        <v>5097</v>
      </c>
      <c r="H39" s="4" t="s">
        <v>5109</v>
      </c>
      <c r="I39" s="4" t="s">
        <v>71</v>
      </c>
      <c r="J39" s="4" t="s">
        <v>71</v>
      </c>
      <c r="K39" s="4">
        <v>9909281199</v>
      </c>
      <c r="L39" s="4" t="s">
        <v>5110</v>
      </c>
      <c r="M39" s="4">
        <v>9909281199</v>
      </c>
      <c r="N39" s="4" t="s">
        <v>71</v>
      </c>
      <c r="O39" s="4" t="s">
        <v>71</v>
      </c>
      <c r="P39" s="168" t="s">
        <v>5100</v>
      </c>
      <c r="Q39" s="4" t="s">
        <v>47</v>
      </c>
      <c r="R39" s="172"/>
      <c r="S39" s="172"/>
      <c r="T39" s="172"/>
      <c r="U39" s="172"/>
      <c r="V39" s="172"/>
      <c r="W39" s="172"/>
      <c r="X39" s="172"/>
      <c r="Y39" s="172"/>
      <c r="Z39" s="172"/>
    </row>
    <row r="40" spans="1:26" ht="13.8">
      <c r="A40" s="166">
        <v>498</v>
      </c>
      <c r="B40" s="4" t="s">
        <v>5111</v>
      </c>
      <c r="C40" s="4">
        <v>506</v>
      </c>
      <c r="D40" s="4" t="s">
        <v>5112</v>
      </c>
      <c r="E40" s="4" t="s">
        <v>71</v>
      </c>
      <c r="F40" s="4" t="s">
        <v>71</v>
      </c>
      <c r="G40" s="4" t="s">
        <v>5113</v>
      </c>
      <c r="H40" s="4" t="s">
        <v>5114</v>
      </c>
      <c r="I40" s="4" t="s">
        <v>71</v>
      </c>
      <c r="J40" s="4" t="s">
        <v>71</v>
      </c>
      <c r="K40" s="4">
        <v>9837080987</v>
      </c>
      <c r="L40" s="4" t="s">
        <v>5115</v>
      </c>
      <c r="M40" s="4">
        <v>9837080987</v>
      </c>
      <c r="N40" s="4" t="s">
        <v>71</v>
      </c>
      <c r="O40" s="4" t="s">
        <v>71</v>
      </c>
      <c r="P40" s="4" t="s">
        <v>71</v>
      </c>
      <c r="Q40" s="4" t="s">
        <v>47</v>
      </c>
      <c r="R40" s="172"/>
      <c r="S40" s="172"/>
      <c r="T40" s="172"/>
      <c r="U40" s="172"/>
      <c r="V40" s="172"/>
      <c r="W40" s="172"/>
      <c r="X40" s="172"/>
      <c r="Y40" s="172"/>
      <c r="Z40" s="172"/>
    </row>
    <row r="41" spans="1:26" ht="13.8">
      <c r="A41" s="166">
        <v>499</v>
      </c>
      <c r="B41" s="4" t="s">
        <v>5116</v>
      </c>
      <c r="C41" s="4">
        <v>507</v>
      </c>
      <c r="D41" s="4" t="s">
        <v>5117</v>
      </c>
      <c r="E41" s="4" t="s">
        <v>71</v>
      </c>
      <c r="F41" s="4" t="s">
        <v>71</v>
      </c>
      <c r="G41" s="4" t="s">
        <v>5118</v>
      </c>
      <c r="H41" s="4" t="s">
        <v>5119</v>
      </c>
      <c r="I41" s="4" t="s">
        <v>71</v>
      </c>
      <c r="J41" s="4" t="s">
        <v>71</v>
      </c>
      <c r="K41" s="4">
        <v>9810033158</v>
      </c>
      <c r="L41" s="4" t="s">
        <v>5120</v>
      </c>
      <c r="M41" s="4">
        <v>9810033158</v>
      </c>
      <c r="N41" s="4" t="s">
        <v>71</v>
      </c>
      <c r="O41" s="4" t="s">
        <v>71</v>
      </c>
      <c r="P41" s="168" t="s">
        <v>5121</v>
      </c>
      <c r="Q41" s="4" t="s">
        <v>47</v>
      </c>
      <c r="R41" s="172"/>
      <c r="S41" s="172"/>
      <c r="T41" s="172"/>
      <c r="U41" s="172"/>
      <c r="V41" s="172"/>
      <c r="W41" s="172"/>
      <c r="X41" s="172"/>
      <c r="Y41" s="172"/>
      <c r="Z41" s="172"/>
    </row>
    <row r="42" spans="1:26" ht="13.8">
      <c r="A42" s="166">
        <v>500</v>
      </c>
      <c r="B42" s="4" t="s">
        <v>5122</v>
      </c>
      <c r="C42" s="4">
        <v>508</v>
      </c>
      <c r="D42" s="4" t="s">
        <v>5123</v>
      </c>
      <c r="E42" s="4" t="s">
        <v>71</v>
      </c>
      <c r="F42" s="4" t="s">
        <v>5124</v>
      </c>
      <c r="G42" s="4" t="s">
        <v>5125</v>
      </c>
      <c r="H42" s="4" t="s">
        <v>5126</v>
      </c>
      <c r="I42" s="4" t="s">
        <v>71</v>
      </c>
      <c r="J42" s="4" t="s">
        <v>71</v>
      </c>
      <c r="K42" s="4">
        <v>9460544444</v>
      </c>
      <c r="L42" s="4" t="s">
        <v>5127</v>
      </c>
      <c r="M42" s="4">
        <v>9460544444</v>
      </c>
      <c r="N42" s="4" t="s">
        <v>71</v>
      </c>
      <c r="O42" s="4" t="s">
        <v>71</v>
      </c>
      <c r="P42" s="168" t="s">
        <v>5128</v>
      </c>
      <c r="Q42" s="4" t="s">
        <v>47</v>
      </c>
      <c r="R42" s="172"/>
      <c r="S42" s="172"/>
      <c r="T42" s="172"/>
      <c r="U42" s="172"/>
      <c r="V42" s="172"/>
      <c r="W42" s="172"/>
      <c r="X42" s="172"/>
      <c r="Y42" s="172"/>
      <c r="Z42" s="172"/>
    </row>
    <row r="43" spans="1:26" ht="13.8">
      <c r="A43" s="166">
        <v>501</v>
      </c>
      <c r="B43" s="4" t="s">
        <v>5129</v>
      </c>
      <c r="C43" s="4">
        <v>509</v>
      </c>
      <c r="D43" s="4" t="s">
        <v>5130</v>
      </c>
      <c r="E43" s="4" t="s">
        <v>71</v>
      </c>
      <c r="F43" s="4" t="s">
        <v>5124</v>
      </c>
      <c r="G43" s="4" t="s">
        <v>5125</v>
      </c>
      <c r="H43" s="4" t="s">
        <v>5131</v>
      </c>
      <c r="I43" s="4" t="s">
        <v>71</v>
      </c>
      <c r="J43" s="4" t="s">
        <v>71</v>
      </c>
      <c r="K43" s="4">
        <v>9414095266</v>
      </c>
      <c r="L43" s="4" t="s">
        <v>5132</v>
      </c>
      <c r="M43" s="4">
        <v>9414095266</v>
      </c>
      <c r="N43" s="4" t="s">
        <v>71</v>
      </c>
      <c r="O43" s="4" t="s">
        <v>71</v>
      </c>
      <c r="P43" s="168" t="s">
        <v>5128</v>
      </c>
      <c r="Q43" s="4" t="s">
        <v>47</v>
      </c>
      <c r="R43" s="172"/>
      <c r="S43" s="172"/>
      <c r="T43" s="172"/>
      <c r="U43" s="172"/>
      <c r="V43" s="172"/>
      <c r="W43" s="172"/>
      <c r="X43" s="172"/>
      <c r="Y43" s="172"/>
      <c r="Z43" s="172"/>
    </row>
    <row r="44" spans="1:26" ht="13.8">
      <c r="A44" s="166">
        <v>502</v>
      </c>
      <c r="B44" s="4" t="s">
        <v>5133</v>
      </c>
      <c r="C44" s="4">
        <v>510</v>
      </c>
      <c r="D44" s="4" t="s">
        <v>5134</v>
      </c>
      <c r="E44" s="4" t="s">
        <v>71</v>
      </c>
      <c r="F44" s="4" t="s">
        <v>5135</v>
      </c>
      <c r="G44" s="4" t="s">
        <v>5136</v>
      </c>
      <c r="H44" s="4" t="s">
        <v>5137</v>
      </c>
      <c r="I44" s="4" t="s">
        <v>5138</v>
      </c>
      <c r="J44" s="4" t="s">
        <v>71</v>
      </c>
      <c r="K44" s="4">
        <v>9789755333</v>
      </c>
      <c r="L44" s="4" t="s">
        <v>5139</v>
      </c>
      <c r="M44" s="4">
        <v>9789755333</v>
      </c>
      <c r="N44" s="4" t="s">
        <v>71</v>
      </c>
      <c r="O44" s="4" t="s">
        <v>71</v>
      </c>
      <c r="P44" s="168" t="s">
        <v>5140</v>
      </c>
      <c r="Q44" s="4" t="s">
        <v>47</v>
      </c>
      <c r="R44" s="172"/>
      <c r="S44" s="172"/>
      <c r="T44" s="172"/>
      <c r="U44" s="172"/>
      <c r="V44" s="172"/>
      <c r="W44" s="172"/>
      <c r="X44" s="172"/>
      <c r="Y44" s="172"/>
      <c r="Z44" s="172"/>
    </row>
    <row r="45" spans="1:26" ht="13.8">
      <c r="A45" s="166">
        <v>503</v>
      </c>
      <c r="B45" s="4" t="s">
        <v>5141</v>
      </c>
      <c r="C45" s="4">
        <v>511</v>
      </c>
      <c r="D45" s="4" t="s">
        <v>5142</v>
      </c>
      <c r="E45" s="4" t="s">
        <v>71</v>
      </c>
      <c r="F45" s="4" t="s">
        <v>5135</v>
      </c>
      <c r="G45" s="4" t="s">
        <v>5136</v>
      </c>
      <c r="H45" s="4" t="s">
        <v>5143</v>
      </c>
      <c r="I45" s="4" t="s">
        <v>260</v>
      </c>
      <c r="J45" s="4" t="s">
        <v>71</v>
      </c>
      <c r="K45" s="4">
        <v>9790001337</v>
      </c>
      <c r="L45" s="4" t="s">
        <v>5144</v>
      </c>
      <c r="M45" s="4">
        <v>9790001337</v>
      </c>
      <c r="N45" s="4" t="s">
        <v>71</v>
      </c>
      <c r="O45" s="4" t="s">
        <v>71</v>
      </c>
      <c r="P45" s="168" t="s">
        <v>5140</v>
      </c>
      <c r="Q45" s="4" t="s">
        <v>47</v>
      </c>
      <c r="R45" s="172"/>
      <c r="S45" s="172"/>
      <c r="T45" s="172"/>
      <c r="U45" s="172"/>
      <c r="V45" s="172"/>
      <c r="W45" s="172"/>
      <c r="X45" s="172"/>
      <c r="Y45" s="172"/>
      <c r="Z45" s="172"/>
    </row>
    <row r="46" spans="1:26" ht="13.8">
      <c r="A46" s="166">
        <v>504</v>
      </c>
      <c r="B46" s="4" t="s">
        <v>5145</v>
      </c>
      <c r="C46" s="4">
        <v>512</v>
      </c>
      <c r="D46" s="4" t="s">
        <v>71</v>
      </c>
      <c r="E46" s="4" t="s">
        <v>71</v>
      </c>
      <c r="F46" s="4" t="s">
        <v>5135</v>
      </c>
      <c r="G46" s="4" t="s">
        <v>5136</v>
      </c>
      <c r="H46" s="4" t="s">
        <v>5146</v>
      </c>
      <c r="I46" s="4" t="s">
        <v>260</v>
      </c>
      <c r="J46" s="4" t="s">
        <v>71</v>
      </c>
      <c r="K46" s="4">
        <v>9994235533</v>
      </c>
      <c r="L46" s="4" t="s">
        <v>5147</v>
      </c>
      <c r="M46" s="4">
        <v>9994235533</v>
      </c>
      <c r="N46" s="4" t="s">
        <v>71</v>
      </c>
      <c r="O46" s="4" t="s">
        <v>71</v>
      </c>
      <c r="P46" s="168" t="s">
        <v>5140</v>
      </c>
      <c r="Q46" s="4" t="s">
        <v>47</v>
      </c>
      <c r="R46" s="172"/>
      <c r="S46" s="172"/>
      <c r="T46" s="172"/>
      <c r="U46" s="172"/>
      <c r="V46" s="172"/>
      <c r="W46" s="172"/>
      <c r="X46" s="172"/>
      <c r="Y46" s="172"/>
      <c r="Z46" s="172"/>
    </row>
    <row r="47" spans="1:26" ht="13.8">
      <c r="A47" s="166">
        <v>505</v>
      </c>
      <c r="B47" s="4" t="s">
        <v>5148</v>
      </c>
      <c r="C47" s="4">
        <v>513</v>
      </c>
      <c r="D47" s="4" t="s">
        <v>71</v>
      </c>
      <c r="E47" s="4" t="s">
        <v>71</v>
      </c>
      <c r="F47" s="4" t="s">
        <v>5149</v>
      </c>
      <c r="G47" s="4" t="s">
        <v>5150</v>
      </c>
      <c r="H47" s="4" t="s">
        <v>5151</v>
      </c>
      <c r="I47" s="4" t="s">
        <v>71</v>
      </c>
      <c r="J47" s="4" t="s">
        <v>71</v>
      </c>
      <c r="K47" s="4">
        <v>9845268916</v>
      </c>
      <c r="L47" s="4" t="s">
        <v>5152</v>
      </c>
      <c r="M47" s="4">
        <v>9845268916</v>
      </c>
      <c r="N47" s="4" t="s">
        <v>71</v>
      </c>
      <c r="O47" s="4" t="s">
        <v>71</v>
      </c>
      <c r="P47" s="168" t="s">
        <v>5153</v>
      </c>
      <c r="Q47" s="4" t="s">
        <v>47</v>
      </c>
      <c r="R47" s="172"/>
      <c r="S47" s="172"/>
      <c r="T47" s="172"/>
      <c r="U47" s="172"/>
      <c r="V47" s="172"/>
      <c r="W47" s="172"/>
      <c r="X47" s="172"/>
      <c r="Y47" s="172"/>
      <c r="Z47" s="172"/>
    </row>
    <row r="48" spans="1:26" ht="13.8">
      <c r="A48" s="166">
        <v>506</v>
      </c>
      <c r="B48" s="4" t="s">
        <v>5154</v>
      </c>
      <c r="C48" s="4">
        <v>514</v>
      </c>
      <c r="D48" s="4" t="s">
        <v>71</v>
      </c>
      <c r="E48" s="4" t="s">
        <v>71</v>
      </c>
      <c r="F48" s="4" t="s">
        <v>5149</v>
      </c>
      <c r="G48" s="4" t="s">
        <v>5150</v>
      </c>
      <c r="H48" s="4" t="s">
        <v>5155</v>
      </c>
      <c r="I48" s="4" t="s">
        <v>71</v>
      </c>
      <c r="J48" s="4" t="s">
        <v>71</v>
      </c>
      <c r="K48" s="4">
        <v>9742290916</v>
      </c>
      <c r="L48" s="4" t="s">
        <v>5156</v>
      </c>
      <c r="M48" s="4">
        <v>9742290916</v>
      </c>
      <c r="N48" s="4" t="s">
        <v>71</v>
      </c>
      <c r="O48" s="4" t="s">
        <v>71</v>
      </c>
      <c r="P48" s="168" t="s">
        <v>5153</v>
      </c>
      <c r="Q48" s="4" t="s">
        <v>47</v>
      </c>
      <c r="R48" s="172"/>
      <c r="S48" s="172"/>
      <c r="T48" s="172"/>
      <c r="U48" s="172"/>
      <c r="V48" s="172"/>
      <c r="W48" s="172"/>
      <c r="X48" s="172"/>
      <c r="Y48" s="172"/>
      <c r="Z48" s="172"/>
    </row>
    <row r="49" spans="1:26" ht="13.8">
      <c r="A49" s="166">
        <v>507</v>
      </c>
      <c r="B49" s="4" t="s">
        <v>5157</v>
      </c>
      <c r="C49" s="4">
        <v>515</v>
      </c>
      <c r="D49" s="4" t="s">
        <v>5158</v>
      </c>
      <c r="E49" s="4" t="s">
        <v>71</v>
      </c>
      <c r="F49" s="4" t="s">
        <v>71</v>
      </c>
      <c r="G49" s="4" t="s">
        <v>5159</v>
      </c>
      <c r="H49" s="4" t="s">
        <v>5160</v>
      </c>
      <c r="I49" s="4" t="s">
        <v>71</v>
      </c>
      <c r="J49" s="4" t="s">
        <v>71</v>
      </c>
      <c r="K49" s="4">
        <v>9837009555</v>
      </c>
      <c r="L49" s="4" t="s">
        <v>5161</v>
      </c>
      <c r="M49" s="4">
        <v>9837009555</v>
      </c>
      <c r="N49" s="4" t="s">
        <v>71</v>
      </c>
      <c r="O49" s="4" t="s">
        <v>71</v>
      </c>
      <c r="P49" s="4" t="s">
        <v>71</v>
      </c>
      <c r="Q49" s="4" t="s">
        <v>47</v>
      </c>
      <c r="R49" s="172"/>
      <c r="S49" s="172"/>
      <c r="T49" s="172"/>
      <c r="U49" s="172"/>
      <c r="V49" s="172"/>
      <c r="W49" s="172"/>
      <c r="X49" s="172"/>
      <c r="Y49" s="172"/>
      <c r="Z49" s="172"/>
    </row>
    <row r="50" spans="1:26" ht="13.8">
      <c r="A50" s="166">
        <v>508</v>
      </c>
      <c r="B50" s="4" t="s">
        <v>5162</v>
      </c>
      <c r="C50" s="4">
        <v>516</v>
      </c>
      <c r="D50" s="4" t="s">
        <v>5163</v>
      </c>
      <c r="E50" s="4" t="s">
        <v>71</v>
      </c>
      <c r="F50" s="4" t="s">
        <v>5164</v>
      </c>
      <c r="G50" s="4" t="s">
        <v>5165</v>
      </c>
      <c r="H50" s="4" t="s">
        <v>5166</v>
      </c>
      <c r="I50" s="4" t="s">
        <v>71</v>
      </c>
      <c r="J50" s="4" t="s">
        <v>71</v>
      </c>
      <c r="K50" s="4">
        <v>9993077760</v>
      </c>
      <c r="L50" s="4" t="s">
        <v>5167</v>
      </c>
      <c r="M50" s="4">
        <v>9993077760</v>
      </c>
      <c r="N50" s="4" t="s">
        <v>71</v>
      </c>
      <c r="O50" s="4" t="s">
        <v>71</v>
      </c>
      <c r="P50" s="168" t="s">
        <v>5168</v>
      </c>
      <c r="Q50" s="4" t="s">
        <v>47</v>
      </c>
      <c r="R50" s="172"/>
      <c r="S50" s="172"/>
      <c r="T50" s="172"/>
      <c r="U50" s="172"/>
      <c r="V50" s="172"/>
      <c r="W50" s="172"/>
      <c r="X50" s="172"/>
      <c r="Y50" s="172"/>
      <c r="Z50" s="172"/>
    </row>
    <row r="51" spans="1:26" ht="13.8">
      <c r="A51" s="166">
        <v>509</v>
      </c>
      <c r="B51" s="4" t="s">
        <v>5169</v>
      </c>
      <c r="C51" s="4">
        <v>517</v>
      </c>
      <c r="D51" s="4" t="s">
        <v>5170</v>
      </c>
      <c r="E51" s="4" t="s">
        <v>71</v>
      </c>
      <c r="F51" s="4" t="s">
        <v>5164</v>
      </c>
      <c r="G51" s="4" t="s">
        <v>5165</v>
      </c>
      <c r="H51" s="4" t="s">
        <v>5171</v>
      </c>
      <c r="I51" s="4" t="s">
        <v>71</v>
      </c>
      <c r="J51" s="4" t="s">
        <v>71</v>
      </c>
      <c r="K51" s="4">
        <v>9893522611</v>
      </c>
      <c r="L51" s="4" t="s">
        <v>5172</v>
      </c>
      <c r="M51" s="4">
        <v>9893522611</v>
      </c>
      <c r="N51" s="4" t="s">
        <v>71</v>
      </c>
      <c r="O51" s="4" t="s">
        <v>71</v>
      </c>
      <c r="P51" s="168" t="s">
        <v>5168</v>
      </c>
      <c r="Q51" s="4" t="s">
        <v>47</v>
      </c>
      <c r="R51" s="172"/>
      <c r="S51" s="172"/>
      <c r="T51" s="172"/>
      <c r="U51" s="172"/>
      <c r="V51" s="172"/>
      <c r="W51" s="172"/>
      <c r="X51" s="172"/>
      <c r="Y51" s="172"/>
      <c r="Z51" s="172"/>
    </row>
    <row r="52" spans="1:26" ht="13.8">
      <c r="A52" s="166">
        <v>510</v>
      </c>
      <c r="B52" s="4" t="s">
        <v>5173</v>
      </c>
      <c r="C52" s="4">
        <v>518</v>
      </c>
      <c r="D52" s="4" t="s">
        <v>5174</v>
      </c>
      <c r="E52" s="4" t="s">
        <v>71</v>
      </c>
      <c r="F52" s="4" t="s">
        <v>5164</v>
      </c>
      <c r="G52" s="4" t="s">
        <v>5165</v>
      </c>
      <c r="H52" s="4" t="s">
        <v>5175</v>
      </c>
      <c r="I52" s="4" t="s">
        <v>71</v>
      </c>
      <c r="J52" s="4" t="s">
        <v>71</v>
      </c>
      <c r="K52" s="4">
        <v>9328262681</v>
      </c>
      <c r="L52" s="4" t="s">
        <v>5176</v>
      </c>
      <c r="M52" s="4">
        <v>9328262681</v>
      </c>
      <c r="N52" s="4" t="s">
        <v>71</v>
      </c>
      <c r="O52" s="4" t="s">
        <v>71</v>
      </c>
      <c r="P52" s="168" t="s">
        <v>5168</v>
      </c>
      <c r="Q52" s="4" t="s">
        <v>47</v>
      </c>
      <c r="R52" s="172"/>
      <c r="S52" s="172"/>
      <c r="T52" s="172"/>
      <c r="U52" s="172"/>
      <c r="V52" s="172"/>
      <c r="W52" s="172"/>
      <c r="X52" s="172"/>
      <c r="Y52" s="172"/>
      <c r="Z52" s="172"/>
    </row>
    <row r="53" spans="1:26" ht="13.8">
      <c r="A53" s="166">
        <v>511</v>
      </c>
      <c r="B53" s="4" t="s">
        <v>5177</v>
      </c>
      <c r="C53" s="4">
        <v>519</v>
      </c>
      <c r="D53" s="4" t="s">
        <v>5178</v>
      </c>
      <c r="E53" s="4" t="s">
        <v>71</v>
      </c>
      <c r="F53" s="4" t="s">
        <v>5164</v>
      </c>
      <c r="G53" s="4" t="s">
        <v>5165</v>
      </c>
      <c r="H53" s="4" t="s">
        <v>5179</v>
      </c>
      <c r="I53" s="4" t="s">
        <v>71</v>
      </c>
      <c r="J53" s="4" t="s">
        <v>71</v>
      </c>
      <c r="K53" s="4">
        <v>9993839644</v>
      </c>
      <c r="L53" s="4" t="s">
        <v>5180</v>
      </c>
      <c r="M53" s="4">
        <v>9993839644</v>
      </c>
      <c r="N53" s="4" t="s">
        <v>71</v>
      </c>
      <c r="O53" s="4" t="s">
        <v>71</v>
      </c>
      <c r="P53" s="168" t="s">
        <v>5168</v>
      </c>
      <c r="Q53" s="4" t="s">
        <v>47</v>
      </c>
      <c r="R53" s="172"/>
      <c r="S53" s="172"/>
      <c r="T53" s="172"/>
      <c r="U53" s="172"/>
      <c r="V53" s="172"/>
      <c r="W53" s="172"/>
      <c r="X53" s="172"/>
      <c r="Y53" s="172"/>
      <c r="Z53" s="172"/>
    </row>
    <row r="54" spans="1:26" ht="13.8">
      <c r="A54" s="166">
        <v>512</v>
      </c>
      <c r="B54" s="4" t="s">
        <v>5181</v>
      </c>
      <c r="C54" s="4">
        <v>520</v>
      </c>
      <c r="D54" s="4" t="s">
        <v>5182</v>
      </c>
      <c r="E54" s="4" t="s">
        <v>71</v>
      </c>
      <c r="F54" s="4" t="s">
        <v>71</v>
      </c>
      <c r="G54" s="4" t="s">
        <v>5183</v>
      </c>
      <c r="H54" s="4" t="s">
        <v>5184</v>
      </c>
      <c r="I54" s="4" t="s">
        <v>71</v>
      </c>
      <c r="J54" s="4" t="s">
        <v>71</v>
      </c>
      <c r="K54" s="4">
        <v>9844142313</v>
      </c>
      <c r="L54" s="4" t="s">
        <v>5185</v>
      </c>
      <c r="M54" s="4">
        <v>9844142313</v>
      </c>
      <c r="N54" s="4" t="s">
        <v>71</v>
      </c>
      <c r="O54" s="4" t="s">
        <v>71</v>
      </c>
      <c r="P54" s="4" t="s">
        <v>71</v>
      </c>
      <c r="Q54" s="4" t="s">
        <v>47</v>
      </c>
      <c r="R54" s="172"/>
      <c r="S54" s="172"/>
      <c r="T54" s="172"/>
      <c r="U54" s="172"/>
      <c r="V54" s="172"/>
      <c r="W54" s="172"/>
      <c r="X54" s="172"/>
      <c r="Y54" s="172"/>
      <c r="Z54" s="172"/>
    </row>
    <row r="55" spans="1:26" ht="13.8">
      <c r="A55" s="166">
        <v>513</v>
      </c>
      <c r="B55" s="4" t="s">
        <v>5186</v>
      </c>
      <c r="C55" s="4">
        <v>521</v>
      </c>
      <c r="D55" s="4" t="s">
        <v>5187</v>
      </c>
      <c r="E55" s="4" t="s">
        <v>71</v>
      </c>
      <c r="F55" s="4" t="s">
        <v>5188</v>
      </c>
      <c r="G55" s="4" t="s">
        <v>5189</v>
      </c>
      <c r="H55" s="4" t="s">
        <v>5190</v>
      </c>
      <c r="I55" s="4" t="s">
        <v>71</v>
      </c>
      <c r="J55" s="4" t="s">
        <v>71</v>
      </c>
      <c r="K55" s="4">
        <v>9799622622</v>
      </c>
      <c r="L55" s="4" t="s">
        <v>5191</v>
      </c>
      <c r="M55" s="4">
        <v>9799622622</v>
      </c>
      <c r="N55" s="4" t="s">
        <v>71</v>
      </c>
      <c r="O55" s="4" t="s">
        <v>71</v>
      </c>
      <c r="P55" s="168" t="s">
        <v>5192</v>
      </c>
      <c r="Q55" s="4" t="s">
        <v>47</v>
      </c>
      <c r="R55" s="172"/>
      <c r="S55" s="172"/>
      <c r="T55" s="172"/>
      <c r="U55" s="172"/>
      <c r="V55" s="172"/>
      <c r="W55" s="172"/>
      <c r="X55" s="172"/>
      <c r="Y55" s="172"/>
      <c r="Z55" s="172"/>
    </row>
    <row r="56" spans="1:26" ht="13.8">
      <c r="A56" s="166">
        <v>514</v>
      </c>
      <c r="B56" s="4" t="s">
        <v>5193</v>
      </c>
      <c r="C56" s="4">
        <v>522</v>
      </c>
      <c r="D56" s="4" t="s">
        <v>5194</v>
      </c>
      <c r="E56" s="4" t="s">
        <v>71</v>
      </c>
      <c r="F56" s="4" t="s">
        <v>5195</v>
      </c>
      <c r="G56" s="4" t="s">
        <v>5189</v>
      </c>
      <c r="H56" s="4" t="s">
        <v>5196</v>
      </c>
      <c r="I56" s="4" t="s">
        <v>71</v>
      </c>
      <c r="J56" s="4" t="s">
        <v>71</v>
      </c>
      <c r="K56" s="4">
        <v>8952020201</v>
      </c>
      <c r="L56" s="4" t="s">
        <v>5197</v>
      </c>
      <c r="M56" s="4">
        <v>8952020201</v>
      </c>
      <c r="N56" s="4" t="s">
        <v>71</v>
      </c>
      <c r="O56" s="4" t="s">
        <v>71</v>
      </c>
      <c r="P56" s="168" t="s">
        <v>5192</v>
      </c>
      <c r="Q56" s="4" t="s">
        <v>47</v>
      </c>
      <c r="R56" s="172"/>
      <c r="S56" s="172"/>
      <c r="T56" s="172"/>
      <c r="U56" s="172"/>
      <c r="V56" s="172"/>
      <c r="W56" s="172"/>
      <c r="X56" s="172"/>
      <c r="Y56" s="172"/>
      <c r="Z56" s="172"/>
    </row>
    <row r="57" spans="1:26" ht="13.8">
      <c r="A57" s="166">
        <v>515</v>
      </c>
      <c r="B57" s="4" t="s">
        <v>5198</v>
      </c>
      <c r="C57" s="4">
        <v>523</v>
      </c>
      <c r="D57" s="4" t="s">
        <v>5199</v>
      </c>
      <c r="E57" s="4" t="s">
        <v>71</v>
      </c>
      <c r="F57" s="4" t="s">
        <v>71</v>
      </c>
      <c r="G57" s="4" t="s">
        <v>5200</v>
      </c>
      <c r="H57" s="4" t="s">
        <v>5201</v>
      </c>
      <c r="I57" s="4" t="s">
        <v>71</v>
      </c>
      <c r="J57" s="4" t="s">
        <v>71</v>
      </c>
      <c r="K57" s="4">
        <v>9713276000</v>
      </c>
      <c r="L57" s="4" t="s">
        <v>5202</v>
      </c>
      <c r="M57" s="4">
        <v>9713276000</v>
      </c>
      <c r="N57" s="4" t="s">
        <v>71</v>
      </c>
      <c r="O57" s="4" t="s">
        <v>71</v>
      </c>
      <c r="P57" s="4" t="s">
        <v>71</v>
      </c>
      <c r="Q57" s="4" t="s">
        <v>47</v>
      </c>
      <c r="R57" s="172"/>
      <c r="S57" s="172"/>
      <c r="T57" s="172"/>
      <c r="U57" s="172"/>
      <c r="V57" s="172"/>
      <c r="W57" s="172"/>
      <c r="X57" s="172"/>
      <c r="Y57" s="172"/>
      <c r="Z57" s="172"/>
    </row>
    <row r="58" spans="1:26" ht="13.8">
      <c r="A58" s="166">
        <v>516</v>
      </c>
      <c r="B58" s="4" t="s">
        <v>5203</v>
      </c>
      <c r="C58" s="4">
        <v>524</v>
      </c>
      <c r="D58" s="4" t="s">
        <v>71</v>
      </c>
      <c r="E58" s="4" t="s">
        <v>71</v>
      </c>
      <c r="F58" s="4" t="s">
        <v>5204</v>
      </c>
      <c r="G58" s="4" t="s">
        <v>5205</v>
      </c>
      <c r="H58" s="4" t="s">
        <v>5206</v>
      </c>
      <c r="I58" s="4" t="s">
        <v>71</v>
      </c>
      <c r="J58" s="4" t="s">
        <v>71</v>
      </c>
      <c r="K58" s="4">
        <v>9820643678</v>
      </c>
      <c r="L58" s="4" t="s">
        <v>5207</v>
      </c>
      <c r="M58" s="4">
        <v>9820643678</v>
      </c>
      <c r="N58" s="4" t="s">
        <v>71</v>
      </c>
      <c r="O58" s="4" t="s">
        <v>71</v>
      </c>
      <c r="P58" s="168" t="s">
        <v>5208</v>
      </c>
      <c r="Q58" s="4" t="s">
        <v>47</v>
      </c>
      <c r="R58" s="172"/>
      <c r="S58" s="172"/>
      <c r="T58" s="172"/>
      <c r="U58" s="172"/>
      <c r="V58" s="172"/>
      <c r="W58" s="172"/>
      <c r="X58" s="172"/>
      <c r="Y58" s="172"/>
      <c r="Z58" s="172"/>
    </row>
    <row r="59" spans="1:26" ht="13.8">
      <c r="A59" s="166">
        <v>517</v>
      </c>
      <c r="B59" s="4" t="s">
        <v>5209</v>
      </c>
      <c r="C59" s="4">
        <v>525</v>
      </c>
      <c r="D59" s="4" t="s">
        <v>71</v>
      </c>
      <c r="E59" s="4" t="s">
        <v>71</v>
      </c>
      <c r="F59" s="4" t="s">
        <v>5204</v>
      </c>
      <c r="G59" s="4" t="s">
        <v>5205</v>
      </c>
      <c r="H59" s="4" t="s">
        <v>5210</v>
      </c>
      <c r="I59" s="4" t="s">
        <v>71</v>
      </c>
      <c r="J59" s="4" t="s">
        <v>71</v>
      </c>
      <c r="K59" s="4">
        <v>9820503678</v>
      </c>
      <c r="L59" s="4" t="s">
        <v>5211</v>
      </c>
      <c r="M59" s="4">
        <v>9820503678</v>
      </c>
      <c r="N59" s="4" t="s">
        <v>71</v>
      </c>
      <c r="O59" s="4" t="s">
        <v>71</v>
      </c>
      <c r="P59" s="168" t="s">
        <v>5208</v>
      </c>
      <c r="Q59" s="4" t="s">
        <v>47</v>
      </c>
      <c r="R59" s="172"/>
      <c r="S59" s="172"/>
      <c r="T59" s="172"/>
      <c r="U59" s="172"/>
      <c r="V59" s="172"/>
      <c r="W59" s="172"/>
      <c r="X59" s="172"/>
      <c r="Y59" s="172"/>
      <c r="Z59" s="172"/>
    </row>
    <row r="60" spans="1:26" ht="13.8">
      <c r="A60" s="166">
        <v>518</v>
      </c>
      <c r="B60" s="4" t="s">
        <v>5212</v>
      </c>
      <c r="C60" s="4">
        <v>526</v>
      </c>
      <c r="D60" s="4" t="s">
        <v>71</v>
      </c>
      <c r="E60" s="4" t="s">
        <v>71</v>
      </c>
      <c r="F60" s="4" t="s">
        <v>5213</v>
      </c>
      <c r="G60" s="4" t="s">
        <v>5214</v>
      </c>
      <c r="H60" s="4" t="s">
        <v>5215</v>
      </c>
      <c r="I60" s="4" t="s">
        <v>71</v>
      </c>
      <c r="J60" s="4" t="s">
        <v>71</v>
      </c>
      <c r="K60" s="4">
        <v>9748703730</v>
      </c>
      <c r="L60" s="4" t="s">
        <v>5216</v>
      </c>
      <c r="M60" s="4">
        <v>9748703730</v>
      </c>
      <c r="N60" s="4" t="s">
        <v>71</v>
      </c>
      <c r="O60" s="4" t="s">
        <v>71</v>
      </c>
      <c r="P60" s="4" t="s">
        <v>71</v>
      </c>
      <c r="Q60" s="4" t="s">
        <v>47</v>
      </c>
      <c r="R60" s="172"/>
      <c r="S60" s="172"/>
      <c r="T60" s="172"/>
      <c r="U60" s="172"/>
      <c r="V60" s="172"/>
      <c r="W60" s="172"/>
      <c r="X60" s="172"/>
      <c r="Y60" s="172"/>
      <c r="Z60" s="172"/>
    </row>
    <row r="61" spans="1:26" ht="13.8">
      <c r="A61" s="166">
        <v>519</v>
      </c>
      <c r="B61" s="4" t="s">
        <v>5217</v>
      </c>
      <c r="C61" s="4">
        <v>527</v>
      </c>
      <c r="D61" s="4" t="s">
        <v>71</v>
      </c>
      <c r="E61" s="4" t="s">
        <v>71</v>
      </c>
      <c r="F61" s="4" t="s">
        <v>5213</v>
      </c>
      <c r="G61" s="4" t="s">
        <v>5214</v>
      </c>
      <c r="H61" s="4" t="s">
        <v>5218</v>
      </c>
      <c r="I61" s="4" t="s">
        <v>71</v>
      </c>
      <c r="J61" s="4" t="s">
        <v>71</v>
      </c>
      <c r="K61" s="4">
        <v>1711549640</v>
      </c>
      <c r="L61" s="4" t="s">
        <v>5219</v>
      </c>
      <c r="M61" s="4">
        <v>1711549640</v>
      </c>
      <c r="N61" s="4" t="s">
        <v>71</v>
      </c>
      <c r="O61" s="4" t="s">
        <v>71</v>
      </c>
      <c r="P61" s="4" t="s">
        <v>71</v>
      </c>
      <c r="Q61" s="4" t="s">
        <v>47</v>
      </c>
      <c r="R61" s="172"/>
      <c r="S61" s="172"/>
      <c r="T61" s="172"/>
      <c r="U61" s="172"/>
      <c r="V61" s="172"/>
      <c r="W61" s="172"/>
      <c r="X61" s="172"/>
      <c r="Y61" s="172"/>
      <c r="Z61" s="172"/>
    </row>
    <row r="62" spans="1:26" ht="13.8">
      <c r="A62" s="166">
        <v>520</v>
      </c>
      <c r="B62" s="4" t="s">
        <v>5220</v>
      </c>
      <c r="C62" s="4">
        <v>528</v>
      </c>
      <c r="D62" s="4" t="s">
        <v>71</v>
      </c>
      <c r="E62" s="4" t="s">
        <v>71</v>
      </c>
      <c r="F62" s="4" t="s">
        <v>5221</v>
      </c>
      <c r="G62" s="4" t="s">
        <v>5222</v>
      </c>
      <c r="H62" s="4" t="s">
        <v>5223</v>
      </c>
      <c r="I62" s="4" t="s">
        <v>71</v>
      </c>
      <c r="J62" s="4" t="s">
        <v>71</v>
      </c>
      <c r="K62" s="4">
        <v>9810020954</v>
      </c>
      <c r="L62" s="4" t="s">
        <v>5224</v>
      </c>
      <c r="M62" s="4">
        <v>9810020954</v>
      </c>
      <c r="N62" s="4" t="s">
        <v>71</v>
      </c>
      <c r="O62" s="4" t="s">
        <v>71</v>
      </c>
      <c r="P62" s="168" t="s">
        <v>5225</v>
      </c>
      <c r="Q62" s="4" t="s">
        <v>47</v>
      </c>
      <c r="R62" s="172"/>
      <c r="S62" s="172"/>
      <c r="T62" s="172"/>
      <c r="U62" s="172"/>
      <c r="V62" s="172"/>
      <c r="W62" s="172"/>
      <c r="X62" s="172"/>
      <c r="Y62" s="172"/>
      <c r="Z62" s="172"/>
    </row>
    <row r="63" spans="1:26" ht="13.8">
      <c r="A63" s="166">
        <v>521</v>
      </c>
      <c r="B63" s="4" t="s">
        <v>5226</v>
      </c>
      <c r="C63" s="4">
        <v>529</v>
      </c>
      <c r="D63" s="4" t="s">
        <v>71</v>
      </c>
      <c r="E63" s="4" t="s">
        <v>71</v>
      </c>
      <c r="F63" s="4" t="s">
        <v>5221</v>
      </c>
      <c r="G63" s="4" t="s">
        <v>5222</v>
      </c>
      <c r="H63" s="4" t="s">
        <v>5227</v>
      </c>
      <c r="I63" s="4" t="s">
        <v>71</v>
      </c>
      <c r="J63" s="4" t="s">
        <v>71</v>
      </c>
      <c r="K63" s="4">
        <v>9810620954</v>
      </c>
      <c r="L63" s="4" t="s">
        <v>5228</v>
      </c>
      <c r="M63" s="4">
        <v>9810620954</v>
      </c>
      <c r="N63" s="4" t="s">
        <v>71</v>
      </c>
      <c r="O63" s="4" t="s">
        <v>71</v>
      </c>
      <c r="P63" s="168" t="s">
        <v>5225</v>
      </c>
      <c r="Q63" s="4" t="s">
        <v>47</v>
      </c>
      <c r="R63" s="172"/>
      <c r="S63" s="172"/>
      <c r="T63" s="172"/>
      <c r="U63" s="172"/>
      <c r="V63" s="172"/>
      <c r="W63" s="172"/>
      <c r="X63" s="172"/>
      <c r="Y63" s="172"/>
      <c r="Z63" s="172"/>
    </row>
    <row r="64" spans="1:26" ht="13.8">
      <c r="A64" s="166">
        <v>522</v>
      </c>
      <c r="B64" s="4" t="s">
        <v>5229</v>
      </c>
      <c r="C64" s="4">
        <v>530</v>
      </c>
      <c r="D64" s="4" t="s">
        <v>71</v>
      </c>
      <c r="E64" s="4" t="s">
        <v>71</v>
      </c>
      <c r="F64" s="4" t="s">
        <v>71</v>
      </c>
      <c r="G64" s="4" t="s">
        <v>5230</v>
      </c>
      <c r="H64" s="4" t="s">
        <v>5231</v>
      </c>
      <c r="I64" s="4" t="s">
        <v>71</v>
      </c>
      <c r="J64" s="4" t="s">
        <v>71</v>
      </c>
      <c r="K64" s="4">
        <v>9837030863</v>
      </c>
      <c r="L64" s="4" t="s">
        <v>5232</v>
      </c>
      <c r="M64" s="4">
        <v>9837030863</v>
      </c>
      <c r="N64" s="4" t="s">
        <v>71</v>
      </c>
      <c r="O64" s="4" t="s">
        <v>71</v>
      </c>
      <c r="P64" s="4" t="s">
        <v>71</v>
      </c>
      <c r="Q64" s="4" t="s">
        <v>47</v>
      </c>
      <c r="R64" s="172"/>
      <c r="S64" s="172"/>
      <c r="T64" s="172"/>
      <c r="U64" s="172"/>
      <c r="V64" s="172"/>
      <c r="W64" s="172"/>
      <c r="X64" s="172"/>
      <c r="Y64" s="172"/>
      <c r="Z64" s="172"/>
    </row>
    <row r="65" spans="1:26" ht="13.8">
      <c r="A65" s="166">
        <v>523</v>
      </c>
      <c r="B65" s="4" t="s">
        <v>5233</v>
      </c>
      <c r="C65" s="4">
        <v>531</v>
      </c>
      <c r="D65" s="4" t="s">
        <v>71</v>
      </c>
      <c r="E65" s="4" t="s">
        <v>71</v>
      </c>
      <c r="F65" s="4" t="s">
        <v>5234</v>
      </c>
      <c r="G65" s="4" t="s">
        <v>5235</v>
      </c>
      <c r="H65" s="4" t="s">
        <v>5236</v>
      </c>
      <c r="I65" s="4" t="s">
        <v>71</v>
      </c>
      <c r="J65" s="4" t="s">
        <v>71</v>
      </c>
      <c r="K65" s="4">
        <v>9935505051</v>
      </c>
      <c r="L65" s="4" t="s">
        <v>5237</v>
      </c>
      <c r="M65" s="4">
        <v>9935505051</v>
      </c>
      <c r="N65" s="4" t="s">
        <v>71</v>
      </c>
      <c r="O65" s="4" t="s">
        <v>71</v>
      </c>
      <c r="P65" s="168" t="s">
        <v>5238</v>
      </c>
      <c r="Q65" s="4" t="s">
        <v>47</v>
      </c>
      <c r="R65" s="172"/>
      <c r="S65" s="172"/>
      <c r="T65" s="172"/>
      <c r="U65" s="172"/>
      <c r="V65" s="172"/>
      <c r="W65" s="172"/>
      <c r="X65" s="172"/>
      <c r="Y65" s="172"/>
      <c r="Z65" s="172"/>
    </row>
    <row r="66" spans="1:26" ht="13.8">
      <c r="A66" s="166">
        <v>524</v>
      </c>
      <c r="B66" s="4" t="s">
        <v>5239</v>
      </c>
      <c r="C66" s="4">
        <v>532</v>
      </c>
      <c r="D66" s="4" t="s">
        <v>71</v>
      </c>
      <c r="E66" s="4" t="s">
        <v>71</v>
      </c>
      <c r="F66" s="4" t="s">
        <v>5234</v>
      </c>
      <c r="G66" s="4" t="s">
        <v>5235</v>
      </c>
      <c r="H66" s="4" t="s">
        <v>5240</v>
      </c>
      <c r="I66" s="4" t="s">
        <v>71</v>
      </c>
      <c r="J66" s="4" t="s">
        <v>71</v>
      </c>
      <c r="K66" s="4">
        <v>9935888882</v>
      </c>
      <c r="L66" s="4" t="s">
        <v>5241</v>
      </c>
      <c r="M66" s="4">
        <v>9935888882</v>
      </c>
      <c r="N66" s="4" t="s">
        <v>71</v>
      </c>
      <c r="O66" s="4" t="s">
        <v>71</v>
      </c>
      <c r="P66" s="168" t="s">
        <v>5238</v>
      </c>
      <c r="Q66" s="4" t="s">
        <v>47</v>
      </c>
      <c r="R66" s="172"/>
      <c r="S66" s="172"/>
      <c r="T66" s="172"/>
      <c r="U66" s="172"/>
      <c r="V66" s="172"/>
      <c r="W66" s="172"/>
      <c r="X66" s="172"/>
      <c r="Y66" s="172"/>
      <c r="Z66" s="172"/>
    </row>
    <row r="67" spans="1:26" ht="13.8">
      <c r="A67" s="166">
        <v>525</v>
      </c>
      <c r="B67" s="4" t="s">
        <v>5242</v>
      </c>
      <c r="C67" s="4">
        <v>533</v>
      </c>
      <c r="D67" s="4" t="s">
        <v>71</v>
      </c>
      <c r="E67" s="4" t="s">
        <v>71</v>
      </c>
      <c r="F67" s="4" t="s">
        <v>5243</v>
      </c>
      <c r="G67" s="4" t="s">
        <v>5244</v>
      </c>
      <c r="H67" s="4" t="s">
        <v>5245</v>
      </c>
      <c r="I67" s="4" t="s">
        <v>71</v>
      </c>
      <c r="J67" s="4" t="s">
        <v>71</v>
      </c>
      <c r="K67" s="4">
        <v>9823069608</v>
      </c>
      <c r="L67" s="4" t="s">
        <v>5246</v>
      </c>
      <c r="M67" s="4">
        <v>9823069608</v>
      </c>
      <c r="N67" s="4" t="s">
        <v>71</v>
      </c>
      <c r="O67" s="4" t="s">
        <v>71</v>
      </c>
      <c r="P67" s="168" t="s">
        <v>5247</v>
      </c>
      <c r="Q67" s="4" t="s">
        <v>47</v>
      </c>
      <c r="R67" s="172"/>
      <c r="S67" s="172"/>
      <c r="T67" s="172"/>
      <c r="U67" s="172"/>
      <c r="V67" s="172"/>
      <c r="W67" s="172"/>
      <c r="X67" s="172"/>
      <c r="Y67" s="172"/>
      <c r="Z67" s="172"/>
    </row>
    <row r="68" spans="1:26" ht="13.8">
      <c r="A68" s="166">
        <v>526</v>
      </c>
      <c r="B68" s="4" t="s">
        <v>5248</v>
      </c>
      <c r="C68" s="4">
        <v>534</v>
      </c>
      <c r="D68" s="4" t="s">
        <v>71</v>
      </c>
      <c r="E68" s="4" t="s">
        <v>71</v>
      </c>
      <c r="F68" s="4" t="s">
        <v>5243</v>
      </c>
      <c r="G68" s="4" t="s">
        <v>5244</v>
      </c>
      <c r="H68" s="4" t="s">
        <v>5249</v>
      </c>
      <c r="I68" s="4" t="s">
        <v>71</v>
      </c>
      <c r="J68" s="4" t="s">
        <v>71</v>
      </c>
      <c r="K68" s="4">
        <v>9823249608</v>
      </c>
      <c r="L68" s="4" t="s">
        <v>5250</v>
      </c>
      <c r="M68" s="4">
        <v>9823249608</v>
      </c>
      <c r="N68" s="4" t="s">
        <v>71</v>
      </c>
      <c r="O68" s="4" t="s">
        <v>71</v>
      </c>
      <c r="P68" s="168" t="s">
        <v>5247</v>
      </c>
      <c r="Q68" s="4" t="s">
        <v>47</v>
      </c>
      <c r="R68" s="172"/>
      <c r="S68" s="172"/>
      <c r="T68" s="172"/>
      <c r="U68" s="172"/>
      <c r="V68" s="172"/>
      <c r="W68" s="172"/>
      <c r="X68" s="172"/>
      <c r="Y68" s="172"/>
      <c r="Z68" s="172"/>
    </row>
    <row r="69" spans="1:26" ht="13.8">
      <c r="A69" s="166">
        <v>527</v>
      </c>
      <c r="B69" s="4" t="s">
        <v>5251</v>
      </c>
      <c r="C69" s="4">
        <v>535</v>
      </c>
      <c r="D69" s="4" t="s">
        <v>71</v>
      </c>
      <c r="E69" s="4" t="s">
        <v>71</v>
      </c>
      <c r="F69" s="4" t="s">
        <v>5252</v>
      </c>
      <c r="G69" s="4" t="s">
        <v>5253</v>
      </c>
      <c r="H69" s="4" t="s">
        <v>5254</v>
      </c>
      <c r="I69" s="4" t="s">
        <v>71</v>
      </c>
      <c r="J69" s="4" t="s">
        <v>71</v>
      </c>
      <c r="K69" s="4">
        <v>9673149608</v>
      </c>
      <c r="L69" s="4" t="s">
        <v>5255</v>
      </c>
      <c r="M69" s="4">
        <v>9673149608</v>
      </c>
      <c r="N69" s="4" t="s">
        <v>71</v>
      </c>
      <c r="O69" s="4" t="s">
        <v>71</v>
      </c>
      <c r="P69" s="168" t="s">
        <v>5256</v>
      </c>
      <c r="Q69" s="4" t="s">
        <v>47</v>
      </c>
      <c r="R69" s="172"/>
      <c r="S69" s="172"/>
      <c r="T69" s="172"/>
      <c r="U69" s="172"/>
      <c r="V69" s="172"/>
      <c r="W69" s="172"/>
      <c r="X69" s="172"/>
      <c r="Y69" s="172"/>
      <c r="Z69" s="172"/>
    </row>
    <row r="70" spans="1:26" ht="13.8">
      <c r="A70" s="166">
        <v>528</v>
      </c>
      <c r="B70" s="4" t="s">
        <v>5257</v>
      </c>
      <c r="C70" s="4">
        <v>536</v>
      </c>
      <c r="D70" s="4" t="s">
        <v>71</v>
      </c>
      <c r="E70" s="4" t="s">
        <v>71</v>
      </c>
      <c r="F70" s="4" t="s">
        <v>71</v>
      </c>
      <c r="G70" s="4" t="s">
        <v>5258</v>
      </c>
      <c r="H70" s="4" t="s">
        <v>5259</v>
      </c>
      <c r="I70" s="4" t="s">
        <v>71</v>
      </c>
      <c r="J70" s="4" t="s">
        <v>71</v>
      </c>
      <c r="K70" s="4">
        <v>9548523999</v>
      </c>
      <c r="L70" s="4" t="s">
        <v>5260</v>
      </c>
      <c r="M70" s="4">
        <v>9548523999</v>
      </c>
      <c r="N70" s="4" t="s">
        <v>71</v>
      </c>
      <c r="O70" s="4" t="s">
        <v>71</v>
      </c>
      <c r="P70" s="4" t="s">
        <v>71</v>
      </c>
      <c r="Q70" s="4" t="s">
        <v>47</v>
      </c>
      <c r="R70" s="172"/>
      <c r="S70" s="172"/>
      <c r="T70" s="172"/>
      <c r="U70" s="172"/>
      <c r="V70" s="172"/>
      <c r="W70" s="172"/>
      <c r="X70" s="172"/>
      <c r="Y70" s="172"/>
      <c r="Z70" s="172"/>
    </row>
    <row r="71" spans="1:26" ht="13.8">
      <c r="A71" s="166">
        <v>529</v>
      </c>
      <c r="B71" s="4" t="s">
        <v>5261</v>
      </c>
      <c r="C71" s="4">
        <v>537</v>
      </c>
      <c r="D71" s="4" t="s">
        <v>71</v>
      </c>
      <c r="E71" s="4" t="s">
        <v>71</v>
      </c>
      <c r="F71" s="4" t="s">
        <v>71</v>
      </c>
      <c r="G71" s="4" t="s">
        <v>5258</v>
      </c>
      <c r="H71" s="4" t="s">
        <v>5262</v>
      </c>
      <c r="I71" s="4" t="s">
        <v>71</v>
      </c>
      <c r="J71" s="4" t="s">
        <v>71</v>
      </c>
      <c r="K71" s="4">
        <v>9897693624</v>
      </c>
      <c r="L71" s="4" t="s">
        <v>5263</v>
      </c>
      <c r="M71" s="4">
        <v>9897693624</v>
      </c>
      <c r="N71" s="4" t="s">
        <v>71</v>
      </c>
      <c r="O71" s="4" t="s">
        <v>71</v>
      </c>
      <c r="P71" s="4" t="s">
        <v>71</v>
      </c>
      <c r="Q71" s="4" t="s">
        <v>47</v>
      </c>
      <c r="R71" s="172"/>
      <c r="S71" s="172"/>
      <c r="T71" s="172"/>
      <c r="U71" s="172"/>
      <c r="V71" s="172"/>
      <c r="W71" s="172"/>
      <c r="X71" s="172"/>
      <c r="Y71" s="172"/>
      <c r="Z71" s="172"/>
    </row>
    <row r="72" spans="1:26" ht="13.8">
      <c r="A72" s="166">
        <v>530</v>
      </c>
      <c r="B72" s="4" t="s">
        <v>5264</v>
      </c>
      <c r="C72" s="4">
        <v>538</v>
      </c>
      <c r="D72" s="4" t="s">
        <v>71</v>
      </c>
      <c r="E72" s="4" t="s">
        <v>71</v>
      </c>
      <c r="F72" s="4" t="s">
        <v>71</v>
      </c>
      <c r="G72" s="4" t="s">
        <v>5265</v>
      </c>
      <c r="H72" s="4" t="s">
        <v>5266</v>
      </c>
      <c r="I72" s="4" t="s">
        <v>71</v>
      </c>
      <c r="J72" s="4" t="s">
        <v>71</v>
      </c>
      <c r="K72" s="4">
        <v>9678068920</v>
      </c>
      <c r="L72" s="4" t="s">
        <v>5267</v>
      </c>
      <c r="M72" s="4">
        <v>9678068920</v>
      </c>
      <c r="N72" s="4" t="s">
        <v>71</v>
      </c>
      <c r="O72" s="4" t="s">
        <v>71</v>
      </c>
      <c r="P72" s="168" t="s">
        <v>5268</v>
      </c>
      <c r="Q72" s="4" t="s">
        <v>47</v>
      </c>
      <c r="R72" s="172"/>
      <c r="S72" s="172"/>
      <c r="T72" s="172"/>
      <c r="U72" s="172"/>
      <c r="V72" s="172"/>
      <c r="W72" s="172"/>
      <c r="X72" s="172"/>
      <c r="Y72" s="172"/>
      <c r="Z72" s="172"/>
    </row>
    <row r="73" spans="1:26" ht="13.8">
      <c r="A73" s="166">
        <v>531</v>
      </c>
      <c r="B73" s="4" t="s">
        <v>5269</v>
      </c>
      <c r="C73" s="4">
        <v>539</v>
      </c>
      <c r="D73" s="4" t="s">
        <v>71</v>
      </c>
      <c r="E73" s="4" t="s">
        <v>71</v>
      </c>
      <c r="F73" s="4" t="s">
        <v>71</v>
      </c>
      <c r="G73" s="4" t="s">
        <v>5270</v>
      </c>
      <c r="H73" s="4" t="s">
        <v>5271</v>
      </c>
      <c r="I73" s="4" t="s">
        <v>71</v>
      </c>
      <c r="J73" s="4" t="s">
        <v>71</v>
      </c>
      <c r="K73" s="4">
        <v>9835038979</v>
      </c>
      <c r="L73" s="4" t="s">
        <v>5272</v>
      </c>
      <c r="M73" s="4">
        <v>9835038979</v>
      </c>
      <c r="N73" s="4" t="s">
        <v>71</v>
      </c>
      <c r="O73" s="4" t="s">
        <v>71</v>
      </c>
      <c r="P73" s="168" t="s">
        <v>5273</v>
      </c>
      <c r="Q73" s="4" t="s">
        <v>47</v>
      </c>
      <c r="R73" s="172"/>
      <c r="S73" s="172"/>
      <c r="T73" s="172"/>
      <c r="U73" s="172"/>
      <c r="V73" s="172"/>
      <c r="W73" s="172"/>
      <c r="X73" s="172"/>
      <c r="Y73" s="172"/>
      <c r="Z73" s="172"/>
    </row>
    <row r="74" spans="1:26" ht="13.8">
      <c r="A74" s="166">
        <v>532</v>
      </c>
      <c r="B74" s="4" t="s">
        <v>5274</v>
      </c>
      <c r="C74" s="4">
        <v>540</v>
      </c>
      <c r="D74" s="4" t="s">
        <v>71</v>
      </c>
      <c r="E74" s="4" t="s">
        <v>71</v>
      </c>
      <c r="F74" s="4" t="s">
        <v>5275</v>
      </c>
      <c r="G74" s="4" t="s">
        <v>5276</v>
      </c>
      <c r="H74" s="4" t="s">
        <v>5277</v>
      </c>
      <c r="I74" s="4" t="s">
        <v>71</v>
      </c>
      <c r="J74" s="4" t="s">
        <v>71</v>
      </c>
      <c r="K74" s="4">
        <v>9419150000</v>
      </c>
      <c r="L74" s="4" t="s">
        <v>5278</v>
      </c>
      <c r="M74" s="4">
        <v>9419150000</v>
      </c>
      <c r="N74" s="4" t="s">
        <v>71</v>
      </c>
      <c r="O74" s="4" t="s">
        <v>71</v>
      </c>
      <c r="P74" s="168" t="s">
        <v>5279</v>
      </c>
      <c r="Q74" s="4" t="s">
        <v>47</v>
      </c>
      <c r="R74" s="172"/>
      <c r="S74" s="172"/>
      <c r="T74" s="172"/>
      <c r="U74" s="172"/>
      <c r="V74" s="172"/>
      <c r="W74" s="172"/>
      <c r="X74" s="172"/>
      <c r="Y74" s="172"/>
      <c r="Z74" s="172"/>
    </row>
    <row r="75" spans="1:26" ht="13.8">
      <c r="A75" s="166">
        <v>533</v>
      </c>
      <c r="B75" s="4" t="s">
        <v>5280</v>
      </c>
      <c r="C75" s="4">
        <v>541</v>
      </c>
      <c r="D75" s="4" t="s">
        <v>71</v>
      </c>
      <c r="E75" s="4" t="s">
        <v>71</v>
      </c>
      <c r="F75" s="4" t="s">
        <v>5275</v>
      </c>
      <c r="G75" s="4" t="s">
        <v>5276</v>
      </c>
      <c r="H75" s="4" t="s">
        <v>5281</v>
      </c>
      <c r="I75" s="4" t="s">
        <v>71</v>
      </c>
      <c r="J75" s="4" t="s">
        <v>71</v>
      </c>
      <c r="K75" s="4">
        <v>9419192408</v>
      </c>
      <c r="L75" s="4" t="s">
        <v>5282</v>
      </c>
      <c r="M75" s="4">
        <v>9419192408</v>
      </c>
      <c r="N75" s="4" t="s">
        <v>71</v>
      </c>
      <c r="O75" s="4" t="s">
        <v>71</v>
      </c>
      <c r="P75" s="168" t="s">
        <v>5279</v>
      </c>
      <c r="Q75" s="4" t="s">
        <v>47</v>
      </c>
      <c r="R75" s="172"/>
      <c r="S75" s="172"/>
      <c r="T75" s="172"/>
      <c r="U75" s="172"/>
      <c r="V75" s="172"/>
      <c r="W75" s="172"/>
      <c r="X75" s="172"/>
      <c r="Y75" s="172"/>
      <c r="Z75" s="172"/>
    </row>
    <row r="76" spans="1:26" ht="13.8">
      <c r="A76" s="166">
        <v>534</v>
      </c>
      <c r="B76" s="4" t="s">
        <v>5283</v>
      </c>
      <c r="C76" s="4">
        <v>542</v>
      </c>
      <c r="D76" s="4" t="s">
        <v>71</v>
      </c>
      <c r="E76" s="4" t="s">
        <v>71</v>
      </c>
      <c r="F76" s="4" t="s">
        <v>5284</v>
      </c>
      <c r="G76" s="4" t="s">
        <v>5285</v>
      </c>
      <c r="H76" s="4" t="s">
        <v>5286</v>
      </c>
      <c r="I76" s="4" t="s">
        <v>71</v>
      </c>
      <c r="J76" s="4" t="s">
        <v>71</v>
      </c>
      <c r="K76" s="4">
        <v>9823011209</v>
      </c>
      <c r="L76" s="4" t="s">
        <v>5287</v>
      </c>
      <c r="M76" s="4">
        <v>9823011209</v>
      </c>
      <c r="N76" s="4" t="s">
        <v>71</v>
      </c>
      <c r="O76" s="4" t="s">
        <v>71</v>
      </c>
      <c r="P76" s="168" t="s">
        <v>5288</v>
      </c>
      <c r="Q76" s="4" t="s">
        <v>47</v>
      </c>
      <c r="R76" s="172"/>
      <c r="S76" s="172"/>
      <c r="T76" s="172"/>
      <c r="U76" s="172"/>
      <c r="V76" s="172"/>
      <c r="W76" s="172"/>
      <c r="X76" s="172"/>
      <c r="Y76" s="172"/>
      <c r="Z76" s="172"/>
    </row>
    <row r="77" spans="1:26" ht="13.8">
      <c r="A77" s="166">
        <v>535</v>
      </c>
      <c r="B77" s="4" t="s">
        <v>5289</v>
      </c>
      <c r="C77" s="4">
        <v>543</v>
      </c>
      <c r="D77" s="4" t="s">
        <v>71</v>
      </c>
      <c r="E77" s="4" t="s">
        <v>71</v>
      </c>
      <c r="F77" s="4" t="s">
        <v>5284</v>
      </c>
      <c r="G77" s="4" t="s">
        <v>5285</v>
      </c>
      <c r="H77" s="4" t="s">
        <v>5290</v>
      </c>
      <c r="I77" s="4" t="s">
        <v>71</v>
      </c>
      <c r="J77" s="4" t="s">
        <v>71</v>
      </c>
      <c r="K77" s="4">
        <v>9822367425</v>
      </c>
      <c r="L77" s="4" t="s">
        <v>5291</v>
      </c>
      <c r="M77" s="4">
        <v>9822367425</v>
      </c>
      <c r="N77" s="4" t="s">
        <v>71</v>
      </c>
      <c r="O77" s="4" t="s">
        <v>71</v>
      </c>
      <c r="P77" s="168" t="s">
        <v>5288</v>
      </c>
      <c r="Q77" s="4" t="s">
        <v>47</v>
      </c>
      <c r="R77" s="172"/>
      <c r="S77" s="172"/>
      <c r="T77" s="172"/>
      <c r="U77" s="172"/>
      <c r="V77" s="172"/>
      <c r="W77" s="172"/>
      <c r="X77" s="172"/>
      <c r="Y77" s="172"/>
      <c r="Z77" s="172"/>
    </row>
    <row r="78" spans="1:26" ht="13.8">
      <c r="A78" s="166">
        <v>536</v>
      </c>
      <c r="B78" s="4" t="s">
        <v>5292</v>
      </c>
      <c r="C78" s="4">
        <v>544</v>
      </c>
      <c r="D78" s="4" t="s">
        <v>71</v>
      </c>
      <c r="E78" s="4" t="s">
        <v>71</v>
      </c>
      <c r="F78" s="4" t="s">
        <v>5284</v>
      </c>
      <c r="G78" s="4" t="s">
        <v>5285</v>
      </c>
      <c r="H78" s="4" t="s">
        <v>5293</v>
      </c>
      <c r="I78" s="4" t="s">
        <v>71</v>
      </c>
      <c r="J78" s="4" t="s">
        <v>71</v>
      </c>
      <c r="K78" s="4">
        <v>9823873183</v>
      </c>
      <c r="L78" s="4" t="s">
        <v>5294</v>
      </c>
      <c r="M78" s="4">
        <v>9823873183</v>
      </c>
      <c r="N78" s="4" t="s">
        <v>71</v>
      </c>
      <c r="O78" s="4" t="s">
        <v>71</v>
      </c>
      <c r="P78" s="168" t="s">
        <v>5288</v>
      </c>
      <c r="Q78" s="4" t="s">
        <v>47</v>
      </c>
      <c r="R78" s="172"/>
      <c r="S78" s="172"/>
      <c r="T78" s="172"/>
      <c r="U78" s="172"/>
      <c r="V78" s="172"/>
      <c r="W78" s="172"/>
      <c r="X78" s="172"/>
      <c r="Y78" s="172"/>
      <c r="Z78" s="172"/>
    </row>
    <row r="79" spans="1:26" ht="13.8">
      <c r="A79" s="166">
        <v>537</v>
      </c>
      <c r="B79" s="4" t="s">
        <v>5295</v>
      </c>
      <c r="C79" s="4">
        <v>545</v>
      </c>
      <c r="D79" s="4" t="s">
        <v>71</v>
      </c>
      <c r="E79" s="4" t="s">
        <v>71</v>
      </c>
      <c r="F79" s="4" t="s">
        <v>71</v>
      </c>
      <c r="G79" s="4" t="s">
        <v>5296</v>
      </c>
      <c r="H79" s="4" t="s">
        <v>5297</v>
      </c>
      <c r="I79" s="4" t="s">
        <v>71</v>
      </c>
      <c r="J79" s="4" t="s">
        <v>71</v>
      </c>
      <c r="K79" s="4">
        <v>9927064999</v>
      </c>
      <c r="L79" s="4" t="s">
        <v>5298</v>
      </c>
      <c r="M79" s="4">
        <v>9927064999</v>
      </c>
      <c r="N79" s="4" t="s">
        <v>71</v>
      </c>
      <c r="O79" s="4" t="s">
        <v>71</v>
      </c>
      <c r="P79" s="4" t="s">
        <v>71</v>
      </c>
      <c r="Q79" s="4" t="s">
        <v>47</v>
      </c>
      <c r="R79" s="172"/>
      <c r="S79" s="172"/>
      <c r="T79" s="172"/>
      <c r="U79" s="172"/>
      <c r="V79" s="172"/>
      <c r="W79" s="172"/>
      <c r="X79" s="172"/>
      <c r="Y79" s="172"/>
      <c r="Z79" s="172"/>
    </row>
    <row r="80" spans="1:26" ht="13.8">
      <c r="A80" s="166">
        <v>538</v>
      </c>
      <c r="B80" s="4" t="s">
        <v>5299</v>
      </c>
      <c r="C80" s="4">
        <v>546</v>
      </c>
      <c r="D80" s="4" t="s">
        <v>71</v>
      </c>
      <c r="E80" s="4" t="s">
        <v>71</v>
      </c>
      <c r="F80" s="4" t="s">
        <v>71</v>
      </c>
      <c r="G80" s="4" t="s">
        <v>5296</v>
      </c>
      <c r="H80" s="4" t="s">
        <v>5300</v>
      </c>
      <c r="I80" s="4" t="s">
        <v>71</v>
      </c>
      <c r="J80" s="4" t="s">
        <v>71</v>
      </c>
      <c r="K80" s="4">
        <v>9837054999</v>
      </c>
      <c r="L80" s="4" t="s">
        <v>5301</v>
      </c>
      <c r="M80" s="4">
        <v>9837054999</v>
      </c>
      <c r="N80" s="4" t="s">
        <v>71</v>
      </c>
      <c r="O80" s="4" t="s">
        <v>71</v>
      </c>
      <c r="P80" s="4" t="s">
        <v>71</v>
      </c>
      <c r="Q80" s="4" t="s">
        <v>47</v>
      </c>
      <c r="R80" s="172"/>
      <c r="S80" s="172"/>
      <c r="T80" s="172"/>
      <c r="U80" s="172"/>
      <c r="V80" s="172"/>
      <c r="W80" s="172"/>
      <c r="X80" s="172"/>
      <c r="Y80" s="172"/>
      <c r="Z80" s="172"/>
    </row>
    <row r="81" spans="1:26" ht="13.8">
      <c r="A81" s="166">
        <v>539</v>
      </c>
      <c r="B81" s="4" t="s">
        <v>5302</v>
      </c>
      <c r="C81" s="4">
        <v>547</v>
      </c>
      <c r="D81" s="4" t="s">
        <v>71</v>
      </c>
      <c r="E81" s="4" t="s">
        <v>71</v>
      </c>
      <c r="F81" s="4" t="s">
        <v>71</v>
      </c>
      <c r="G81" s="4" t="s">
        <v>5303</v>
      </c>
      <c r="H81" s="4" t="s">
        <v>5304</v>
      </c>
      <c r="I81" s="4" t="s">
        <v>5305</v>
      </c>
      <c r="J81" s="4" t="s">
        <v>71</v>
      </c>
      <c r="K81" s="4">
        <v>9898063243</v>
      </c>
      <c r="L81" s="4" t="s">
        <v>5306</v>
      </c>
      <c r="M81" s="4">
        <v>9898063243</v>
      </c>
      <c r="N81" s="4" t="s">
        <v>71</v>
      </c>
      <c r="O81" s="4" t="s">
        <v>71</v>
      </c>
      <c r="P81" s="4" t="s">
        <v>71</v>
      </c>
      <c r="Q81" s="4" t="s">
        <v>47</v>
      </c>
      <c r="R81" s="172"/>
      <c r="S81" s="172"/>
      <c r="T81" s="172"/>
      <c r="U81" s="172"/>
      <c r="V81" s="172"/>
      <c r="W81" s="172"/>
      <c r="X81" s="172"/>
      <c r="Y81" s="172"/>
      <c r="Z81" s="172"/>
    </row>
    <row r="82" spans="1:26" ht="13.8">
      <c r="A82" s="166">
        <v>540</v>
      </c>
      <c r="B82" s="4" t="s">
        <v>5307</v>
      </c>
      <c r="C82" s="4">
        <v>548</v>
      </c>
      <c r="D82" s="4" t="s">
        <v>71</v>
      </c>
      <c r="E82" s="4" t="s">
        <v>71</v>
      </c>
      <c r="F82" s="4" t="s">
        <v>71</v>
      </c>
      <c r="G82" s="4" t="s">
        <v>5303</v>
      </c>
      <c r="H82" s="4" t="s">
        <v>5308</v>
      </c>
      <c r="I82" s="4" t="s">
        <v>5309</v>
      </c>
      <c r="J82" s="4" t="s">
        <v>71</v>
      </c>
      <c r="K82" s="4">
        <v>9662013243</v>
      </c>
      <c r="L82" s="4" t="s">
        <v>5310</v>
      </c>
      <c r="M82" s="4">
        <v>9662013243</v>
      </c>
      <c r="N82" s="4" t="s">
        <v>71</v>
      </c>
      <c r="O82" s="4" t="s">
        <v>71</v>
      </c>
      <c r="P82" s="4" t="s">
        <v>71</v>
      </c>
      <c r="Q82" s="4" t="s">
        <v>47</v>
      </c>
      <c r="R82" s="172"/>
      <c r="S82" s="172"/>
      <c r="T82" s="172"/>
      <c r="U82" s="172"/>
      <c r="V82" s="172"/>
      <c r="W82" s="172"/>
      <c r="X82" s="172"/>
      <c r="Y82" s="172"/>
      <c r="Z82" s="172"/>
    </row>
    <row r="83" spans="1:26" ht="13.8">
      <c r="A83" s="166">
        <v>541</v>
      </c>
      <c r="B83" s="4" t="s">
        <v>5311</v>
      </c>
      <c r="C83" s="4">
        <v>549</v>
      </c>
      <c r="D83" s="4" t="s">
        <v>71</v>
      </c>
      <c r="E83" s="4" t="s">
        <v>71</v>
      </c>
      <c r="F83" s="4" t="s">
        <v>71</v>
      </c>
      <c r="G83" s="4" t="s">
        <v>5303</v>
      </c>
      <c r="H83" s="4" t="s">
        <v>5312</v>
      </c>
      <c r="I83" s="4" t="s">
        <v>5305</v>
      </c>
      <c r="J83" s="4" t="s">
        <v>71</v>
      </c>
      <c r="K83" s="4">
        <v>9898955222</v>
      </c>
      <c r="L83" s="4" t="s">
        <v>5313</v>
      </c>
      <c r="M83" s="4">
        <v>9898955222</v>
      </c>
      <c r="N83" s="4" t="s">
        <v>71</v>
      </c>
      <c r="O83" s="4" t="s">
        <v>71</v>
      </c>
      <c r="P83" s="4" t="s">
        <v>71</v>
      </c>
      <c r="Q83" s="4" t="s">
        <v>47</v>
      </c>
      <c r="R83" s="172"/>
      <c r="S83" s="172"/>
      <c r="T83" s="172"/>
      <c r="U83" s="172"/>
      <c r="V83" s="172"/>
      <c r="W83" s="172"/>
      <c r="X83" s="172"/>
      <c r="Y83" s="172"/>
      <c r="Z83" s="172"/>
    </row>
    <row r="84" spans="1:26" ht="13.8">
      <c r="A84" s="166">
        <v>542</v>
      </c>
      <c r="B84" s="4" t="s">
        <v>5314</v>
      </c>
      <c r="C84" s="4">
        <v>550</v>
      </c>
      <c r="D84" s="4" t="s">
        <v>71</v>
      </c>
      <c r="E84" s="4" t="s">
        <v>71</v>
      </c>
      <c r="F84" s="4" t="s">
        <v>5315</v>
      </c>
      <c r="G84" s="4" t="s">
        <v>5316</v>
      </c>
      <c r="H84" s="4" t="s">
        <v>5317</v>
      </c>
      <c r="I84" s="4" t="s">
        <v>260</v>
      </c>
      <c r="J84" s="4" t="s">
        <v>71</v>
      </c>
      <c r="K84" s="4">
        <v>9873075990</v>
      </c>
      <c r="L84" s="4" t="s">
        <v>5318</v>
      </c>
      <c r="M84" s="4">
        <v>9873075990</v>
      </c>
      <c r="N84" s="4" t="s">
        <v>71</v>
      </c>
      <c r="O84" s="4" t="s">
        <v>71</v>
      </c>
      <c r="P84" s="168" t="s">
        <v>5319</v>
      </c>
      <c r="Q84" s="4" t="s">
        <v>47</v>
      </c>
      <c r="R84" s="172"/>
      <c r="S84" s="172"/>
      <c r="T84" s="172"/>
      <c r="U84" s="172"/>
      <c r="V84" s="172"/>
      <c r="W84" s="172"/>
      <c r="X84" s="172"/>
      <c r="Y84" s="172"/>
      <c r="Z84" s="172"/>
    </row>
    <row r="85" spans="1:26" ht="13.8">
      <c r="A85" s="166">
        <v>543</v>
      </c>
      <c r="B85" s="4" t="s">
        <v>5320</v>
      </c>
      <c r="C85" s="4">
        <v>551</v>
      </c>
      <c r="D85" s="4" t="s">
        <v>71</v>
      </c>
      <c r="E85" s="4" t="s">
        <v>71</v>
      </c>
      <c r="F85" s="4" t="s">
        <v>5315</v>
      </c>
      <c r="G85" s="4" t="s">
        <v>5316</v>
      </c>
      <c r="H85" s="4" t="s">
        <v>5321</v>
      </c>
      <c r="I85" s="4" t="s">
        <v>260</v>
      </c>
      <c r="J85" s="4" t="s">
        <v>71</v>
      </c>
      <c r="K85" s="4">
        <v>9818277802</v>
      </c>
      <c r="L85" s="4" t="s">
        <v>5322</v>
      </c>
      <c r="M85" s="4">
        <v>9818277802</v>
      </c>
      <c r="N85" s="4" t="s">
        <v>71</v>
      </c>
      <c r="O85" s="4" t="s">
        <v>71</v>
      </c>
      <c r="P85" s="168" t="s">
        <v>5319</v>
      </c>
      <c r="Q85" s="4" t="s">
        <v>47</v>
      </c>
      <c r="R85" s="172"/>
      <c r="S85" s="172"/>
      <c r="T85" s="172"/>
      <c r="U85" s="172"/>
      <c r="V85" s="172"/>
      <c r="W85" s="172"/>
      <c r="X85" s="172"/>
      <c r="Y85" s="172"/>
      <c r="Z85" s="172"/>
    </row>
    <row r="86" spans="1:26" ht="13.8">
      <c r="A86" s="166">
        <v>544</v>
      </c>
      <c r="B86" s="4" t="s">
        <v>5323</v>
      </c>
      <c r="C86" s="4">
        <v>552</v>
      </c>
      <c r="D86" s="4" t="s">
        <v>71</v>
      </c>
      <c r="E86" s="4" t="s">
        <v>71</v>
      </c>
      <c r="F86" s="4" t="s">
        <v>5315</v>
      </c>
      <c r="G86" s="4" t="s">
        <v>5316</v>
      </c>
      <c r="H86" s="4" t="s">
        <v>5324</v>
      </c>
      <c r="I86" s="4" t="s">
        <v>5325</v>
      </c>
      <c r="J86" s="4" t="s">
        <v>71</v>
      </c>
      <c r="K86" s="4">
        <v>8800209298</v>
      </c>
      <c r="L86" s="4" t="s">
        <v>5326</v>
      </c>
      <c r="M86" s="4">
        <v>8800209298</v>
      </c>
      <c r="N86" s="4" t="s">
        <v>71</v>
      </c>
      <c r="O86" s="4" t="s">
        <v>71</v>
      </c>
      <c r="P86" s="168" t="s">
        <v>5319</v>
      </c>
      <c r="Q86" s="4" t="s">
        <v>47</v>
      </c>
      <c r="R86" s="172"/>
      <c r="S86" s="172"/>
      <c r="T86" s="172"/>
      <c r="U86" s="172"/>
      <c r="V86" s="172"/>
      <c r="W86" s="172"/>
      <c r="X86" s="172"/>
      <c r="Y86" s="172"/>
      <c r="Z86" s="172"/>
    </row>
    <row r="87" spans="1:26" ht="13.8">
      <c r="A87" s="166">
        <v>545</v>
      </c>
      <c r="B87" s="4" t="s">
        <v>5327</v>
      </c>
      <c r="C87" s="4">
        <v>553</v>
      </c>
      <c r="D87" s="4" t="s">
        <v>71</v>
      </c>
      <c r="E87" s="4" t="s">
        <v>71</v>
      </c>
      <c r="F87" s="4" t="s">
        <v>71</v>
      </c>
      <c r="G87" s="4" t="s">
        <v>5328</v>
      </c>
      <c r="H87" s="4" t="s">
        <v>5329</v>
      </c>
      <c r="I87" s="4" t="s">
        <v>71</v>
      </c>
      <c r="J87" s="4" t="s">
        <v>71</v>
      </c>
      <c r="K87" s="4">
        <v>9099191999</v>
      </c>
      <c r="L87" s="4" t="s">
        <v>5330</v>
      </c>
      <c r="M87" s="4">
        <v>9099191999</v>
      </c>
      <c r="N87" s="4" t="s">
        <v>71</v>
      </c>
      <c r="O87" s="4" t="s">
        <v>71</v>
      </c>
      <c r="P87" s="4" t="s">
        <v>71</v>
      </c>
      <c r="Q87" s="4" t="s">
        <v>47</v>
      </c>
      <c r="R87" s="172"/>
      <c r="S87" s="172"/>
      <c r="T87" s="172"/>
      <c r="U87" s="172"/>
      <c r="V87" s="172"/>
      <c r="W87" s="172"/>
      <c r="X87" s="172"/>
      <c r="Y87" s="172"/>
      <c r="Z87" s="172"/>
    </row>
    <row r="88" spans="1:26" ht="13.8">
      <c r="A88" s="166">
        <v>546</v>
      </c>
      <c r="B88" s="4" t="s">
        <v>5331</v>
      </c>
      <c r="C88" s="4">
        <v>554</v>
      </c>
      <c r="D88" s="4" t="s">
        <v>71</v>
      </c>
      <c r="E88" s="4" t="s">
        <v>71</v>
      </c>
      <c r="F88" s="4" t="s">
        <v>5332</v>
      </c>
      <c r="G88" s="4" t="s">
        <v>5333</v>
      </c>
      <c r="H88" s="4" t="s">
        <v>5334</v>
      </c>
      <c r="I88" s="4" t="s">
        <v>71</v>
      </c>
      <c r="J88" s="4" t="s">
        <v>71</v>
      </c>
      <c r="K88" s="4">
        <v>9373373305</v>
      </c>
      <c r="L88" s="4" t="s">
        <v>5335</v>
      </c>
      <c r="M88" s="4">
        <v>9373373305</v>
      </c>
      <c r="N88" s="4" t="s">
        <v>71</v>
      </c>
      <c r="O88" s="4" t="s">
        <v>71</v>
      </c>
      <c r="P88" s="168" t="s">
        <v>5336</v>
      </c>
      <c r="Q88" s="4" t="s">
        <v>47</v>
      </c>
      <c r="R88" s="172"/>
      <c r="S88" s="172"/>
      <c r="T88" s="172"/>
      <c r="U88" s="172"/>
      <c r="V88" s="172"/>
      <c r="W88" s="172"/>
      <c r="X88" s="172"/>
      <c r="Y88" s="172"/>
      <c r="Z88" s="172"/>
    </row>
    <row r="89" spans="1:26" ht="13.8">
      <c r="A89" s="166">
        <v>547</v>
      </c>
      <c r="B89" s="4" t="s">
        <v>5337</v>
      </c>
      <c r="C89" s="4">
        <v>555</v>
      </c>
      <c r="D89" s="4" t="s">
        <v>71</v>
      </c>
      <c r="E89" s="4" t="s">
        <v>71</v>
      </c>
      <c r="F89" s="4" t="s">
        <v>5332</v>
      </c>
      <c r="G89" s="4" t="s">
        <v>5333</v>
      </c>
      <c r="H89" s="4" t="s">
        <v>5338</v>
      </c>
      <c r="I89" s="4" t="s">
        <v>71</v>
      </c>
      <c r="J89" s="4" t="s">
        <v>71</v>
      </c>
      <c r="K89" s="4">
        <v>9373373306</v>
      </c>
      <c r="L89" s="4" t="s">
        <v>5339</v>
      </c>
      <c r="M89" s="4">
        <v>9373373306</v>
      </c>
      <c r="N89" s="4" t="s">
        <v>71</v>
      </c>
      <c r="O89" s="4" t="s">
        <v>71</v>
      </c>
      <c r="P89" s="168" t="s">
        <v>5336</v>
      </c>
      <c r="Q89" s="4" t="s">
        <v>47</v>
      </c>
      <c r="R89" s="172"/>
      <c r="S89" s="172"/>
      <c r="T89" s="172"/>
      <c r="U89" s="172"/>
      <c r="V89" s="172"/>
      <c r="W89" s="172"/>
      <c r="X89" s="172"/>
      <c r="Y89" s="172"/>
      <c r="Z89" s="172"/>
    </row>
    <row r="90" spans="1:26" ht="13.8">
      <c r="A90" s="166">
        <v>548</v>
      </c>
      <c r="B90" s="4" t="s">
        <v>5340</v>
      </c>
      <c r="C90" s="4">
        <v>556</v>
      </c>
      <c r="D90" s="4" t="s">
        <v>71</v>
      </c>
      <c r="E90" s="4" t="s">
        <v>71</v>
      </c>
      <c r="F90" s="4" t="s">
        <v>71</v>
      </c>
      <c r="G90" s="4" t="s">
        <v>5341</v>
      </c>
      <c r="H90" s="4" t="s">
        <v>5342</v>
      </c>
      <c r="I90" s="4" t="s">
        <v>71</v>
      </c>
      <c r="J90" s="4" t="s">
        <v>71</v>
      </c>
      <c r="K90" s="4">
        <v>9816030003</v>
      </c>
      <c r="L90" s="4" t="s">
        <v>5343</v>
      </c>
      <c r="M90" s="4">
        <v>9816030003</v>
      </c>
      <c r="N90" s="4" t="s">
        <v>71</v>
      </c>
      <c r="O90" s="4" t="s">
        <v>71</v>
      </c>
      <c r="P90" s="4" t="s">
        <v>71</v>
      </c>
      <c r="Q90" s="4" t="s">
        <v>47</v>
      </c>
      <c r="R90" s="172"/>
      <c r="S90" s="172"/>
      <c r="T90" s="172"/>
      <c r="U90" s="172"/>
      <c r="V90" s="172"/>
      <c r="W90" s="172"/>
      <c r="X90" s="172"/>
      <c r="Y90" s="172"/>
      <c r="Z90" s="172"/>
    </row>
    <row r="91" spans="1:26" ht="13.8">
      <c r="A91" s="166">
        <v>549</v>
      </c>
      <c r="B91" s="4" t="s">
        <v>5344</v>
      </c>
      <c r="C91" s="4">
        <v>557</v>
      </c>
      <c r="D91" s="4" t="s">
        <v>71</v>
      </c>
      <c r="E91" s="4" t="s">
        <v>71</v>
      </c>
      <c r="F91" s="4" t="s">
        <v>5345</v>
      </c>
      <c r="G91" s="4" t="s">
        <v>5346</v>
      </c>
      <c r="H91" s="4" t="s">
        <v>5347</v>
      </c>
      <c r="I91" s="4" t="s">
        <v>71</v>
      </c>
      <c r="J91" s="4" t="s">
        <v>71</v>
      </c>
      <c r="K91" s="4">
        <v>9940147199</v>
      </c>
      <c r="L91" s="4" t="s">
        <v>5348</v>
      </c>
      <c r="M91" s="4">
        <v>9940147199</v>
      </c>
      <c r="N91" s="4" t="s">
        <v>71</v>
      </c>
      <c r="O91" s="4" t="s">
        <v>71</v>
      </c>
      <c r="P91" s="4" t="s">
        <v>71</v>
      </c>
      <c r="Q91" s="4" t="s">
        <v>47</v>
      </c>
      <c r="R91" s="172"/>
      <c r="S91" s="172"/>
      <c r="T91" s="172"/>
      <c r="U91" s="172"/>
      <c r="V91" s="172"/>
      <c r="W91" s="172"/>
      <c r="X91" s="172"/>
      <c r="Y91" s="172"/>
      <c r="Z91" s="172"/>
    </row>
    <row r="92" spans="1:26" ht="13.8">
      <c r="A92" s="166">
        <v>550</v>
      </c>
      <c r="B92" s="4" t="s">
        <v>5349</v>
      </c>
      <c r="C92" s="4">
        <v>558</v>
      </c>
      <c r="D92" s="4" t="s">
        <v>71</v>
      </c>
      <c r="E92" s="4" t="s">
        <v>71</v>
      </c>
      <c r="F92" s="4" t="s">
        <v>5345</v>
      </c>
      <c r="G92" s="4" t="s">
        <v>5346</v>
      </c>
      <c r="H92" s="4" t="s">
        <v>5350</v>
      </c>
      <c r="I92" s="4" t="s">
        <v>71</v>
      </c>
      <c r="J92" s="4" t="s">
        <v>71</v>
      </c>
      <c r="K92" s="4">
        <v>9840409916</v>
      </c>
      <c r="L92" s="4" t="s">
        <v>5351</v>
      </c>
      <c r="M92" s="4">
        <v>9840409916</v>
      </c>
      <c r="N92" s="4" t="s">
        <v>71</v>
      </c>
      <c r="O92" s="4" t="s">
        <v>71</v>
      </c>
      <c r="P92" s="4" t="s">
        <v>71</v>
      </c>
      <c r="Q92" s="4" t="s">
        <v>47</v>
      </c>
      <c r="R92" s="172"/>
      <c r="S92" s="172"/>
      <c r="T92" s="172"/>
      <c r="U92" s="172"/>
      <c r="V92" s="172"/>
      <c r="W92" s="172"/>
      <c r="X92" s="172"/>
      <c r="Y92" s="172"/>
      <c r="Z92" s="172"/>
    </row>
    <row r="93" spans="1:26" ht="13.8">
      <c r="A93" s="166">
        <v>551</v>
      </c>
      <c r="B93" s="4" t="s">
        <v>5352</v>
      </c>
      <c r="C93" s="4">
        <v>559</v>
      </c>
      <c r="D93" s="4" t="s">
        <v>71</v>
      </c>
      <c r="E93" s="4" t="s">
        <v>71</v>
      </c>
      <c r="F93" s="4" t="s">
        <v>71</v>
      </c>
      <c r="G93" s="4" t="s">
        <v>5353</v>
      </c>
      <c r="H93" s="4" t="s">
        <v>5354</v>
      </c>
      <c r="I93" s="4" t="s">
        <v>71</v>
      </c>
      <c r="J93" s="4" t="s">
        <v>71</v>
      </c>
      <c r="K93" s="4">
        <v>9822029212</v>
      </c>
      <c r="L93" s="4" t="s">
        <v>5355</v>
      </c>
      <c r="M93" s="4">
        <v>9822029212</v>
      </c>
      <c r="N93" s="4" t="s">
        <v>71</v>
      </c>
      <c r="O93" s="4" t="s">
        <v>71</v>
      </c>
      <c r="P93" s="168" t="s">
        <v>5356</v>
      </c>
      <c r="Q93" s="4" t="s">
        <v>47</v>
      </c>
      <c r="R93" s="172"/>
      <c r="S93" s="172"/>
      <c r="T93" s="172"/>
      <c r="U93" s="172"/>
      <c r="V93" s="172"/>
      <c r="W93" s="172"/>
      <c r="X93" s="172"/>
      <c r="Y93" s="172"/>
      <c r="Z93" s="172"/>
    </row>
    <row r="94" spans="1:26" ht="13.8">
      <c r="A94" s="166">
        <v>552</v>
      </c>
      <c r="B94" s="4" t="s">
        <v>5357</v>
      </c>
      <c r="C94" s="4">
        <v>560</v>
      </c>
      <c r="D94" s="4" t="s">
        <v>71</v>
      </c>
      <c r="E94" s="4" t="s">
        <v>71</v>
      </c>
      <c r="F94" s="4" t="s">
        <v>71</v>
      </c>
      <c r="G94" s="4" t="s">
        <v>5358</v>
      </c>
      <c r="H94" s="4" t="s">
        <v>5359</v>
      </c>
      <c r="I94" s="4" t="s">
        <v>71</v>
      </c>
      <c r="J94" s="4" t="s">
        <v>71</v>
      </c>
      <c r="K94" s="4">
        <v>9820390024</v>
      </c>
      <c r="L94" s="4" t="s">
        <v>5360</v>
      </c>
      <c r="M94" s="4">
        <v>9820390024</v>
      </c>
      <c r="N94" s="4" t="s">
        <v>71</v>
      </c>
      <c r="O94" s="4" t="s">
        <v>71</v>
      </c>
      <c r="P94" s="168" t="s">
        <v>5361</v>
      </c>
      <c r="Q94" s="4" t="s">
        <v>47</v>
      </c>
      <c r="R94" s="172"/>
      <c r="S94" s="172"/>
      <c r="T94" s="172"/>
      <c r="U94" s="172"/>
      <c r="V94" s="172"/>
      <c r="W94" s="172"/>
      <c r="X94" s="172"/>
      <c r="Y94" s="172"/>
      <c r="Z94" s="172"/>
    </row>
    <row r="95" spans="1:26" ht="13.8">
      <c r="A95" s="166">
        <v>553</v>
      </c>
      <c r="B95" s="4" t="s">
        <v>5362</v>
      </c>
      <c r="C95" s="4">
        <v>561</v>
      </c>
      <c r="D95" s="4" t="s">
        <v>71</v>
      </c>
      <c r="E95" s="4" t="s">
        <v>71</v>
      </c>
      <c r="F95" s="4" t="s">
        <v>71</v>
      </c>
      <c r="G95" s="4" t="s">
        <v>5358</v>
      </c>
      <c r="H95" s="4" t="s">
        <v>5363</v>
      </c>
      <c r="I95" s="4" t="s">
        <v>71</v>
      </c>
      <c r="J95" s="4" t="s">
        <v>71</v>
      </c>
      <c r="K95" s="4">
        <v>9892051999</v>
      </c>
      <c r="L95" s="4" t="s">
        <v>5364</v>
      </c>
      <c r="M95" s="4">
        <v>9892051999</v>
      </c>
      <c r="N95" s="4" t="s">
        <v>71</v>
      </c>
      <c r="O95" s="4" t="s">
        <v>71</v>
      </c>
      <c r="P95" s="168" t="s">
        <v>5361</v>
      </c>
      <c r="Q95" s="4" t="s">
        <v>47</v>
      </c>
      <c r="R95" s="172"/>
      <c r="S95" s="172"/>
      <c r="T95" s="172"/>
      <c r="U95" s="172"/>
      <c r="V95" s="172"/>
      <c r="W95" s="172"/>
      <c r="X95" s="172"/>
      <c r="Y95" s="172"/>
      <c r="Z95" s="172"/>
    </row>
    <row r="96" spans="1:26" ht="13.8">
      <c r="A96" s="166">
        <v>554</v>
      </c>
      <c r="B96" s="4" t="s">
        <v>5365</v>
      </c>
      <c r="C96" s="4">
        <v>562</v>
      </c>
      <c r="D96" s="4" t="s">
        <v>71</v>
      </c>
      <c r="E96" s="4" t="s">
        <v>71</v>
      </c>
      <c r="F96" s="4" t="s">
        <v>71</v>
      </c>
      <c r="G96" s="4" t="s">
        <v>5366</v>
      </c>
      <c r="H96" s="4" t="s">
        <v>5367</v>
      </c>
      <c r="I96" s="4" t="s">
        <v>71</v>
      </c>
      <c r="J96" s="4" t="s">
        <v>71</v>
      </c>
      <c r="K96" s="4">
        <v>9845484346</v>
      </c>
      <c r="L96" s="4" t="s">
        <v>5368</v>
      </c>
      <c r="M96" s="4">
        <v>9845484346</v>
      </c>
      <c r="N96" s="4" t="s">
        <v>71</v>
      </c>
      <c r="O96" s="4" t="s">
        <v>71</v>
      </c>
      <c r="P96" s="168" t="s">
        <v>5369</v>
      </c>
      <c r="Q96" s="4" t="s">
        <v>47</v>
      </c>
      <c r="R96" s="172"/>
      <c r="S96" s="172"/>
      <c r="T96" s="172"/>
      <c r="U96" s="172"/>
      <c r="V96" s="172"/>
      <c r="W96" s="172"/>
      <c r="X96" s="172"/>
      <c r="Y96" s="172"/>
      <c r="Z96" s="172"/>
    </row>
    <row r="97" spans="1:26" ht="13.8">
      <c r="A97" s="166">
        <v>555</v>
      </c>
      <c r="B97" s="4" t="s">
        <v>5370</v>
      </c>
      <c r="C97" s="4">
        <v>563</v>
      </c>
      <c r="D97" s="4" t="s">
        <v>71</v>
      </c>
      <c r="E97" s="4" t="s">
        <v>71</v>
      </c>
      <c r="F97" s="4" t="s">
        <v>71</v>
      </c>
      <c r="G97" s="4" t="s">
        <v>5371</v>
      </c>
      <c r="H97" s="4" t="s">
        <v>5372</v>
      </c>
      <c r="I97" s="4" t="s">
        <v>71</v>
      </c>
      <c r="J97" s="4" t="s">
        <v>71</v>
      </c>
      <c r="K97" s="4">
        <v>9598981616</v>
      </c>
      <c r="L97" s="4" t="s">
        <v>5373</v>
      </c>
      <c r="M97" s="4">
        <v>9598981616</v>
      </c>
      <c r="N97" s="4" t="s">
        <v>71</v>
      </c>
      <c r="O97" s="4" t="s">
        <v>71</v>
      </c>
      <c r="P97" s="168" t="s">
        <v>5374</v>
      </c>
      <c r="Q97" s="4" t="s">
        <v>47</v>
      </c>
      <c r="R97" s="172"/>
      <c r="S97" s="172"/>
      <c r="T97" s="172"/>
      <c r="U97" s="172"/>
      <c r="V97" s="172"/>
      <c r="W97" s="172"/>
      <c r="X97" s="172"/>
      <c r="Y97" s="172"/>
      <c r="Z97" s="172"/>
    </row>
    <row r="98" spans="1:26" ht="13.8">
      <c r="A98" s="166">
        <v>556</v>
      </c>
      <c r="B98" s="4" t="s">
        <v>5375</v>
      </c>
      <c r="C98" s="4">
        <v>564</v>
      </c>
      <c r="D98" s="4" t="s">
        <v>71</v>
      </c>
      <c r="E98" s="4" t="s">
        <v>71</v>
      </c>
      <c r="F98" s="4" t="s">
        <v>71</v>
      </c>
      <c r="G98" s="4" t="s">
        <v>5376</v>
      </c>
      <c r="H98" s="4" t="s">
        <v>5377</v>
      </c>
      <c r="I98" s="4" t="s">
        <v>71</v>
      </c>
      <c r="J98" s="4" t="s">
        <v>71</v>
      </c>
      <c r="K98" s="4">
        <v>9864063634</v>
      </c>
      <c r="L98" s="4" t="s">
        <v>5378</v>
      </c>
      <c r="M98" s="4">
        <v>9864063634</v>
      </c>
      <c r="N98" s="4" t="s">
        <v>71</v>
      </c>
      <c r="O98" s="4" t="s">
        <v>71</v>
      </c>
      <c r="P98" s="4" t="s">
        <v>71</v>
      </c>
      <c r="Q98" s="4" t="s">
        <v>47</v>
      </c>
      <c r="R98" s="172"/>
      <c r="S98" s="172"/>
      <c r="T98" s="172"/>
      <c r="U98" s="172"/>
      <c r="V98" s="172"/>
      <c r="W98" s="172"/>
      <c r="X98" s="172"/>
      <c r="Y98" s="172"/>
      <c r="Z98" s="172"/>
    </row>
    <row r="99" spans="1:26" ht="13.8">
      <c r="A99" s="166">
        <v>557</v>
      </c>
      <c r="B99" s="4" t="s">
        <v>5379</v>
      </c>
      <c r="C99" s="4">
        <v>565</v>
      </c>
      <c r="D99" s="4" t="s">
        <v>71</v>
      </c>
      <c r="E99" s="4" t="s">
        <v>71</v>
      </c>
      <c r="F99" s="4" t="s">
        <v>71</v>
      </c>
      <c r="G99" s="4" t="s">
        <v>5380</v>
      </c>
      <c r="H99" s="4" t="s">
        <v>5381</v>
      </c>
      <c r="I99" s="4" t="s">
        <v>71</v>
      </c>
      <c r="J99" s="4" t="s">
        <v>71</v>
      </c>
      <c r="K99" s="4">
        <v>9611101869</v>
      </c>
      <c r="L99" s="4" t="s">
        <v>5382</v>
      </c>
      <c r="M99" s="4">
        <v>9611101869</v>
      </c>
      <c r="N99" s="4" t="s">
        <v>71</v>
      </c>
      <c r="O99" s="4" t="s">
        <v>71</v>
      </c>
      <c r="P99" s="168" t="s">
        <v>5383</v>
      </c>
      <c r="Q99" s="4" t="s">
        <v>47</v>
      </c>
      <c r="R99" s="172"/>
      <c r="S99" s="172"/>
      <c r="T99" s="172"/>
      <c r="U99" s="172"/>
      <c r="V99" s="172"/>
      <c r="W99" s="172"/>
      <c r="X99" s="172"/>
      <c r="Y99" s="172"/>
      <c r="Z99" s="172"/>
    </row>
    <row r="100" spans="1:26" ht="13.8">
      <c r="A100" s="166">
        <v>558</v>
      </c>
      <c r="B100" s="4" t="s">
        <v>5384</v>
      </c>
      <c r="C100" s="4">
        <v>566</v>
      </c>
      <c r="D100" s="4" t="s">
        <v>71</v>
      </c>
      <c r="E100" s="4" t="s">
        <v>71</v>
      </c>
      <c r="F100" s="4" t="s">
        <v>71</v>
      </c>
      <c r="G100" s="4" t="s">
        <v>5385</v>
      </c>
      <c r="H100" s="4" t="s">
        <v>5386</v>
      </c>
      <c r="I100" s="4" t="s">
        <v>71</v>
      </c>
      <c r="J100" s="4" t="s">
        <v>71</v>
      </c>
      <c r="K100" s="4">
        <v>9814082690</v>
      </c>
      <c r="L100" s="4" t="s">
        <v>5387</v>
      </c>
      <c r="M100" s="4">
        <v>9814082690</v>
      </c>
      <c r="N100" s="4" t="s">
        <v>71</v>
      </c>
      <c r="O100" s="4" t="s">
        <v>71</v>
      </c>
      <c r="P100" s="168" t="s">
        <v>5388</v>
      </c>
      <c r="Q100" s="4" t="s">
        <v>47</v>
      </c>
      <c r="R100" s="172"/>
      <c r="S100" s="172"/>
      <c r="T100" s="172"/>
      <c r="U100" s="172"/>
      <c r="V100" s="172"/>
      <c r="W100" s="172"/>
      <c r="X100" s="172"/>
      <c r="Y100" s="172"/>
      <c r="Z100" s="172"/>
    </row>
    <row r="101" spans="1:26" ht="13.8">
      <c r="A101" s="166">
        <v>559</v>
      </c>
      <c r="B101" s="4" t="s">
        <v>5389</v>
      </c>
      <c r="C101" s="4">
        <v>567</v>
      </c>
      <c r="D101" s="4" t="s">
        <v>71</v>
      </c>
      <c r="E101" s="4" t="s">
        <v>71</v>
      </c>
      <c r="F101" s="4" t="s">
        <v>71</v>
      </c>
      <c r="G101" s="4" t="s">
        <v>5385</v>
      </c>
      <c r="H101" s="4" t="s">
        <v>5390</v>
      </c>
      <c r="I101" s="4" t="s">
        <v>71</v>
      </c>
      <c r="J101" s="4" t="s">
        <v>71</v>
      </c>
      <c r="K101" s="4">
        <v>9814665555</v>
      </c>
      <c r="L101" s="4" t="s">
        <v>5391</v>
      </c>
      <c r="M101" s="4">
        <v>9814665555</v>
      </c>
      <c r="N101" s="4" t="s">
        <v>71</v>
      </c>
      <c r="O101" s="4" t="s">
        <v>71</v>
      </c>
      <c r="P101" s="168" t="s">
        <v>5388</v>
      </c>
      <c r="Q101" s="4" t="s">
        <v>47</v>
      </c>
      <c r="R101" s="172"/>
      <c r="S101" s="172"/>
      <c r="T101" s="172"/>
      <c r="U101" s="172"/>
      <c r="V101" s="172"/>
      <c r="W101" s="172"/>
      <c r="X101" s="172"/>
      <c r="Y101" s="172"/>
      <c r="Z101" s="172"/>
    </row>
    <row r="102" spans="1:26" ht="13.8">
      <c r="A102" s="166">
        <v>560</v>
      </c>
      <c r="B102" s="4" t="s">
        <v>5392</v>
      </c>
      <c r="C102" s="4">
        <v>568</v>
      </c>
      <c r="D102" s="4" t="s">
        <v>71</v>
      </c>
      <c r="E102" s="4" t="s">
        <v>71</v>
      </c>
      <c r="F102" s="4" t="s">
        <v>71</v>
      </c>
      <c r="G102" s="4" t="s">
        <v>5385</v>
      </c>
      <c r="H102" s="4" t="s">
        <v>5393</v>
      </c>
      <c r="I102" s="4" t="s">
        <v>71</v>
      </c>
      <c r="J102" s="4" t="s">
        <v>71</v>
      </c>
      <c r="K102" s="4">
        <v>9814502843</v>
      </c>
      <c r="L102" s="4" t="s">
        <v>5394</v>
      </c>
      <c r="M102" s="4">
        <v>9814502843</v>
      </c>
      <c r="N102" s="4" t="s">
        <v>71</v>
      </c>
      <c r="O102" s="4" t="s">
        <v>71</v>
      </c>
      <c r="P102" s="168" t="s">
        <v>5388</v>
      </c>
      <c r="Q102" s="4" t="s">
        <v>47</v>
      </c>
      <c r="R102" s="172"/>
      <c r="S102" s="172"/>
      <c r="T102" s="172"/>
      <c r="U102" s="172"/>
      <c r="V102" s="172"/>
      <c r="W102" s="172"/>
      <c r="X102" s="172"/>
      <c r="Y102" s="172"/>
      <c r="Z102" s="172"/>
    </row>
    <row r="103" spans="1:26" ht="13.8">
      <c r="A103" s="166">
        <v>561</v>
      </c>
      <c r="B103" s="4" t="s">
        <v>5395</v>
      </c>
      <c r="C103" s="4">
        <v>569</v>
      </c>
      <c r="D103" s="4" t="s">
        <v>71</v>
      </c>
      <c r="E103" s="4" t="s">
        <v>71</v>
      </c>
      <c r="F103" s="4" t="s">
        <v>71</v>
      </c>
      <c r="G103" s="4" t="s">
        <v>5396</v>
      </c>
      <c r="H103" s="4" t="s">
        <v>5397</v>
      </c>
      <c r="I103" s="4" t="s">
        <v>71</v>
      </c>
      <c r="J103" s="4" t="s">
        <v>71</v>
      </c>
      <c r="K103" s="4">
        <v>9419161718</v>
      </c>
      <c r="L103" s="4" t="s">
        <v>5398</v>
      </c>
      <c r="M103" s="4">
        <v>9419161718</v>
      </c>
      <c r="N103" s="4" t="s">
        <v>71</v>
      </c>
      <c r="O103" s="4" t="s">
        <v>71</v>
      </c>
      <c r="P103" s="4" t="s">
        <v>71</v>
      </c>
      <c r="Q103" s="4" t="s">
        <v>47</v>
      </c>
      <c r="R103" s="172"/>
      <c r="S103" s="172"/>
      <c r="T103" s="172"/>
      <c r="U103" s="172"/>
      <c r="V103" s="172"/>
      <c r="W103" s="172"/>
      <c r="X103" s="172"/>
      <c r="Y103" s="172"/>
      <c r="Z103" s="172"/>
    </row>
    <row r="104" spans="1:26" ht="13.8">
      <c r="A104" s="166">
        <v>562</v>
      </c>
      <c r="B104" s="4" t="s">
        <v>5399</v>
      </c>
      <c r="C104" s="4">
        <v>570</v>
      </c>
      <c r="D104" s="4" t="s">
        <v>5400</v>
      </c>
      <c r="E104" s="4" t="s">
        <v>71</v>
      </c>
      <c r="F104" s="4" t="s">
        <v>71</v>
      </c>
      <c r="G104" s="4" t="s">
        <v>5396</v>
      </c>
      <c r="H104" s="4" t="s">
        <v>5401</v>
      </c>
      <c r="I104" s="4" t="s">
        <v>71</v>
      </c>
      <c r="J104" s="4" t="s">
        <v>71</v>
      </c>
      <c r="K104" s="4">
        <v>9419121718</v>
      </c>
      <c r="L104" s="4" t="s">
        <v>5402</v>
      </c>
      <c r="M104" s="4">
        <v>9419121718</v>
      </c>
      <c r="N104" s="4" t="s">
        <v>71</v>
      </c>
      <c r="O104" s="4" t="s">
        <v>71</v>
      </c>
      <c r="P104" s="4" t="s">
        <v>71</v>
      </c>
      <c r="Q104" s="4" t="s">
        <v>47</v>
      </c>
      <c r="R104" s="172"/>
      <c r="S104" s="172"/>
      <c r="T104" s="172"/>
      <c r="U104" s="172"/>
      <c r="V104" s="172"/>
      <c r="W104" s="172"/>
      <c r="X104" s="172"/>
      <c r="Y104" s="172"/>
      <c r="Z104" s="172"/>
    </row>
    <row r="105" spans="1:26" ht="13.8">
      <c r="A105" s="166">
        <v>563</v>
      </c>
      <c r="B105" s="4" t="s">
        <v>5403</v>
      </c>
      <c r="C105" s="4">
        <v>571</v>
      </c>
      <c r="D105" s="4" t="s">
        <v>71</v>
      </c>
      <c r="E105" s="4" t="s">
        <v>71</v>
      </c>
      <c r="F105" s="4" t="s">
        <v>5404</v>
      </c>
      <c r="G105" s="4" t="s">
        <v>5405</v>
      </c>
      <c r="H105" s="4" t="s">
        <v>5406</v>
      </c>
      <c r="I105" s="4" t="s">
        <v>71</v>
      </c>
      <c r="J105" s="4" t="s">
        <v>71</v>
      </c>
      <c r="K105" s="4">
        <v>9847000915</v>
      </c>
      <c r="L105" s="4" t="s">
        <v>5407</v>
      </c>
      <c r="M105" s="4">
        <v>9847000915</v>
      </c>
      <c r="N105" s="4" t="s">
        <v>71</v>
      </c>
      <c r="O105" s="4" t="s">
        <v>71</v>
      </c>
      <c r="P105" s="168" t="s">
        <v>5408</v>
      </c>
      <c r="Q105" s="4" t="s">
        <v>47</v>
      </c>
      <c r="R105" s="172"/>
      <c r="S105" s="172"/>
      <c r="T105" s="172"/>
      <c r="U105" s="172"/>
      <c r="V105" s="172"/>
      <c r="W105" s="172"/>
      <c r="X105" s="172"/>
      <c r="Y105" s="172"/>
      <c r="Z105" s="172"/>
    </row>
    <row r="106" spans="1:26" ht="13.8">
      <c r="A106" s="166">
        <v>564</v>
      </c>
      <c r="B106" s="4" t="s">
        <v>5409</v>
      </c>
      <c r="C106" s="4">
        <v>572</v>
      </c>
      <c r="D106" s="4" t="s">
        <v>71</v>
      </c>
      <c r="E106" s="4" t="s">
        <v>71</v>
      </c>
      <c r="F106" s="4" t="s">
        <v>5404</v>
      </c>
      <c r="G106" s="4" t="s">
        <v>5405</v>
      </c>
      <c r="H106" s="4" t="s">
        <v>5410</v>
      </c>
      <c r="I106" s="4" t="s">
        <v>71</v>
      </c>
      <c r="J106" s="4" t="s">
        <v>71</v>
      </c>
      <c r="K106" s="4">
        <v>9847030305</v>
      </c>
      <c r="L106" s="4" t="s">
        <v>5411</v>
      </c>
      <c r="M106" s="4">
        <v>9847030305</v>
      </c>
      <c r="N106" s="4" t="s">
        <v>71</v>
      </c>
      <c r="O106" s="4" t="s">
        <v>71</v>
      </c>
      <c r="P106" s="168" t="s">
        <v>5408</v>
      </c>
      <c r="Q106" s="4" t="s">
        <v>47</v>
      </c>
      <c r="R106" s="172"/>
      <c r="S106" s="172"/>
      <c r="T106" s="172"/>
      <c r="U106" s="172"/>
      <c r="V106" s="172"/>
      <c r="W106" s="172"/>
      <c r="X106" s="172"/>
      <c r="Y106" s="172"/>
      <c r="Z106" s="172"/>
    </row>
    <row r="107" spans="1:26" ht="13.8">
      <c r="A107" s="166">
        <v>565</v>
      </c>
      <c r="B107" s="4" t="s">
        <v>5412</v>
      </c>
      <c r="C107" s="4">
        <v>573</v>
      </c>
      <c r="D107" s="4" t="s">
        <v>71</v>
      </c>
      <c r="E107" s="4" t="s">
        <v>71</v>
      </c>
      <c r="F107" s="4" t="s">
        <v>5404</v>
      </c>
      <c r="G107" s="4" t="s">
        <v>5405</v>
      </c>
      <c r="H107" s="4" t="s">
        <v>5413</v>
      </c>
      <c r="I107" s="4" t="s">
        <v>71</v>
      </c>
      <c r="J107" s="4" t="s">
        <v>71</v>
      </c>
      <c r="K107" s="4">
        <v>9847000916</v>
      </c>
      <c r="L107" s="4" t="s">
        <v>5414</v>
      </c>
      <c r="M107" s="4">
        <v>9847000916</v>
      </c>
      <c r="N107" s="4" t="s">
        <v>71</v>
      </c>
      <c r="O107" s="4" t="s">
        <v>71</v>
      </c>
      <c r="P107" s="168" t="s">
        <v>5408</v>
      </c>
      <c r="Q107" s="4" t="s">
        <v>47</v>
      </c>
      <c r="R107" s="172"/>
      <c r="S107" s="172"/>
      <c r="T107" s="172"/>
      <c r="U107" s="172"/>
      <c r="V107" s="172"/>
      <c r="W107" s="172"/>
      <c r="X107" s="172"/>
      <c r="Y107" s="172"/>
      <c r="Z107" s="172"/>
    </row>
    <row r="108" spans="1:26" ht="13.8">
      <c r="A108" s="166">
        <v>566</v>
      </c>
      <c r="B108" s="4" t="s">
        <v>5415</v>
      </c>
      <c r="C108" s="4">
        <v>574</v>
      </c>
      <c r="D108" s="4" t="s">
        <v>71</v>
      </c>
      <c r="E108" s="4" t="s">
        <v>71</v>
      </c>
      <c r="F108" s="4" t="s">
        <v>5416</v>
      </c>
      <c r="G108" s="4" t="s">
        <v>5417</v>
      </c>
      <c r="H108" s="4" t="s">
        <v>5418</v>
      </c>
      <c r="I108" s="4" t="s">
        <v>71</v>
      </c>
      <c r="J108" s="4" t="s">
        <v>71</v>
      </c>
      <c r="K108" s="4">
        <v>9846011465</v>
      </c>
      <c r="L108" s="4" t="s">
        <v>5419</v>
      </c>
      <c r="M108" s="4">
        <v>9846011465</v>
      </c>
      <c r="N108" s="4" t="s">
        <v>71</v>
      </c>
      <c r="O108" s="4" t="s">
        <v>71</v>
      </c>
      <c r="P108" s="168" t="s">
        <v>5420</v>
      </c>
      <c r="Q108" s="4" t="s">
        <v>47</v>
      </c>
      <c r="R108" s="172"/>
      <c r="S108" s="172"/>
      <c r="T108" s="172"/>
      <c r="U108" s="172"/>
      <c r="V108" s="172"/>
      <c r="W108" s="172"/>
      <c r="X108" s="172"/>
      <c r="Y108" s="172"/>
      <c r="Z108" s="172"/>
    </row>
    <row r="109" spans="1:26" ht="13.8">
      <c r="A109" s="166">
        <v>567</v>
      </c>
      <c r="B109" s="4" t="s">
        <v>5421</v>
      </c>
      <c r="C109" s="4">
        <v>575</v>
      </c>
      <c r="D109" s="4" t="s">
        <v>71</v>
      </c>
      <c r="E109" s="4" t="s">
        <v>71</v>
      </c>
      <c r="F109" s="4" t="s">
        <v>5416</v>
      </c>
      <c r="G109" s="4" t="s">
        <v>5417</v>
      </c>
      <c r="H109" s="4" t="s">
        <v>5422</v>
      </c>
      <c r="I109" s="4" t="s">
        <v>71</v>
      </c>
      <c r="J109" s="4" t="s">
        <v>71</v>
      </c>
      <c r="K109" s="4">
        <v>9895991465</v>
      </c>
      <c r="L109" s="4" t="s">
        <v>5423</v>
      </c>
      <c r="M109" s="4">
        <v>9895991465</v>
      </c>
      <c r="N109" s="4" t="s">
        <v>71</v>
      </c>
      <c r="O109" s="4" t="s">
        <v>71</v>
      </c>
      <c r="P109" s="168" t="s">
        <v>5420</v>
      </c>
      <c r="Q109" s="4" t="s">
        <v>47</v>
      </c>
      <c r="R109" s="172"/>
      <c r="S109" s="172"/>
      <c r="T109" s="172"/>
      <c r="U109" s="172"/>
      <c r="V109" s="172"/>
      <c r="W109" s="172"/>
      <c r="X109" s="172"/>
      <c r="Y109" s="172"/>
      <c r="Z109" s="172"/>
    </row>
    <row r="110" spans="1:26" ht="13.8">
      <c r="A110" s="166">
        <v>568</v>
      </c>
      <c r="B110" s="4" t="s">
        <v>5424</v>
      </c>
      <c r="C110" s="4">
        <v>576</v>
      </c>
      <c r="D110" s="4" t="s">
        <v>5425</v>
      </c>
      <c r="E110" s="4" t="s">
        <v>71</v>
      </c>
      <c r="F110" s="4" t="s">
        <v>5416</v>
      </c>
      <c r="G110" s="4" t="s">
        <v>5417</v>
      </c>
      <c r="H110" s="4" t="s">
        <v>5426</v>
      </c>
      <c r="I110" s="4" t="s">
        <v>71</v>
      </c>
      <c r="J110" s="4" t="s">
        <v>71</v>
      </c>
      <c r="K110" s="4">
        <v>9847089442</v>
      </c>
      <c r="L110" s="4" t="s">
        <v>5427</v>
      </c>
      <c r="M110" s="4">
        <v>9847089442</v>
      </c>
      <c r="N110" s="4" t="s">
        <v>71</v>
      </c>
      <c r="O110" s="4" t="s">
        <v>71</v>
      </c>
      <c r="P110" s="168" t="s">
        <v>5420</v>
      </c>
      <c r="Q110" s="4" t="s">
        <v>47</v>
      </c>
      <c r="R110" s="172"/>
      <c r="S110" s="172"/>
      <c r="T110" s="172"/>
      <c r="U110" s="172"/>
      <c r="V110" s="172"/>
      <c r="W110" s="172"/>
      <c r="X110" s="172"/>
      <c r="Y110" s="172"/>
      <c r="Z110" s="172"/>
    </row>
    <row r="111" spans="1:26" ht="13.8">
      <c r="A111" s="166">
        <v>569</v>
      </c>
      <c r="B111" s="4" t="s">
        <v>5428</v>
      </c>
      <c r="C111" s="4">
        <v>577</v>
      </c>
      <c r="D111" s="4" t="s">
        <v>71</v>
      </c>
      <c r="E111" s="4" t="s">
        <v>71</v>
      </c>
      <c r="F111" s="4" t="s">
        <v>5429</v>
      </c>
      <c r="G111" s="4" t="s">
        <v>5430</v>
      </c>
      <c r="H111" s="4" t="s">
        <v>5431</v>
      </c>
      <c r="I111" s="4" t="s">
        <v>71</v>
      </c>
      <c r="J111" s="4" t="s">
        <v>71</v>
      </c>
      <c r="K111" s="4">
        <v>9820046574</v>
      </c>
      <c r="L111" s="4" t="s">
        <v>5432</v>
      </c>
      <c r="M111" s="4">
        <v>9820046574</v>
      </c>
      <c r="N111" s="4" t="s">
        <v>71</v>
      </c>
      <c r="O111" s="4" t="s">
        <v>71</v>
      </c>
      <c r="P111" s="4" t="s">
        <v>71</v>
      </c>
      <c r="Q111" s="4" t="s">
        <v>47</v>
      </c>
      <c r="R111" s="172"/>
      <c r="S111" s="172"/>
      <c r="T111" s="172"/>
      <c r="U111" s="172"/>
      <c r="V111" s="172"/>
      <c r="W111" s="172"/>
      <c r="X111" s="172"/>
      <c r="Y111" s="172"/>
      <c r="Z111" s="172"/>
    </row>
    <row r="112" spans="1:26" ht="13.8">
      <c r="A112" s="166">
        <v>570</v>
      </c>
      <c r="B112" s="4" t="s">
        <v>5433</v>
      </c>
      <c r="C112" s="4">
        <v>578</v>
      </c>
      <c r="D112" s="4" t="s">
        <v>71</v>
      </c>
      <c r="E112" s="4" t="s">
        <v>71</v>
      </c>
      <c r="F112" s="4" t="s">
        <v>5429</v>
      </c>
      <c r="G112" s="4" t="s">
        <v>5430</v>
      </c>
      <c r="H112" s="4" t="s">
        <v>5434</v>
      </c>
      <c r="I112" s="4" t="s">
        <v>71</v>
      </c>
      <c r="J112" s="4" t="s">
        <v>71</v>
      </c>
      <c r="K112" s="4">
        <v>9820194321</v>
      </c>
      <c r="L112" s="4" t="s">
        <v>5435</v>
      </c>
      <c r="M112" s="4">
        <v>9820194321</v>
      </c>
      <c r="N112" s="4" t="s">
        <v>71</v>
      </c>
      <c r="O112" s="4" t="s">
        <v>71</v>
      </c>
      <c r="P112" s="4" t="s">
        <v>71</v>
      </c>
      <c r="Q112" s="4" t="s">
        <v>47</v>
      </c>
      <c r="R112" s="172"/>
      <c r="S112" s="172"/>
      <c r="T112" s="172"/>
      <c r="U112" s="172"/>
      <c r="V112" s="172"/>
      <c r="W112" s="172"/>
      <c r="X112" s="172"/>
      <c r="Y112" s="172"/>
      <c r="Z112" s="172"/>
    </row>
    <row r="113" spans="1:26" ht="13.8">
      <c r="A113" s="166">
        <v>571</v>
      </c>
      <c r="B113" s="4" t="s">
        <v>5436</v>
      </c>
      <c r="C113" s="4">
        <v>579</v>
      </c>
      <c r="D113" s="4" t="s">
        <v>71</v>
      </c>
      <c r="E113" s="4" t="s">
        <v>71</v>
      </c>
      <c r="F113" s="4" t="s">
        <v>5437</v>
      </c>
      <c r="G113" s="4" t="s">
        <v>5438</v>
      </c>
      <c r="H113" s="4" t="s">
        <v>5439</v>
      </c>
      <c r="I113" s="4" t="s">
        <v>71</v>
      </c>
      <c r="J113" s="4" t="s">
        <v>71</v>
      </c>
      <c r="K113" s="4">
        <v>9820081069</v>
      </c>
      <c r="L113" s="4" t="s">
        <v>5440</v>
      </c>
      <c r="M113" s="4">
        <v>9820081069</v>
      </c>
      <c r="N113" s="4" t="s">
        <v>71</v>
      </c>
      <c r="O113" s="4" t="s">
        <v>71</v>
      </c>
      <c r="P113" s="168" t="s">
        <v>5441</v>
      </c>
      <c r="Q113" s="4" t="s">
        <v>47</v>
      </c>
      <c r="R113" s="172"/>
      <c r="S113" s="172"/>
      <c r="T113" s="172"/>
      <c r="U113" s="172"/>
      <c r="V113" s="172"/>
      <c r="W113" s="172"/>
      <c r="X113" s="172"/>
      <c r="Y113" s="172"/>
      <c r="Z113" s="172"/>
    </row>
    <row r="114" spans="1:26" ht="13.8">
      <c r="A114" s="166">
        <v>572</v>
      </c>
      <c r="B114" s="4" t="s">
        <v>5442</v>
      </c>
      <c r="C114" s="4">
        <v>580</v>
      </c>
      <c r="D114" s="4" t="s">
        <v>71</v>
      </c>
      <c r="E114" s="4" t="s">
        <v>71</v>
      </c>
      <c r="F114" s="4" t="s">
        <v>5437</v>
      </c>
      <c r="G114" s="4" t="s">
        <v>5438</v>
      </c>
      <c r="H114" s="4" t="s">
        <v>5443</v>
      </c>
      <c r="I114" s="4" t="s">
        <v>71</v>
      </c>
      <c r="J114" s="4" t="s">
        <v>71</v>
      </c>
      <c r="K114" s="4">
        <v>9820343007</v>
      </c>
      <c r="L114" s="4" t="s">
        <v>5444</v>
      </c>
      <c r="M114" s="4">
        <v>9820343007</v>
      </c>
      <c r="N114" s="4" t="s">
        <v>71</v>
      </c>
      <c r="O114" s="4" t="s">
        <v>71</v>
      </c>
      <c r="P114" s="168" t="s">
        <v>5441</v>
      </c>
      <c r="Q114" s="4" t="s">
        <v>47</v>
      </c>
      <c r="R114" s="172"/>
      <c r="S114" s="172"/>
      <c r="T114" s="172"/>
      <c r="U114" s="172"/>
      <c r="V114" s="172"/>
      <c r="W114" s="172"/>
      <c r="X114" s="172"/>
      <c r="Y114" s="172"/>
      <c r="Z114" s="172"/>
    </row>
    <row r="115" spans="1:26" ht="13.8">
      <c r="A115" s="166">
        <v>573</v>
      </c>
      <c r="B115" s="4" t="s">
        <v>5445</v>
      </c>
      <c r="C115" s="4">
        <v>581</v>
      </c>
      <c r="D115" s="4" t="s">
        <v>71</v>
      </c>
      <c r="E115" s="4" t="s">
        <v>71</v>
      </c>
      <c r="F115" s="4" t="s">
        <v>5437</v>
      </c>
      <c r="G115" s="4" t="s">
        <v>5438</v>
      </c>
      <c r="H115" s="4" t="s">
        <v>5446</v>
      </c>
      <c r="I115" s="4" t="s">
        <v>71</v>
      </c>
      <c r="J115" s="4" t="s">
        <v>71</v>
      </c>
      <c r="K115" s="4">
        <v>9920527298</v>
      </c>
      <c r="L115" s="4" t="s">
        <v>5447</v>
      </c>
      <c r="M115" s="4">
        <v>9920527298</v>
      </c>
      <c r="N115" s="4" t="s">
        <v>71</v>
      </c>
      <c r="O115" s="4" t="s">
        <v>71</v>
      </c>
      <c r="P115" s="168" t="s">
        <v>5441</v>
      </c>
      <c r="Q115" s="4" t="s">
        <v>47</v>
      </c>
      <c r="R115" s="172"/>
      <c r="S115" s="172"/>
      <c r="T115" s="172"/>
      <c r="U115" s="172"/>
      <c r="V115" s="172"/>
      <c r="W115" s="172"/>
      <c r="X115" s="172"/>
      <c r="Y115" s="172"/>
      <c r="Z115" s="172"/>
    </row>
    <row r="116" spans="1:26" ht="13.8">
      <c r="A116" s="166">
        <v>574</v>
      </c>
      <c r="B116" s="4" t="s">
        <v>5448</v>
      </c>
      <c r="C116" s="4">
        <v>582</v>
      </c>
      <c r="D116" s="4" t="s">
        <v>71</v>
      </c>
      <c r="E116" s="4" t="s">
        <v>71</v>
      </c>
      <c r="F116" s="4" t="s">
        <v>5449</v>
      </c>
      <c r="G116" s="4" t="s">
        <v>5450</v>
      </c>
      <c r="H116" s="4" t="s">
        <v>5451</v>
      </c>
      <c r="I116" s="4" t="s">
        <v>260</v>
      </c>
      <c r="J116" s="4" t="s">
        <v>71</v>
      </c>
      <c r="K116" s="4">
        <v>9823013745</v>
      </c>
      <c r="L116" s="4" t="s">
        <v>5452</v>
      </c>
      <c r="M116" s="4">
        <v>9823013745</v>
      </c>
      <c r="N116" s="4" t="s">
        <v>71</v>
      </c>
      <c r="O116" s="4" t="s">
        <v>71</v>
      </c>
      <c r="P116" s="168" t="s">
        <v>5453</v>
      </c>
      <c r="Q116" s="4" t="s">
        <v>47</v>
      </c>
      <c r="R116" s="172"/>
      <c r="S116" s="172"/>
      <c r="T116" s="172"/>
      <c r="U116" s="172"/>
      <c r="V116" s="172"/>
      <c r="W116" s="172"/>
      <c r="X116" s="172"/>
      <c r="Y116" s="172"/>
      <c r="Z116" s="172"/>
    </row>
    <row r="117" spans="1:26" ht="13.8">
      <c r="A117" s="166">
        <v>575</v>
      </c>
      <c r="B117" s="4" t="s">
        <v>5454</v>
      </c>
      <c r="C117" s="4">
        <v>583</v>
      </c>
      <c r="D117" s="4" t="s">
        <v>71</v>
      </c>
      <c r="E117" s="4" t="s">
        <v>71</v>
      </c>
      <c r="F117" s="4" t="s">
        <v>5449</v>
      </c>
      <c r="G117" s="4" t="s">
        <v>5450</v>
      </c>
      <c r="H117" s="4" t="s">
        <v>5455</v>
      </c>
      <c r="I117" s="4" t="s">
        <v>260</v>
      </c>
      <c r="J117" s="4" t="s">
        <v>71</v>
      </c>
      <c r="K117" s="4">
        <v>7798778899</v>
      </c>
      <c r="L117" s="4" t="s">
        <v>5456</v>
      </c>
      <c r="M117" s="4">
        <v>7798778899</v>
      </c>
      <c r="N117" s="4" t="s">
        <v>71</v>
      </c>
      <c r="O117" s="4" t="s">
        <v>71</v>
      </c>
      <c r="P117" s="168" t="s">
        <v>5453</v>
      </c>
      <c r="Q117" s="4" t="s">
        <v>47</v>
      </c>
      <c r="R117" s="172"/>
      <c r="S117" s="172"/>
      <c r="T117" s="172"/>
      <c r="U117" s="172"/>
      <c r="V117" s="172"/>
      <c r="W117" s="172"/>
      <c r="X117" s="172"/>
      <c r="Y117" s="172"/>
      <c r="Z117" s="172"/>
    </row>
    <row r="118" spans="1:26" ht="13.8">
      <c r="A118" s="166">
        <v>576</v>
      </c>
      <c r="B118" s="4" t="s">
        <v>5457</v>
      </c>
      <c r="C118" s="4">
        <v>584</v>
      </c>
      <c r="D118" s="4" t="s">
        <v>71</v>
      </c>
      <c r="E118" s="4" t="s">
        <v>71</v>
      </c>
      <c r="F118" s="4" t="s">
        <v>5449</v>
      </c>
      <c r="G118" s="4" t="s">
        <v>5450</v>
      </c>
      <c r="H118" s="4" t="s">
        <v>5458</v>
      </c>
      <c r="I118" s="4" t="s">
        <v>260</v>
      </c>
      <c r="J118" s="4" t="s">
        <v>71</v>
      </c>
      <c r="K118" s="4">
        <v>9823261100</v>
      </c>
      <c r="L118" s="4" t="s">
        <v>5459</v>
      </c>
      <c r="M118" s="4">
        <v>9823261100</v>
      </c>
      <c r="N118" s="4" t="s">
        <v>71</v>
      </c>
      <c r="O118" s="4" t="s">
        <v>71</v>
      </c>
      <c r="P118" s="168" t="s">
        <v>5453</v>
      </c>
      <c r="Q118" s="4" t="s">
        <v>47</v>
      </c>
      <c r="R118" s="172"/>
      <c r="S118" s="172"/>
      <c r="T118" s="172"/>
      <c r="U118" s="172"/>
      <c r="V118" s="172"/>
      <c r="W118" s="172"/>
      <c r="X118" s="172"/>
      <c r="Y118" s="172"/>
      <c r="Z118" s="172"/>
    </row>
    <row r="119" spans="1:26" ht="13.8">
      <c r="A119" s="166">
        <v>577</v>
      </c>
      <c r="B119" s="4" t="s">
        <v>5460</v>
      </c>
      <c r="C119" s="4">
        <v>585</v>
      </c>
      <c r="D119" s="4" t="s">
        <v>71</v>
      </c>
      <c r="E119" s="4" t="s">
        <v>71</v>
      </c>
      <c r="F119" s="4" t="s">
        <v>5449</v>
      </c>
      <c r="G119" s="4" t="s">
        <v>5450</v>
      </c>
      <c r="H119" s="4" t="s">
        <v>5461</v>
      </c>
      <c r="I119" s="4" t="s">
        <v>260</v>
      </c>
      <c r="J119" s="4" t="s">
        <v>71</v>
      </c>
      <c r="K119" s="4">
        <v>9823023457</v>
      </c>
      <c r="L119" s="4" t="s">
        <v>5462</v>
      </c>
      <c r="M119" s="4">
        <v>9823023457</v>
      </c>
      <c r="N119" s="4" t="s">
        <v>71</v>
      </c>
      <c r="O119" s="4" t="s">
        <v>71</v>
      </c>
      <c r="P119" s="168" t="s">
        <v>5453</v>
      </c>
      <c r="Q119" s="4" t="s">
        <v>47</v>
      </c>
      <c r="R119" s="172"/>
      <c r="S119" s="172"/>
      <c r="T119" s="172"/>
      <c r="U119" s="172"/>
      <c r="V119" s="172"/>
      <c r="W119" s="172"/>
      <c r="X119" s="172"/>
      <c r="Y119" s="172"/>
      <c r="Z119" s="172"/>
    </row>
    <row r="120" spans="1:26" ht="13.8">
      <c r="A120" s="166">
        <v>578</v>
      </c>
      <c r="B120" s="4" t="s">
        <v>5463</v>
      </c>
      <c r="C120" s="4">
        <v>586</v>
      </c>
      <c r="D120" s="4" t="s">
        <v>71</v>
      </c>
      <c r="E120" s="4" t="s">
        <v>71</v>
      </c>
      <c r="F120" s="4" t="s">
        <v>5449</v>
      </c>
      <c r="G120" s="4" t="s">
        <v>5450</v>
      </c>
      <c r="H120" s="4" t="s">
        <v>5464</v>
      </c>
      <c r="I120" s="4" t="s">
        <v>5465</v>
      </c>
      <c r="J120" s="4" t="s">
        <v>71</v>
      </c>
      <c r="K120" s="4">
        <v>9810203822</v>
      </c>
      <c r="L120" s="4" t="s">
        <v>5466</v>
      </c>
      <c r="M120" s="4">
        <v>9810203822</v>
      </c>
      <c r="N120" s="4" t="s">
        <v>71</v>
      </c>
      <c r="O120" s="4" t="s">
        <v>71</v>
      </c>
      <c r="P120" s="168" t="s">
        <v>5453</v>
      </c>
      <c r="Q120" s="4" t="s">
        <v>47</v>
      </c>
      <c r="R120" s="172"/>
      <c r="S120" s="172"/>
      <c r="T120" s="172"/>
      <c r="U120" s="172"/>
      <c r="V120" s="172"/>
      <c r="W120" s="172"/>
      <c r="X120" s="172"/>
      <c r="Y120" s="172"/>
      <c r="Z120" s="172"/>
    </row>
    <row r="121" spans="1:26" ht="13.8">
      <c r="A121" s="166">
        <v>579</v>
      </c>
      <c r="B121" s="4" t="s">
        <v>5467</v>
      </c>
      <c r="C121" s="4">
        <v>587</v>
      </c>
      <c r="D121" s="4" t="s">
        <v>71</v>
      </c>
      <c r="E121" s="4" t="s">
        <v>71</v>
      </c>
      <c r="F121" s="4" t="s">
        <v>5468</v>
      </c>
      <c r="G121" s="4" t="s">
        <v>5469</v>
      </c>
      <c r="H121" s="4" t="s">
        <v>5470</v>
      </c>
      <c r="I121" s="4" t="s">
        <v>71</v>
      </c>
      <c r="J121" s="4" t="s">
        <v>71</v>
      </c>
      <c r="K121" s="4">
        <v>9496019142</v>
      </c>
      <c r="L121" s="4" t="s">
        <v>5471</v>
      </c>
      <c r="M121" s="4">
        <v>9496019142</v>
      </c>
      <c r="N121" s="4" t="s">
        <v>71</v>
      </c>
      <c r="O121" s="4" t="s">
        <v>71</v>
      </c>
      <c r="P121" s="168" t="s">
        <v>5472</v>
      </c>
      <c r="Q121" s="4" t="s">
        <v>47</v>
      </c>
      <c r="R121" s="172"/>
      <c r="S121" s="172"/>
      <c r="T121" s="172"/>
      <c r="U121" s="172"/>
      <c r="V121" s="172"/>
      <c r="W121" s="172"/>
      <c r="X121" s="172"/>
      <c r="Y121" s="172"/>
      <c r="Z121" s="172"/>
    </row>
    <row r="122" spans="1:26" ht="13.8">
      <c r="A122" s="166">
        <v>580</v>
      </c>
      <c r="B122" s="4" t="s">
        <v>5473</v>
      </c>
      <c r="C122" s="4">
        <v>588</v>
      </c>
      <c r="D122" s="4" t="s">
        <v>71</v>
      </c>
      <c r="E122" s="4" t="s">
        <v>71</v>
      </c>
      <c r="F122" s="4" t="s">
        <v>5468</v>
      </c>
      <c r="G122" s="4" t="s">
        <v>5469</v>
      </c>
      <c r="H122" s="4" t="s">
        <v>5474</v>
      </c>
      <c r="I122" s="4" t="s">
        <v>71</v>
      </c>
      <c r="J122" s="4" t="s">
        <v>71</v>
      </c>
      <c r="K122" s="4">
        <v>9944583333</v>
      </c>
      <c r="L122" s="4" t="s">
        <v>5475</v>
      </c>
      <c r="M122" s="4">
        <v>9944583333</v>
      </c>
      <c r="N122" s="4" t="s">
        <v>71</v>
      </c>
      <c r="O122" s="4" t="s">
        <v>71</v>
      </c>
      <c r="P122" s="168" t="s">
        <v>5472</v>
      </c>
      <c r="Q122" s="4" t="s">
        <v>47</v>
      </c>
      <c r="R122" s="172"/>
      <c r="S122" s="172"/>
      <c r="T122" s="172"/>
      <c r="U122" s="172"/>
      <c r="V122" s="172"/>
      <c r="W122" s="172"/>
      <c r="X122" s="172"/>
      <c r="Y122" s="172"/>
      <c r="Z122" s="172"/>
    </row>
    <row r="123" spans="1:26" ht="13.8">
      <c r="A123" s="166">
        <v>581</v>
      </c>
      <c r="B123" s="4" t="s">
        <v>5476</v>
      </c>
      <c r="C123" s="4">
        <v>589</v>
      </c>
      <c r="D123" s="4" t="s">
        <v>71</v>
      </c>
      <c r="E123" s="4" t="s">
        <v>71</v>
      </c>
      <c r="F123" s="4" t="s">
        <v>5468</v>
      </c>
      <c r="G123" s="4" t="s">
        <v>5469</v>
      </c>
      <c r="H123" s="4" t="s">
        <v>5477</v>
      </c>
      <c r="I123" s="4" t="s">
        <v>71</v>
      </c>
      <c r="J123" s="4" t="s">
        <v>71</v>
      </c>
      <c r="K123" s="4">
        <v>9496019064</v>
      </c>
      <c r="L123" s="4" t="s">
        <v>5478</v>
      </c>
      <c r="M123" s="4">
        <v>9496019064</v>
      </c>
      <c r="N123" s="4" t="s">
        <v>71</v>
      </c>
      <c r="O123" s="4" t="s">
        <v>71</v>
      </c>
      <c r="P123" s="168" t="s">
        <v>5472</v>
      </c>
      <c r="Q123" s="4" t="s">
        <v>47</v>
      </c>
      <c r="R123" s="172"/>
      <c r="S123" s="172"/>
      <c r="T123" s="172"/>
      <c r="U123" s="172"/>
      <c r="V123" s="172"/>
      <c r="W123" s="172"/>
      <c r="X123" s="172"/>
      <c r="Y123" s="172"/>
      <c r="Z123" s="172"/>
    </row>
    <row r="124" spans="1:26" ht="13.8">
      <c r="A124" s="166">
        <v>582</v>
      </c>
      <c r="B124" s="4" t="s">
        <v>5479</v>
      </c>
      <c r="C124" s="4">
        <v>590</v>
      </c>
      <c r="D124" s="4" t="s">
        <v>71</v>
      </c>
      <c r="E124" s="4" t="s">
        <v>71</v>
      </c>
      <c r="F124" s="4" t="s">
        <v>5480</v>
      </c>
      <c r="G124" s="4" t="s">
        <v>5481</v>
      </c>
      <c r="H124" s="4" t="s">
        <v>5482</v>
      </c>
      <c r="I124" s="4" t="s">
        <v>71</v>
      </c>
      <c r="J124" s="4" t="s">
        <v>71</v>
      </c>
      <c r="K124" s="4">
        <v>9824133333</v>
      </c>
      <c r="L124" s="4" t="s">
        <v>5483</v>
      </c>
      <c r="M124" s="4">
        <v>9824133333</v>
      </c>
      <c r="N124" s="4" t="s">
        <v>71</v>
      </c>
      <c r="O124" s="4" t="s">
        <v>71</v>
      </c>
      <c r="P124" s="168" t="s">
        <v>5484</v>
      </c>
      <c r="Q124" s="4" t="s">
        <v>47</v>
      </c>
      <c r="R124" s="172"/>
      <c r="S124" s="172"/>
      <c r="T124" s="172"/>
      <c r="U124" s="172"/>
      <c r="V124" s="172"/>
      <c r="W124" s="172"/>
      <c r="X124" s="172"/>
      <c r="Y124" s="172"/>
      <c r="Z124" s="172"/>
    </row>
    <row r="125" spans="1:26" ht="13.8">
      <c r="A125" s="166">
        <v>583</v>
      </c>
      <c r="B125" s="4" t="s">
        <v>5485</v>
      </c>
      <c r="C125" s="4">
        <v>591</v>
      </c>
      <c r="D125" s="4" t="s">
        <v>71</v>
      </c>
      <c r="E125" s="4" t="s">
        <v>71</v>
      </c>
      <c r="F125" s="4" t="s">
        <v>5480</v>
      </c>
      <c r="G125" s="4" t="s">
        <v>5481</v>
      </c>
      <c r="H125" s="4" t="s">
        <v>5486</v>
      </c>
      <c r="I125" s="4" t="s">
        <v>71</v>
      </c>
      <c r="J125" s="4" t="s">
        <v>71</v>
      </c>
      <c r="K125" s="4">
        <v>9825010810</v>
      </c>
      <c r="L125" s="4" t="s">
        <v>5487</v>
      </c>
      <c r="M125" s="4">
        <v>9825010810</v>
      </c>
      <c r="N125" s="4" t="s">
        <v>71</v>
      </c>
      <c r="O125" s="4" t="s">
        <v>71</v>
      </c>
      <c r="P125" s="168" t="s">
        <v>5484</v>
      </c>
      <c r="Q125" s="4" t="s">
        <v>47</v>
      </c>
      <c r="R125" s="172"/>
      <c r="S125" s="172"/>
      <c r="T125" s="172"/>
      <c r="U125" s="172"/>
      <c r="V125" s="172"/>
      <c r="W125" s="172"/>
      <c r="X125" s="172"/>
      <c r="Y125" s="172"/>
      <c r="Z125" s="172"/>
    </row>
    <row r="126" spans="1:26" ht="13.8">
      <c r="A126" s="166">
        <v>584</v>
      </c>
      <c r="B126" s="4" t="s">
        <v>5488</v>
      </c>
      <c r="C126" s="4">
        <v>592</v>
      </c>
      <c r="D126" s="4" t="s">
        <v>71</v>
      </c>
      <c r="E126" s="4" t="s">
        <v>71</v>
      </c>
      <c r="F126" s="4" t="s">
        <v>5480</v>
      </c>
      <c r="G126" s="4" t="s">
        <v>5481</v>
      </c>
      <c r="H126" s="4" t="s">
        <v>5489</v>
      </c>
      <c r="I126" s="4" t="s">
        <v>71</v>
      </c>
      <c r="J126" s="4" t="s">
        <v>71</v>
      </c>
      <c r="K126" s="4">
        <v>9825034747</v>
      </c>
      <c r="L126" s="4" t="s">
        <v>5490</v>
      </c>
      <c r="M126" s="4">
        <v>9825034747</v>
      </c>
      <c r="N126" s="4" t="s">
        <v>71</v>
      </c>
      <c r="O126" s="4" t="s">
        <v>71</v>
      </c>
      <c r="P126" s="168" t="s">
        <v>5484</v>
      </c>
      <c r="Q126" s="4" t="s">
        <v>47</v>
      </c>
      <c r="R126" s="172"/>
      <c r="S126" s="172"/>
      <c r="T126" s="172"/>
      <c r="U126" s="172"/>
      <c r="V126" s="172"/>
      <c r="W126" s="172"/>
      <c r="X126" s="172"/>
      <c r="Y126" s="172"/>
      <c r="Z126" s="172"/>
    </row>
    <row r="127" spans="1:26" ht="13.8">
      <c r="A127" s="166">
        <v>585</v>
      </c>
      <c r="B127" s="4" t="s">
        <v>5491</v>
      </c>
      <c r="C127" s="4">
        <v>593</v>
      </c>
      <c r="D127" s="4" t="s">
        <v>71</v>
      </c>
      <c r="E127" s="4" t="s">
        <v>71</v>
      </c>
      <c r="F127" s="4" t="s">
        <v>5480</v>
      </c>
      <c r="G127" s="4" t="s">
        <v>5481</v>
      </c>
      <c r="H127" s="4" t="s">
        <v>5492</v>
      </c>
      <c r="I127" s="4" t="s">
        <v>71</v>
      </c>
      <c r="J127" s="4" t="s">
        <v>71</v>
      </c>
      <c r="K127" s="4">
        <v>9925034747</v>
      </c>
      <c r="L127" s="4" t="s">
        <v>5493</v>
      </c>
      <c r="M127" s="4">
        <v>9925034747</v>
      </c>
      <c r="N127" s="4" t="s">
        <v>71</v>
      </c>
      <c r="O127" s="4" t="s">
        <v>71</v>
      </c>
      <c r="P127" s="168" t="s">
        <v>5484</v>
      </c>
      <c r="Q127" s="4" t="s">
        <v>47</v>
      </c>
      <c r="R127" s="172"/>
      <c r="S127" s="172"/>
      <c r="T127" s="172"/>
      <c r="U127" s="172"/>
      <c r="V127" s="172"/>
      <c r="W127" s="172"/>
      <c r="X127" s="172"/>
      <c r="Y127" s="172"/>
      <c r="Z127" s="172"/>
    </row>
    <row r="128" spans="1:26" ht="13.8">
      <c r="A128" s="166">
        <v>586</v>
      </c>
      <c r="B128" s="4" t="s">
        <v>5494</v>
      </c>
      <c r="C128" s="4">
        <v>594</v>
      </c>
      <c r="D128" s="4" t="s">
        <v>71</v>
      </c>
      <c r="E128" s="4" t="s">
        <v>71</v>
      </c>
      <c r="F128" s="4" t="s">
        <v>5252</v>
      </c>
      <c r="G128" s="4" t="s">
        <v>5253</v>
      </c>
      <c r="H128" s="4" t="s">
        <v>5495</v>
      </c>
      <c r="I128" s="4" t="s">
        <v>71</v>
      </c>
      <c r="J128" s="4" t="s">
        <v>71</v>
      </c>
      <c r="K128" s="4">
        <v>9168998990</v>
      </c>
      <c r="L128" s="4" t="s">
        <v>5496</v>
      </c>
      <c r="M128" s="4">
        <v>9168998990</v>
      </c>
      <c r="N128" s="4" t="s">
        <v>71</v>
      </c>
      <c r="O128" s="4" t="s">
        <v>71</v>
      </c>
      <c r="P128" s="168" t="s">
        <v>5256</v>
      </c>
      <c r="Q128" s="4" t="s">
        <v>47</v>
      </c>
      <c r="R128" s="172"/>
      <c r="S128" s="172"/>
      <c r="T128" s="172"/>
      <c r="U128" s="172"/>
      <c r="V128" s="172"/>
      <c r="W128" s="172"/>
      <c r="X128" s="172"/>
      <c r="Y128" s="172"/>
      <c r="Z128" s="172"/>
    </row>
    <row r="129" spans="1:26" ht="13.8">
      <c r="A129" s="166">
        <v>587</v>
      </c>
      <c r="B129" s="4" t="s">
        <v>5497</v>
      </c>
      <c r="C129" s="4">
        <v>595</v>
      </c>
      <c r="D129" s="4" t="s">
        <v>71</v>
      </c>
      <c r="E129" s="4" t="s">
        <v>71</v>
      </c>
      <c r="F129" s="4" t="s">
        <v>5252</v>
      </c>
      <c r="G129" s="4" t="s">
        <v>5253</v>
      </c>
      <c r="H129" s="4" t="s">
        <v>5498</v>
      </c>
      <c r="I129" s="4" t="s">
        <v>71</v>
      </c>
      <c r="J129" s="4" t="s">
        <v>71</v>
      </c>
      <c r="K129" s="4">
        <v>9158998996</v>
      </c>
      <c r="L129" s="4" t="s">
        <v>5499</v>
      </c>
      <c r="M129" s="4">
        <v>9158998996</v>
      </c>
      <c r="N129" s="4" t="s">
        <v>71</v>
      </c>
      <c r="O129" s="4" t="s">
        <v>71</v>
      </c>
      <c r="P129" s="168" t="s">
        <v>5256</v>
      </c>
      <c r="Q129" s="4" t="s">
        <v>47</v>
      </c>
      <c r="R129" s="172"/>
      <c r="S129" s="172"/>
      <c r="T129" s="172"/>
      <c r="U129" s="172"/>
      <c r="V129" s="172"/>
      <c r="W129" s="172"/>
      <c r="X129" s="172"/>
      <c r="Y129" s="172"/>
      <c r="Z129" s="172"/>
    </row>
    <row r="130" spans="1:26" ht="13.8">
      <c r="A130" s="166">
        <v>588</v>
      </c>
      <c r="B130" s="4" t="s">
        <v>5500</v>
      </c>
      <c r="C130" s="4">
        <v>596</v>
      </c>
      <c r="D130" s="4" t="s">
        <v>71</v>
      </c>
      <c r="E130" s="4" t="s">
        <v>71</v>
      </c>
      <c r="F130" s="4" t="s">
        <v>5252</v>
      </c>
      <c r="G130" s="4" t="s">
        <v>5253</v>
      </c>
      <c r="H130" s="4" t="s">
        <v>5501</v>
      </c>
      <c r="I130" s="4" t="s">
        <v>71</v>
      </c>
      <c r="J130" s="4" t="s">
        <v>71</v>
      </c>
      <c r="K130" s="4">
        <v>9823186500</v>
      </c>
      <c r="L130" s="4" t="s">
        <v>5502</v>
      </c>
      <c r="M130" s="4">
        <v>9823186500</v>
      </c>
      <c r="N130" s="4" t="s">
        <v>71</v>
      </c>
      <c r="O130" s="4" t="s">
        <v>71</v>
      </c>
      <c r="P130" s="168" t="s">
        <v>5256</v>
      </c>
      <c r="Q130" s="4" t="s">
        <v>47</v>
      </c>
      <c r="R130" s="172"/>
      <c r="S130" s="172"/>
      <c r="T130" s="172"/>
      <c r="U130" s="172"/>
      <c r="V130" s="172"/>
      <c r="W130" s="172"/>
      <c r="X130" s="172"/>
      <c r="Y130" s="172"/>
      <c r="Z130" s="172"/>
    </row>
    <row r="131" spans="1:26" ht="13.8">
      <c r="A131" s="166">
        <v>589</v>
      </c>
      <c r="B131" s="4" t="s">
        <v>5503</v>
      </c>
      <c r="C131" s="4">
        <v>597</v>
      </c>
      <c r="D131" s="4" t="s">
        <v>71</v>
      </c>
      <c r="E131" s="4" t="s">
        <v>71</v>
      </c>
      <c r="F131" s="4" t="s">
        <v>71</v>
      </c>
      <c r="G131" s="4" t="s">
        <v>5504</v>
      </c>
      <c r="H131" s="4" t="s">
        <v>5505</v>
      </c>
      <c r="I131" s="4" t="s">
        <v>71</v>
      </c>
      <c r="J131" s="4" t="s">
        <v>71</v>
      </c>
      <c r="K131" s="4">
        <v>8980240000</v>
      </c>
      <c r="L131" s="4" t="s">
        <v>5506</v>
      </c>
      <c r="M131" s="4">
        <v>8980240000</v>
      </c>
      <c r="N131" s="4" t="s">
        <v>71</v>
      </c>
      <c r="O131" s="4" t="s">
        <v>71</v>
      </c>
      <c r="P131" s="168" t="s">
        <v>5507</v>
      </c>
      <c r="Q131" s="4" t="s">
        <v>47</v>
      </c>
      <c r="R131" s="172"/>
      <c r="S131" s="172"/>
      <c r="T131" s="172"/>
      <c r="U131" s="172"/>
      <c r="V131" s="172"/>
      <c r="W131" s="172"/>
      <c r="X131" s="172"/>
      <c r="Y131" s="172"/>
      <c r="Z131" s="172"/>
    </row>
    <row r="132" spans="1:26" ht="13.8">
      <c r="A132" s="166">
        <v>590</v>
      </c>
      <c r="B132" s="4" t="s">
        <v>5508</v>
      </c>
      <c r="C132" s="4">
        <v>598</v>
      </c>
      <c r="D132" s="4" t="s">
        <v>71</v>
      </c>
      <c r="E132" s="4" t="s">
        <v>71</v>
      </c>
      <c r="F132" s="4" t="s">
        <v>71</v>
      </c>
      <c r="G132" s="4" t="s">
        <v>5509</v>
      </c>
      <c r="H132" s="4" t="s">
        <v>5510</v>
      </c>
      <c r="I132" s="4" t="s">
        <v>71</v>
      </c>
      <c r="J132" s="4" t="s">
        <v>71</v>
      </c>
      <c r="K132" s="4">
        <v>9910400382</v>
      </c>
      <c r="L132" s="4" t="s">
        <v>5511</v>
      </c>
      <c r="M132" s="4">
        <v>9910400382</v>
      </c>
      <c r="N132" s="4" t="s">
        <v>71</v>
      </c>
      <c r="O132" s="4" t="s">
        <v>71</v>
      </c>
      <c r="P132" s="168" t="s">
        <v>5512</v>
      </c>
      <c r="Q132" s="4" t="s">
        <v>47</v>
      </c>
      <c r="R132" s="172"/>
      <c r="S132" s="172"/>
      <c r="T132" s="172"/>
      <c r="U132" s="172"/>
      <c r="V132" s="172"/>
      <c r="W132" s="172"/>
      <c r="X132" s="172"/>
      <c r="Y132" s="172"/>
      <c r="Z132" s="172"/>
    </row>
    <row r="133" spans="1:26" ht="13.8">
      <c r="A133" s="166">
        <v>591</v>
      </c>
      <c r="B133" s="4" t="s">
        <v>5513</v>
      </c>
      <c r="C133" s="4">
        <v>599</v>
      </c>
      <c r="D133" s="4" t="s">
        <v>71</v>
      </c>
      <c r="E133" s="4" t="s">
        <v>71</v>
      </c>
      <c r="F133" s="4" t="s">
        <v>71</v>
      </c>
      <c r="G133" s="4" t="s">
        <v>5509</v>
      </c>
      <c r="H133" s="4" t="s">
        <v>5514</v>
      </c>
      <c r="I133" s="4" t="s">
        <v>71</v>
      </c>
      <c r="J133" s="4" t="s">
        <v>71</v>
      </c>
      <c r="K133" s="4">
        <v>8130744440</v>
      </c>
      <c r="L133" s="4" t="s">
        <v>5515</v>
      </c>
      <c r="M133" s="4">
        <v>8130744440</v>
      </c>
      <c r="N133" s="4" t="s">
        <v>71</v>
      </c>
      <c r="O133" s="4" t="s">
        <v>71</v>
      </c>
      <c r="P133" s="168" t="s">
        <v>5512</v>
      </c>
      <c r="Q133" s="4" t="s">
        <v>47</v>
      </c>
      <c r="R133" s="172"/>
      <c r="S133" s="172"/>
      <c r="T133" s="172"/>
      <c r="U133" s="172"/>
      <c r="V133" s="172"/>
      <c r="W133" s="172"/>
      <c r="X133" s="172"/>
      <c r="Y133" s="172"/>
      <c r="Z133" s="172"/>
    </row>
    <row r="134" spans="1:26" ht="13.8">
      <c r="A134" s="166">
        <v>592</v>
      </c>
      <c r="B134" s="4" t="s">
        <v>5516</v>
      </c>
      <c r="C134" s="4">
        <v>600</v>
      </c>
      <c r="D134" s="4" t="s">
        <v>71</v>
      </c>
      <c r="E134" s="4" t="s">
        <v>71</v>
      </c>
      <c r="F134" s="4" t="s">
        <v>71</v>
      </c>
      <c r="G134" s="4" t="s">
        <v>5509</v>
      </c>
      <c r="H134" s="4" t="s">
        <v>5517</v>
      </c>
      <c r="I134" s="4" t="s">
        <v>71</v>
      </c>
      <c r="J134" s="4" t="s">
        <v>71</v>
      </c>
      <c r="K134" s="4">
        <v>9971012349</v>
      </c>
      <c r="L134" s="4" t="s">
        <v>5518</v>
      </c>
      <c r="M134" s="4">
        <v>9971012349</v>
      </c>
      <c r="N134" s="4" t="s">
        <v>71</v>
      </c>
      <c r="O134" s="4" t="s">
        <v>71</v>
      </c>
      <c r="P134" s="168" t="s">
        <v>5512</v>
      </c>
      <c r="Q134" s="4" t="s">
        <v>47</v>
      </c>
      <c r="R134" s="172"/>
      <c r="S134" s="172"/>
      <c r="T134" s="172"/>
      <c r="U134" s="172"/>
      <c r="V134" s="172"/>
      <c r="W134" s="172"/>
      <c r="X134" s="172"/>
      <c r="Y134" s="172"/>
      <c r="Z134" s="172"/>
    </row>
    <row r="135" spans="1:26" ht="13.8">
      <c r="A135" s="166">
        <v>593</v>
      </c>
      <c r="B135" s="4" t="s">
        <v>5519</v>
      </c>
      <c r="C135" s="4">
        <v>601</v>
      </c>
      <c r="D135" s="4" t="s">
        <v>5520</v>
      </c>
      <c r="E135" s="4" t="s">
        <v>71</v>
      </c>
      <c r="F135" s="4" t="s">
        <v>71</v>
      </c>
      <c r="G135" s="4" t="s">
        <v>5521</v>
      </c>
      <c r="H135" s="4" t="s">
        <v>5522</v>
      </c>
      <c r="I135" s="4" t="s">
        <v>71</v>
      </c>
      <c r="J135" s="4" t="s">
        <v>71</v>
      </c>
      <c r="K135" s="4">
        <v>9837005999</v>
      </c>
      <c r="L135" s="4" t="s">
        <v>5523</v>
      </c>
      <c r="M135" s="4">
        <v>9837005999</v>
      </c>
      <c r="N135" s="4" t="s">
        <v>71</v>
      </c>
      <c r="O135" s="4" t="s">
        <v>71</v>
      </c>
      <c r="P135" s="168" t="s">
        <v>5524</v>
      </c>
      <c r="Q135" s="4" t="s">
        <v>47</v>
      </c>
      <c r="R135" s="172"/>
      <c r="S135" s="172"/>
      <c r="T135" s="172"/>
      <c r="U135" s="172"/>
      <c r="V135" s="172"/>
      <c r="W135" s="172"/>
      <c r="X135" s="172"/>
      <c r="Y135" s="172"/>
      <c r="Z135" s="172"/>
    </row>
    <row r="136" spans="1:26" ht="13.8">
      <c r="A136" s="166">
        <v>594</v>
      </c>
      <c r="B136" s="4" t="s">
        <v>5525</v>
      </c>
      <c r="C136" s="4">
        <v>602</v>
      </c>
      <c r="D136" s="4" t="s">
        <v>5526</v>
      </c>
      <c r="E136" s="4" t="s">
        <v>71</v>
      </c>
      <c r="F136" s="4" t="s">
        <v>71</v>
      </c>
      <c r="G136" s="4" t="s">
        <v>5521</v>
      </c>
      <c r="H136" s="4" t="s">
        <v>5527</v>
      </c>
      <c r="I136" s="4" t="s">
        <v>71</v>
      </c>
      <c r="J136" s="4" t="s">
        <v>71</v>
      </c>
      <c r="K136" s="4">
        <v>9837007011</v>
      </c>
      <c r="L136" s="4" t="s">
        <v>5528</v>
      </c>
      <c r="M136" s="4">
        <v>9837007011</v>
      </c>
      <c r="N136" s="4" t="s">
        <v>71</v>
      </c>
      <c r="O136" s="4" t="s">
        <v>71</v>
      </c>
      <c r="P136" s="168" t="s">
        <v>5524</v>
      </c>
      <c r="Q136" s="4" t="s">
        <v>47</v>
      </c>
      <c r="R136" s="172"/>
      <c r="S136" s="172"/>
      <c r="T136" s="172"/>
      <c r="U136" s="172"/>
      <c r="V136" s="172"/>
      <c r="W136" s="172"/>
      <c r="X136" s="172"/>
      <c r="Y136" s="172"/>
      <c r="Z136" s="172"/>
    </row>
    <row r="137" spans="1:26" ht="13.8">
      <c r="A137" s="166">
        <v>595</v>
      </c>
      <c r="B137" s="4" t="s">
        <v>5529</v>
      </c>
      <c r="C137" s="4">
        <v>603</v>
      </c>
      <c r="D137" s="4" t="s">
        <v>71</v>
      </c>
      <c r="E137" s="4" t="s">
        <v>71</v>
      </c>
      <c r="F137" s="4" t="s">
        <v>71</v>
      </c>
      <c r="G137" s="4" t="s">
        <v>5530</v>
      </c>
      <c r="H137" s="4" t="s">
        <v>5531</v>
      </c>
      <c r="I137" s="4" t="s">
        <v>71</v>
      </c>
      <c r="J137" s="4" t="s">
        <v>71</v>
      </c>
      <c r="K137" s="4">
        <v>8652095788</v>
      </c>
      <c r="L137" s="4" t="s">
        <v>5532</v>
      </c>
      <c r="M137" s="4">
        <v>8652095788</v>
      </c>
      <c r="N137" s="4" t="s">
        <v>71</v>
      </c>
      <c r="O137" s="4" t="s">
        <v>71</v>
      </c>
      <c r="P137" s="168" t="s">
        <v>5533</v>
      </c>
      <c r="Q137" s="4" t="s">
        <v>47</v>
      </c>
      <c r="R137" s="172"/>
      <c r="S137" s="172"/>
      <c r="T137" s="172"/>
      <c r="U137" s="172"/>
      <c r="V137" s="172"/>
      <c r="W137" s="172"/>
      <c r="X137" s="172"/>
      <c r="Y137" s="172"/>
      <c r="Z137" s="172"/>
    </row>
    <row r="138" spans="1:26" ht="13.8">
      <c r="A138" s="166">
        <v>596</v>
      </c>
      <c r="B138" s="4" t="s">
        <v>5534</v>
      </c>
      <c r="C138" s="4">
        <v>604</v>
      </c>
      <c r="D138" s="4" t="s">
        <v>71</v>
      </c>
      <c r="E138" s="4" t="s">
        <v>71</v>
      </c>
      <c r="F138" s="4" t="s">
        <v>71</v>
      </c>
      <c r="G138" s="4" t="s">
        <v>5530</v>
      </c>
      <c r="H138" s="4" t="s">
        <v>5535</v>
      </c>
      <c r="I138" s="4" t="s">
        <v>71</v>
      </c>
      <c r="J138" s="4" t="s">
        <v>71</v>
      </c>
      <c r="K138" s="4">
        <v>9967242801</v>
      </c>
      <c r="L138" s="4" t="s">
        <v>5536</v>
      </c>
      <c r="M138" s="4">
        <v>9967242801</v>
      </c>
      <c r="N138" s="4" t="s">
        <v>71</v>
      </c>
      <c r="O138" s="4" t="s">
        <v>71</v>
      </c>
      <c r="P138" s="168" t="s">
        <v>5533</v>
      </c>
      <c r="Q138" s="4" t="s">
        <v>47</v>
      </c>
      <c r="R138" s="172"/>
      <c r="S138" s="172"/>
      <c r="T138" s="172"/>
      <c r="U138" s="172"/>
      <c r="V138" s="172"/>
      <c r="W138" s="172"/>
      <c r="X138" s="172"/>
      <c r="Y138" s="172"/>
      <c r="Z138" s="172"/>
    </row>
    <row r="139" spans="1:26" ht="13.8">
      <c r="A139" s="166">
        <v>597</v>
      </c>
      <c r="B139" s="4" t="s">
        <v>5537</v>
      </c>
      <c r="C139" s="4">
        <v>605</v>
      </c>
      <c r="D139" s="4" t="s">
        <v>71</v>
      </c>
      <c r="E139" s="4" t="s">
        <v>71</v>
      </c>
      <c r="F139" s="4" t="s">
        <v>71</v>
      </c>
      <c r="G139" s="4" t="s">
        <v>5530</v>
      </c>
      <c r="H139" s="4" t="s">
        <v>5538</v>
      </c>
      <c r="I139" s="4" t="s">
        <v>71</v>
      </c>
      <c r="J139" s="4" t="s">
        <v>71</v>
      </c>
      <c r="K139" s="4">
        <v>9819133327</v>
      </c>
      <c r="L139" s="4" t="s">
        <v>5539</v>
      </c>
      <c r="M139" s="4">
        <v>9819133327</v>
      </c>
      <c r="N139" s="4" t="s">
        <v>71</v>
      </c>
      <c r="O139" s="4" t="s">
        <v>71</v>
      </c>
      <c r="P139" s="168" t="s">
        <v>5533</v>
      </c>
      <c r="Q139" s="4" t="s">
        <v>47</v>
      </c>
      <c r="R139" s="172"/>
      <c r="S139" s="172"/>
      <c r="T139" s="172"/>
      <c r="U139" s="172"/>
      <c r="V139" s="172"/>
      <c r="W139" s="172"/>
      <c r="X139" s="172"/>
      <c r="Y139" s="172"/>
      <c r="Z139" s="172"/>
    </row>
    <row r="140" spans="1:26" ht="13.8">
      <c r="A140" s="166">
        <v>598</v>
      </c>
      <c r="B140" s="4" t="s">
        <v>5540</v>
      </c>
      <c r="C140" s="4">
        <v>606</v>
      </c>
      <c r="D140" s="4" t="s">
        <v>71</v>
      </c>
      <c r="E140" s="4" t="s">
        <v>71</v>
      </c>
      <c r="F140" s="4" t="s">
        <v>5541</v>
      </c>
      <c r="G140" s="4" t="s">
        <v>5542</v>
      </c>
      <c r="H140" s="4" t="s">
        <v>5543</v>
      </c>
      <c r="I140" s="4" t="s">
        <v>71</v>
      </c>
      <c r="J140" s="4" t="s">
        <v>71</v>
      </c>
      <c r="K140" s="4">
        <v>9814089140</v>
      </c>
      <c r="L140" s="4" t="s">
        <v>5544</v>
      </c>
      <c r="M140" s="4">
        <v>9814089140</v>
      </c>
      <c r="N140" s="4" t="s">
        <v>71</v>
      </c>
      <c r="O140" s="4" t="s">
        <v>71</v>
      </c>
      <c r="P140" s="168" t="s">
        <v>5545</v>
      </c>
      <c r="Q140" s="4" t="s">
        <v>47</v>
      </c>
      <c r="R140" s="172"/>
      <c r="S140" s="172"/>
      <c r="T140" s="172"/>
      <c r="U140" s="172"/>
      <c r="V140" s="172"/>
      <c r="W140" s="172"/>
      <c r="X140" s="172"/>
      <c r="Y140" s="172"/>
      <c r="Z140" s="172"/>
    </row>
    <row r="141" spans="1:26" ht="13.8">
      <c r="A141" s="166">
        <v>599</v>
      </c>
      <c r="B141" s="4" t="s">
        <v>5546</v>
      </c>
      <c r="C141" s="4">
        <v>607</v>
      </c>
      <c r="D141" s="4" t="s">
        <v>71</v>
      </c>
      <c r="E141" s="4" t="s">
        <v>71</v>
      </c>
      <c r="F141" s="4" t="s">
        <v>5541</v>
      </c>
      <c r="G141" s="4" t="s">
        <v>5542</v>
      </c>
      <c r="H141" s="4" t="s">
        <v>5547</v>
      </c>
      <c r="I141" s="4" t="s">
        <v>71</v>
      </c>
      <c r="J141" s="4" t="s">
        <v>71</v>
      </c>
      <c r="K141" s="4">
        <v>9878102030</v>
      </c>
      <c r="L141" s="4" t="s">
        <v>5548</v>
      </c>
      <c r="M141" s="4">
        <v>9878102030</v>
      </c>
      <c r="N141" s="4" t="s">
        <v>71</v>
      </c>
      <c r="O141" s="4" t="s">
        <v>71</v>
      </c>
      <c r="P141" s="168" t="s">
        <v>5545</v>
      </c>
      <c r="Q141" s="4" t="s">
        <v>47</v>
      </c>
      <c r="R141" s="172"/>
      <c r="S141" s="172"/>
      <c r="T141" s="172"/>
      <c r="U141" s="172"/>
      <c r="V141" s="172"/>
      <c r="W141" s="172"/>
      <c r="X141" s="172"/>
      <c r="Y141" s="172"/>
      <c r="Z141" s="172"/>
    </row>
    <row r="142" spans="1:26" ht="13.8">
      <c r="A142" s="166">
        <v>600</v>
      </c>
      <c r="B142" s="4" t="s">
        <v>5549</v>
      </c>
      <c r="C142" s="4">
        <v>608</v>
      </c>
      <c r="D142" s="4" t="s">
        <v>71</v>
      </c>
      <c r="E142" s="4" t="s">
        <v>71</v>
      </c>
      <c r="F142" s="4" t="s">
        <v>5541</v>
      </c>
      <c r="G142" s="4" t="s">
        <v>5542</v>
      </c>
      <c r="H142" s="4" t="s">
        <v>5550</v>
      </c>
      <c r="I142" s="4" t="s">
        <v>71</v>
      </c>
      <c r="J142" s="4" t="s">
        <v>71</v>
      </c>
      <c r="K142" s="4">
        <v>9876304050</v>
      </c>
      <c r="L142" s="4" t="s">
        <v>5551</v>
      </c>
      <c r="M142" s="4">
        <v>9876304050</v>
      </c>
      <c r="N142" s="4" t="s">
        <v>71</v>
      </c>
      <c r="O142" s="4" t="s">
        <v>71</v>
      </c>
      <c r="P142" s="168" t="s">
        <v>5545</v>
      </c>
      <c r="Q142" s="4" t="s">
        <v>47</v>
      </c>
      <c r="R142" s="172"/>
      <c r="S142" s="172"/>
      <c r="T142" s="172"/>
      <c r="U142" s="172"/>
      <c r="V142" s="172"/>
      <c r="W142" s="172"/>
      <c r="X142" s="172"/>
      <c r="Y142" s="172"/>
      <c r="Z142" s="172"/>
    </row>
    <row r="143" spans="1:26" ht="13.8">
      <c r="A143" s="166">
        <v>601</v>
      </c>
      <c r="B143" s="4" t="s">
        <v>5552</v>
      </c>
      <c r="C143" s="4">
        <v>609</v>
      </c>
      <c r="D143" s="4" t="s">
        <v>71</v>
      </c>
      <c r="E143" s="4" t="s">
        <v>71</v>
      </c>
      <c r="F143" s="4" t="s">
        <v>71</v>
      </c>
      <c r="G143" s="4" t="s">
        <v>5553</v>
      </c>
      <c r="H143" s="4" t="s">
        <v>5554</v>
      </c>
      <c r="I143" s="4" t="s">
        <v>71</v>
      </c>
      <c r="J143" s="4" t="s">
        <v>71</v>
      </c>
      <c r="K143" s="4">
        <v>9004947000</v>
      </c>
      <c r="L143" s="4" t="s">
        <v>5555</v>
      </c>
      <c r="M143" s="4">
        <v>9004947000</v>
      </c>
      <c r="N143" s="4" t="s">
        <v>71</v>
      </c>
      <c r="O143" s="4" t="s">
        <v>71</v>
      </c>
      <c r="P143" s="4" t="s">
        <v>71</v>
      </c>
      <c r="Q143" s="4" t="s">
        <v>47</v>
      </c>
      <c r="R143" s="172"/>
      <c r="S143" s="172"/>
      <c r="T143" s="172"/>
      <c r="U143" s="172"/>
      <c r="V143" s="172"/>
      <c r="W143" s="172"/>
      <c r="X143" s="172"/>
      <c r="Y143" s="172"/>
      <c r="Z143" s="172"/>
    </row>
    <row r="144" spans="1:26" ht="13.8">
      <c r="A144" s="166">
        <v>602</v>
      </c>
      <c r="B144" s="4" t="s">
        <v>5556</v>
      </c>
      <c r="C144" s="4">
        <v>610</v>
      </c>
      <c r="D144" s="4" t="s">
        <v>71</v>
      </c>
      <c r="E144" s="4" t="s">
        <v>71</v>
      </c>
      <c r="F144" s="4" t="s">
        <v>71</v>
      </c>
      <c r="G144" s="4" t="s">
        <v>5553</v>
      </c>
      <c r="H144" s="4" t="s">
        <v>5557</v>
      </c>
      <c r="I144" s="4" t="s">
        <v>71</v>
      </c>
      <c r="J144" s="4" t="s">
        <v>71</v>
      </c>
      <c r="K144" s="4">
        <v>9008004270</v>
      </c>
      <c r="L144" s="4" t="s">
        <v>5558</v>
      </c>
      <c r="M144" s="4">
        <v>9008004270</v>
      </c>
      <c r="N144" s="4" t="s">
        <v>71</v>
      </c>
      <c r="O144" s="4" t="s">
        <v>71</v>
      </c>
      <c r="P144" s="4" t="s">
        <v>71</v>
      </c>
      <c r="Q144" s="4" t="s">
        <v>47</v>
      </c>
      <c r="R144" s="172"/>
      <c r="S144" s="172"/>
      <c r="T144" s="172"/>
      <c r="U144" s="172"/>
      <c r="V144" s="172"/>
      <c r="W144" s="172"/>
      <c r="X144" s="172"/>
      <c r="Y144" s="172"/>
      <c r="Z144" s="172"/>
    </row>
    <row r="145" spans="1:26" ht="13.8">
      <c r="A145" s="166">
        <v>603</v>
      </c>
      <c r="B145" s="4" t="s">
        <v>5559</v>
      </c>
      <c r="C145" s="4">
        <v>611</v>
      </c>
      <c r="D145" s="4" t="s">
        <v>71</v>
      </c>
      <c r="E145" s="4" t="s">
        <v>71</v>
      </c>
      <c r="F145" s="4" t="s">
        <v>71</v>
      </c>
      <c r="G145" s="4" t="s">
        <v>5553</v>
      </c>
      <c r="H145" s="4" t="s">
        <v>5560</v>
      </c>
      <c r="I145" s="4" t="s">
        <v>71</v>
      </c>
      <c r="J145" s="4" t="s">
        <v>71</v>
      </c>
      <c r="K145" s="4">
        <v>9004470200</v>
      </c>
      <c r="L145" s="4" t="s">
        <v>5561</v>
      </c>
      <c r="M145" s="4">
        <v>9004470200</v>
      </c>
      <c r="N145" s="4" t="s">
        <v>71</v>
      </c>
      <c r="O145" s="4" t="s">
        <v>71</v>
      </c>
      <c r="P145" s="4" t="s">
        <v>71</v>
      </c>
      <c r="Q145" s="4" t="s">
        <v>47</v>
      </c>
      <c r="R145" s="172"/>
      <c r="S145" s="172"/>
      <c r="T145" s="172"/>
      <c r="U145" s="172"/>
      <c r="V145" s="172"/>
      <c r="W145" s="172"/>
      <c r="X145" s="172"/>
      <c r="Y145" s="172"/>
      <c r="Z145" s="172"/>
    </row>
    <row r="146" spans="1:26" ht="13.8">
      <c r="A146" s="166">
        <v>604</v>
      </c>
      <c r="B146" s="4" t="s">
        <v>5562</v>
      </c>
      <c r="C146" s="4">
        <v>612</v>
      </c>
      <c r="D146" s="4" t="s">
        <v>71</v>
      </c>
      <c r="E146" s="4" t="s">
        <v>71</v>
      </c>
      <c r="F146" s="4" t="s">
        <v>71</v>
      </c>
      <c r="G146" s="4" t="s">
        <v>5553</v>
      </c>
      <c r="H146" s="4" t="s">
        <v>5563</v>
      </c>
      <c r="I146" s="4" t="s">
        <v>71</v>
      </c>
      <c r="J146" s="4" t="s">
        <v>71</v>
      </c>
      <c r="K146" s="4">
        <v>9967584647</v>
      </c>
      <c r="L146" s="4" t="s">
        <v>5564</v>
      </c>
      <c r="M146" s="4">
        <v>9967584647</v>
      </c>
      <c r="N146" s="4" t="s">
        <v>71</v>
      </c>
      <c r="O146" s="4" t="s">
        <v>71</v>
      </c>
      <c r="P146" s="4" t="s">
        <v>71</v>
      </c>
      <c r="Q146" s="4" t="s">
        <v>47</v>
      </c>
      <c r="R146" s="172"/>
      <c r="S146" s="172"/>
      <c r="T146" s="172"/>
      <c r="U146" s="172"/>
      <c r="V146" s="172"/>
      <c r="W146" s="172"/>
      <c r="X146" s="172"/>
      <c r="Y146" s="172"/>
      <c r="Z146" s="172"/>
    </row>
    <row r="147" spans="1:26" ht="13.8">
      <c r="A147" s="166">
        <v>605</v>
      </c>
      <c r="B147" s="4" t="s">
        <v>5565</v>
      </c>
      <c r="C147" s="4">
        <v>613</v>
      </c>
      <c r="D147" s="4" t="s">
        <v>71</v>
      </c>
      <c r="E147" s="4" t="s">
        <v>71</v>
      </c>
      <c r="F147" s="4" t="s">
        <v>71</v>
      </c>
      <c r="G147" s="4" t="s">
        <v>5553</v>
      </c>
      <c r="H147" s="4" t="s">
        <v>5566</v>
      </c>
      <c r="I147" s="4" t="s">
        <v>71</v>
      </c>
      <c r="J147" s="4" t="s">
        <v>71</v>
      </c>
      <c r="K147" s="4">
        <v>9930994692</v>
      </c>
      <c r="L147" s="4" t="s">
        <v>5567</v>
      </c>
      <c r="M147" s="4">
        <v>9930994692</v>
      </c>
      <c r="N147" s="4" t="s">
        <v>71</v>
      </c>
      <c r="O147" s="4" t="s">
        <v>71</v>
      </c>
      <c r="P147" s="4" t="s">
        <v>71</v>
      </c>
      <c r="Q147" s="4" t="s">
        <v>47</v>
      </c>
      <c r="R147" s="172"/>
      <c r="S147" s="172"/>
      <c r="T147" s="172"/>
      <c r="U147" s="172"/>
      <c r="V147" s="172"/>
      <c r="W147" s="172"/>
      <c r="X147" s="172"/>
      <c r="Y147" s="172"/>
      <c r="Z147" s="172"/>
    </row>
    <row r="148" spans="1:26" ht="13.8">
      <c r="A148" s="166">
        <v>606</v>
      </c>
      <c r="B148" s="4" t="s">
        <v>5568</v>
      </c>
      <c r="C148" s="4">
        <v>614</v>
      </c>
      <c r="D148" s="4" t="s">
        <v>71</v>
      </c>
      <c r="E148" s="4" t="s">
        <v>71</v>
      </c>
      <c r="F148" s="4" t="s">
        <v>5569</v>
      </c>
      <c r="G148" s="4" t="s">
        <v>5570</v>
      </c>
      <c r="H148" s="4" t="s">
        <v>5571</v>
      </c>
      <c r="I148" s="4" t="s">
        <v>71</v>
      </c>
      <c r="J148" s="4" t="s">
        <v>71</v>
      </c>
      <c r="K148" s="4">
        <v>9820035803</v>
      </c>
      <c r="L148" s="4" t="s">
        <v>5572</v>
      </c>
      <c r="M148" s="4">
        <v>9820035803</v>
      </c>
      <c r="N148" s="4" t="s">
        <v>71</v>
      </c>
      <c r="O148" s="4" t="s">
        <v>71</v>
      </c>
      <c r="P148" s="168" t="s">
        <v>5573</v>
      </c>
      <c r="Q148" s="4" t="s">
        <v>47</v>
      </c>
      <c r="R148" s="172"/>
      <c r="S148" s="172"/>
      <c r="T148" s="172"/>
      <c r="U148" s="172"/>
      <c r="V148" s="172"/>
      <c r="W148" s="172"/>
      <c r="X148" s="172"/>
      <c r="Y148" s="172"/>
      <c r="Z148" s="172"/>
    </row>
    <row r="149" spans="1:26" ht="13.8">
      <c r="A149" s="166">
        <v>607</v>
      </c>
      <c r="B149" s="4" t="s">
        <v>5574</v>
      </c>
      <c r="C149" s="4">
        <v>615</v>
      </c>
      <c r="D149" s="4" t="s">
        <v>71</v>
      </c>
      <c r="E149" s="4" t="s">
        <v>71</v>
      </c>
      <c r="F149" s="4" t="s">
        <v>5569</v>
      </c>
      <c r="G149" s="4" t="s">
        <v>5570</v>
      </c>
      <c r="H149" s="4" t="s">
        <v>5575</v>
      </c>
      <c r="I149" s="4" t="s">
        <v>71</v>
      </c>
      <c r="J149" s="4" t="s">
        <v>71</v>
      </c>
      <c r="K149" s="4">
        <v>8879332431</v>
      </c>
      <c r="L149" s="4" t="s">
        <v>5576</v>
      </c>
      <c r="M149" s="4">
        <v>8879332431</v>
      </c>
      <c r="N149" s="4" t="s">
        <v>71</v>
      </c>
      <c r="O149" s="4" t="s">
        <v>71</v>
      </c>
      <c r="P149" s="168" t="s">
        <v>5573</v>
      </c>
      <c r="Q149" s="4" t="s">
        <v>47</v>
      </c>
      <c r="R149" s="172"/>
      <c r="S149" s="172"/>
      <c r="T149" s="172"/>
      <c r="U149" s="172"/>
      <c r="V149" s="172"/>
      <c r="W149" s="172"/>
      <c r="X149" s="172"/>
      <c r="Y149" s="172"/>
      <c r="Z149" s="172"/>
    </row>
    <row r="150" spans="1:26" ht="13.8">
      <c r="A150" s="166">
        <v>608</v>
      </c>
      <c r="B150" s="4" t="s">
        <v>5577</v>
      </c>
      <c r="C150" s="4">
        <v>616</v>
      </c>
      <c r="D150" s="4" t="s">
        <v>71</v>
      </c>
      <c r="E150" s="4" t="s">
        <v>71</v>
      </c>
      <c r="F150" s="4" t="s">
        <v>5578</v>
      </c>
      <c r="G150" s="4" t="s">
        <v>5579</v>
      </c>
      <c r="H150" s="4" t="s">
        <v>5580</v>
      </c>
      <c r="I150" s="4" t="s">
        <v>71</v>
      </c>
      <c r="J150" s="4" t="s">
        <v>71</v>
      </c>
      <c r="K150" s="4">
        <v>506555992</v>
      </c>
      <c r="L150" s="4" t="s">
        <v>5581</v>
      </c>
      <c r="M150" s="4">
        <v>506555992</v>
      </c>
      <c r="N150" s="4" t="s">
        <v>71</v>
      </c>
      <c r="O150" s="4" t="s">
        <v>71</v>
      </c>
      <c r="P150" s="168" t="s">
        <v>5582</v>
      </c>
      <c r="Q150" s="4" t="s">
        <v>47</v>
      </c>
      <c r="R150" s="172"/>
      <c r="S150" s="172"/>
      <c r="T150" s="172"/>
      <c r="U150" s="172"/>
      <c r="V150" s="172"/>
      <c r="W150" s="172"/>
      <c r="X150" s="172"/>
      <c r="Y150" s="172"/>
      <c r="Z150" s="172"/>
    </row>
    <row r="151" spans="1:26" ht="13.8">
      <c r="A151" s="166">
        <v>609</v>
      </c>
      <c r="B151" s="4" t="s">
        <v>5583</v>
      </c>
      <c r="C151" s="4">
        <v>617</v>
      </c>
      <c r="D151" s="4" t="s">
        <v>71</v>
      </c>
      <c r="E151" s="4" t="s">
        <v>71</v>
      </c>
      <c r="F151" s="4" t="s">
        <v>5578</v>
      </c>
      <c r="G151" s="4" t="s">
        <v>5579</v>
      </c>
      <c r="H151" s="4" t="s">
        <v>5584</v>
      </c>
      <c r="I151" s="4" t="s">
        <v>71</v>
      </c>
      <c r="J151" s="4" t="s">
        <v>71</v>
      </c>
      <c r="K151" s="4">
        <v>506444144</v>
      </c>
      <c r="L151" s="4" t="s">
        <v>5585</v>
      </c>
      <c r="M151" s="4">
        <v>506444144</v>
      </c>
      <c r="N151" s="4" t="s">
        <v>71</v>
      </c>
      <c r="O151" s="4" t="s">
        <v>71</v>
      </c>
      <c r="P151" s="168" t="s">
        <v>5582</v>
      </c>
      <c r="Q151" s="4" t="s">
        <v>47</v>
      </c>
      <c r="R151" s="172"/>
      <c r="S151" s="172"/>
      <c r="T151" s="172"/>
      <c r="U151" s="172"/>
      <c r="V151" s="172"/>
      <c r="W151" s="172"/>
      <c r="X151" s="172"/>
      <c r="Y151" s="172"/>
      <c r="Z151" s="172"/>
    </row>
    <row r="152" spans="1:26" ht="13.8">
      <c r="A152" s="166">
        <v>610</v>
      </c>
      <c r="B152" s="4" t="s">
        <v>5586</v>
      </c>
      <c r="C152" s="4">
        <v>618</v>
      </c>
      <c r="D152" s="4" t="s">
        <v>71</v>
      </c>
      <c r="E152" s="4" t="s">
        <v>71</v>
      </c>
      <c r="F152" s="4" t="s">
        <v>5578</v>
      </c>
      <c r="G152" s="4" t="s">
        <v>5579</v>
      </c>
      <c r="H152" s="4" t="s">
        <v>5587</v>
      </c>
      <c r="I152" s="4" t="s">
        <v>71</v>
      </c>
      <c r="J152" s="4" t="s">
        <v>71</v>
      </c>
      <c r="K152" s="4">
        <v>507653878</v>
      </c>
      <c r="L152" s="4" t="s">
        <v>5588</v>
      </c>
      <c r="M152" s="4">
        <v>507653878</v>
      </c>
      <c r="N152" s="4" t="s">
        <v>71</v>
      </c>
      <c r="O152" s="4" t="s">
        <v>71</v>
      </c>
      <c r="P152" s="168" t="s">
        <v>5582</v>
      </c>
      <c r="Q152" s="4" t="s">
        <v>47</v>
      </c>
      <c r="R152" s="172"/>
      <c r="S152" s="172"/>
      <c r="T152" s="172"/>
      <c r="U152" s="172"/>
      <c r="V152" s="172"/>
      <c r="W152" s="172"/>
      <c r="X152" s="172"/>
      <c r="Y152" s="172"/>
      <c r="Z152" s="172"/>
    </row>
    <row r="153" spans="1:26" ht="13.8">
      <c r="A153" s="166">
        <v>611</v>
      </c>
      <c r="B153" s="4" t="s">
        <v>5589</v>
      </c>
      <c r="C153" s="4">
        <v>619</v>
      </c>
      <c r="D153" s="4" t="s">
        <v>71</v>
      </c>
      <c r="E153" s="4" t="s">
        <v>71</v>
      </c>
      <c r="F153" s="4" t="s">
        <v>5578</v>
      </c>
      <c r="G153" s="4" t="s">
        <v>5579</v>
      </c>
      <c r="H153" s="4" t="s">
        <v>5590</v>
      </c>
      <c r="I153" s="4" t="s">
        <v>71</v>
      </c>
      <c r="J153" s="4" t="s">
        <v>71</v>
      </c>
      <c r="K153" s="4">
        <v>504517994</v>
      </c>
      <c r="L153" s="4" t="s">
        <v>5591</v>
      </c>
      <c r="M153" s="4">
        <v>504517994</v>
      </c>
      <c r="N153" s="4" t="s">
        <v>71</v>
      </c>
      <c r="O153" s="4" t="s">
        <v>71</v>
      </c>
      <c r="P153" s="168" t="s">
        <v>5582</v>
      </c>
      <c r="Q153" s="4" t="s">
        <v>47</v>
      </c>
      <c r="R153" s="172"/>
      <c r="S153" s="172"/>
      <c r="T153" s="172"/>
      <c r="U153" s="172"/>
      <c r="V153" s="172"/>
      <c r="W153" s="172"/>
      <c r="X153" s="172"/>
      <c r="Y153" s="172"/>
      <c r="Z153" s="172"/>
    </row>
    <row r="154" spans="1:26" ht="13.8">
      <c r="A154" s="166">
        <v>612</v>
      </c>
      <c r="B154" s="4" t="s">
        <v>5592</v>
      </c>
      <c r="C154" s="4">
        <v>620</v>
      </c>
      <c r="D154" s="4" t="s">
        <v>71</v>
      </c>
      <c r="E154" s="4" t="s">
        <v>71</v>
      </c>
      <c r="F154" s="4" t="s">
        <v>5578</v>
      </c>
      <c r="G154" s="4" t="s">
        <v>5579</v>
      </c>
      <c r="H154" s="4" t="s">
        <v>5593</v>
      </c>
      <c r="I154" s="4" t="s">
        <v>71</v>
      </c>
      <c r="J154" s="4" t="s">
        <v>71</v>
      </c>
      <c r="K154" s="4">
        <v>56508308</v>
      </c>
      <c r="L154" s="4" t="s">
        <v>5594</v>
      </c>
      <c r="M154" s="4">
        <v>56508308</v>
      </c>
      <c r="N154" s="4" t="s">
        <v>71</v>
      </c>
      <c r="O154" s="4" t="s">
        <v>71</v>
      </c>
      <c r="P154" s="168" t="s">
        <v>5582</v>
      </c>
      <c r="Q154" s="4" t="s">
        <v>47</v>
      </c>
      <c r="R154" s="172"/>
      <c r="S154" s="172"/>
      <c r="T154" s="172"/>
      <c r="U154" s="172"/>
      <c r="V154" s="172"/>
      <c r="W154" s="172"/>
      <c r="X154" s="172"/>
      <c r="Y154" s="172"/>
      <c r="Z154" s="172"/>
    </row>
    <row r="155" spans="1:26" ht="13.8">
      <c r="A155" s="166">
        <v>613</v>
      </c>
      <c r="B155" s="4" t="s">
        <v>5595</v>
      </c>
      <c r="C155" s="4">
        <v>621</v>
      </c>
      <c r="D155" s="4" t="s">
        <v>71</v>
      </c>
      <c r="E155" s="4" t="s">
        <v>71</v>
      </c>
      <c r="F155" s="4" t="s">
        <v>5596</v>
      </c>
      <c r="G155" s="4" t="s">
        <v>5597</v>
      </c>
      <c r="H155" s="4" t="s">
        <v>5598</v>
      </c>
      <c r="I155" s="4" t="s">
        <v>71</v>
      </c>
      <c r="J155" s="4" t="s">
        <v>71</v>
      </c>
      <c r="K155" s="4">
        <v>9425550000</v>
      </c>
      <c r="L155" s="4" t="s">
        <v>5599</v>
      </c>
      <c r="M155" s="4">
        <v>9425550000</v>
      </c>
      <c r="N155" s="4" t="s">
        <v>71</v>
      </c>
      <c r="O155" s="4" t="s">
        <v>71</v>
      </c>
      <c r="P155" s="168" t="s">
        <v>5600</v>
      </c>
      <c r="Q155" s="4" t="s">
        <v>47</v>
      </c>
      <c r="R155" s="172"/>
      <c r="S155" s="172"/>
      <c r="T155" s="172"/>
      <c r="U155" s="172"/>
      <c r="V155" s="172"/>
      <c r="W155" s="172"/>
      <c r="X155" s="172"/>
      <c r="Y155" s="172"/>
      <c r="Z155" s="172"/>
    </row>
    <row r="156" spans="1:26" ht="13.8">
      <c r="A156" s="166">
        <v>614</v>
      </c>
      <c r="B156" s="4" t="s">
        <v>5601</v>
      </c>
      <c r="C156" s="4">
        <v>622</v>
      </c>
      <c r="D156" s="4" t="s">
        <v>71</v>
      </c>
      <c r="E156" s="4" t="s">
        <v>71</v>
      </c>
      <c r="F156" s="4" t="s">
        <v>5602</v>
      </c>
      <c r="G156" s="4" t="s">
        <v>5603</v>
      </c>
      <c r="H156" s="4" t="s">
        <v>5604</v>
      </c>
      <c r="I156" s="4" t="s">
        <v>71</v>
      </c>
      <c r="J156" s="4" t="s">
        <v>71</v>
      </c>
      <c r="K156" s="4">
        <v>9844512223</v>
      </c>
      <c r="L156" s="4" t="s">
        <v>5605</v>
      </c>
      <c r="M156" s="4">
        <v>9844512223</v>
      </c>
      <c r="N156" s="4" t="s">
        <v>71</v>
      </c>
      <c r="O156" s="4" t="s">
        <v>71</v>
      </c>
      <c r="P156" s="4" t="s">
        <v>71</v>
      </c>
      <c r="Q156" s="4" t="s">
        <v>47</v>
      </c>
      <c r="R156" s="172"/>
      <c r="S156" s="172"/>
      <c r="T156" s="172"/>
      <c r="U156" s="172"/>
      <c r="V156" s="172"/>
      <c r="W156" s="172"/>
      <c r="X156" s="172"/>
      <c r="Y156" s="172"/>
      <c r="Z156" s="172"/>
    </row>
    <row r="157" spans="1:26" ht="13.8">
      <c r="A157" s="166">
        <v>615</v>
      </c>
      <c r="B157" s="4" t="s">
        <v>5606</v>
      </c>
      <c r="C157" s="4">
        <v>623</v>
      </c>
      <c r="D157" s="4" t="s">
        <v>71</v>
      </c>
      <c r="E157" s="4" t="s">
        <v>71</v>
      </c>
      <c r="F157" s="4" t="s">
        <v>5607</v>
      </c>
      <c r="G157" s="4" t="s">
        <v>5608</v>
      </c>
      <c r="H157" s="4" t="s">
        <v>5609</v>
      </c>
      <c r="I157" s="4" t="s">
        <v>5610</v>
      </c>
      <c r="J157" s="4" t="s">
        <v>71</v>
      </c>
      <c r="K157" s="4">
        <v>553757916</v>
      </c>
      <c r="L157" s="4" t="s">
        <v>5611</v>
      </c>
      <c r="M157" s="4">
        <v>553757916</v>
      </c>
      <c r="N157" s="4" t="s">
        <v>71</v>
      </c>
      <c r="O157" s="4" t="s">
        <v>71</v>
      </c>
      <c r="P157" s="168" t="s">
        <v>5612</v>
      </c>
      <c r="Q157" s="4" t="s">
        <v>47</v>
      </c>
      <c r="R157" s="172"/>
      <c r="S157" s="172"/>
      <c r="T157" s="172"/>
      <c r="U157" s="172"/>
      <c r="V157" s="172"/>
      <c r="W157" s="172"/>
      <c r="X157" s="172"/>
      <c r="Y157" s="172"/>
      <c r="Z157" s="172"/>
    </row>
    <row r="158" spans="1:26" ht="13.8">
      <c r="A158" s="166">
        <v>616</v>
      </c>
      <c r="B158" s="4" t="s">
        <v>5613</v>
      </c>
      <c r="C158" s="4">
        <v>624</v>
      </c>
      <c r="D158" s="4" t="s">
        <v>71</v>
      </c>
      <c r="E158" s="4" t="s">
        <v>71</v>
      </c>
      <c r="F158" s="4" t="s">
        <v>5607</v>
      </c>
      <c r="G158" s="4" t="s">
        <v>5608</v>
      </c>
      <c r="H158" s="4" t="s">
        <v>5614</v>
      </c>
      <c r="I158" s="4" t="s">
        <v>71</v>
      </c>
      <c r="J158" s="4" t="s">
        <v>71</v>
      </c>
      <c r="K158" s="4">
        <v>559595916</v>
      </c>
      <c r="L158" s="4" t="s">
        <v>5615</v>
      </c>
      <c r="M158" s="4">
        <v>559595916</v>
      </c>
      <c r="N158" s="4" t="s">
        <v>71</v>
      </c>
      <c r="O158" s="4" t="s">
        <v>71</v>
      </c>
      <c r="P158" s="168" t="s">
        <v>5612</v>
      </c>
      <c r="Q158" s="4" t="s">
        <v>47</v>
      </c>
      <c r="R158" s="172"/>
      <c r="S158" s="172"/>
      <c r="T158" s="172"/>
      <c r="U158" s="172"/>
      <c r="V158" s="172"/>
      <c r="W158" s="172"/>
      <c r="X158" s="172"/>
      <c r="Y158" s="172"/>
      <c r="Z158" s="172"/>
    </row>
    <row r="159" spans="1:26" ht="13.8">
      <c r="A159" s="166">
        <v>617</v>
      </c>
      <c r="B159" s="4" t="s">
        <v>5616</v>
      </c>
      <c r="C159" s="4">
        <v>625</v>
      </c>
      <c r="D159" s="4" t="s">
        <v>71</v>
      </c>
      <c r="E159" s="4" t="s">
        <v>71</v>
      </c>
      <c r="F159" s="4" t="s">
        <v>5607</v>
      </c>
      <c r="G159" s="4" t="s">
        <v>5608</v>
      </c>
      <c r="H159" s="4" t="s">
        <v>5617</v>
      </c>
      <c r="I159" s="4" t="s">
        <v>5138</v>
      </c>
      <c r="J159" s="4" t="s">
        <v>71</v>
      </c>
      <c r="K159" s="4">
        <v>9947234916</v>
      </c>
      <c r="L159" s="4" t="s">
        <v>5618</v>
      </c>
      <c r="M159" s="4">
        <v>9947234916</v>
      </c>
      <c r="N159" s="4" t="s">
        <v>71</v>
      </c>
      <c r="O159" s="4" t="s">
        <v>71</v>
      </c>
      <c r="P159" s="168" t="s">
        <v>5612</v>
      </c>
      <c r="Q159" s="4" t="s">
        <v>47</v>
      </c>
      <c r="R159" s="172"/>
      <c r="S159" s="172"/>
      <c r="T159" s="172"/>
      <c r="U159" s="172"/>
      <c r="V159" s="172"/>
      <c r="W159" s="172"/>
      <c r="X159" s="172"/>
      <c r="Y159" s="172"/>
      <c r="Z159" s="172"/>
    </row>
    <row r="160" spans="1:26" ht="13.8">
      <c r="A160" s="166">
        <v>618</v>
      </c>
      <c r="B160" s="4" t="s">
        <v>5619</v>
      </c>
      <c r="C160" s="4">
        <v>626</v>
      </c>
      <c r="D160" s="4" t="s">
        <v>71</v>
      </c>
      <c r="E160" s="4" t="s">
        <v>71</v>
      </c>
      <c r="F160" s="4" t="s">
        <v>5607</v>
      </c>
      <c r="G160" s="4" t="s">
        <v>5608</v>
      </c>
      <c r="H160" s="4" t="s">
        <v>5620</v>
      </c>
      <c r="I160" s="4" t="s">
        <v>5621</v>
      </c>
      <c r="J160" s="4" t="s">
        <v>71</v>
      </c>
      <c r="K160" s="4">
        <v>504535793</v>
      </c>
      <c r="L160" s="4" t="s">
        <v>5622</v>
      </c>
      <c r="M160" s="4">
        <v>504535793</v>
      </c>
      <c r="N160" s="4" t="s">
        <v>71</v>
      </c>
      <c r="O160" s="4" t="s">
        <v>71</v>
      </c>
      <c r="P160" s="168" t="s">
        <v>5612</v>
      </c>
      <c r="Q160" s="4" t="s">
        <v>47</v>
      </c>
      <c r="R160" s="172"/>
      <c r="S160" s="172"/>
      <c r="T160" s="172"/>
      <c r="U160" s="172"/>
      <c r="V160" s="172"/>
      <c r="W160" s="172"/>
      <c r="X160" s="172"/>
      <c r="Y160" s="172"/>
      <c r="Z160" s="172"/>
    </row>
    <row r="161" spans="1:26" ht="13.8">
      <c r="A161" s="166">
        <v>619</v>
      </c>
      <c r="B161" s="4" t="s">
        <v>5623</v>
      </c>
      <c r="C161" s="4">
        <v>627</v>
      </c>
      <c r="D161" s="4" t="s">
        <v>71</v>
      </c>
      <c r="E161" s="4" t="s">
        <v>71</v>
      </c>
      <c r="F161" s="4" t="s">
        <v>5607</v>
      </c>
      <c r="G161" s="4" t="s">
        <v>5608</v>
      </c>
      <c r="H161" s="4" t="s">
        <v>5624</v>
      </c>
      <c r="I161" s="4" t="s">
        <v>5625</v>
      </c>
      <c r="J161" s="4" t="s">
        <v>71</v>
      </c>
      <c r="K161" s="4">
        <v>9833181057</v>
      </c>
      <c r="L161" s="4" t="s">
        <v>5626</v>
      </c>
      <c r="M161" s="4">
        <v>9833181057</v>
      </c>
      <c r="N161" s="4" t="s">
        <v>71</v>
      </c>
      <c r="O161" s="4" t="s">
        <v>71</v>
      </c>
      <c r="P161" s="168" t="s">
        <v>5612</v>
      </c>
      <c r="Q161" s="4" t="s">
        <v>47</v>
      </c>
      <c r="R161" s="172"/>
      <c r="S161" s="172"/>
      <c r="T161" s="172"/>
      <c r="U161" s="172"/>
      <c r="V161" s="172"/>
      <c r="W161" s="172"/>
      <c r="X161" s="172"/>
      <c r="Y161" s="172"/>
      <c r="Z161" s="172"/>
    </row>
    <row r="162" spans="1:26" ht="13.8">
      <c r="A162" s="166">
        <v>620</v>
      </c>
      <c r="B162" s="4" t="s">
        <v>5627</v>
      </c>
      <c r="C162" s="4">
        <v>628</v>
      </c>
      <c r="D162" s="4" t="s">
        <v>71</v>
      </c>
      <c r="E162" s="4" t="s">
        <v>71</v>
      </c>
      <c r="F162" s="4" t="s">
        <v>5607</v>
      </c>
      <c r="G162" s="4" t="s">
        <v>5608</v>
      </c>
      <c r="H162" s="4" t="s">
        <v>5628</v>
      </c>
      <c r="I162" s="4" t="s">
        <v>5629</v>
      </c>
      <c r="J162" s="4" t="s">
        <v>71</v>
      </c>
      <c r="K162" s="4">
        <v>555545916</v>
      </c>
      <c r="L162" s="4" t="s">
        <v>5630</v>
      </c>
      <c r="M162" s="4">
        <v>555545916</v>
      </c>
      <c r="N162" s="4" t="s">
        <v>71</v>
      </c>
      <c r="O162" s="4" t="s">
        <v>71</v>
      </c>
      <c r="P162" s="168" t="s">
        <v>5612</v>
      </c>
      <c r="Q162" s="4" t="s">
        <v>47</v>
      </c>
      <c r="R162" s="172"/>
      <c r="S162" s="172"/>
      <c r="T162" s="172"/>
      <c r="U162" s="172"/>
      <c r="V162" s="172"/>
      <c r="W162" s="172"/>
      <c r="X162" s="172"/>
      <c r="Y162" s="172"/>
      <c r="Z162" s="172"/>
    </row>
    <row r="163" spans="1:26" ht="13.8">
      <c r="A163" s="166">
        <v>621</v>
      </c>
      <c r="B163" s="4" t="s">
        <v>5631</v>
      </c>
      <c r="C163" s="4">
        <v>629</v>
      </c>
      <c r="D163" s="4" t="s">
        <v>71</v>
      </c>
      <c r="E163" s="4" t="s">
        <v>71</v>
      </c>
      <c r="F163" s="4" t="s">
        <v>5632</v>
      </c>
      <c r="G163" s="4" t="s">
        <v>5633</v>
      </c>
      <c r="H163" s="4" t="s">
        <v>5634</v>
      </c>
      <c r="I163" s="4" t="s">
        <v>71</v>
      </c>
      <c r="J163" s="4" t="s">
        <v>71</v>
      </c>
      <c r="K163" s="4">
        <v>9844033749</v>
      </c>
      <c r="L163" s="4" t="s">
        <v>5635</v>
      </c>
      <c r="M163" s="4">
        <v>9844033749</v>
      </c>
      <c r="N163" s="4" t="s">
        <v>71</v>
      </c>
      <c r="O163" s="4" t="s">
        <v>71</v>
      </c>
      <c r="P163" s="4" t="s">
        <v>71</v>
      </c>
      <c r="Q163" s="4" t="s">
        <v>47</v>
      </c>
      <c r="R163" s="172"/>
      <c r="S163" s="172"/>
      <c r="T163" s="172"/>
      <c r="U163" s="172"/>
      <c r="V163" s="172"/>
      <c r="W163" s="172"/>
      <c r="X163" s="172"/>
      <c r="Y163" s="172"/>
      <c r="Z163" s="172"/>
    </row>
    <row r="164" spans="1:26" ht="13.8">
      <c r="A164" s="166">
        <v>622</v>
      </c>
      <c r="B164" s="4" t="s">
        <v>5636</v>
      </c>
      <c r="C164" s="4">
        <v>630</v>
      </c>
      <c r="D164" s="4" t="s">
        <v>71</v>
      </c>
      <c r="E164" s="4" t="s">
        <v>71</v>
      </c>
      <c r="F164" s="4" t="s">
        <v>5637</v>
      </c>
      <c r="G164" s="4" t="s">
        <v>5638</v>
      </c>
      <c r="H164" s="4" t="s">
        <v>5639</v>
      </c>
      <c r="I164" s="4" t="s">
        <v>71</v>
      </c>
      <c r="J164" s="4" t="s">
        <v>71</v>
      </c>
      <c r="K164" s="4">
        <v>9744784447</v>
      </c>
      <c r="L164" s="4" t="s">
        <v>5640</v>
      </c>
      <c r="M164" s="4">
        <v>9744784447</v>
      </c>
      <c r="N164" s="4" t="s">
        <v>71</v>
      </c>
      <c r="O164" s="4" t="s">
        <v>71</v>
      </c>
      <c r="P164" s="4" t="s">
        <v>71</v>
      </c>
      <c r="Q164" s="4" t="s">
        <v>47</v>
      </c>
      <c r="R164" s="172"/>
      <c r="S164" s="172"/>
      <c r="T164" s="172"/>
      <c r="U164" s="172"/>
      <c r="V164" s="172"/>
      <c r="W164" s="172"/>
      <c r="X164" s="172"/>
      <c r="Y164" s="172"/>
      <c r="Z164" s="172"/>
    </row>
    <row r="165" spans="1:26" ht="13.8">
      <c r="A165" s="166">
        <v>623</v>
      </c>
      <c r="B165" s="4" t="s">
        <v>5641</v>
      </c>
      <c r="C165" s="4">
        <v>631</v>
      </c>
      <c r="D165" s="4" t="s">
        <v>71</v>
      </c>
      <c r="E165" s="4" t="s">
        <v>71</v>
      </c>
      <c r="F165" s="4" t="s">
        <v>5637</v>
      </c>
      <c r="G165" s="4" t="s">
        <v>5638</v>
      </c>
      <c r="H165" s="4" t="s">
        <v>5642</v>
      </c>
      <c r="I165" s="4" t="s">
        <v>71</v>
      </c>
      <c r="J165" s="4" t="s">
        <v>71</v>
      </c>
      <c r="K165" s="4">
        <v>507028721</v>
      </c>
      <c r="L165" s="4" t="s">
        <v>5643</v>
      </c>
      <c r="M165" s="4">
        <v>507028721</v>
      </c>
      <c r="N165" s="4" t="s">
        <v>71</v>
      </c>
      <c r="O165" s="4" t="s">
        <v>71</v>
      </c>
      <c r="P165" s="4" t="s">
        <v>71</v>
      </c>
      <c r="Q165" s="4" t="s">
        <v>47</v>
      </c>
      <c r="R165" s="172"/>
      <c r="S165" s="172"/>
      <c r="T165" s="172"/>
      <c r="U165" s="172"/>
      <c r="V165" s="172"/>
      <c r="W165" s="172"/>
      <c r="X165" s="172"/>
      <c r="Y165" s="172"/>
      <c r="Z165" s="172"/>
    </row>
    <row r="166" spans="1:26" ht="13.8">
      <c r="A166" s="166">
        <v>624</v>
      </c>
      <c r="B166" s="4" t="s">
        <v>5644</v>
      </c>
      <c r="C166" s="4">
        <v>632</v>
      </c>
      <c r="D166" s="4" t="s">
        <v>71</v>
      </c>
      <c r="E166" s="4" t="s">
        <v>71</v>
      </c>
      <c r="F166" s="4" t="s">
        <v>5637</v>
      </c>
      <c r="G166" s="4" t="s">
        <v>5638</v>
      </c>
      <c r="H166" s="4" t="s">
        <v>5645</v>
      </c>
      <c r="I166" s="4" t="s">
        <v>71</v>
      </c>
      <c r="J166" s="4" t="s">
        <v>71</v>
      </c>
      <c r="K166" s="4">
        <v>502777347</v>
      </c>
      <c r="L166" s="4" t="s">
        <v>5646</v>
      </c>
      <c r="M166" s="4">
        <v>502777347</v>
      </c>
      <c r="N166" s="4" t="s">
        <v>71</v>
      </c>
      <c r="O166" s="4" t="s">
        <v>71</v>
      </c>
      <c r="P166" s="4" t="s">
        <v>71</v>
      </c>
      <c r="Q166" s="4" t="s">
        <v>47</v>
      </c>
      <c r="R166" s="172"/>
      <c r="S166" s="172"/>
      <c r="T166" s="172"/>
      <c r="U166" s="172"/>
      <c r="V166" s="172"/>
      <c r="W166" s="172"/>
      <c r="X166" s="172"/>
      <c r="Y166" s="172"/>
      <c r="Z166" s="172"/>
    </row>
    <row r="167" spans="1:26" ht="13.8">
      <c r="A167" s="166">
        <v>625</v>
      </c>
      <c r="B167" s="4" t="s">
        <v>5647</v>
      </c>
      <c r="C167" s="4">
        <v>633</v>
      </c>
      <c r="D167" s="4" t="s">
        <v>71</v>
      </c>
      <c r="E167" s="4" t="s">
        <v>71</v>
      </c>
      <c r="F167" s="4" t="s">
        <v>5648</v>
      </c>
      <c r="G167" s="4" t="s">
        <v>5649</v>
      </c>
      <c r="H167" s="4" t="s">
        <v>5650</v>
      </c>
      <c r="I167" s="4" t="s">
        <v>71</v>
      </c>
      <c r="J167" s="4" t="s">
        <v>71</v>
      </c>
      <c r="K167" s="4">
        <v>9447777899</v>
      </c>
      <c r="L167" s="4" t="s">
        <v>5651</v>
      </c>
      <c r="M167" s="4">
        <v>9447777899</v>
      </c>
      <c r="N167" s="4" t="s">
        <v>71</v>
      </c>
      <c r="O167" s="4" t="s">
        <v>71</v>
      </c>
      <c r="P167" s="168" t="s">
        <v>5652</v>
      </c>
      <c r="Q167" s="4" t="s">
        <v>47</v>
      </c>
      <c r="R167" s="172"/>
      <c r="S167" s="172"/>
      <c r="T167" s="172"/>
      <c r="U167" s="172"/>
      <c r="V167" s="172"/>
      <c r="W167" s="172"/>
      <c r="X167" s="172"/>
      <c r="Y167" s="172"/>
      <c r="Z167" s="172"/>
    </row>
    <row r="168" spans="1:26" ht="13.8">
      <c r="A168" s="166">
        <v>626</v>
      </c>
      <c r="B168" s="4" t="s">
        <v>5653</v>
      </c>
      <c r="C168" s="4">
        <v>634</v>
      </c>
      <c r="D168" s="4" t="s">
        <v>71</v>
      </c>
      <c r="E168" s="4" t="s">
        <v>71</v>
      </c>
      <c r="F168" s="4" t="s">
        <v>5648</v>
      </c>
      <c r="G168" s="4" t="s">
        <v>5649</v>
      </c>
      <c r="H168" s="4" t="s">
        <v>5654</v>
      </c>
      <c r="I168" s="4" t="s">
        <v>71</v>
      </c>
      <c r="J168" s="4" t="s">
        <v>71</v>
      </c>
      <c r="K168" s="4">
        <v>9496991600</v>
      </c>
      <c r="L168" s="4" t="s">
        <v>5655</v>
      </c>
      <c r="M168" s="4">
        <v>9496991600</v>
      </c>
      <c r="N168" s="4" t="s">
        <v>71</v>
      </c>
      <c r="O168" s="4" t="s">
        <v>71</v>
      </c>
      <c r="P168" s="168" t="s">
        <v>5652</v>
      </c>
      <c r="Q168" s="4" t="s">
        <v>47</v>
      </c>
      <c r="R168" s="172"/>
      <c r="S168" s="172"/>
      <c r="T168" s="172"/>
      <c r="U168" s="172"/>
      <c r="V168" s="172"/>
      <c r="W168" s="172"/>
      <c r="X168" s="172"/>
      <c r="Y168" s="172"/>
      <c r="Z168" s="172"/>
    </row>
    <row r="169" spans="1:26" ht="13.8">
      <c r="A169" s="166">
        <v>627</v>
      </c>
      <c r="B169" s="4" t="s">
        <v>5656</v>
      </c>
      <c r="C169" s="4">
        <v>635</v>
      </c>
      <c r="D169" s="4" t="s">
        <v>71</v>
      </c>
      <c r="E169" s="4" t="s">
        <v>71</v>
      </c>
      <c r="F169" s="4" t="s">
        <v>5648</v>
      </c>
      <c r="G169" s="4" t="s">
        <v>5649</v>
      </c>
      <c r="H169" s="4" t="s">
        <v>5657</v>
      </c>
      <c r="I169" s="4" t="s">
        <v>71</v>
      </c>
      <c r="J169" s="4" t="s">
        <v>71</v>
      </c>
      <c r="K169" s="4">
        <v>9447777918</v>
      </c>
      <c r="L169" s="4" t="s">
        <v>5658</v>
      </c>
      <c r="M169" s="4">
        <v>9447777918</v>
      </c>
      <c r="N169" s="4" t="s">
        <v>71</v>
      </c>
      <c r="O169" s="4" t="s">
        <v>71</v>
      </c>
      <c r="P169" s="168" t="s">
        <v>5652</v>
      </c>
      <c r="Q169" s="4" t="s">
        <v>47</v>
      </c>
      <c r="R169" s="172"/>
      <c r="S169" s="172"/>
      <c r="T169" s="172"/>
      <c r="U169" s="172"/>
      <c r="V169" s="172"/>
      <c r="W169" s="172"/>
      <c r="X169" s="172"/>
      <c r="Y169" s="172"/>
      <c r="Z169" s="172"/>
    </row>
    <row r="170" spans="1:26" ht="13.8">
      <c r="A170" s="166">
        <v>628</v>
      </c>
      <c r="B170" s="4" t="s">
        <v>5659</v>
      </c>
      <c r="C170" s="4">
        <v>636</v>
      </c>
      <c r="D170" s="4" t="s">
        <v>71</v>
      </c>
      <c r="E170" s="4" t="s">
        <v>71</v>
      </c>
      <c r="F170" s="4" t="s">
        <v>5660</v>
      </c>
      <c r="G170" s="4" t="s">
        <v>5661</v>
      </c>
      <c r="H170" s="4" t="s">
        <v>5662</v>
      </c>
      <c r="I170" s="4" t="s">
        <v>71</v>
      </c>
      <c r="J170" s="4" t="s">
        <v>71</v>
      </c>
      <c r="K170" s="4">
        <v>8879180056</v>
      </c>
      <c r="L170" s="4" t="s">
        <v>5663</v>
      </c>
      <c r="M170" s="4">
        <v>8879180056</v>
      </c>
      <c r="N170" s="4" t="s">
        <v>71</v>
      </c>
      <c r="O170" s="4" t="s">
        <v>71</v>
      </c>
      <c r="P170" s="168" t="s">
        <v>5664</v>
      </c>
      <c r="Q170" s="4" t="s">
        <v>47</v>
      </c>
      <c r="R170" s="172"/>
      <c r="S170" s="172"/>
      <c r="T170" s="172"/>
      <c r="U170" s="172"/>
      <c r="V170" s="172"/>
      <c r="W170" s="172"/>
      <c r="X170" s="172"/>
      <c r="Y170" s="172"/>
      <c r="Z170" s="172"/>
    </row>
    <row r="171" spans="1:26" ht="13.8">
      <c r="A171" s="166">
        <v>629</v>
      </c>
      <c r="B171" s="4" t="s">
        <v>5665</v>
      </c>
      <c r="C171" s="4">
        <v>637</v>
      </c>
      <c r="D171" s="4" t="s">
        <v>71</v>
      </c>
      <c r="E171" s="4" t="s">
        <v>71</v>
      </c>
      <c r="F171" s="4" t="s">
        <v>5660</v>
      </c>
      <c r="G171" s="4" t="s">
        <v>5661</v>
      </c>
      <c r="H171" s="4" t="s">
        <v>5666</v>
      </c>
      <c r="I171" s="4" t="s">
        <v>71</v>
      </c>
      <c r="J171" s="4" t="s">
        <v>71</v>
      </c>
      <c r="K171" s="4">
        <v>7738760566</v>
      </c>
      <c r="L171" s="4" t="s">
        <v>5667</v>
      </c>
      <c r="M171" s="4">
        <v>7738760566</v>
      </c>
      <c r="N171" s="4" t="s">
        <v>71</v>
      </c>
      <c r="O171" s="4" t="s">
        <v>71</v>
      </c>
      <c r="P171" s="168" t="s">
        <v>5664</v>
      </c>
      <c r="Q171" s="4" t="s">
        <v>47</v>
      </c>
      <c r="R171" s="172"/>
      <c r="S171" s="172"/>
      <c r="T171" s="172"/>
      <c r="U171" s="172"/>
      <c r="V171" s="172"/>
      <c r="W171" s="172"/>
      <c r="X171" s="172"/>
      <c r="Y171" s="172"/>
      <c r="Z171" s="172"/>
    </row>
    <row r="172" spans="1:26" ht="13.8">
      <c r="A172" s="166">
        <v>630</v>
      </c>
      <c r="B172" s="4" t="s">
        <v>5668</v>
      </c>
      <c r="C172" s="4">
        <v>638</v>
      </c>
      <c r="D172" s="4" t="s">
        <v>71</v>
      </c>
      <c r="E172" s="4" t="s">
        <v>71</v>
      </c>
      <c r="F172" s="4" t="s">
        <v>5660</v>
      </c>
      <c r="G172" s="4" t="s">
        <v>5661</v>
      </c>
      <c r="H172" s="4" t="s">
        <v>5669</v>
      </c>
      <c r="I172" s="4" t="s">
        <v>71</v>
      </c>
      <c r="J172" s="4" t="s">
        <v>71</v>
      </c>
      <c r="K172" s="4">
        <v>9987045485</v>
      </c>
      <c r="L172" s="4" t="s">
        <v>5670</v>
      </c>
      <c r="M172" s="4">
        <v>9987045485</v>
      </c>
      <c r="N172" s="4" t="s">
        <v>71</v>
      </c>
      <c r="O172" s="4" t="s">
        <v>71</v>
      </c>
      <c r="P172" s="168" t="s">
        <v>5664</v>
      </c>
      <c r="Q172" s="4" t="s">
        <v>47</v>
      </c>
      <c r="R172" s="172"/>
      <c r="S172" s="172"/>
      <c r="T172" s="172"/>
      <c r="U172" s="172"/>
      <c r="V172" s="172"/>
      <c r="W172" s="172"/>
      <c r="X172" s="172"/>
      <c r="Y172" s="172"/>
      <c r="Z172" s="172"/>
    </row>
    <row r="173" spans="1:26" ht="13.8">
      <c r="A173" s="166">
        <v>631</v>
      </c>
      <c r="B173" s="4" t="s">
        <v>5671</v>
      </c>
      <c r="C173" s="4">
        <v>640</v>
      </c>
      <c r="D173" s="4" t="s">
        <v>71</v>
      </c>
      <c r="E173" s="4" t="s">
        <v>71</v>
      </c>
      <c r="F173" s="4" t="s">
        <v>71</v>
      </c>
      <c r="G173" s="4" t="s">
        <v>5672</v>
      </c>
      <c r="H173" s="4" t="s">
        <v>5673</v>
      </c>
      <c r="I173" s="4" t="s">
        <v>71</v>
      </c>
      <c r="J173" s="4" t="s">
        <v>71</v>
      </c>
      <c r="K173" s="4">
        <v>9810413805</v>
      </c>
      <c r="L173" s="4" t="s">
        <v>5674</v>
      </c>
      <c r="M173" s="4">
        <v>9810413805</v>
      </c>
      <c r="N173" s="4" t="s">
        <v>71</v>
      </c>
      <c r="O173" s="4" t="s">
        <v>71</v>
      </c>
      <c r="P173" s="168" t="s">
        <v>5675</v>
      </c>
      <c r="Q173" s="4" t="s">
        <v>47</v>
      </c>
      <c r="R173" s="172"/>
      <c r="S173" s="172"/>
      <c r="T173" s="172"/>
      <c r="U173" s="172"/>
      <c r="V173" s="172"/>
      <c r="W173" s="172"/>
      <c r="X173" s="172"/>
      <c r="Y173" s="172"/>
      <c r="Z173" s="172"/>
    </row>
    <row r="174" spans="1:26" ht="13.8">
      <c r="A174" s="166">
        <v>632</v>
      </c>
      <c r="B174" s="4" t="s">
        <v>5676</v>
      </c>
      <c r="C174" s="4">
        <v>641</v>
      </c>
      <c r="D174" s="4" t="s">
        <v>71</v>
      </c>
      <c r="E174" s="4" t="s">
        <v>71</v>
      </c>
      <c r="F174" s="4" t="s">
        <v>71</v>
      </c>
      <c r="G174" s="4" t="s">
        <v>5677</v>
      </c>
      <c r="H174" s="4" t="s">
        <v>5678</v>
      </c>
      <c r="I174" s="4" t="s">
        <v>71</v>
      </c>
      <c r="J174" s="4" t="s">
        <v>71</v>
      </c>
      <c r="K174" s="4">
        <v>556839000</v>
      </c>
      <c r="L174" s="4" t="s">
        <v>5679</v>
      </c>
      <c r="M174" s="4">
        <v>556839000</v>
      </c>
      <c r="N174" s="4" t="s">
        <v>71</v>
      </c>
      <c r="O174" s="4" t="s">
        <v>71</v>
      </c>
      <c r="P174" s="168" t="s">
        <v>5680</v>
      </c>
      <c r="Q174" s="4" t="s">
        <v>47</v>
      </c>
      <c r="R174" s="172"/>
      <c r="S174" s="172"/>
      <c r="T174" s="172"/>
      <c r="U174" s="172"/>
      <c r="V174" s="172"/>
      <c r="W174" s="172"/>
      <c r="X174" s="172"/>
      <c r="Y174" s="172"/>
      <c r="Z174" s="172"/>
    </row>
    <row r="175" spans="1:26" ht="13.8">
      <c r="A175" s="166">
        <v>633</v>
      </c>
      <c r="B175" s="4" t="s">
        <v>5681</v>
      </c>
      <c r="C175" s="4">
        <v>642</v>
      </c>
      <c r="D175" s="4" t="s">
        <v>71</v>
      </c>
      <c r="E175" s="4" t="s">
        <v>71</v>
      </c>
      <c r="F175" s="4" t="s">
        <v>71</v>
      </c>
      <c r="G175" s="4" t="s">
        <v>5677</v>
      </c>
      <c r="H175" s="4" t="s">
        <v>5682</v>
      </c>
      <c r="I175" s="4" t="s">
        <v>71</v>
      </c>
      <c r="J175" s="4" t="s">
        <v>71</v>
      </c>
      <c r="K175" s="4">
        <v>505883623</v>
      </c>
      <c r="L175" s="4" t="s">
        <v>5683</v>
      </c>
      <c r="M175" s="4">
        <v>505883623</v>
      </c>
      <c r="N175" s="4" t="s">
        <v>71</v>
      </c>
      <c r="O175" s="4" t="s">
        <v>71</v>
      </c>
      <c r="P175" s="168" t="s">
        <v>5680</v>
      </c>
      <c r="Q175" s="4" t="s">
        <v>47</v>
      </c>
      <c r="R175" s="172"/>
      <c r="S175" s="172"/>
      <c r="T175" s="172"/>
      <c r="U175" s="172"/>
      <c r="V175" s="172"/>
      <c r="W175" s="172"/>
      <c r="X175" s="172"/>
      <c r="Y175" s="172"/>
      <c r="Z175" s="172"/>
    </row>
    <row r="176" spans="1:26" ht="13.8">
      <c r="A176" s="166">
        <v>634</v>
      </c>
      <c r="B176" s="4" t="s">
        <v>5684</v>
      </c>
      <c r="C176" s="4">
        <v>643</v>
      </c>
      <c r="D176" s="4" t="s">
        <v>71</v>
      </c>
      <c r="E176" s="4" t="s">
        <v>71</v>
      </c>
      <c r="F176" s="4" t="s">
        <v>71</v>
      </c>
      <c r="G176" s="4" t="s">
        <v>5685</v>
      </c>
      <c r="H176" s="4" t="s">
        <v>5686</v>
      </c>
      <c r="I176" s="4" t="s">
        <v>71</v>
      </c>
      <c r="J176" s="4" t="s">
        <v>71</v>
      </c>
      <c r="K176" s="4">
        <v>9848057291</v>
      </c>
      <c r="L176" s="4" t="s">
        <v>5687</v>
      </c>
      <c r="M176" s="4">
        <v>9848057291</v>
      </c>
      <c r="N176" s="4" t="s">
        <v>71</v>
      </c>
      <c r="O176" s="4" t="s">
        <v>71</v>
      </c>
      <c r="P176" s="4" t="s">
        <v>71</v>
      </c>
      <c r="Q176" s="4" t="s">
        <v>47</v>
      </c>
      <c r="R176" s="172"/>
      <c r="S176" s="172"/>
      <c r="T176" s="172"/>
      <c r="U176" s="172"/>
      <c r="V176" s="172"/>
      <c r="W176" s="172"/>
      <c r="X176" s="172"/>
      <c r="Y176" s="172"/>
      <c r="Z176" s="172"/>
    </row>
    <row r="177" spans="1:26" ht="13.8">
      <c r="A177" s="166">
        <v>635</v>
      </c>
      <c r="B177" s="4" t="s">
        <v>5688</v>
      </c>
      <c r="C177" s="4">
        <v>644</v>
      </c>
      <c r="D177" s="4" t="s">
        <v>71</v>
      </c>
      <c r="E177" s="4" t="s">
        <v>71</v>
      </c>
      <c r="F177" s="4" t="s">
        <v>71</v>
      </c>
      <c r="G177" s="4" t="s">
        <v>5689</v>
      </c>
      <c r="H177" s="4" t="s">
        <v>5690</v>
      </c>
      <c r="I177" s="4" t="s">
        <v>71</v>
      </c>
      <c r="J177" s="4" t="s">
        <v>71</v>
      </c>
      <c r="K177" s="4">
        <v>553046740</v>
      </c>
      <c r="L177" s="4" t="s">
        <v>5691</v>
      </c>
      <c r="M177" s="4">
        <v>553046740</v>
      </c>
      <c r="N177" s="4" t="s">
        <v>71</v>
      </c>
      <c r="O177" s="4" t="s">
        <v>71</v>
      </c>
      <c r="P177" s="168" t="s">
        <v>5692</v>
      </c>
      <c r="Q177" s="4" t="s">
        <v>47</v>
      </c>
      <c r="R177" s="172"/>
      <c r="S177" s="172"/>
      <c r="T177" s="172"/>
      <c r="U177" s="172"/>
      <c r="V177" s="172"/>
      <c r="W177" s="172"/>
      <c r="X177" s="172"/>
      <c r="Y177" s="172"/>
      <c r="Z177" s="172"/>
    </row>
    <row r="178" spans="1:26" ht="13.8">
      <c r="A178" s="166">
        <v>636</v>
      </c>
      <c r="B178" s="4" t="s">
        <v>5693</v>
      </c>
      <c r="C178" s="4">
        <v>645</v>
      </c>
      <c r="D178" s="4" t="s">
        <v>71</v>
      </c>
      <c r="E178" s="4" t="s">
        <v>71</v>
      </c>
      <c r="F178" s="4" t="s">
        <v>5694</v>
      </c>
      <c r="G178" s="4" t="s">
        <v>5695</v>
      </c>
      <c r="H178" s="4" t="s">
        <v>5696</v>
      </c>
      <c r="I178" s="4" t="s">
        <v>71</v>
      </c>
      <c r="J178" s="4" t="s">
        <v>71</v>
      </c>
      <c r="K178" s="4">
        <v>9850699999</v>
      </c>
      <c r="L178" s="4" t="s">
        <v>5697</v>
      </c>
      <c r="M178" s="4">
        <v>9850699999</v>
      </c>
      <c r="N178" s="4" t="s">
        <v>71</v>
      </c>
      <c r="O178" s="4" t="s">
        <v>71</v>
      </c>
      <c r="P178" s="168" t="s">
        <v>5698</v>
      </c>
      <c r="Q178" s="4" t="s">
        <v>47</v>
      </c>
      <c r="R178" s="172"/>
      <c r="S178" s="172"/>
      <c r="T178" s="172"/>
      <c r="U178" s="172"/>
      <c r="V178" s="172"/>
      <c r="W178" s="172"/>
      <c r="X178" s="172"/>
      <c r="Y178" s="172"/>
      <c r="Z178" s="172"/>
    </row>
    <row r="179" spans="1:26" ht="13.8">
      <c r="A179" s="166">
        <v>637</v>
      </c>
      <c r="B179" s="4" t="s">
        <v>5699</v>
      </c>
      <c r="C179" s="4">
        <v>646</v>
      </c>
      <c r="D179" s="4" t="s">
        <v>71</v>
      </c>
      <c r="E179" s="4" t="s">
        <v>71</v>
      </c>
      <c r="F179" s="4" t="s">
        <v>5694</v>
      </c>
      <c r="G179" s="4" t="s">
        <v>5695</v>
      </c>
      <c r="H179" s="4" t="s">
        <v>5700</v>
      </c>
      <c r="I179" s="4" t="s">
        <v>71</v>
      </c>
      <c r="J179" s="4" t="s">
        <v>71</v>
      </c>
      <c r="K179" s="4">
        <v>9822417119</v>
      </c>
      <c r="L179" s="4" t="s">
        <v>5701</v>
      </c>
      <c r="M179" s="4">
        <v>9822417119</v>
      </c>
      <c r="N179" s="4" t="s">
        <v>71</v>
      </c>
      <c r="O179" s="4" t="s">
        <v>71</v>
      </c>
      <c r="P179" s="168" t="s">
        <v>5698</v>
      </c>
      <c r="Q179" s="4" t="s">
        <v>47</v>
      </c>
      <c r="R179" s="172"/>
      <c r="S179" s="172"/>
      <c r="T179" s="172"/>
      <c r="U179" s="172"/>
      <c r="V179" s="172"/>
      <c r="W179" s="172"/>
      <c r="X179" s="172"/>
      <c r="Y179" s="172"/>
      <c r="Z179" s="172"/>
    </row>
    <row r="180" spans="1:26" ht="13.8">
      <c r="A180" s="166">
        <v>638</v>
      </c>
      <c r="B180" s="4" t="s">
        <v>5702</v>
      </c>
      <c r="C180" s="4">
        <v>647</v>
      </c>
      <c r="D180" s="4" t="s">
        <v>71</v>
      </c>
      <c r="E180" s="4" t="s">
        <v>71</v>
      </c>
      <c r="F180" s="4" t="s">
        <v>5694</v>
      </c>
      <c r="G180" s="4" t="s">
        <v>5695</v>
      </c>
      <c r="H180" s="4" t="s">
        <v>5703</v>
      </c>
      <c r="I180" s="4" t="s">
        <v>71</v>
      </c>
      <c r="J180" s="4" t="s">
        <v>71</v>
      </c>
      <c r="K180" s="4">
        <v>9850205685</v>
      </c>
      <c r="L180" s="4" t="s">
        <v>5704</v>
      </c>
      <c r="M180" s="4">
        <v>9850205685</v>
      </c>
      <c r="N180" s="4" t="s">
        <v>71</v>
      </c>
      <c r="O180" s="4" t="s">
        <v>71</v>
      </c>
      <c r="P180" s="168" t="s">
        <v>5698</v>
      </c>
      <c r="Q180" s="4" t="s">
        <v>47</v>
      </c>
      <c r="R180" s="172"/>
      <c r="S180" s="172"/>
      <c r="T180" s="172"/>
      <c r="U180" s="172"/>
      <c r="V180" s="172"/>
      <c r="W180" s="172"/>
      <c r="X180" s="172"/>
      <c r="Y180" s="172"/>
      <c r="Z180" s="172"/>
    </row>
    <row r="181" spans="1:26" ht="13.8">
      <c r="A181" s="166">
        <v>639</v>
      </c>
      <c r="B181" s="4" t="s">
        <v>5705</v>
      </c>
      <c r="C181" s="4">
        <v>648</v>
      </c>
      <c r="D181" s="4" t="s">
        <v>71</v>
      </c>
      <c r="E181" s="4" t="s">
        <v>71</v>
      </c>
      <c r="F181" s="4" t="s">
        <v>5694</v>
      </c>
      <c r="G181" s="4" t="s">
        <v>5695</v>
      </c>
      <c r="H181" s="4" t="s">
        <v>5706</v>
      </c>
      <c r="I181" s="4" t="s">
        <v>71</v>
      </c>
      <c r="J181" s="4" t="s">
        <v>71</v>
      </c>
      <c r="K181" s="4">
        <v>8806907546</v>
      </c>
      <c r="L181" s="4" t="s">
        <v>5707</v>
      </c>
      <c r="M181" s="4">
        <v>8806907546</v>
      </c>
      <c r="N181" s="4" t="s">
        <v>71</v>
      </c>
      <c r="O181" s="4" t="s">
        <v>71</v>
      </c>
      <c r="P181" s="168" t="s">
        <v>5698</v>
      </c>
      <c r="Q181" s="4" t="s">
        <v>47</v>
      </c>
      <c r="R181" s="172"/>
      <c r="S181" s="172"/>
      <c r="T181" s="172"/>
      <c r="U181" s="172"/>
      <c r="V181" s="172"/>
      <c r="W181" s="172"/>
      <c r="X181" s="172"/>
      <c r="Y181" s="172"/>
      <c r="Z181" s="172"/>
    </row>
    <row r="182" spans="1:26" ht="13.8">
      <c r="A182" s="166">
        <v>640</v>
      </c>
      <c r="B182" s="4" t="s">
        <v>5708</v>
      </c>
      <c r="C182" s="4">
        <v>649</v>
      </c>
      <c r="D182" s="4" t="s">
        <v>71</v>
      </c>
      <c r="E182" s="4" t="s">
        <v>71</v>
      </c>
      <c r="F182" s="4" t="s">
        <v>5694</v>
      </c>
      <c r="G182" s="4" t="s">
        <v>5695</v>
      </c>
      <c r="H182" s="4" t="s">
        <v>5709</v>
      </c>
      <c r="I182" s="4" t="s">
        <v>71</v>
      </c>
      <c r="J182" s="4" t="s">
        <v>71</v>
      </c>
      <c r="K182" s="4">
        <v>7768073377</v>
      </c>
      <c r="L182" s="4" t="s">
        <v>5710</v>
      </c>
      <c r="M182" s="4">
        <v>7768073377</v>
      </c>
      <c r="N182" s="4" t="s">
        <v>71</v>
      </c>
      <c r="O182" s="4" t="s">
        <v>71</v>
      </c>
      <c r="P182" s="168" t="s">
        <v>5698</v>
      </c>
      <c r="Q182" s="4" t="s">
        <v>47</v>
      </c>
      <c r="R182" s="172"/>
      <c r="S182" s="172"/>
      <c r="T182" s="172"/>
      <c r="U182" s="172"/>
      <c r="V182" s="172"/>
      <c r="W182" s="172"/>
      <c r="X182" s="172"/>
      <c r="Y182" s="172"/>
      <c r="Z182" s="172"/>
    </row>
    <row r="183" spans="1:26" ht="13.8">
      <c r="A183" s="166">
        <v>641</v>
      </c>
      <c r="B183" s="4" t="s">
        <v>5711</v>
      </c>
      <c r="C183" s="4">
        <v>650</v>
      </c>
      <c r="D183" s="4" t="s">
        <v>71</v>
      </c>
      <c r="E183" s="4" t="s">
        <v>71</v>
      </c>
      <c r="F183" s="4" t="s">
        <v>5694</v>
      </c>
      <c r="G183" s="4" t="s">
        <v>5695</v>
      </c>
      <c r="H183" s="4" t="s">
        <v>5712</v>
      </c>
      <c r="I183" s="4" t="s">
        <v>71</v>
      </c>
      <c r="J183" s="4" t="s">
        <v>71</v>
      </c>
      <c r="K183" s="4">
        <v>9850955199</v>
      </c>
      <c r="L183" s="4" t="s">
        <v>5713</v>
      </c>
      <c r="M183" s="4">
        <v>9850955199</v>
      </c>
      <c r="N183" s="4" t="s">
        <v>71</v>
      </c>
      <c r="O183" s="4" t="s">
        <v>71</v>
      </c>
      <c r="P183" s="168" t="s">
        <v>5698</v>
      </c>
      <c r="Q183" s="4" t="s">
        <v>47</v>
      </c>
      <c r="R183" s="172"/>
      <c r="S183" s="172"/>
      <c r="T183" s="172"/>
      <c r="U183" s="172"/>
      <c r="V183" s="172"/>
      <c r="W183" s="172"/>
      <c r="X183" s="172"/>
      <c r="Y183" s="172"/>
      <c r="Z183" s="172"/>
    </row>
    <row r="184" spans="1:26" ht="13.8">
      <c r="A184" s="166">
        <v>642</v>
      </c>
      <c r="B184" s="4" t="s">
        <v>5714</v>
      </c>
      <c r="C184" s="4">
        <v>651</v>
      </c>
      <c r="D184" s="4" t="s">
        <v>71</v>
      </c>
      <c r="E184" s="4" t="s">
        <v>71</v>
      </c>
      <c r="F184" s="4" t="s">
        <v>71</v>
      </c>
      <c r="G184" s="4" t="s">
        <v>5715</v>
      </c>
      <c r="H184" s="4" t="s">
        <v>5716</v>
      </c>
      <c r="I184" s="4" t="s">
        <v>71</v>
      </c>
      <c r="J184" s="4" t="s">
        <v>71</v>
      </c>
      <c r="K184" s="4">
        <v>506250063</v>
      </c>
      <c r="L184" s="4" t="s">
        <v>5717</v>
      </c>
      <c r="M184" s="4">
        <v>506250063</v>
      </c>
      <c r="N184" s="4" t="s">
        <v>71</v>
      </c>
      <c r="O184" s="4" t="s">
        <v>71</v>
      </c>
      <c r="P184" s="4" t="s">
        <v>71</v>
      </c>
      <c r="Q184" s="4" t="s">
        <v>47</v>
      </c>
      <c r="R184" s="172"/>
      <c r="S184" s="172"/>
      <c r="T184" s="172"/>
      <c r="U184" s="172"/>
      <c r="V184" s="172"/>
      <c r="W184" s="172"/>
      <c r="X184" s="172"/>
      <c r="Y184" s="172"/>
      <c r="Z184" s="172"/>
    </row>
    <row r="185" spans="1:26" ht="13.8">
      <c r="A185" s="166">
        <v>643</v>
      </c>
      <c r="B185" s="4" t="s">
        <v>5718</v>
      </c>
      <c r="C185" s="4">
        <v>652</v>
      </c>
      <c r="D185" s="4" t="s">
        <v>71</v>
      </c>
      <c r="E185" s="4" t="s">
        <v>71</v>
      </c>
      <c r="F185" s="4" t="s">
        <v>5596</v>
      </c>
      <c r="G185" s="4" t="s">
        <v>5719</v>
      </c>
      <c r="H185" s="4" t="s">
        <v>5720</v>
      </c>
      <c r="I185" s="4" t="s">
        <v>71</v>
      </c>
      <c r="J185" s="4" t="s">
        <v>71</v>
      </c>
      <c r="K185" s="4">
        <v>9880344121</v>
      </c>
      <c r="L185" s="4" t="s">
        <v>5721</v>
      </c>
      <c r="M185" s="4">
        <v>9880344121</v>
      </c>
      <c r="N185" s="4" t="s">
        <v>71</v>
      </c>
      <c r="O185" s="4" t="s">
        <v>71</v>
      </c>
      <c r="P185" s="168" t="s">
        <v>5600</v>
      </c>
      <c r="Q185" s="4" t="s">
        <v>47</v>
      </c>
      <c r="R185" s="172"/>
      <c r="S185" s="172"/>
      <c r="T185" s="172"/>
      <c r="U185" s="172"/>
      <c r="V185" s="172"/>
      <c r="W185" s="172"/>
      <c r="X185" s="172"/>
      <c r="Y185" s="172"/>
      <c r="Z185" s="172"/>
    </row>
    <row r="186" spans="1:26" ht="13.8">
      <c r="A186" s="166">
        <v>644</v>
      </c>
      <c r="B186" s="4" t="s">
        <v>5722</v>
      </c>
      <c r="C186" s="4">
        <v>653</v>
      </c>
      <c r="D186" s="4" t="s">
        <v>71</v>
      </c>
      <c r="E186" s="4" t="s">
        <v>71</v>
      </c>
      <c r="F186" s="4" t="s">
        <v>5596</v>
      </c>
      <c r="G186" s="4" t="s">
        <v>5719</v>
      </c>
      <c r="H186" s="4" t="s">
        <v>5723</v>
      </c>
      <c r="I186" s="4" t="s">
        <v>71</v>
      </c>
      <c r="J186" s="4" t="s">
        <v>5724</v>
      </c>
      <c r="K186" s="4">
        <v>9886008825</v>
      </c>
      <c r="L186" s="4" t="s">
        <v>5725</v>
      </c>
      <c r="M186" s="4">
        <v>9886008825</v>
      </c>
      <c r="N186" s="4" t="s">
        <v>71</v>
      </c>
      <c r="O186" s="4" t="s">
        <v>71</v>
      </c>
      <c r="P186" s="168" t="s">
        <v>5600</v>
      </c>
      <c r="Q186" s="4" t="s">
        <v>47</v>
      </c>
      <c r="R186" s="172"/>
      <c r="S186" s="172"/>
      <c r="T186" s="172"/>
      <c r="U186" s="172"/>
      <c r="V186" s="172"/>
      <c r="W186" s="172"/>
      <c r="X186" s="172"/>
      <c r="Y186" s="172"/>
      <c r="Z186" s="172"/>
    </row>
    <row r="187" spans="1:26" ht="13.8">
      <c r="A187" s="166">
        <v>645</v>
      </c>
      <c r="B187" s="4" t="s">
        <v>5726</v>
      </c>
      <c r="C187" s="4">
        <v>654</v>
      </c>
      <c r="D187" s="4" t="s">
        <v>71</v>
      </c>
      <c r="E187" s="4" t="s">
        <v>71</v>
      </c>
      <c r="F187" s="4" t="s">
        <v>5727</v>
      </c>
      <c r="G187" s="4" t="s">
        <v>5728</v>
      </c>
      <c r="H187" s="4" t="s">
        <v>5729</v>
      </c>
      <c r="I187" s="4" t="s">
        <v>71</v>
      </c>
      <c r="J187" s="4" t="s">
        <v>5724</v>
      </c>
      <c r="K187" s="4">
        <v>9838009999</v>
      </c>
      <c r="L187" s="4" t="s">
        <v>5730</v>
      </c>
      <c r="M187" s="4">
        <v>9838009999</v>
      </c>
      <c r="N187" s="4" t="s">
        <v>71</v>
      </c>
      <c r="O187" s="4" t="s">
        <v>71</v>
      </c>
      <c r="P187" s="168" t="s">
        <v>5731</v>
      </c>
      <c r="Q187" s="4" t="s">
        <v>47</v>
      </c>
      <c r="R187" s="172"/>
      <c r="S187" s="172"/>
      <c r="T187" s="172"/>
      <c r="U187" s="172"/>
      <c r="V187" s="172"/>
      <c r="W187" s="172"/>
      <c r="X187" s="172"/>
      <c r="Y187" s="172"/>
      <c r="Z187" s="172"/>
    </row>
    <row r="188" spans="1:26" ht="13.8">
      <c r="A188" s="166">
        <v>646</v>
      </c>
      <c r="B188" s="4" t="s">
        <v>5732</v>
      </c>
      <c r="C188" s="4">
        <v>655</v>
      </c>
      <c r="D188" s="4" t="s">
        <v>71</v>
      </c>
      <c r="E188" s="4" t="s">
        <v>71</v>
      </c>
      <c r="F188" s="4" t="s">
        <v>5727</v>
      </c>
      <c r="G188" s="4" t="s">
        <v>5728</v>
      </c>
      <c r="H188" s="4" t="s">
        <v>5733</v>
      </c>
      <c r="I188" s="4" t="s">
        <v>71</v>
      </c>
      <c r="J188" s="4" t="s">
        <v>5724</v>
      </c>
      <c r="K188" s="4">
        <v>9838079999</v>
      </c>
      <c r="L188" s="4" t="s">
        <v>5734</v>
      </c>
      <c r="M188" s="4">
        <v>9838079999</v>
      </c>
      <c r="N188" s="4" t="s">
        <v>71</v>
      </c>
      <c r="O188" s="4" t="s">
        <v>71</v>
      </c>
      <c r="P188" s="168" t="s">
        <v>5731</v>
      </c>
      <c r="Q188" s="4" t="s">
        <v>47</v>
      </c>
      <c r="R188" s="172"/>
      <c r="S188" s="172"/>
      <c r="T188" s="172"/>
      <c r="U188" s="172"/>
      <c r="V188" s="172"/>
      <c r="W188" s="172"/>
      <c r="X188" s="172"/>
      <c r="Y188" s="172"/>
      <c r="Z188" s="172"/>
    </row>
    <row r="189" spans="1:26" ht="13.8">
      <c r="A189" s="166">
        <v>647</v>
      </c>
      <c r="B189" s="4" t="s">
        <v>5735</v>
      </c>
      <c r="C189" s="4">
        <v>656</v>
      </c>
      <c r="D189" s="4" t="s">
        <v>71</v>
      </c>
      <c r="E189" s="4" t="s">
        <v>71</v>
      </c>
      <c r="F189" s="4" t="s">
        <v>5727</v>
      </c>
      <c r="G189" s="4" t="s">
        <v>5728</v>
      </c>
      <c r="H189" s="4" t="s">
        <v>5736</v>
      </c>
      <c r="I189" s="4" t="s">
        <v>71</v>
      </c>
      <c r="J189" s="4" t="s">
        <v>5724</v>
      </c>
      <c r="K189" s="4">
        <v>9918363111</v>
      </c>
      <c r="L189" s="4" t="s">
        <v>5737</v>
      </c>
      <c r="M189" s="4">
        <v>9918363111</v>
      </c>
      <c r="N189" s="4" t="s">
        <v>71</v>
      </c>
      <c r="O189" s="4" t="s">
        <v>71</v>
      </c>
      <c r="P189" s="168" t="s">
        <v>5731</v>
      </c>
      <c r="Q189" s="4" t="s">
        <v>47</v>
      </c>
      <c r="R189" s="172"/>
      <c r="S189" s="172"/>
      <c r="T189" s="172"/>
      <c r="U189" s="172"/>
      <c r="V189" s="172"/>
      <c r="W189" s="172"/>
      <c r="X189" s="172"/>
      <c r="Y189" s="172"/>
      <c r="Z189" s="172"/>
    </row>
    <row r="190" spans="1:26" ht="13.8">
      <c r="A190" s="166">
        <v>648</v>
      </c>
      <c r="B190" s="4" t="s">
        <v>5738</v>
      </c>
      <c r="C190" s="4">
        <v>657</v>
      </c>
      <c r="D190" s="4" t="s">
        <v>71</v>
      </c>
      <c r="E190" s="4" t="s">
        <v>71</v>
      </c>
      <c r="F190" s="4" t="s">
        <v>5727</v>
      </c>
      <c r="G190" s="4" t="s">
        <v>5728</v>
      </c>
      <c r="H190" s="4" t="s">
        <v>5739</v>
      </c>
      <c r="I190" s="4" t="s">
        <v>71</v>
      </c>
      <c r="J190" s="4" t="s">
        <v>5724</v>
      </c>
      <c r="K190" s="4">
        <v>9984559999</v>
      </c>
      <c r="L190" s="4" t="s">
        <v>5740</v>
      </c>
      <c r="M190" s="4">
        <v>9984559999</v>
      </c>
      <c r="N190" s="4" t="s">
        <v>71</v>
      </c>
      <c r="O190" s="4" t="s">
        <v>71</v>
      </c>
      <c r="P190" s="168" t="s">
        <v>5731</v>
      </c>
      <c r="Q190" s="4" t="s">
        <v>47</v>
      </c>
      <c r="R190" s="172"/>
      <c r="S190" s="172"/>
      <c r="T190" s="172"/>
      <c r="U190" s="172"/>
      <c r="V190" s="172"/>
      <c r="W190" s="172"/>
      <c r="X190" s="172"/>
      <c r="Y190" s="172"/>
      <c r="Z190" s="172"/>
    </row>
    <row r="191" spans="1:26" ht="13.8">
      <c r="A191" s="166">
        <v>649</v>
      </c>
      <c r="B191" s="4" t="s">
        <v>5741</v>
      </c>
      <c r="C191" s="4">
        <v>658</v>
      </c>
      <c r="D191" s="4" t="s">
        <v>71</v>
      </c>
      <c r="E191" s="4" t="s">
        <v>71</v>
      </c>
      <c r="F191" s="4" t="s">
        <v>71</v>
      </c>
      <c r="G191" s="4" t="s">
        <v>5742</v>
      </c>
      <c r="H191" s="4" t="s">
        <v>5743</v>
      </c>
      <c r="I191" s="4" t="s">
        <v>71</v>
      </c>
      <c r="J191" s="4" t="s">
        <v>5724</v>
      </c>
      <c r="K191" s="4">
        <v>8008203789</v>
      </c>
      <c r="L191" s="4" t="s">
        <v>5744</v>
      </c>
      <c r="M191" s="4">
        <v>8008203789</v>
      </c>
      <c r="N191" s="4" t="s">
        <v>71</v>
      </c>
      <c r="O191" s="4" t="s">
        <v>71</v>
      </c>
      <c r="P191" s="4" t="s">
        <v>71</v>
      </c>
      <c r="Q191" s="4" t="s">
        <v>47</v>
      </c>
      <c r="R191" s="172"/>
      <c r="S191" s="172"/>
      <c r="T191" s="172"/>
      <c r="U191" s="172"/>
      <c r="V191" s="172"/>
      <c r="W191" s="172"/>
      <c r="X191" s="172"/>
      <c r="Y191" s="172"/>
      <c r="Z191" s="172"/>
    </row>
    <row r="192" spans="1:26" ht="13.8">
      <c r="A192" s="166">
        <v>650</v>
      </c>
      <c r="B192" s="4" t="s">
        <v>5745</v>
      </c>
      <c r="C192" s="4">
        <v>659</v>
      </c>
      <c r="D192" s="4" t="s">
        <v>71</v>
      </c>
      <c r="E192" s="4" t="s">
        <v>71</v>
      </c>
      <c r="F192" s="4" t="s">
        <v>71</v>
      </c>
      <c r="G192" s="4" t="s">
        <v>5742</v>
      </c>
      <c r="H192" s="4" t="s">
        <v>5746</v>
      </c>
      <c r="I192" s="4" t="s">
        <v>5747</v>
      </c>
      <c r="J192" s="4" t="s">
        <v>5724</v>
      </c>
      <c r="K192" s="4">
        <v>9948577777</v>
      </c>
      <c r="L192" s="4" t="s">
        <v>5748</v>
      </c>
      <c r="M192" s="4">
        <v>9948577777</v>
      </c>
      <c r="N192" s="4" t="s">
        <v>71</v>
      </c>
      <c r="O192" s="4" t="s">
        <v>71</v>
      </c>
      <c r="P192" s="4" t="s">
        <v>71</v>
      </c>
      <c r="Q192" s="4" t="s">
        <v>47</v>
      </c>
      <c r="R192" s="172"/>
      <c r="S192" s="172"/>
      <c r="T192" s="172"/>
      <c r="U192" s="172"/>
      <c r="V192" s="172"/>
      <c r="W192" s="172"/>
      <c r="X192" s="172"/>
      <c r="Y192" s="172"/>
      <c r="Z192" s="172"/>
    </row>
    <row r="193" spans="1:26" ht="13.8">
      <c r="A193" s="166">
        <v>651</v>
      </c>
      <c r="B193" s="4" t="s">
        <v>5749</v>
      </c>
      <c r="C193" s="4">
        <v>660</v>
      </c>
      <c r="D193" s="4" t="s">
        <v>71</v>
      </c>
      <c r="E193" s="4" t="s">
        <v>71</v>
      </c>
      <c r="F193" s="4" t="s">
        <v>71</v>
      </c>
      <c r="G193" s="4" t="s">
        <v>5742</v>
      </c>
      <c r="H193" s="4" t="s">
        <v>5750</v>
      </c>
      <c r="I193" s="4" t="s">
        <v>5751</v>
      </c>
      <c r="J193" s="4" t="s">
        <v>5724</v>
      </c>
      <c r="K193" s="4">
        <v>9581694777</v>
      </c>
      <c r="L193" s="4" t="s">
        <v>5752</v>
      </c>
      <c r="M193" s="4">
        <v>9581694777</v>
      </c>
      <c r="N193" s="4" t="s">
        <v>71</v>
      </c>
      <c r="O193" s="4" t="s">
        <v>71</v>
      </c>
      <c r="P193" s="4" t="s">
        <v>71</v>
      </c>
      <c r="Q193" s="4" t="s">
        <v>47</v>
      </c>
      <c r="R193" s="172"/>
      <c r="S193" s="172"/>
      <c r="T193" s="172"/>
      <c r="U193" s="172"/>
      <c r="V193" s="172"/>
      <c r="W193" s="172"/>
      <c r="X193" s="172"/>
      <c r="Y193" s="172"/>
      <c r="Z193" s="172"/>
    </row>
    <row r="194" spans="1:26" ht="13.8">
      <c r="A194" s="166">
        <v>652</v>
      </c>
      <c r="B194" s="4" t="s">
        <v>5753</v>
      </c>
      <c r="C194" s="4">
        <v>661</v>
      </c>
      <c r="D194" s="4" t="s">
        <v>71</v>
      </c>
      <c r="E194" s="4" t="s">
        <v>71</v>
      </c>
      <c r="F194" s="4" t="s">
        <v>71</v>
      </c>
      <c r="G194" s="4" t="s">
        <v>5754</v>
      </c>
      <c r="H194" s="4" t="s">
        <v>5755</v>
      </c>
      <c r="I194" s="4" t="s">
        <v>71</v>
      </c>
      <c r="J194" s="4" t="s">
        <v>5756</v>
      </c>
      <c r="K194" s="4">
        <v>9301625557</v>
      </c>
      <c r="L194" s="4" t="s">
        <v>5757</v>
      </c>
      <c r="M194" s="4">
        <v>9301625557</v>
      </c>
      <c r="N194" s="4" t="s">
        <v>71</v>
      </c>
      <c r="O194" s="4" t="s">
        <v>71</v>
      </c>
      <c r="P194" s="4" t="s">
        <v>71</v>
      </c>
      <c r="Q194" s="4" t="s">
        <v>47</v>
      </c>
      <c r="R194" s="172"/>
      <c r="S194" s="172"/>
      <c r="T194" s="172"/>
      <c r="U194" s="172"/>
      <c r="V194" s="172"/>
      <c r="W194" s="172"/>
      <c r="X194" s="172"/>
      <c r="Y194" s="172"/>
      <c r="Z194" s="172"/>
    </row>
    <row r="195" spans="1:26" ht="13.8">
      <c r="A195" s="166">
        <v>653</v>
      </c>
      <c r="B195" s="4" t="s">
        <v>5758</v>
      </c>
      <c r="C195" s="4">
        <v>662</v>
      </c>
      <c r="D195" s="4" t="s">
        <v>71</v>
      </c>
      <c r="E195" s="4" t="s">
        <v>71</v>
      </c>
      <c r="F195" s="4" t="s">
        <v>5759</v>
      </c>
      <c r="G195" s="4" t="s">
        <v>5760</v>
      </c>
      <c r="H195" s="4" t="s">
        <v>5761</v>
      </c>
      <c r="I195" s="4" t="s">
        <v>71</v>
      </c>
      <c r="J195" s="4" t="s">
        <v>5756</v>
      </c>
      <c r="K195" s="4">
        <v>9334700454</v>
      </c>
      <c r="L195" s="4" t="s">
        <v>5762</v>
      </c>
      <c r="M195" s="4">
        <v>9334700454</v>
      </c>
      <c r="N195" s="4" t="s">
        <v>71</v>
      </c>
      <c r="O195" s="4" t="s">
        <v>71</v>
      </c>
      <c r="P195" s="4" t="s">
        <v>71</v>
      </c>
      <c r="Q195" s="4" t="s">
        <v>47</v>
      </c>
      <c r="R195" s="172"/>
      <c r="S195" s="172"/>
      <c r="T195" s="172"/>
      <c r="U195" s="172"/>
      <c r="V195" s="172"/>
      <c r="W195" s="172"/>
      <c r="X195" s="172"/>
      <c r="Y195" s="172"/>
      <c r="Z195" s="172"/>
    </row>
    <row r="196" spans="1:26" ht="13.8">
      <c r="A196" s="166">
        <v>654</v>
      </c>
      <c r="B196" s="4" t="s">
        <v>5763</v>
      </c>
      <c r="C196" s="4">
        <v>663</v>
      </c>
      <c r="D196" s="4" t="s">
        <v>71</v>
      </c>
      <c r="E196" s="4" t="s">
        <v>71</v>
      </c>
      <c r="F196" s="4" t="s">
        <v>5764</v>
      </c>
      <c r="G196" s="4" t="s">
        <v>5765</v>
      </c>
      <c r="H196" s="4" t="s">
        <v>5766</v>
      </c>
      <c r="I196" s="4" t="s">
        <v>71</v>
      </c>
      <c r="J196" s="4" t="s">
        <v>5767</v>
      </c>
      <c r="K196" s="4">
        <v>9843012343</v>
      </c>
      <c r="L196" s="4" t="s">
        <v>5768</v>
      </c>
      <c r="M196" s="4">
        <v>9843012343</v>
      </c>
      <c r="N196" s="4" t="s">
        <v>71</v>
      </c>
      <c r="O196" s="4" t="s">
        <v>71</v>
      </c>
      <c r="P196" s="168" t="s">
        <v>5769</v>
      </c>
      <c r="Q196" s="4" t="s">
        <v>47</v>
      </c>
      <c r="R196" s="172"/>
      <c r="S196" s="172"/>
      <c r="T196" s="172"/>
      <c r="U196" s="172"/>
      <c r="V196" s="172"/>
      <c r="W196" s="172"/>
      <c r="X196" s="172"/>
      <c r="Y196" s="172"/>
      <c r="Z196" s="172"/>
    </row>
    <row r="197" spans="1:26" ht="13.8">
      <c r="A197" s="166">
        <v>655</v>
      </c>
      <c r="B197" s="4" t="s">
        <v>5770</v>
      </c>
      <c r="C197" s="4">
        <v>664</v>
      </c>
      <c r="D197" s="4" t="s">
        <v>71</v>
      </c>
      <c r="E197" s="4" t="s">
        <v>71</v>
      </c>
      <c r="F197" s="4" t="s">
        <v>5764</v>
      </c>
      <c r="G197" s="4" t="s">
        <v>5765</v>
      </c>
      <c r="H197" s="4" t="s">
        <v>5771</v>
      </c>
      <c r="I197" s="4" t="s">
        <v>71</v>
      </c>
      <c r="J197" s="4" t="s">
        <v>5772</v>
      </c>
      <c r="K197" s="4">
        <v>9843112343</v>
      </c>
      <c r="L197" s="4" t="s">
        <v>5773</v>
      </c>
      <c r="M197" s="4">
        <v>9843112343</v>
      </c>
      <c r="N197" s="4" t="s">
        <v>71</v>
      </c>
      <c r="O197" s="4" t="s">
        <v>71</v>
      </c>
      <c r="P197" s="168" t="s">
        <v>5769</v>
      </c>
      <c r="Q197" s="4" t="s">
        <v>47</v>
      </c>
      <c r="R197" s="172"/>
      <c r="S197" s="172"/>
      <c r="T197" s="172"/>
      <c r="U197" s="172"/>
      <c r="V197" s="172"/>
      <c r="W197" s="172"/>
      <c r="X197" s="172"/>
      <c r="Y197" s="172"/>
      <c r="Z197" s="172"/>
    </row>
    <row r="198" spans="1:26" ht="13.8">
      <c r="A198" s="166">
        <v>656</v>
      </c>
      <c r="B198" s="4" t="s">
        <v>5774</v>
      </c>
      <c r="C198" s="4">
        <v>665</v>
      </c>
      <c r="D198" s="4" t="s">
        <v>71</v>
      </c>
      <c r="E198" s="4" t="s">
        <v>71</v>
      </c>
      <c r="F198" s="4" t="s">
        <v>5764</v>
      </c>
      <c r="G198" s="4" t="s">
        <v>5765</v>
      </c>
      <c r="H198" s="4" t="s">
        <v>5775</v>
      </c>
      <c r="I198" s="4" t="s">
        <v>71</v>
      </c>
      <c r="J198" s="4" t="s">
        <v>5776</v>
      </c>
      <c r="K198" s="4">
        <v>9843612343</v>
      </c>
      <c r="L198" s="4" t="s">
        <v>5777</v>
      </c>
      <c r="M198" s="4">
        <v>9843612343</v>
      </c>
      <c r="N198" s="4" t="s">
        <v>71</v>
      </c>
      <c r="O198" s="4" t="s">
        <v>71</v>
      </c>
      <c r="P198" s="168" t="s">
        <v>5769</v>
      </c>
      <c r="Q198" s="4" t="s">
        <v>47</v>
      </c>
      <c r="R198" s="172"/>
      <c r="S198" s="172"/>
      <c r="T198" s="172"/>
      <c r="U198" s="172"/>
      <c r="V198" s="172"/>
      <c r="W198" s="172"/>
      <c r="X198" s="172"/>
      <c r="Y198" s="172"/>
      <c r="Z198" s="172"/>
    </row>
    <row r="199" spans="1:26" ht="13.8">
      <c r="A199" s="166">
        <v>657</v>
      </c>
      <c r="B199" s="4" t="s">
        <v>5778</v>
      </c>
      <c r="C199" s="4">
        <v>666</v>
      </c>
      <c r="D199" s="4" t="s">
        <v>71</v>
      </c>
      <c r="E199" s="4" t="s">
        <v>71</v>
      </c>
      <c r="F199" s="4" t="s">
        <v>5764</v>
      </c>
      <c r="G199" s="4" t="s">
        <v>5765</v>
      </c>
      <c r="H199" s="4" t="s">
        <v>5779</v>
      </c>
      <c r="I199" s="4" t="s">
        <v>71</v>
      </c>
      <c r="J199" s="4" t="s">
        <v>5776</v>
      </c>
      <c r="K199" s="4">
        <v>9790688300</v>
      </c>
      <c r="L199" s="4" t="s">
        <v>5780</v>
      </c>
      <c r="M199" s="4">
        <v>9790688300</v>
      </c>
      <c r="N199" s="4" t="s">
        <v>71</v>
      </c>
      <c r="O199" s="4" t="s">
        <v>71</v>
      </c>
      <c r="P199" s="168" t="s">
        <v>5769</v>
      </c>
      <c r="Q199" s="4" t="s">
        <v>47</v>
      </c>
      <c r="R199" s="172"/>
      <c r="S199" s="172"/>
      <c r="T199" s="172"/>
      <c r="U199" s="172"/>
      <c r="V199" s="172"/>
      <c r="W199" s="172"/>
      <c r="X199" s="172"/>
      <c r="Y199" s="172"/>
      <c r="Z199" s="172"/>
    </row>
    <row r="200" spans="1:26" ht="13.8">
      <c r="A200" s="166">
        <v>658</v>
      </c>
      <c r="B200" s="4" t="s">
        <v>5781</v>
      </c>
      <c r="C200" s="4">
        <v>667</v>
      </c>
      <c r="D200" s="4" t="s">
        <v>71</v>
      </c>
      <c r="E200" s="4" t="s">
        <v>71</v>
      </c>
      <c r="F200" s="4" t="s">
        <v>71</v>
      </c>
      <c r="G200" s="4" t="s">
        <v>5742</v>
      </c>
      <c r="H200" s="4" t="s">
        <v>5782</v>
      </c>
      <c r="I200" s="4" t="s">
        <v>5783</v>
      </c>
      <c r="J200" s="4" t="s">
        <v>5784</v>
      </c>
      <c r="K200" s="4">
        <v>9676754368</v>
      </c>
      <c r="L200" s="4" t="s">
        <v>5785</v>
      </c>
      <c r="M200" s="4">
        <v>9676754368</v>
      </c>
      <c r="N200" s="4" t="s">
        <v>71</v>
      </c>
      <c r="O200" s="4" t="s">
        <v>71</v>
      </c>
      <c r="P200" s="4" t="s">
        <v>71</v>
      </c>
      <c r="Q200" s="4" t="s">
        <v>47</v>
      </c>
      <c r="R200" s="172"/>
      <c r="S200" s="172"/>
      <c r="T200" s="172"/>
      <c r="U200" s="172"/>
      <c r="V200" s="172"/>
      <c r="W200" s="172"/>
      <c r="X200" s="172"/>
      <c r="Y200" s="172"/>
      <c r="Z200" s="172"/>
    </row>
    <row r="201" spans="1:26" ht="13.8">
      <c r="A201" s="166">
        <v>659</v>
      </c>
      <c r="B201" s="4" t="s">
        <v>5786</v>
      </c>
      <c r="C201" s="4">
        <v>668</v>
      </c>
      <c r="D201" s="4" t="s">
        <v>71</v>
      </c>
      <c r="E201" s="4" t="s">
        <v>71</v>
      </c>
      <c r="F201" s="4" t="s">
        <v>5416</v>
      </c>
      <c r="G201" s="4" t="s">
        <v>5787</v>
      </c>
      <c r="H201" s="4" t="s">
        <v>5788</v>
      </c>
      <c r="I201" s="4" t="s">
        <v>207</v>
      </c>
      <c r="J201" s="4" t="s">
        <v>5789</v>
      </c>
      <c r="K201" s="4">
        <v>9366607111</v>
      </c>
      <c r="L201" s="4" t="s">
        <v>5790</v>
      </c>
      <c r="M201" s="4">
        <v>9366607111</v>
      </c>
      <c r="N201" s="4" t="s">
        <v>71</v>
      </c>
      <c r="O201" s="4" t="s">
        <v>71</v>
      </c>
      <c r="P201" s="168" t="s">
        <v>5791</v>
      </c>
      <c r="Q201" s="4" t="s">
        <v>47</v>
      </c>
      <c r="R201" s="172"/>
      <c r="S201" s="172"/>
      <c r="T201" s="172"/>
      <c r="U201" s="172"/>
      <c r="V201" s="172"/>
      <c r="W201" s="172"/>
      <c r="X201" s="172"/>
      <c r="Y201" s="172"/>
      <c r="Z201" s="172"/>
    </row>
    <row r="202" spans="1:26" ht="13.8">
      <c r="A202" s="166">
        <v>660</v>
      </c>
      <c r="B202" s="4" t="s">
        <v>5792</v>
      </c>
      <c r="C202" s="4">
        <v>669</v>
      </c>
      <c r="D202" s="4" t="s">
        <v>5793</v>
      </c>
      <c r="E202" s="4" t="s">
        <v>71</v>
      </c>
      <c r="F202" s="4" t="s">
        <v>71</v>
      </c>
      <c r="G202" s="4" t="s">
        <v>5118</v>
      </c>
      <c r="H202" s="4" t="s">
        <v>5794</v>
      </c>
      <c r="I202" s="4" t="s">
        <v>71</v>
      </c>
      <c r="J202" s="4" t="s">
        <v>5795</v>
      </c>
      <c r="K202" s="4">
        <v>9910033158</v>
      </c>
      <c r="L202" s="4" t="s">
        <v>5120</v>
      </c>
      <c r="M202" s="4">
        <v>9910033158</v>
      </c>
      <c r="N202" s="4" t="s">
        <v>71</v>
      </c>
      <c r="O202" s="4" t="s">
        <v>71</v>
      </c>
      <c r="P202" s="168" t="s">
        <v>5121</v>
      </c>
      <c r="Q202" s="4" t="s">
        <v>47</v>
      </c>
      <c r="R202" s="172"/>
      <c r="S202" s="172"/>
      <c r="T202" s="172"/>
      <c r="U202" s="172"/>
      <c r="V202" s="172"/>
      <c r="W202" s="172"/>
      <c r="X202" s="172"/>
      <c r="Y202" s="172"/>
      <c r="Z202" s="172"/>
    </row>
    <row r="203" spans="1:26" ht="13.8">
      <c r="A203" s="166">
        <v>662</v>
      </c>
      <c r="B203" s="4" t="s">
        <v>5799</v>
      </c>
      <c r="C203" s="4">
        <v>670</v>
      </c>
      <c r="D203" s="4" t="s">
        <v>71</v>
      </c>
      <c r="E203" s="4" t="s">
        <v>71</v>
      </c>
      <c r="F203" s="4" t="s">
        <v>5204</v>
      </c>
      <c r="G203" s="4" t="s">
        <v>5205</v>
      </c>
      <c r="H203" s="4" t="s">
        <v>5800</v>
      </c>
      <c r="I203" s="4" t="s">
        <v>71</v>
      </c>
      <c r="J203" s="4" t="s">
        <v>5801</v>
      </c>
      <c r="K203" s="4">
        <v>9820364447</v>
      </c>
      <c r="L203" s="4" t="s">
        <v>5207</v>
      </c>
      <c r="M203" s="4">
        <v>9820364447</v>
      </c>
      <c r="N203" s="4" t="s">
        <v>71</v>
      </c>
      <c r="O203" s="4" t="s">
        <v>71</v>
      </c>
      <c r="P203" s="168" t="s">
        <v>5208</v>
      </c>
      <c r="Q203" s="4" t="s">
        <v>47</v>
      </c>
      <c r="R203" s="172"/>
      <c r="S203" s="172"/>
      <c r="T203" s="172"/>
      <c r="U203" s="172"/>
      <c r="V203" s="172"/>
      <c r="W203" s="172"/>
      <c r="X203" s="172"/>
      <c r="Y203" s="172"/>
      <c r="Z203" s="172"/>
    </row>
    <row r="204" spans="1:26" ht="13.8">
      <c r="A204" s="166">
        <v>661</v>
      </c>
      <c r="B204" s="4" t="s">
        <v>5796</v>
      </c>
      <c r="C204" s="4">
        <v>671</v>
      </c>
      <c r="D204" s="4" t="s">
        <v>71</v>
      </c>
      <c r="E204" s="4" t="s">
        <v>71</v>
      </c>
      <c r="F204" s="4" t="s">
        <v>5204</v>
      </c>
      <c r="G204" s="4" t="s">
        <v>5205</v>
      </c>
      <c r="H204" s="4" t="s">
        <v>5797</v>
      </c>
      <c r="I204" s="4" t="s">
        <v>71</v>
      </c>
      <c r="J204" s="4" t="s">
        <v>5798</v>
      </c>
      <c r="K204" s="4">
        <v>9821010480</v>
      </c>
      <c r="L204" s="4" t="s">
        <v>5211</v>
      </c>
      <c r="M204" s="4">
        <v>9821010480</v>
      </c>
      <c r="N204" s="4" t="s">
        <v>71</v>
      </c>
      <c r="O204" s="4" t="s">
        <v>71</v>
      </c>
      <c r="P204" s="168" t="s">
        <v>5208</v>
      </c>
      <c r="Q204" s="4" t="s">
        <v>47</v>
      </c>
      <c r="R204" s="172"/>
      <c r="S204" s="172"/>
      <c r="T204" s="172"/>
      <c r="U204" s="172"/>
      <c r="V204" s="172"/>
      <c r="W204" s="172"/>
      <c r="X204" s="172"/>
      <c r="Y204" s="172"/>
      <c r="Z204" s="172"/>
    </row>
    <row r="205" spans="1:26" ht="13.8">
      <c r="A205" s="166">
        <v>663</v>
      </c>
      <c r="B205" s="4" t="s">
        <v>5802</v>
      </c>
      <c r="C205" s="4">
        <v>672</v>
      </c>
      <c r="D205" s="4" t="s">
        <v>71</v>
      </c>
      <c r="E205" s="4" t="s">
        <v>71</v>
      </c>
      <c r="F205" s="4" t="s">
        <v>5345</v>
      </c>
      <c r="G205" s="4" t="s">
        <v>5346</v>
      </c>
      <c r="H205" s="4" t="s">
        <v>5803</v>
      </c>
      <c r="I205" s="4" t="s">
        <v>71</v>
      </c>
      <c r="J205" s="4" t="s">
        <v>5804</v>
      </c>
      <c r="K205" s="4">
        <v>9994166063</v>
      </c>
      <c r="L205" s="4" t="s">
        <v>5351</v>
      </c>
      <c r="M205" s="4">
        <v>9994166063</v>
      </c>
      <c r="N205" s="4" t="s">
        <v>71</v>
      </c>
      <c r="O205" s="4" t="s">
        <v>71</v>
      </c>
      <c r="P205" s="4" t="s">
        <v>71</v>
      </c>
      <c r="Q205" s="4" t="s">
        <v>47</v>
      </c>
      <c r="R205" s="172"/>
      <c r="S205" s="172"/>
      <c r="T205" s="172"/>
      <c r="U205" s="172"/>
      <c r="V205" s="172"/>
      <c r="W205" s="172"/>
      <c r="X205" s="172"/>
      <c r="Y205" s="172"/>
      <c r="Z205" s="172"/>
    </row>
    <row r="206" spans="1:26" ht="13.8">
      <c r="A206" s="166">
        <v>664</v>
      </c>
      <c r="B206" s="4" t="s">
        <v>5805</v>
      </c>
      <c r="C206" s="4">
        <v>673</v>
      </c>
      <c r="D206" s="4" t="s">
        <v>71</v>
      </c>
      <c r="E206" s="4" t="s">
        <v>71</v>
      </c>
      <c r="F206" s="4" t="s">
        <v>71</v>
      </c>
      <c r="G206" s="4" t="s">
        <v>5366</v>
      </c>
      <c r="H206" s="4" t="s">
        <v>5806</v>
      </c>
      <c r="I206" s="4" t="s">
        <v>71</v>
      </c>
      <c r="J206" s="4" t="s">
        <v>71</v>
      </c>
      <c r="K206" s="4">
        <v>9980421448</v>
      </c>
      <c r="L206" s="4" t="s">
        <v>5368</v>
      </c>
      <c r="M206" s="4">
        <v>9980421448</v>
      </c>
      <c r="N206" s="4" t="s">
        <v>71</v>
      </c>
      <c r="O206" s="4" t="s">
        <v>71</v>
      </c>
      <c r="P206" s="168" t="s">
        <v>5369</v>
      </c>
      <c r="Q206" s="4" t="s">
        <v>47</v>
      </c>
      <c r="R206" s="172"/>
      <c r="S206" s="172"/>
      <c r="T206" s="172"/>
      <c r="U206" s="172"/>
      <c r="V206" s="172"/>
      <c r="W206" s="172"/>
      <c r="X206" s="172"/>
      <c r="Y206" s="172"/>
      <c r="Z206" s="172"/>
    </row>
    <row r="207" spans="1:26" ht="13.8">
      <c r="A207" s="166">
        <v>665</v>
      </c>
      <c r="B207" s="4" t="s">
        <v>5807</v>
      </c>
      <c r="C207" s="4">
        <v>674</v>
      </c>
      <c r="D207" s="4" t="s">
        <v>71</v>
      </c>
      <c r="E207" s="4" t="s">
        <v>71</v>
      </c>
      <c r="F207" s="4" t="s">
        <v>5569</v>
      </c>
      <c r="G207" s="4" t="s">
        <v>5570</v>
      </c>
      <c r="H207" s="4" t="s">
        <v>5808</v>
      </c>
      <c r="I207" s="4" t="s">
        <v>71</v>
      </c>
      <c r="J207" s="4" t="s">
        <v>5809</v>
      </c>
      <c r="K207" s="4">
        <v>9819835803</v>
      </c>
      <c r="L207" s="4" t="s">
        <v>5572</v>
      </c>
      <c r="M207" s="4">
        <v>9819835803</v>
      </c>
      <c r="N207" s="4" t="s">
        <v>71</v>
      </c>
      <c r="O207" s="4" t="s">
        <v>71</v>
      </c>
      <c r="P207" s="168" t="s">
        <v>5573</v>
      </c>
      <c r="Q207" s="4" t="s">
        <v>47</v>
      </c>
      <c r="R207" s="172"/>
      <c r="S207" s="172"/>
      <c r="T207" s="172"/>
      <c r="U207" s="172"/>
      <c r="V207" s="172"/>
      <c r="W207" s="172"/>
      <c r="X207" s="172"/>
      <c r="Y207" s="172"/>
      <c r="Z207" s="172"/>
    </row>
    <row r="208" spans="1:26" ht="13.8">
      <c r="A208" s="166">
        <v>666</v>
      </c>
      <c r="B208" s="4" t="s">
        <v>5810</v>
      </c>
      <c r="C208" s="4">
        <v>675</v>
      </c>
      <c r="D208" s="4" t="s">
        <v>71</v>
      </c>
      <c r="E208" s="4" t="s">
        <v>71</v>
      </c>
      <c r="F208" s="4" t="s">
        <v>5602</v>
      </c>
      <c r="G208" s="4" t="s">
        <v>5603</v>
      </c>
      <c r="H208" s="4" t="s">
        <v>5811</v>
      </c>
      <c r="I208" s="4" t="s">
        <v>71</v>
      </c>
      <c r="J208" s="4" t="s">
        <v>71</v>
      </c>
      <c r="K208" s="4">
        <v>9019427190</v>
      </c>
      <c r="L208" s="4" t="s">
        <v>5605</v>
      </c>
      <c r="M208" s="4">
        <v>9019427190</v>
      </c>
      <c r="N208" s="4" t="s">
        <v>71</v>
      </c>
      <c r="O208" s="4" t="s">
        <v>71</v>
      </c>
      <c r="P208" s="4" t="s">
        <v>71</v>
      </c>
      <c r="Q208" s="4" t="s">
        <v>47</v>
      </c>
      <c r="R208" s="172"/>
      <c r="S208" s="172"/>
      <c r="T208" s="172"/>
      <c r="U208" s="172"/>
      <c r="V208" s="172"/>
      <c r="W208" s="172"/>
      <c r="X208" s="172"/>
      <c r="Y208" s="172"/>
      <c r="Z208" s="172"/>
    </row>
    <row r="209" spans="1:26" ht="13.8">
      <c r="A209" s="166">
        <v>667</v>
      </c>
      <c r="B209" s="4" t="s">
        <v>5812</v>
      </c>
      <c r="C209" s="4">
        <v>676</v>
      </c>
      <c r="D209" s="4" t="s">
        <v>71</v>
      </c>
      <c r="E209" s="4" t="s">
        <v>71</v>
      </c>
      <c r="F209" s="4" t="s">
        <v>5602</v>
      </c>
      <c r="G209" s="4" t="s">
        <v>5603</v>
      </c>
      <c r="H209" s="4" t="s">
        <v>5813</v>
      </c>
      <c r="I209" s="4" t="s">
        <v>71</v>
      </c>
      <c r="J209" s="4" t="s">
        <v>5814</v>
      </c>
      <c r="K209" s="4">
        <v>9886468485</v>
      </c>
      <c r="L209" s="4" t="s">
        <v>5605</v>
      </c>
      <c r="M209" s="4">
        <v>9886468485</v>
      </c>
      <c r="N209" s="4" t="s">
        <v>71</v>
      </c>
      <c r="O209" s="4" t="s">
        <v>71</v>
      </c>
      <c r="P209" s="4" t="s">
        <v>71</v>
      </c>
      <c r="Q209" s="4" t="s">
        <v>47</v>
      </c>
      <c r="R209" s="172"/>
      <c r="S209" s="172"/>
      <c r="T209" s="172"/>
      <c r="U209" s="172"/>
      <c r="V209" s="172"/>
      <c r="W209" s="172"/>
      <c r="X209" s="172"/>
      <c r="Y209" s="172"/>
      <c r="Z209" s="172"/>
    </row>
    <row r="210" spans="1:26" ht="13.8">
      <c r="A210" s="166">
        <v>668</v>
      </c>
      <c r="B210" s="4" t="s">
        <v>5815</v>
      </c>
      <c r="C210" s="4">
        <v>677</v>
      </c>
      <c r="D210" s="4" t="s">
        <v>71</v>
      </c>
      <c r="E210" s="4" t="s">
        <v>71</v>
      </c>
      <c r="F210" s="4" t="s">
        <v>5602</v>
      </c>
      <c r="G210" s="4" t="s">
        <v>5603</v>
      </c>
      <c r="H210" s="4" t="s">
        <v>5816</v>
      </c>
      <c r="I210" s="4" t="s">
        <v>71</v>
      </c>
      <c r="J210" s="4" t="s">
        <v>5817</v>
      </c>
      <c r="K210" s="4">
        <v>9845146496</v>
      </c>
      <c r="L210" s="4" t="s">
        <v>5605</v>
      </c>
      <c r="M210" s="4">
        <v>9845146496</v>
      </c>
      <c r="N210" s="4" t="s">
        <v>71</v>
      </c>
      <c r="O210" s="4" t="s">
        <v>71</v>
      </c>
      <c r="P210" s="4" t="s">
        <v>71</v>
      </c>
      <c r="Q210" s="4" t="s">
        <v>47</v>
      </c>
      <c r="R210" s="172"/>
      <c r="S210" s="172"/>
      <c r="T210" s="172"/>
      <c r="U210" s="172"/>
      <c r="V210" s="172"/>
      <c r="W210" s="172"/>
      <c r="X210" s="172"/>
      <c r="Y210" s="172"/>
      <c r="Z210" s="172"/>
    </row>
    <row r="211" spans="1:26" ht="13.8">
      <c r="A211" s="166">
        <v>669</v>
      </c>
      <c r="B211" s="4" t="s">
        <v>5818</v>
      </c>
      <c r="C211" s="4">
        <v>678</v>
      </c>
      <c r="D211" s="4" t="s">
        <v>71</v>
      </c>
      <c r="E211" s="4" t="s">
        <v>71</v>
      </c>
      <c r="F211" s="4" t="s">
        <v>5632</v>
      </c>
      <c r="G211" s="4" t="s">
        <v>5633</v>
      </c>
      <c r="H211" s="4" t="s">
        <v>5819</v>
      </c>
      <c r="I211" s="4" t="s">
        <v>71</v>
      </c>
      <c r="J211" s="4" t="s">
        <v>71</v>
      </c>
      <c r="K211" s="4">
        <v>9901933749</v>
      </c>
      <c r="L211" s="4" t="s">
        <v>5635</v>
      </c>
      <c r="M211" s="4">
        <v>9901933749</v>
      </c>
      <c r="N211" s="4" t="s">
        <v>71</v>
      </c>
      <c r="O211" s="4" t="s">
        <v>71</v>
      </c>
      <c r="P211" s="4" t="s">
        <v>71</v>
      </c>
      <c r="Q211" s="4" t="s">
        <v>47</v>
      </c>
      <c r="R211" s="172"/>
      <c r="S211" s="172"/>
      <c r="T211" s="172"/>
      <c r="U211" s="172"/>
      <c r="V211" s="172"/>
      <c r="W211" s="172"/>
      <c r="X211" s="172"/>
      <c r="Y211" s="172"/>
      <c r="Z211" s="172"/>
    </row>
    <row r="212" spans="1:26" ht="13.8">
      <c r="A212" s="166">
        <v>670</v>
      </c>
      <c r="B212" s="4" t="s">
        <v>5820</v>
      </c>
      <c r="C212" s="4">
        <v>679</v>
      </c>
      <c r="D212" s="4" t="s">
        <v>71</v>
      </c>
      <c r="E212" s="4" t="s">
        <v>71</v>
      </c>
      <c r="F212" s="4" t="s">
        <v>5632</v>
      </c>
      <c r="G212" s="4" t="s">
        <v>5633</v>
      </c>
      <c r="H212" s="4" t="s">
        <v>5821</v>
      </c>
      <c r="I212" s="4" t="s">
        <v>71</v>
      </c>
      <c r="J212" s="4" t="s">
        <v>5822</v>
      </c>
      <c r="K212" s="4">
        <v>9844365155</v>
      </c>
      <c r="L212" s="4" t="s">
        <v>5635</v>
      </c>
      <c r="M212" s="4">
        <v>9844365155</v>
      </c>
      <c r="N212" s="4" t="s">
        <v>71</v>
      </c>
      <c r="O212" s="4" t="s">
        <v>71</v>
      </c>
      <c r="P212" s="4" t="s">
        <v>71</v>
      </c>
      <c r="Q212" s="4" t="s">
        <v>47</v>
      </c>
      <c r="R212" s="172"/>
      <c r="S212" s="172"/>
      <c r="T212" s="172"/>
      <c r="U212" s="172"/>
      <c r="V212" s="172"/>
      <c r="W212" s="172"/>
      <c r="X212" s="172"/>
      <c r="Y212" s="172"/>
      <c r="Z212" s="172"/>
    </row>
    <row r="213" spans="1:26" ht="13.8">
      <c r="A213" s="166">
        <v>671</v>
      </c>
      <c r="B213" s="4" t="s">
        <v>5823</v>
      </c>
      <c r="C213" s="4">
        <v>680</v>
      </c>
      <c r="D213" s="4" t="s">
        <v>71</v>
      </c>
      <c r="E213" s="4" t="s">
        <v>71</v>
      </c>
      <c r="F213" s="4" t="s">
        <v>71</v>
      </c>
      <c r="G213" s="4" t="s">
        <v>5685</v>
      </c>
      <c r="H213" s="4" t="s">
        <v>5824</v>
      </c>
      <c r="I213" s="4" t="s">
        <v>71</v>
      </c>
      <c r="J213" s="4" t="s">
        <v>71</v>
      </c>
      <c r="K213" s="4">
        <v>9849447104</v>
      </c>
      <c r="L213" s="4" t="s">
        <v>5687</v>
      </c>
      <c r="M213" s="4">
        <v>9849447104</v>
      </c>
      <c r="N213" s="4" t="s">
        <v>71</v>
      </c>
      <c r="O213" s="4" t="s">
        <v>71</v>
      </c>
      <c r="P213" s="4" t="s">
        <v>71</v>
      </c>
      <c r="Q213" s="4" t="s">
        <v>47</v>
      </c>
      <c r="R213" s="172"/>
      <c r="S213" s="172"/>
      <c r="T213" s="172"/>
      <c r="U213" s="172"/>
      <c r="V213" s="172"/>
      <c r="W213" s="172"/>
      <c r="X213" s="172"/>
      <c r="Y213" s="172"/>
      <c r="Z213" s="172"/>
    </row>
    <row r="214" spans="1:26" ht="13.8">
      <c r="A214" s="166">
        <v>672</v>
      </c>
      <c r="B214" s="4" t="s">
        <v>5825</v>
      </c>
      <c r="C214" s="4">
        <v>681</v>
      </c>
      <c r="D214" s="4" t="s">
        <v>71</v>
      </c>
      <c r="E214" s="4" t="s">
        <v>71</v>
      </c>
      <c r="F214" s="4" t="s">
        <v>71</v>
      </c>
      <c r="G214" s="4" t="s">
        <v>5685</v>
      </c>
      <c r="H214" s="4" t="s">
        <v>5826</v>
      </c>
      <c r="I214" s="4" t="s">
        <v>71</v>
      </c>
      <c r="J214" s="4" t="s">
        <v>71</v>
      </c>
      <c r="K214" s="4">
        <v>8897588670</v>
      </c>
      <c r="L214" s="4" t="s">
        <v>5687</v>
      </c>
      <c r="M214" s="4">
        <v>8897588670</v>
      </c>
      <c r="N214" s="4" t="s">
        <v>71</v>
      </c>
      <c r="O214" s="4" t="s">
        <v>71</v>
      </c>
      <c r="P214" s="4" t="s">
        <v>71</v>
      </c>
      <c r="Q214" s="4" t="s">
        <v>47</v>
      </c>
      <c r="R214" s="172"/>
      <c r="S214" s="172"/>
      <c r="T214" s="172"/>
      <c r="U214" s="172"/>
      <c r="V214" s="172"/>
      <c r="W214" s="172"/>
      <c r="X214" s="172"/>
      <c r="Y214" s="172"/>
      <c r="Z214" s="172"/>
    </row>
    <row r="215" spans="1:26" ht="13.8">
      <c r="A215" s="166">
        <v>673</v>
      </c>
      <c r="B215" s="4" t="s">
        <v>5827</v>
      </c>
      <c r="C215" s="4">
        <v>682</v>
      </c>
      <c r="D215" s="4" t="s">
        <v>71</v>
      </c>
      <c r="E215" s="4" t="s">
        <v>71</v>
      </c>
      <c r="F215" s="4" t="s">
        <v>5416</v>
      </c>
      <c r="G215" s="4" t="s">
        <v>5828</v>
      </c>
      <c r="H215" s="4" t="s">
        <v>5829</v>
      </c>
      <c r="I215" s="4" t="s">
        <v>71</v>
      </c>
      <c r="J215" s="4" t="s">
        <v>5830</v>
      </c>
      <c r="K215" s="4">
        <v>7708007110</v>
      </c>
      <c r="L215" s="4" t="s">
        <v>5831</v>
      </c>
      <c r="M215" s="4">
        <v>7708007110</v>
      </c>
      <c r="N215" s="4" t="s">
        <v>71</v>
      </c>
      <c r="O215" s="4" t="s">
        <v>71</v>
      </c>
      <c r="P215" s="4" t="s">
        <v>71</v>
      </c>
      <c r="Q215" s="4" t="s">
        <v>47</v>
      </c>
      <c r="R215" s="172"/>
      <c r="S215" s="172"/>
      <c r="T215" s="172"/>
      <c r="U215" s="172"/>
      <c r="V215" s="172"/>
      <c r="W215" s="172"/>
      <c r="X215" s="172"/>
      <c r="Y215" s="172"/>
      <c r="Z215" s="172"/>
    </row>
    <row r="216" spans="1:26" ht="13.8">
      <c r="A216" s="166">
        <v>674</v>
      </c>
      <c r="B216" s="4" t="s">
        <v>5832</v>
      </c>
      <c r="C216" s="4">
        <v>683</v>
      </c>
      <c r="D216" s="4" t="s">
        <v>71</v>
      </c>
      <c r="E216" s="4" t="s">
        <v>71</v>
      </c>
      <c r="F216" s="4" t="s">
        <v>71</v>
      </c>
      <c r="G216" s="4" t="s">
        <v>5833</v>
      </c>
      <c r="H216" s="4" t="s">
        <v>5834</v>
      </c>
      <c r="I216" s="4" t="s">
        <v>71</v>
      </c>
      <c r="J216" s="4" t="s">
        <v>5835</v>
      </c>
      <c r="K216" s="4">
        <v>9837002000</v>
      </c>
      <c r="L216" s="4" t="s">
        <v>5836</v>
      </c>
      <c r="M216" s="4">
        <v>9837002000</v>
      </c>
      <c r="N216" s="4" t="s">
        <v>71</v>
      </c>
      <c r="O216" s="4" t="s">
        <v>71</v>
      </c>
      <c r="P216" s="4" t="s">
        <v>71</v>
      </c>
      <c r="Q216" s="4" t="s">
        <v>47</v>
      </c>
      <c r="R216" s="172"/>
      <c r="S216" s="172"/>
      <c r="T216" s="172"/>
      <c r="U216" s="172"/>
      <c r="V216" s="172"/>
      <c r="W216" s="172"/>
      <c r="X216" s="172"/>
      <c r="Y216" s="172"/>
      <c r="Z216" s="172"/>
    </row>
    <row r="217" spans="1:26" ht="13.8">
      <c r="A217" s="166">
        <v>675</v>
      </c>
      <c r="B217" s="4" t="s">
        <v>5837</v>
      </c>
      <c r="C217" s="4">
        <v>684</v>
      </c>
      <c r="D217" s="4" t="s">
        <v>71</v>
      </c>
      <c r="E217" s="4" t="s">
        <v>71</v>
      </c>
      <c r="F217" s="4" t="s">
        <v>71</v>
      </c>
      <c r="G217" s="4" t="s">
        <v>5838</v>
      </c>
      <c r="H217" s="4" t="s">
        <v>5839</v>
      </c>
      <c r="I217" s="4" t="s">
        <v>71</v>
      </c>
      <c r="J217" s="4" t="s">
        <v>5840</v>
      </c>
      <c r="K217" s="4">
        <v>9837007012</v>
      </c>
      <c r="L217" s="4" t="s">
        <v>5841</v>
      </c>
      <c r="M217" s="4">
        <v>9837007012</v>
      </c>
      <c r="N217" s="4" t="s">
        <v>71</v>
      </c>
      <c r="O217" s="4" t="s">
        <v>71</v>
      </c>
      <c r="P217" s="4" t="s">
        <v>71</v>
      </c>
      <c r="Q217" s="4" t="s">
        <v>47</v>
      </c>
      <c r="R217" s="172"/>
      <c r="S217" s="172"/>
      <c r="T217" s="172"/>
      <c r="U217" s="172"/>
      <c r="V217" s="172"/>
      <c r="W217" s="172"/>
      <c r="X217" s="172"/>
      <c r="Y217" s="172"/>
      <c r="Z217" s="172"/>
    </row>
    <row r="218" spans="1:26" ht="13.8">
      <c r="A218" s="166">
        <v>676</v>
      </c>
      <c r="B218" s="4" t="s">
        <v>5842</v>
      </c>
      <c r="C218" s="4">
        <v>685</v>
      </c>
      <c r="D218" s="4" t="s">
        <v>71</v>
      </c>
      <c r="E218" s="4" t="s">
        <v>71</v>
      </c>
      <c r="F218" s="4" t="s">
        <v>5843</v>
      </c>
      <c r="G218" s="4" t="s">
        <v>5844</v>
      </c>
      <c r="H218" s="4" t="s">
        <v>5845</v>
      </c>
      <c r="I218" s="4" t="s">
        <v>71</v>
      </c>
      <c r="J218" s="4" t="s">
        <v>5846</v>
      </c>
      <c r="K218" s="4">
        <v>9810512900</v>
      </c>
      <c r="L218" s="4" t="s">
        <v>5847</v>
      </c>
      <c r="M218" s="4">
        <v>9810512900</v>
      </c>
      <c r="N218" s="4" t="s">
        <v>71</v>
      </c>
      <c r="O218" s="4" t="s">
        <v>71</v>
      </c>
      <c r="P218" s="4" t="s">
        <v>71</v>
      </c>
      <c r="Q218" s="4" t="s">
        <v>47</v>
      </c>
      <c r="R218" s="172"/>
      <c r="S218" s="172"/>
      <c r="T218" s="172"/>
      <c r="U218" s="172"/>
      <c r="V218" s="172"/>
      <c r="W218" s="172"/>
      <c r="X218" s="172"/>
      <c r="Y218" s="172"/>
      <c r="Z218" s="172"/>
    </row>
    <row r="219" spans="1:26" ht="13.8">
      <c r="A219" s="166">
        <v>677</v>
      </c>
      <c r="B219" s="4" t="s">
        <v>5848</v>
      </c>
      <c r="C219" s="4">
        <v>686</v>
      </c>
      <c r="D219" s="4" t="s">
        <v>71</v>
      </c>
      <c r="E219" s="4" t="s">
        <v>71</v>
      </c>
      <c r="F219" s="4" t="s">
        <v>71</v>
      </c>
      <c r="G219" s="4" t="s">
        <v>71</v>
      </c>
      <c r="H219" s="4" t="s">
        <v>5849</v>
      </c>
      <c r="I219" s="4" t="s">
        <v>71</v>
      </c>
      <c r="J219" s="4" t="s">
        <v>5850</v>
      </c>
      <c r="K219" s="4">
        <v>9820055544</v>
      </c>
      <c r="L219" s="4" t="s">
        <v>5851</v>
      </c>
      <c r="M219" s="4">
        <v>9820055544</v>
      </c>
      <c r="N219" s="4" t="s">
        <v>71</v>
      </c>
      <c r="O219" s="4" t="s">
        <v>71</v>
      </c>
      <c r="P219" s="4" t="s">
        <v>71</v>
      </c>
      <c r="Q219" s="4" t="s">
        <v>47</v>
      </c>
      <c r="R219" s="172"/>
      <c r="S219" s="172"/>
      <c r="T219" s="172"/>
      <c r="U219" s="172"/>
      <c r="V219" s="172"/>
      <c r="W219" s="172"/>
      <c r="X219" s="172"/>
      <c r="Y219" s="172"/>
      <c r="Z219" s="172"/>
    </row>
    <row r="220" spans="1:26" ht="13.8">
      <c r="A220" s="166">
        <v>678</v>
      </c>
      <c r="B220" s="4" t="s">
        <v>5852</v>
      </c>
      <c r="C220" s="4">
        <v>687</v>
      </c>
      <c r="D220" s="4" t="s">
        <v>71</v>
      </c>
      <c r="E220" s="4" t="s">
        <v>71</v>
      </c>
      <c r="F220" s="4" t="s">
        <v>71</v>
      </c>
      <c r="G220" s="4" t="s">
        <v>5853</v>
      </c>
      <c r="H220" s="4" t="s">
        <v>5854</v>
      </c>
      <c r="I220" s="4" t="s">
        <v>71</v>
      </c>
      <c r="J220" s="4" t="s">
        <v>5855</v>
      </c>
      <c r="K220" s="4">
        <v>9841043299</v>
      </c>
      <c r="L220" s="4" t="s">
        <v>5856</v>
      </c>
      <c r="M220" s="4">
        <v>9841043299</v>
      </c>
      <c r="N220" s="4" t="s">
        <v>71</v>
      </c>
      <c r="O220" s="4" t="s">
        <v>71</v>
      </c>
      <c r="P220" s="4" t="s">
        <v>71</v>
      </c>
      <c r="Q220" s="4" t="s">
        <v>47</v>
      </c>
      <c r="R220" s="172"/>
      <c r="S220" s="172"/>
      <c r="T220" s="172"/>
      <c r="U220" s="172"/>
      <c r="V220" s="172"/>
      <c r="W220" s="172"/>
      <c r="X220" s="172"/>
      <c r="Y220" s="172"/>
      <c r="Z220" s="172"/>
    </row>
    <row r="221" spans="1:26" ht="13.8">
      <c r="A221" s="166">
        <v>679</v>
      </c>
      <c r="B221" s="4" t="s">
        <v>5857</v>
      </c>
      <c r="C221" s="4">
        <v>688</v>
      </c>
      <c r="D221" s="4" t="s">
        <v>71</v>
      </c>
      <c r="E221" s="4" t="s">
        <v>71</v>
      </c>
      <c r="F221" s="4" t="s">
        <v>71</v>
      </c>
      <c r="G221" s="4" t="s">
        <v>5853</v>
      </c>
      <c r="H221" s="4" t="s">
        <v>5858</v>
      </c>
      <c r="I221" s="4" t="s">
        <v>71</v>
      </c>
      <c r="J221" s="4" t="s">
        <v>5859</v>
      </c>
      <c r="K221" s="4">
        <v>9841045052</v>
      </c>
      <c r="L221" s="4" t="s">
        <v>5860</v>
      </c>
      <c r="M221" s="4">
        <v>9841045052</v>
      </c>
      <c r="N221" s="4" t="s">
        <v>71</v>
      </c>
      <c r="O221" s="4" t="s">
        <v>71</v>
      </c>
      <c r="P221" s="4" t="s">
        <v>71</v>
      </c>
      <c r="Q221" s="4" t="s">
        <v>47</v>
      </c>
      <c r="R221" s="172"/>
      <c r="S221" s="172"/>
      <c r="T221" s="172"/>
      <c r="U221" s="172"/>
      <c r="V221" s="172"/>
      <c r="W221" s="172"/>
      <c r="X221" s="172"/>
      <c r="Y221" s="172"/>
      <c r="Z221" s="172"/>
    </row>
    <row r="222" spans="1:26" ht="13.8">
      <c r="A222" s="166">
        <v>680</v>
      </c>
      <c r="B222" s="4" t="s">
        <v>5861</v>
      </c>
      <c r="C222" s="4">
        <v>689</v>
      </c>
      <c r="D222" s="4" t="s">
        <v>71</v>
      </c>
      <c r="E222" s="4" t="s">
        <v>71</v>
      </c>
      <c r="F222" s="4" t="s">
        <v>71</v>
      </c>
      <c r="G222" s="4" t="s">
        <v>5862</v>
      </c>
      <c r="H222" s="4" t="s">
        <v>5863</v>
      </c>
      <c r="I222" s="4" t="s">
        <v>71</v>
      </c>
      <c r="J222" s="4" t="s">
        <v>5864</v>
      </c>
      <c r="K222" s="4">
        <v>9919999936</v>
      </c>
      <c r="L222" s="4" t="s">
        <v>5865</v>
      </c>
      <c r="M222" s="4">
        <v>9919999936</v>
      </c>
      <c r="N222" s="4" t="s">
        <v>71</v>
      </c>
      <c r="O222" s="4" t="s">
        <v>71</v>
      </c>
      <c r="P222" s="4" t="s">
        <v>71</v>
      </c>
      <c r="Q222" s="4" t="s">
        <v>47</v>
      </c>
      <c r="R222" s="172"/>
      <c r="S222" s="172"/>
      <c r="T222" s="172"/>
      <c r="U222" s="172"/>
      <c r="V222" s="172"/>
      <c r="W222" s="172"/>
      <c r="X222" s="172"/>
      <c r="Y222" s="172"/>
      <c r="Z222" s="172"/>
    </row>
    <row r="223" spans="1:26" ht="13.8">
      <c r="A223" s="166">
        <v>681</v>
      </c>
      <c r="B223" s="4" t="s">
        <v>5866</v>
      </c>
      <c r="C223" s="4">
        <v>690</v>
      </c>
      <c r="D223" s="4" t="s">
        <v>71</v>
      </c>
      <c r="E223" s="4" t="s">
        <v>71</v>
      </c>
      <c r="F223" s="4" t="s">
        <v>5867</v>
      </c>
      <c r="G223" s="4" t="s">
        <v>5868</v>
      </c>
      <c r="H223" s="4" t="s">
        <v>5869</v>
      </c>
      <c r="I223" s="4" t="s">
        <v>5870</v>
      </c>
      <c r="J223" s="4" t="s">
        <v>71</v>
      </c>
      <c r="K223" s="4">
        <v>15624028755</v>
      </c>
      <c r="L223" s="4" t="s">
        <v>5871</v>
      </c>
      <c r="M223" s="4">
        <v>15624028755</v>
      </c>
      <c r="N223" s="4" t="s">
        <v>71</v>
      </c>
      <c r="O223" s="4" t="s">
        <v>71</v>
      </c>
      <c r="P223" s="4" t="s">
        <v>71</v>
      </c>
      <c r="Q223" s="4" t="s">
        <v>47</v>
      </c>
      <c r="R223" s="172"/>
      <c r="S223" s="172"/>
      <c r="T223" s="172"/>
      <c r="U223" s="172"/>
      <c r="V223" s="172"/>
      <c r="W223" s="172"/>
      <c r="X223" s="172"/>
      <c r="Y223" s="172"/>
      <c r="Z223" s="172"/>
    </row>
    <row r="224" spans="1:26" ht="13.8">
      <c r="A224" s="166">
        <v>682</v>
      </c>
      <c r="B224" s="4" t="s">
        <v>5872</v>
      </c>
      <c r="C224" s="4">
        <v>691</v>
      </c>
      <c r="D224" s="4" t="s">
        <v>71</v>
      </c>
      <c r="E224" s="4" t="s">
        <v>71</v>
      </c>
      <c r="F224" s="4" t="s">
        <v>144</v>
      </c>
      <c r="G224" s="4" t="s">
        <v>135</v>
      </c>
      <c r="H224" s="4" t="s">
        <v>5873</v>
      </c>
      <c r="I224" s="4" t="s">
        <v>5874</v>
      </c>
      <c r="J224" s="4" t="s">
        <v>71</v>
      </c>
      <c r="K224" s="4">
        <v>9222223645</v>
      </c>
      <c r="L224" s="4" t="s">
        <v>5875</v>
      </c>
      <c r="M224" s="4">
        <v>9222223645</v>
      </c>
      <c r="N224" s="4" t="s">
        <v>71</v>
      </c>
      <c r="O224" s="4" t="s">
        <v>71</v>
      </c>
      <c r="P224" s="4" t="s">
        <v>71</v>
      </c>
      <c r="Q224" s="4" t="s">
        <v>47</v>
      </c>
      <c r="R224" s="172"/>
      <c r="S224" s="172"/>
      <c r="T224" s="172"/>
      <c r="U224" s="172"/>
      <c r="V224" s="172"/>
      <c r="W224" s="172"/>
      <c r="X224" s="172"/>
      <c r="Y224" s="172"/>
      <c r="Z224" s="172"/>
    </row>
    <row r="225" spans="1:26" ht="13.8">
      <c r="A225" s="166">
        <v>683</v>
      </c>
      <c r="B225" s="4" t="s">
        <v>5876</v>
      </c>
      <c r="C225" s="4">
        <v>692</v>
      </c>
      <c r="D225" s="4" t="s">
        <v>71</v>
      </c>
      <c r="E225" s="4" t="s">
        <v>71</v>
      </c>
      <c r="F225" s="4" t="s">
        <v>144</v>
      </c>
      <c r="G225" s="4" t="s">
        <v>135</v>
      </c>
      <c r="H225" s="4" t="s">
        <v>5877</v>
      </c>
      <c r="I225" s="4" t="s">
        <v>5878</v>
      </c>
      <c r="J225" s="4" t="s">
        <v>71</v>
      </c>
      <c r="K225" s="4">
        <v>8591266096</v>
      </c>
      <c r="L225" s="4" t="s">
        <v>5879</v>
      </c>
      <c r="M225" s="4">
        <v>8591266096</v>
      </c>
      <c r="N225" s="4" t="s">
        <v>71</v>
      </c>
      <c r="O225" s="4" t="s">
        <v>71</v>
      </c>
      <c r="P225" s="4" t="s">
        <v>71</v>
      </c>
      <c r="Q225" s="4" t="s">
        <v>47</v>
      </c>
      <c r="R225" s="172"/>
      <c r="S225" s="172"/>
      <c r="T225" s="172"/>
      <c r="U225" s="172"/>
      <c r="V225" s="172"/>
      <c r="W225" s="172"/>
      <c r="X225" s="172"/>
      <c r="Y225" s="172"/>
      <c r="Z225" s="172"/>
    </row>
    <row r="226" spans="1:26" ht="13.8">
      <c r="A226" s="166">
        <v>684</v>
      </c>
      <c r="B226" s="4" t="s">
        <v>5880</v>
      </c>
      <c r="C226" s="4">
        <v>695</v>
      </c>
      <c r="D226" s="4" t="s">
        <v>71</v>
      </c>
      <c r="E226" s="4" t="s">
        <v>71</v>
      </c>
      <c r="F226" s="4" t="s">
        <v>5881</v>
      </c>
      <c r="G226" s="4" t="s">
        <v>5882</v>
      </c>
      <c r="H226" s="4" t="s">
        <v>5883</v>
      </c>
      <c r="I226" s="4" t="s">
        <v>78</v>
      </c>
      <c r="J226" s="4" t="s">
        <v>71</v>
      </c>
      <c r="K226" s="4" t="s">
        <v>71</v>
      </c>
      <c r="L226" s="4" t="s">
        <v>5884</v>
      </c>
      <c r="M226" s="4" t="s">
        <v>71</v>
      </c>
      <c r="N226" s="4" t="s">
        <v>71</v>
      </c>
      <c r="O226" s="4" t="s">
        <v>71</v>
      </c>
      <c r="P226" s="4" t="s">
        <v>71</v>
      </c>
      <c r="Q226" s="4" t="s">
        <v>47</v>
      </c>
      <c r="R226" s="172"/>
      <c r="S226" s="172"/>
      <c r="T226" s="172"/>
      <c r="U226" s="172"/>
      <c r="V226" s="172"/>
      <c r="W226" s="172"/>
      <c r="X226" s="172"/>
      <c r="Y226" s="172"/>
      <c r="Z226" s="172"/>
    </row>
    <row r="227" spans="1:26" ht="13.8">
      <c r="A227" s="166">
        <v>685</v>
      </c>
      <c r="B227" s="4" t="s">
        <v>5885</v>
      </c>
      <c r="C227" s="4">
        <v>696</v>
      </c>
      <c r="D227" s="4" t="s">
        <v>71</v>
      </c>
      <c r="E227" s="4" t="s">
        <v>71</v>
      </c>
      <c r="F227" s="4" t="s">
        <v>5759</v>
      </c>
      <c r="G227" s="4" t="s">
        <v>5886</v>
      </c>
      <c r="H227" s="4" t="s">
        <v>5887</v>
      </c>
      <c r="I227" s="4" t="s">
        <v>71</v>
      </c>
      <c r="J227" s="4" t="s">
        <v>71</v>
      </c>
      <c r="K227" s="4" t="s">
        <v>71</v>
      </c>
      <c r="L227" s="4" t="s">
        <v>5762</v>
      </c>
      <c r="M227" s="4" t="s">
        <v>71</v>
      </c>
      <c r="N227" s="4" t="s">
        <v>71</v>
      </c>
      <c r="O227" s="4" t="s">
        <v>71</v>
      </c>
      <c r="P227" s="4" t="s">
        <v>71</v>
      </c>
      <c r="Q227" s="4" t="s">
        <v>47</v>
      </c>
      <c r="R227" s="172"/>
      <c r="S227" s="172"/>
      <c r="T227" s="172"/>
      <c r="U227" s="172"/>
      <c r="V227" s="172"/>
      <c r="W227" s="172"/>
      <c r="X227" s="172"/>
      <c r="Y227" s="172"/>
      <c r="Z227" s="172"/>
    </row>
    <row r="228" spans="1:26" ht="13.8">
      <c r="A228" s="166">
        <v>686</v>
      </c>
      <c r="B228" s="4" t="s">
        <v>5888</v>
      </c>
      <c r="C228" s="4">
        <v>697</v>
      </c>
      <c r="D228" s="4" t="s">
        <v>71</v>
      </c>
      <c r="E228" s="4" t="s">
        <v>71</v>
      </c>
      <c r="F228" s="4" t="s">
        <v>5889</v>
      </c>
      <c r="G228" s="4" t="s">
        <v>5890</v>
      </c>
      <c r="H228" s="4" t="s">
        <v>5891</v>
      </c>
      <c r="I228" s="4" t="s">
        <v>71</v>
      </c>
      <c r="J228" s="4" t="s">
        <v>71</v>
      </c>
      <c r="K228" s="4" t="s">
        <v>71</v>
      </c>
      <c r="L228" s="4" t="s">
        <v>5892</v>
      </c>
      <c r="M228" s="4" t="s">
        <v>71</v>
      </c>
      <c r="N228" s="4" t="s">
        <v>71</v>
      </c>
      <c r="O228" s="4" t="s">
        <v>71</v>
      </c>
      <c r="P228" s="4" t="s">
        <v>71</v>
      </c>
      <c r="Q228" s="4" t="s">
        <v>47</v>
      </c>
      <c r="R228" s="172"/>
      <c r="S228" s="172"/>
      <c r="T228" s="172"/>
      <c r="U228" s="172"/>
      <c r="V228" s="172"/>
      <c r="W228" s="172"/>
      <c r="X228" s="172"/>
      <c r="Y228" s="172"/>
      <c r="Z228" s="172"/>
    </row>
    <row r="229" spans="1:26" ht="13.8">
      <c r="A229" s="166">
        <v>687</v>
      </c>
      <c r="B229" s="4" t="s">
        <v>5893</v>
      </c>
      <c r="C229" s="4">
        <v>698</v>
      </c>
      <c r="D229" s="4" t="s">
        <v>71</v>
      </c>
      <c r="E229" s="4" t="s">
        <v>71</v>
      </c>
      <c r="F229" s="4" t="s">
        <v>5894</v>
      </c>
      <c r="G229" s="4" t="s">
        <v>5895</v>
      </c>
      <c r="H229" s="4" t="s">
        <v>5896</v>
      </c>
      <c r="I229" s="4" t="s">
        <v>71</v>
      </c>
      <c r="J229" s="4" t="s">
        <v>71</v>
      </c>
      <c r="K229" s="4">
        <v>9414075764</v>
      </c>
      <c r="L229" s="4" t="s">
        <v>5897</v>
      </c>
      <c r="M229" s="4">
        <v>9414075764</v>
      </c>
      <c r="N229" s="4" t="s">
        <v>71</v>
      </c>
      <c r="O229" s="4" t="s">
        <v>71</v>
      </c>
      <c r="P229" s="4" t="s">
        <v>71</v>
      </c>
      <c r="Q229" s="4" t="s">
        <v>47</v>
      </c>
      <c r="R229" s="172"/>
      <c r="S229" s="172"/>
      <c r="T229" s="172"/>
      <c r="U229" s="172"/>
      <c r="V229" s="172"/>
      <c r="W229" s="172"/>
      <c r="X229" s="172"/>
      <c r="Y229" s="172"/>
      <c r="Z229" s="172"/>
    </row>
    <row r="230" spans="1:26" ht="13.8">
      <c r="A230" s="166">
        <v>688</v>
      </c>
      <c r="B230" s="4" t="s">
        <v>5898</v>
      </c>
      <c r="C230" s="4">
        <v>699</v>
      </c>
      <c r="D230" s="4" t="s">
        <v>71</v>
      </c>
      <c r="E230" s="4" t="s">
        <v>71</v>
      </c>
      <c r="F230" s="4" t="s">
        <v>5894</v>
      </c>
      <c r="G230" s="4" t="s">
        <v>5895</v>
      </c>
      <c r="H230" s="4" t="s">
        <v>5899</v>
      </c>
      <c r="I230" s="4" t="s">
        <v>71</v>
      </c>
      <c r="J230" s="4" t="s">
        <v>71</v>
      </c>
      <c r="K230" s="173">
        <v>8800000000000</v>
      </c>
      <c r="L230" s="4" t="s">
        <v>5900</v>
      </c>
      <c r="M230" s="173">
        <v>8800000000000</v>
      </c>
      <c r="N230" s="4" t="s">
        <v>71</v>
      </c>
      <c r="O230" s="4" t="s">
        <v>71</v>
      </c>
      <c r="P230" s="4" t="s">
        <v>71</v>
      </c>
      <c r="Q230" s="4" t="s">
        <v>47</v>
      </c>
      <c r="R230" s="172"/>
      <c r="S230" s="172"/>
      <c r="T230" s="172"/>
      <c r="U230" s="172"/>
      <c r="V230" s="172"/>
      <c r="W230" s="172"/>
      <c r="X230" s="172"/>
      <c r="Y230" s="172"/>
      <c r="Z230" s="172"/>
    </row>
    <row r="231" spans="1:26" ht="13.8">
      <c r="A231" s="166">
        <v>33</v>
      </c>
      <c r="B231" s="4" t="s">
        <v>379</v>
      </c>
      <c r="C231" s="4">
        <v>704</v>
      </c>
      <c r="D231" s="4" t="s">
        <v>3016</v>
      </c>
      <c r="E231" s="4" t="s">
        <v>71</v>
      </c>
      <c r="F231" s="4" t="s">
        <v>386</v>
      </c>
      <c r="G231" s="4" t="s">
        <v>382</v>
      </c>
      <c r="H231" s="4" t="s">
        <v>381</v>
      </c>
      <c r="I231" s="4" t="s">
        <v>383</v>
      </c>
      <c r="J231" s="4" t="s">
        <v>384</v>
      </c>
      <c r="K231" s="4">
        <v>9819439878</v>
      </c>
      <c r="L231" s="4" t="s">
        <v>380</v>
      </c>
      <c r="M231" s="4">
        <v>9819439878</v>
      </c>
      <c r="N231" s="4" t="s">
        <v>71</v>
      </c>
      <c r="O231" s="4" t="s">
        <v>71</v>
      </c>
      <c r="P231" s="4" t="s">
        <v>71</v>
      </c>
      <c r="Q231" s="4" t="s">
        <v>47</v>
      </c>
      <c r="R231" s="172"/>
      <c r="S231" s="172"/>
      <c r="T231" s="172"/>
      <c r="U231" s="172"/>
      <c r="V231" s="172"/>
      <c r="W231" s="172"/>
      <c r="X231" s="172"/>
      <c r="Y231" s="172"/>
      <c r="Z231" s="172"/>
    </row>
    <row r="232" spans="1:26" ht="13.8">
      <c r="A232" s="166">
        <v>34</v>
      </c>
      <c r="B232" s="4" t="s">
        <v>388</v>
      </c>
      <c r="C232" s="4">
        <v>722</v>
      </c>
      <c r="D232" s="4" t="s">
        <v>3017</v>
      </c>
      <c r="E232" s="4" t="s">
        <v>396</v>
      </c>
      <c r="F232" s="4" t="s">
        <v>397</v>
      </c>
      <c r="G232" s="4" t="s">
        <v>391</v>
      </c>
      <c r="H232" s="4" t="s">
        <v>392</v>
      </c>
      <c r="I232" s="4" t="s">
        <v>191</v>
      </c>
      <c r="J232" s="4" t="s">
        <v>3018</v>
      </c>
      <c r="K232" s="4">
        <v>9227097100</v>
      </c>
      <c r="L232" s="4" t="s">
        <v>3019</v>
      </c>
      <c r="M232" s="4">
        <v>9227097100</v>
      </c>
      <c r="N232" s="4" t="s">
        <v>3020</v>
      </c>
      <c r="O232" s="4" t="s">
        <v>71</v>
      </c>
      <c r="P232" s="168" t="s">
        <v>3021</v>
      </c>
      <c r="Q232" s="4" t="s">
        <v>47</v>
      </c>
      <c r="R232" s="172"/>
      <c r="S232" s="172"/>
      <c r="T232" s="172"/>
      <c r="U232" s="172"/>
      <c r="V232" s="172"/>
      <c r="W232" s="172"/>
      <c r="X232" s="172"/>
      <c r="Y232" s="172"/>
      <c r="Z232" s="172"/>
    </row>
    <row r="233" spans="1:26" ht="13.8">
      <c r="A233" s="166">
        <v>35</v>
      </c>
      <c r="B233" s="4" t="s">
        <v>399</v>
      </c>
      <c r="C233" s="4">
        <v>731</v>
      </c>
      <c r="D233" s="4" t="s">
        <v>3022</v>
      </c>
      <c r="E233" s="4" t="s">
        <v>71</v>
      </c>
      <c r="F233" s="4" t="s">
        <v>409</v>
      </c>
      <c r="G233" s="4" t="s">
        <v>402</v>
      </c>
      <c r="H233" s="4" t="s">
        <v>403</v>
      </c>
      <c r="I233" s="4" t="s">
        <v>404</v>
      </c>
      <c r="J233" s="4" t="s">
        <v>405</v>
      </c>
      <c r="K233" s="4">
        <v>9833997796</v>
      </c>
      <c r="L233" s="4" t="s">
        <v>400</v>
      </c>
      <c r="M233" s="4">
        <v>9833997796</v>
      </c>
      <c r="N233" s="4" t="s">
        <v>2953</v>
      </c>
      <c r="O233" s="4" t="s">
        <v>71</v>
      </c>
      <c r="P233" s="4" t="s">
        <v>71</v>
      </c>
      <c r="Q233" s="4" t="s">
        <v>47</v>
      </c>
      <c r="R233" s="172"/>
      <c r="S233" s="172"/>
      <c r="T233" s="172"/>
      <c r="U233" s="172"/>
      <c r="V233" s="172"/>
      <c r="W233" s="172"/>
      <c r="X233" s="172"/>
      <c r="Y233" s="172"/>
      <c r="Z233" s="172"/>
    </row>
    <row r="234" spans="1:26" ht="13.8">
      <c r="A234" s="166">
        <v>36</v>
      </c>
      <c r="B234" s="4" t="s">
        <v>411</v>
      </c>
      <c r="C234" s="4">
        <v>744</v>
      </c>
      <c r="D234" s="4" t="s">
        <v>3023</v>
      </c>
      <c r="E234" s="4" t="s">
        <v>421</v>
      </c>
      <c r="F234" s="4" t="s">
        <v>421</v>
      </c>
      <c r="G234" s="4" t="s">
        <v>414</v>
      </c>
      <c r="H234" s="4" t="s">
        <v>415</v>
      </c>
      <c r="I234" s="4" t="s">
        <v>416</v>
      </c>
      <c r="J234" s="4" t="s">
        <v>71</v>
      </c>
      <c r="K234" s="4">
        <v>9920031422</v>
      </c>
      <c r="L234" s="4" t="s">
        <v>3024</v>
      </c>
      <c r="M234" s="4">
        <v>9920031422</v>
      </c>
      <c r="N234" s="4" t="s">
        <v>3025</v>
      </c>
      <c r="O234" s="4" t="s">
        <v>71</v>
      </c>
      <c r="P234" s="4" t="s">
        <v>71</v>
      </c>
      <c r="Q234" s="4" t="s">
        <v>47</v>
      </c>
      <c r="R234" s="172"/>
      <c r="S234" s="172"/>
      <c r="T234" s="172"/>
      <c r="U234" s="172"/>
      <c r="V234" s="172"/>
      <c r="W234" s="172"/>
      <c r="X234" s="172"/>
      <c r="Y234" s="172"/>
      <c r="Z234" s="172"/>
    </row>
    <row r="235" spans="1:26" ht="13.8">
      <c r="A235" s="166">
        <v>37</v>
      </c>
      <c r="B235" s="4" t="s">
        <v>423</v>
      </c>
      <c r="C235" s="4">
        <v>753</v>
      </c>
      <c r="D235" s="4" t="s">
        <v>71</v>
      </c>
      <c r="E235" s="4" t="s">
        <v>71</v>
      </c>
      <c r="F235" s="4" t="s">
        <v>431</v>
      </c>
      <c r="G235" s="4" t="s">
        <v>426</v>
      </c>
      <c r="H235" s="4" t="s">
        <v>427</v>
      </c>
      <c r="I235" s="4" t="s">
        <v>42</v>
      </c>
      <c r="J235" s="4" t="s">
        <v>428</v>
      </c>
      <c r="K235" s="4">
        <v>9322246670</v>
      </c>
      <c r="L235" s="4" t="s">
        <v>424</v>
      </c>
      <c r="M235" s="4">
        <v>9322246670</v>
      </c>
      <c r="N235" s="4" t="s">
        <v>3026</v>
      </c>
      <c r="O235" s="4" t="s">
        <v>71</v>
      </c>
      <c r="P235" s="168" t="s">
        <v>429</v>
      </c>
      <c r="Q235" s="4" t="s">
        <v>47</v>
      </c>
      <c r="R235" s="172"/>
      <c r="S235" s="172"/>
      <c r="T235" s="172"/>
      <c r="U235" s="172"/>
      <c r="V235" s="172"/>
      <c r="W235" s="172"/>
      <c r="X235" s="172"/>
      <c r="Y235" s="172"/>
      <c r="Z235" s="172"/>
    </row>
    <row r="236" spans="1:26" ht="13.8">
      <c r="A236" s="166">
        <v>38</v>
      </c>
      <c r="B236" s="4" t="s">
        <v>433</v>
      </c>
      <c r="C236" s="4">
        <v>759</v>
      </c>
      <c r="D236" s="4" t="s">
        <v>71</v>
      </c>
      <c r="E236" s="4" t="s">
        <v>71</v>
      </c>
      <c r="F236" s="4" t="s">
        <v>442</v>
      </c>
      <c r="G236" s="4" t="s">
        <v>436</v>
      </c>
      <c r="H236" s="4" t="s">
        <v>437</v>
      </c>
      <c r="I236" s="4" t="s">
        <v>438</v>
      </c>
      <c r="J236" s="4" t="s">
        <v>439</v>
      </c>
      <c r="K236" s="4">
        <v>9819656189</v>
      </c>
      <c r="L236" s="4" t="s">
        <v>3027</v>
      </c>
      <c r="M236" s="4">
        <v>9819656189</v>
      </c>
      <c r="N236" s="4" t="s">
        <v>440</v>
      </c>
      <c r="O236" s="4" t="s">
        <v>71</v>
      </c>
      <c r="P236" s="4" t="s">
        <v>71</v>
      </c>
      <c r="Q236" s="4" t="s">
        <v>47</v>
      </c>
      <c r="R236" s="172"/>
      <c r="S236" s="172"/>
      <c r="T236" s="172"/>
      <c r="U236" s="172"/>
      <c r="V236" s="172"/>
      <c r="W236" s="172"/>
      <c r="X236" s="172"/>
      <c r="Y236" s="172"/>
      <c r="Z236" s="172"/>
    </row>
    <row r="237" spans="1:26" ht="13.8">
      <c r="A237" s="166">
        <v>39</v>
      </c>
      <c r="B237" s="4" t="s">
        <v>444</v>
      </c>
      <c r="C237" s="4">
        <v>760</v>
      </c>
      <c r="D237" s="4" t="s">
        <v>71</v>
      </c>
      <c r="E237" s="4" t="s">
        <v>71</v>
      </c>
      <c r="F237" s="4" t="s">
        <v>442</v>
      </c>
      <c r="G237" s="4" t="s">
        <v>436</v>
      </c>
      <c r="H237" s="4" t="s">
        <v>446</v>
      </c>
      <c r="I237" s="4" t="s">
        <v>438</v>
      </c>
      <c r="J237" s="4" t="s">
        <v>439</v>
      </c>
      <c r="K237" s="4">
        <v>9699087887</v>
      </c>
      <c r="L237" s="4" t="s">
        <v>3027</v>
      </c>
      <c r="M237" s="4">
        <v>9699087887</v>
      </c>
      <c r="N237" s="4" t="s">
        <v>440</v>
      </c>
      <c r="O237" s="4" t="s">
        <v>71</v>
      </c>
      <c r="P237" s="4" t="s">
        <v>71</v>
      </c>
      <c r="Q237" s="4" t="s">
        <v>47</v>
      </c>
      <c r="R237" s="172"/>
      <c r="S237" s="172"/>
      <c r="T237" s="172"/>
      <c r="U237" s="172"/>
      <c r="V237" s="172"/>
      <c r="W237" s="172"/>
      <c r="X237" s="172"/>
      <c r="Y237" s="172"/>
      <c r="Z237" s="172"/>
    </row>
    <row r="238" spans="1:26" ht="13.8">
      <c r="A238" s="166">
        <v>40</v>
      </c>
      <c r="B238" s="4" t="s">
        <v>450</v>
      </c>
      <c r="C238" s="4">
        <v>761</v>
      </c>
      <c r="D238" s="4" t="s">
        <v>71</v>
      </c>
      <c r="E238" s="4" t="s">
        <v>71</v>
      </c>
      <c r="F238" s="4" t="s">
        <v>442</v>
      </c>
      <c r="G238" s="4" t="s">
        <v>436</v>
      </c>
      <c r="H238" s="4" t="s">
        <v>453</v>
      </c>
      <c r="I238" s="4" t="s">
        <v>438</v>
      </c>
      <c r="J238" s="4" t="s">
        <v>439</v>
      </c>
      <c r="K238" s="4">
        <v>9324625627</v>
      </c>
      <c r="L238" s="4" t="s">
        <v>3028</v>
      </c>
      <c r="M238" s="4">
        <v>9324625627</v>
      </c>
      <c r="N238" s="4" t="s">
        <v>440</v>
      </c>
      <c r="O238" s="4" t="s">
        <v>71</v>
      </c>
      <c r="P238" s="4" t="s">
        <v>71</v>
      </c>
      <c r="Q238" s="4" t="s">
        <v>47</v>
      </c>
      <c r="R238" s="172"/>
      <c r="S238" s="172"/>
      <c r="T238" s="172"/>
      <c r="U238" s="172"/>
      <c r="V238" s="172"/>
      <c r="W238" s="172"/>
      <c r="X238" s="172"/>
      <c r="Y238" s="172"/>
      <c r="Z238" s="172"/>
    </row>
    <row r="239" spans="1:26" ht="13.8">
      <c r="A239" s="166">
        <v>41</v>
      </c>
      <c r="B239" s="4" t="s">
        <v>458</v>
      </c>
      <c r="C239" s="4">
        <v>762</v>
      </c>
      <c r="D239" s="4" t="s">
        <v>3029</v>
      </c>
      <c r="E239" s="4" t="s">
        <v>71</v>
      </c>
      <c r="F239" s="4" t="s">
        <v>467</v>
      </c>
      <c r="G239" s="4" t="s">
        <v>461</v>
      </c>
      <c r="H239" s="4" t="s">
        <v>462</v>
      </c>
      <c r="I239" s="4" t="s">
        <v>191</v>
      </c>
      <c r="J239" s="4" t="s">
        <v>2919</v>
      </c>
      <c r="K239" s="4">
        <v>8104934764</v>
      </c>
      <c r="L239" s="4" t="s">
        <v>459</v>
      </c>
      <c r="M239" s="4">
        <v>8104934764</v>
      </c>
      <c r="N239" s="4" t="s">
        <v>3030</v>
      </c>
      <c r="O239" s="4" t="s">
        <v>71</v>
      </c>
      <c r="P239" s="168" t="s">
        <v>2920</v>
      </c>
      <c r="Q239" s="4" t="s">
        <v>47</v>
      </c>
      <c r="R239" s="172"/>
      <c r="S239" s="172"/>
      <c r="T239" s="172"/>
      <c r="U239" s="172"/>
      <c r="V239" s="172"/>
      <c r="W239" s="172"/>
      <c r="X239" s="172"/>
      <c r="Y239" s="172"/>
      <c r="Z239" s="172"/>
    </row>
    <row r="240" spans="1:26" ht="13.8">
      <c r="A240" s="166">
        <v>42</v>
      </c>
      <c r="B240" s="4" t="s">
        <v>469</v>
      </c>
      <c r="C240" s="4">
        <v>763</v>
      </c>
      <c r="D240" s="4" t="s">
        <v>3031</v>
      </c>
      <c r="E240" s="4" t="s">
        <v>477</v>
      </c>
      <c r="F240" s="4" t="s">
        <v>467</v>
      </c>
      <c r="G240" s="4" t="s">
        <v>461</v>
      </c>
      <c r="H240" s="4" t="s">
        <v>472</v>
      </c>
      <c r="I240" s="4" t="s">
        <v>473</v>
      </c>
      <c r="J240" s="4" t="s">
        <v>2919</v>
      </c>
      <c r="K240" s="4">
        <v>9711247007</v>
      </c>
      <c r="L240" s="4" t="s">
        <v>459</v>
      </c>
      <c r="M240" s="4">
        <v>9711247007</v>
      </c>
      <c r="N240" s="4" t="s">
        <v>3030</v>
      </c>
      <c r="O240" s="4" t="s">
        <v>71</v>
      </c>
      <c r="P240" s="168" t="s">
        <v>2920</v>
      </c>
      <c r="Q240" s="4" t="s">
        <v>47</v>
      </c>
      <c r="R240" s="172"/>
      <c r="S240" s="172"/>
      <c r="T240" s="172"/>
      <c r="U240" s="172"/>
      <c r="V240" s="172"/>
      <c r="W240" s="172"/>
      <c r="X240" s="172"/>
      <c r="Y240" s="172"/>
      <c r="Z240" s="172"/>
    </row>
    <row r="241" spans="1:26" ht="13.8">
      <c r="A241" s="166">
        <v>43</v>
      </c>
      <c r="B241" s="4" t="s">
        <v>479</v>
      </c>
      <c r="C241" s="4">
        <v>765</v>
      </c>
      <c r="D241" s="4" t="s">
        <v>3032</v>
      </c>
      <c r="E241" s="4" t="s">
        <v>488</v>
      </c>
      <c r="F241" s="4" t="s">
        <v>489</v>
      </c>
      <c r="G241" s="4" t="s">
        <v>482</v>
      </c>
      <c r="H241" s="4" t="s">
        <v>483</v>
      </c>
      <c r="I241" s="4" t="s">
        <v>116</v>
      </c>
      <c r="J241" s="4" t="s">
        <v>484</v>
      </c>
      <c r="K241" s="4">
        <v>7666368119</v>
      </c>
      <c r="L241" s="4" t="s">
        <v>480</v>
      </c>
      <c r="M241" s="4">
        <v>7666368119</v>
      </c>
      <c r="N241" s="4" t="s">
        <v>3033</v>
      </c>
      <c r="O241" s="168" t="s">
        <v>3034</v>
      </c>
      <c r="P241" s="168" t="s">
        <v>3035</v>
      </c>
      <c r="Q241" s="4" t="s">
        <v>47</v>
      </c>
      <c r="R241" s="172"/>
      <c r="S241" s="172"/>
      <c r="T241" s="172"/>
      <c r="U241" s="172"/>
      <c r="V241" s="172"/>
      <c r="W241" s="172"/>
      <c r="X241" s="172"/>
      <c r="Y241" s="172"/>
      <c r="Z241" s="172"/>
    </row>
    <row r="242" spans="1:26" ht="13.8">
      <c r="A242" s="166">
        <v>44</v>
      </c>
      <c r="B242" s="4" t="s">
        <v>502</v>
      </c>
      <c r="C242" s="4">
        <v>769</v>
      </c>
      <c r="D242" s="4" t="s">
        <v>3036</v>
      </c>
      <c r="E242" s="4" t="s">
        <v>514</v>
      </c>
      <c r="F242" s="4" t="s">
        <v>515</v>
      </c>
      <c r="G242" s="4" t="s">
        <v>505</v>
      </c>
      <c r="H242" s="4" t="s">
        <v>3037</v>
      </c>
      <c r="I242" s="4" t="s">
        <v>507</v>
      </c>
      <c r="J242" s="4" t="s">
        <v>3038</v>
      </c>
      <c r="K242" s="4">
        <v>9619098408</v>
      </c>
      <c r="L242" s="4" t="s">
        <v>503</v>
      </c>
      <c r="M242" s="4">
        <v>9619098408</v>
      </c>
      <c r="N242" s="4" t="s">
        <v>3039</v>
      </c>
      <c r="O242" s="4" t="s">
        <v>71</v>
      </c>
      <c r="P242" s="168" t="s">
        <v>3040</v>
      </c>
      <c r="Q242" s="4" t="s">
        <v>47</v>
      </c>
      <c r="R242" s="172"/>
      <c r="S242" s="172"/>
      <c r="T242" s="172"/>
      <c r="U242" s="172"/>
      <c r="V242" s="172"/>
      <c r="W242" s="172"/>
      <c r="X242" s="172"/>
      <c r="Y242" s="172"/>
      <c r="Z242" s="172"/>
    </row>
    <row r="243" spans="1:26" ht="13.8">
      <c r="A243" s="166">
        <v>45</v>
      </c>
      <c r="B243" s="4" t="s">
        <v>517</v>
      </c>
      <c r="C243" s="4">
        <v>774</v>
      </c>
      <c r="D243" s="4" t="s">
        <v>3041</v>
      </c>
      <c r="E243" s="4" t="s">
        <v>71</v>
      </c>
      <c r="F243" s="4" t="s">
        <v>527</v>
      </c>
      <c r="G243" s="4" t="s">
        <v>520</v>
      </c>
      <c r="H243" s="4" t="s">
        <v>521</v>
      </c>
      <c r="I243" s="4" t="s">
        <v>71</v>
      </c>
      <c r="J243" s="4" t="s">
        <v>3042</v>
      </c>
      <c r="K243" s="4">
        <v>9920979629</v>
      </c>
      <c r="L243" s="4" t="s">
        <v>3043</v>
      </c>
      <c r="M243" s="4">
        <v>9920979629</v>
      </c>
      <c r="N243" s="4" t="s">
        <v>3044</v>
      </c>
      <c r="O243" s="4" t="s">
        <v>71</v>
      </c>
      <c r="P243" s="4" t="s">
        <v>71</v>
      </c>
      <c r="Q243" s="4" t="s">
        <v>47</v>
      </c>
      <c r="R243" s="172"/>
      <c r="S243" s="172"/>
      <c r="T243" s="172"/>
      <c r="U243" s="172"/>
      <c r="V243" s="172"/>
      <c r="W243" s="172"/>
      <c r="X243" s="172"/>
      <c r="Y243" s="172"/>
      <c r="Z243" s="172"/>
    </row>
    <row r="244" spans="1:26" ht="13.8">
      <c r="A244" s="166">
        <v>46</v>
      </c>
      <c r="B244" s="4" t="s">
        <v>529</v>
      </c>
      <c r="C244" s="4">
        <v>798</v>
      </c>
      <c r="D244" s="4" t="s">
        <v>3045</v>
      </c>
      <c r="E244" s="4" t="s">
        <v>71</v>
      </c>
      <c r="F244" s="4" t="s">
        <v>538</v>
      </c>
      <c r="G244" s="4" t="s">
        <v>532</v>
      </c>
      <c r="H244" s="4" t="s">
        <v>533</v>
      </c>
      <c r="I244" s="4" t="s">
        <v>534</v>
      </c>
      <c r="J244" s="4" t="s">
        <v>535</v>
      </c>
      <c r="K244" s="4">
        <v>9820082259</v>
      </c>
      <c r="L244" s="4" t="s">
        <v>3046</v>
      </c>
      <c r="M244" s="4">
        <v>9820082259</v>
      </c>
      <c r="N244" s="4" t="s">
        <v>3047</v>
      </c>
      <c r="O244" s="4" t="s">
        <v>71</v>
      </c>
      <c r="P244" s="4" t="s">
        <v>71</v>
      </c>
      <c r="Q244" s="4" t="s">
        <v>47</v>
      </c>
      <c r="R244" s="172"/>
      <c r="S244" s="172"/>
      <c r="T244" s="172"/>
      <c r="U244" s="172"/>
      <c r="V244" s="172"/>
      <c r="W244" s="172"/>
      <c r="X244" s="172"/>
      <c r="Y244" s="172"/>
      <c r="Z244" s="172"/>
    </row>
    <row r="245" spans="1:26" ht="13.8">
      <c r="A245" s="166">
        <v>47</v>
      </c>
      <c r="B245" s="4" t="s">
        <v>540</v>
      </c>
      <c r="C245" s="4">
        <v>803</v>
      </c>
      <c r="D245" s="4" t="s">
        <v>3048</v>
      </c>
      <c r="E245" s="4" t="s">
        <v>71</v>
      </c>
      <c r="F245" s="4" t="s">
        <v>551</v>
      </c>
      <c r="G245" s="4" t="s">
        <v>543</v>
      </c>
      <c r="H245" s="4" t="s">
        <v>544</v>
      </c>
      <c r="I245" s="4" t="s">
        <v>545</v>
      </c>
      <c r="J245" s="4" t="s">
        <v>546</v>
      </c>
      <c r="K245" s="173">
        <v>8800000000000</v>
      </c>
      <c r="L245" s="4" t="s">
        <v>3049</v>
      </c>
      <c r="M245" s="173">
        <v>8800000000000</v>
      </c>
      <c r="N245" s="4" t="s">
        <v>71</v>
      </c>
      <c r="O245" s="4" t="s">
        <v>71</v>
      </c>
      <c r="P245" s="168" t="s">
        <v>547</v>
      </c>
      <c r="Q245" s="4" t="s">
        <v>47</v>
      </c>
      <c r="R245" s="172"/>
      <c r="S245" s="172"/>
      <c r="T245" s="172"/>
      <c r="U245" s="172"/>
      <c r="V245" s="172"/>
      <c r="W245" s="172"/>
      <c r="X245" s="172"/>
      <c r="Y245" s="172"/>
      <c r="Z245" s="172"/>
    </row>
    <row r="246" spans="1:26" ht="13.8">
      <c r="A246" s="166">
        <v>48</v>
      </c>
      <c r="B246" s="4" t="s">
        <v>553</v>
      </c>
      <c r="C246" s="4">
        <v>804</v>
      </c>
      <c r="D246" s="4" t="s">
        <v>3050</v>
      </c>
      <c r="E246" s="4" t="s">
        <v>71</v>
      </c>
      <c r="F246" s="4" t="s">
        <v>561</v>
      </c>
      <c r="G246" s="4" t="s">
        <v>556</v>
      </c>
      <c r="H246" s="4" t="s">
        <v>557</v>
      </c>
      <c r="I246" s="4" t="s">
        <v>191</v>
      </c>
      <c r="J246" s="4" t="s">
        <v>558</v>
      </c>
      <c r="K246" s="4">
        <v>9892103999</v>
      </c>
      <c r="L246" s="4" t="s">
        <v>3051</v>
      </c>
      <c r="M246" s="4">
        <v>9892103999</v>
      </c>
      <c r="N246" s="4" t="s">
        <v>3052</v>
      </c>
      <c r="O246" s="4" t="s">
        <v>71</v>
      </c>
      <c r="P246" s="168" t="s">
        <v>559</v>
      </c>
      <c r="Q246" s="4" t="s">
        <v>47</v>
      </c>
      <c r="R246" s="172"/>
      <c r="S246" s="172"/>
      <c r="T246" s="172"/>
      <c r="U246" s="172"/>
      <c r="V246" s="172"/>
      <c r="W246" s="172"/>
      <c r="X246" s="172"/>
      <c r="Y246" s="172"/>
      <c r="Z246" s="172"/>
    </row>
    <row r="247" spans="1:26" ht="13.8">
      <c r="A247" s="166">
        <v>49</v>
      </c>
      <c r="B247" s="4" t="s">
        <v>563</v>
      </c>
      <c r="C247" s="4">
        <v>805</v>
      </c>
      <c r="D247" s="4" t="s">
        <v>3053</v>
      </c>
      <c r="E247" s="4" t="s">
        <v>71</v>
      </c>
      <c r="F247" s="4" t="s">
        <v>71</v>
      </c>
      <c r="G247" s="4" t="s">
        <v>566</v>
      </c>
      <c r="H247" s="4" t="s">
        <v>567</v>
      </c>
      <c r="I247" s="4" t="s">
        <v>71</v>
      </c>
      <c r="J247" s="4" t="s">
        <v>71</v>
      </c>
      <c r="K247" s="4">
        <v>9930358990</v>
      </c>
      <c r="L247" s="4" t="s">
        <v>3054</v>
      </c>
      <c r="M247" s="4">
        <v>9930358990</v>
      </c>
      <c r="N247" s="4" t="s">
        <v>71</v>
      </c>
      <c r="O247" s="4" t="s">
        <v>71</v>
      </c>
      <c r="P247" s="4" t="s">
        <v>71</v>
      </c>
      <c r="Q247" s="4" t="s">
        <v>47</v>
      </c>
      <c r="R247" s="172"/>
      <c r="S247" s="172"/>
      <c r="T247" s="172"/>
      <c r="U247" s="172"/>
      <c r="V247" s="172"/>
      <c r="W247" s="172"/>
      <c r="X247" s="172"/>
      <c r="Y247" s="172"/>
      <c r="Z247" s="172"/>
    </row>
    <row r="248" spans="1:26" ht="13.8">
      <c r="A248" s="166">
        <v>50</v>
      </c>
      <c r="B248" s="4" t="s">
        <v>569</v>
      </c>
      <c r="C248" s="4">
        <v>807</v>
      </c>
      <c r="D248" s="4" t="s">
        <v>3055</v>
      </c>
      <c r="E248" s="4" t="s">
        <v>577</v>
      </c>
      <c r="F248" s="4" t="s">
        <v>578</v>
      </c>
      <c r="G248" s="4" t="s">
        <v>572</v>
      </c>
      <c r="H248" s="4" t="s">
        <v>573</v>
      </c>
      <c r="I248" s="4" t="s">
        <v>574</v>
      </c>
      <c r="J248" s="4" t="s">
        <v>575</v>
      </c>
      <c r="K248" s="4">
        <v>9819434975</v>
      </c>
      <c r="L248" s="4" t="s">
        <v>3056</v>
      </c>
      <c r="M248" s="4">
        <v>9819434975</v>
      </c>
      <c r="N248" s="4" t="s">
        <v>3057</v>
      </c>
      <c r="O248" s="4" t="s">
        <v>71</v>
      </c>
      <c r="P248" s="168" t="s">
        <v>3058</v>
      </c>
      <c r="Q248" s="4" t="s">
        <v>47</v>
      </c>
      <c r="R248" s="172"/>
      <c r="S248" s="172"/>
      <c r="T248" s="172"/>
      <c r="U248" s="172"/>
      <c r="V248" s="172"/>
      <c r="W248" s="172"/>
      <c r="X248" s="172"/>
      <c r="Y248" s="172"/>
      <c r="Z248" s="172"/>
    </row>
    <row r="249" spans="1:26" ht="13.8">
      <c r="A249" s="166">
        <v>51</v>
      </c>
      <c r="B249" s="4" t="s">
        <v>580</v>
      </c>
      <c r="C249" s="4">
        <v>808</v>
      </c>
      <c r="D249" s="4" t="s">
        <v>3059</v>
      </c>
      <c r="E249" s="4" t="s">
        <v>71</v>
      </c>
      <c r="F249" s="4" t="s">
        <v>71</v>
      </c>
      <c r="G249" s="4" t="s">
        <v>583</v>
      </c>
      <c r="H249" s="4" t="s">
        <v>584</v>
      </c>
      <c r="I249" s="4" t="s">
        <v>71</v>
      </c>
      <c r="J249" s="4" t="s">
        <v>585</v>
      </c>
      <c r="K249" s="4">
        <v>7045557876</v>
      </c>
      <c r="L249" s="4" t="s">
        <v>581</v>
      </c>
      <c r="M249" s="4">
        <v>7045557876</v>
      </c>
      <c r="N249" s="4" t="s">
        <v>3060</v>
      </c>
      <c r="O249" s="4" t="s">
        <v>71</v>
      </c>
      <c r="P249" s="4" t="s">
        <v>71</v>
      </c>
      <c r="Q249" s="4" t="s">
        <v>47</v>
      </c>
      <c r="R249" s="172"/>
      <c r="S249" s="172"/>
      <c r="T249" s="172"/>
      <c r="U249" s="172"/>
      <c r="V249" s="172"/>
      <c r="W249" s="172"/>
      <c r="X249" s="172"/>
      <c r="Y249" s="172"/>
      <c r="Z249" s="172"/>
    </row>
    <row r="250" spans="1:26" ht="13.8">
      <c r="A250" s="166">
        <v>52</v>
      </c>
      <c r="B250" s="4" t="s">
        <v>592</v>
      </c>
      <c r="C250" s="4">
        <v>810</v>
      </c>
      <c r="D250" s="4" t="s">
        <v>3061</v>
      </c>
      <c r="E250" s="4" t="s">
        <v>71</v>
      </c>
      <c r="F250" s="4" t="s">
        <v>71</v>
      </c>
      <c r="G250" s="4" t="s">
        <v>595</v>
      </c>
      <c r="H250" s="4" t="s">
        <v>596</v>
      </c>
      <c r="I250" s="4" t="s">
        <v>534</v>
      </c>
      <c r="J250" s="4" t="s">
        <v>3062</v>
      </c>
      <c r="K250" s="4">
        <v>9082236396</v>
      </c>
      <c r="L250" s="4" t="s">
        <v>3063</v>
      </c>
      <c r="M250" s="4">
        <v>9082236396</v>
      </c>
      <c r="N250" s="4" t="s">
        <v>71</v>
      </c>
      <c r="O250" s="4" t="s">
        <v>71</v>
      </c>
      <c r="P250" s="4" t="s">
        <v>71</v>
      </c>
      <c r="Q250" s="4" t="s">
        <v>47</v>
      </c>
      <c r="R250" s="172"/>
      <c r="S250" s="172"/>
      <c r="T250" s="172"/>
      <c r="U250" s="172"/>
      <c r="V250" s="172"/>
      <c r="W250" s="172"/>
      <c r="X250" s="172"/>
      <c r="Y250" s="172"/>
      <c r="Z250" s="172"/>
    </row>
    <row r="251" spans="1:26" ht="13.8">
      <c r="A251" s="166">
        <v>53</v>
      </c>
      <c r="B251" s="4" t="s">
        <v>599</v>
      </c>
      <c r="C251" s="4">
        <v>811</v>
      </c>
      <c r="D251" s="4" t="s">
        <v>3064</v>
      </c>
      <c r="E251" s="4" t="s">
        <v>71</v>
      </c>
      <c r="F251" s="4" t="s">
        <v>71</v>
      </c>
      <c r="G251" s="4" t="s">
        <v>602</v>
      </c>
      <c r="H251" s="4" t="s">
        <v>603</v>
      </c>
      <c r="I251" s="4" t="s">
        <v>604</v>
      </c>
      <c r="J251" s="4" t="s">
        <v>1033</v>
      </c>
      <c r="K251" s="4">
        <v>9321614638</v>
      </c>
      <c r="L251" s="4" t="s">
        <v>3065</v>
      </c>
      <c r="M251" s="4">
        <v>9321614638</v>
      </c>
      <c r="N251" s="4" t="s">
        <v>3066</v>
      </c>
      <c r="O251" s="4" t="s">
        <v>71</v>
      </c>
      <c r="P251" s="4" t="s">
        <v>71</v>
      </c>
      <c r="Q251" s="4" t="s">
        <v>47</v>
      </c>
      <c r="R251" s="172"/>
      <c r="S251" s="172"/>
      <c r="T251" s="172"/>
      <c r="U251" s="172"/>
      <c r="V251" s="172"/>
      <c r="W251" s="172"/>
      <c r="X251" s="172"/>
      <c r="Y251" s="172"/>
      <c r="Z251" s="172"/>
    </row>
    <row r="252" spans="1:26" ht="13.8">
      <c r="A252" s="166">
        <v>54</v>
      </c>
      <c r="B252" s="4" t="s">
        <v>611</v>
      </c>
      <c r="C252" s="4">
        <v>817</v>
      </c>
      <c r="D252" s="4" t="s">
        <v>3067</v>
      </c>
      <c r="E252" s="4" t="s">
        <v>71</v>
      </c>
      <c r="F252" s="4" t="s">
        <v>622</v>
      </c>
      <c r="G252" s="4" t="s">
        <v>614</v>
      </c>
      <c r="H252" s="4" t="s">
        <v>615</v>
      </c>
      <c r="I252" s="4" t="s">
        <v>78</v>
      </c>
      <c r="J252" s="4" t="s">
        <v>1056</v>
      </c>
      <c r="K252" s="4">
        <v>9167993517</v>
      </c>
      <c r="L252" s="4" t="s">
        <v>612</v>
      </c>
      <c r="M252" s="4">
        <v>9167993517</v>
      </c>
      <c r="N252" s="4" t="s">
        <v>3068</v>
      </c>
      <c r="O252" s="4" t="s">
        <v>71</v>
      </c>
      <c r="P252" s="168" t="s">
        <v>617</v>
      </c>
      <c r="Q252" s="4" t="s">
        <v>47</v>
      </c>
      <c r="R252" s="172"/>
      <c r="S252" s="172"/>
      <c r="T252" s="172"/>
      <c r="U252" s="172"/>
      <c r="V252" s="172"/>
      <c r="W252" s="172"/>
      <c r="X252" s="172"/>
      <c r="Y252" s="172"/>
      <c r="Z252" s="172"/>
    </row>
    <row r="253" spans="1:26" ht="13.8">
      <c r="A253" s="166">
        <v>55</v>
      </c>
      <c r="B253" s="4" t="s">
        <v>624</v>
      </c>
      <c r="C253" s="4">
        <v>819</v>
      </c>
      <c r="D253" s="4" t="s">
        <v>3069</v>
      </c>
      <c r="E253" s="4" t="s">
        <v>631</v>
      </c>
      <c r="F253" s="4" t="s">
        <v>632</v>
      </c>
      <c r="G253" s="4" t="s">
        <v>627</v>
      </c>
      <c r="H253" s="4" t="s">
        <v>628</v>
      </c>
      <c r="I253" s="4" t="s">
        <v>191</v>
      </c>
      <c r="J253" s="4" t="s">
        <v>3070</v>
      </c>
      <c r="K253" s="4">
        <v>8108693840</v>
      </c>
      <c r="L253" s="4" t="s">
        <v>3071</v>
      </c>
      <c r="M253" s="4">
        <v>8108693840</v>
      </c>
      <c r="N253" s="4" t="s">
        <v>3072</v>
      </c>
      <c r="O253" s="4" t="s">
        <v>71</v>
      </c>
      <c r="P253" s="168" t="s">
        <v>3073</v>
      </c>
      <c r="Q253" s="4" t="s">
        <v>47</v>
      </c>
      <c r="R253" s="172"/>
      <c r="S253" s="172"/>
      <c r="T253" s="172"/>
      <c r="U253" s="172"/>
      <c r="V253" s="172"/>
      <c r="W253" s="172"/>
      <c r="X253" s="172"/>
      <c r="Y253" s="172"/>
      <c r="Z253" s="172"/>
    </row>
    <row r="254" spans="1:26" ht="13.8">
      <c r="A254" s="166">
        <v>56</v>
      </c>
      <c r="B254" s="4" t="s">
        <v>642</v>
      </c>
      <c r="C254" s="4">
        <v>823</v>
      </c>
      <c r="D254" s="4" t="s">
        <v>3074</v>
      </c>
      <c r="E254" s="4" t="s">
        <v>71</v>
      </c>
      <c r="F254" s="4" t="s">
        <v>71</v>
      </c>
      <c r="G254" s="4" t="s">
        <v>645</v>
      </c>
      <c r="H254" s="4" t="s">
        <v>646</v>
      </c>
      <c r="I254" s="4" t="s">
        <v>647</v>
      </c>
      <c r="J254" s="4" t="s">
        <v>71</v>
      </c>
      <c r="K254" s="4">
        <v>9833788744</v>
      </c>
      <c r="L254" s="4" t="s">
        <v>3075</v>
      </c>
      <c r="M254" s="4">
        <v>9833788744</v>
      </c>
      <c r="N254" s="4" t="s">
        <v>3076</v>
      </c>
      <c r="O254" s="4" t="s">
        <v>71</v>
      </c>
      <c r="P254" s="4" t="s">
        <v>71</v>
      </c>
      <c r="Q254" s="4" t="s">
        <v>47</v>
      </c>
      <c r="R254" s="172"/>
      <c r="S254" s="172"/>
      <c r="T254" s="172"/>
      <c r="U254" s="172"/>
      <c r="V254" s="172"/>
      <c r="W254" s="172"/>
      <c r="X254" s="172"/>
      <c r="Y254" s="172"/>
      <c r="Z254" s="172"/>
    </row>
    <row r="255" spans="1:26" ht="13.8">
      <c r="A255" s="166">
        <v>57</v>
      </c>
      <c r="B255" s="4" t="s">
        <v>650</v>
      </c>
      <c r="C255" s="4">
        <v>824</v>
      </c>
      <c r="D255" s="4" t="s">
        <v>3077</v>
      </c>
      <c r="E255" s="4" t="s">
        <v>71</v>
      </c>
      <c r="F255" s="4" t="s">
        <v>71</v>
      </c>
      <c r="G255" s="4" t="s">
        <v>71</v>
      </c>
      <c r="H255" s="4" t="s">
        <v>653</v>
      </c>
      <c r="I255" s="4" t="s">
        <v>71</v>
      </c>
      <c r="J255" s="4" t="s">
        <v>71</v>
      </c>
      <c r="K255" s="4">
        <v>9945309551</v>
      </c>
      <c r="L255" s="4" t="s">
        <v>651</v>
      </c>
      <c r="M255" s="4">
        <v>9945309551</v>
      </c>
      <c r="N255" s="4" t="s">
        <v>71</v>
      </c>
      <c r="O255" s="4" t="s">
        <v>71</v>
      </c>
      <c r="P255" s="4" t="s">
        <v>71</v>
      </c>
      <c r="Q255" s="4" t="s">
        <v>47</v>
      </c>
      <c r="R255" s="172"/>
      <c r="S255" s="172"/>
      <c r="T255" s="172"/>
      <c r="U255" s="172"/>
      <c r="V255" s="172"/>
      <c r="W255" s="172"/>
      <c r="X255" s="172"/>
      <c r="Y255" s="172"/>
      <c r="Z255" s="172"/>
    </row>
    <row r="256" spans="1:26" ht="13.8">
      <c r="A256" s="166">
        <v>58</v>
      </c>
      <c r="B256" s="4" t="s">
        <v>655</v>
      </c>
      <c r="C256" s="4">
        <v>825</v>
      </c>
      <c r="D256" s="4" t="s">
        <v>3078</v>
      </c>
      <c r="E256" s="4" t="s">
        <v>71</v>
      </c>
      <c r="F256" s="4" t="s">
        <v>71</v>
      </c>
      <c r="G256" s="4" t="s">
        <v>658</v>
      </c>
      <c r="H256" s="4" t="s">
        <v>659</v>
      </c>
      <c r="I256" s="4" t="s">
        <v>660</v>
      </c>
      <c r="J256" s="4" t="s">
        <v>1091</v>
      </c>
      <c r="K256" s="4">
        <v>9321234527</v>
      </c>
      <c r="L256" s="4" t="s">
        <v>3079</v>
      </c>
      <c r="M256" s="4">
        <v>9321234527</v>
      </c>
      <c r="N256" s="4" t="s">
        <v>71</v>
      </c>
      <c r="O256" s="4" t="s">
        <v>71</v>
      </c>
      <c r="P256" s="168" t="s">
        <v>661</v>
      </c>
      <c r="Q256" s="4" t="s">
        <v>47</v>
      </c>
      <c r="R256" s="172"/>
      <c r="S256" s="172"/>
      <c r="T256" s="172"/>
      <c r="U256" s="172"/>
      <c r="V256" s="172"/>
      <c r="W256" s="172"/>
      <c r="X256" s="172"/>
      <c r="Y256" s="172"/>
      <c r="Z256" s="172"/>
    </row>
    <row r="257" spans="1:26" ht="13.8">
      <c r="A257" s="166">
        <v>261</v>
      </c>
      <c r="B257" s="4" t="s">
        <v>3544</v>
      </c>
      <c r="C257" s="4">
        <v>827</v>
      </c>
      <c r="D257" s="4" t="s">
        <v>3545</v>
      </c>
      <c r="E257" s="4" t="s">
        <v>3546</v>
      </c>
      <c r="F257" s="4" t="s">
        <v>3547</v>
      </c>
      <c r="G257" s="4" t="s">
        <v>2781</v>
      </c>
      <c r="H257" s="4" t="s">
        <v>3548</v>
      </c>
      <c r="I257" s="4" t="s">
        <v>3549</v>
      </c>
      <c r="J257" s="4" t="s">
        <v>2785</v>
      </c>
      <c r="K257" s="4">
        <v>9821178123</v>
      </c>
      <c r="L257" s="4" t="s">
        <v>2780</v>
      </c>
      <c r="M257" s="4">
        <v>9821178123</v>
      </c>
      <c r="N257" s="4" t="s">
        <v>3550</v>
      </c>
      <c r="O257" s="4" t="s">
        <v>71</v>
      </c>
      <c r="P257" s="168" t="s">
        <v>2786</v>
      </c>
      <c r="Q257" s="4" t="s">
        <v>47</v>
      </c>
      <c r="R257" s="172"/>
      <c r="S257" s="172"/>
      <c r="T257" s="172"/>
      <c r="U257" s="172"/>
      <c r="V257" s="172"/>
      <c r="W257" s="172"/>
      <c r="X257" s="172"/>
      <c r="Y257" s="172"/>
      <c r="Z257" s="172"/>
    </row>
    <row r="258" spans="1:26" ht="13.8">
      <c r="A258" s="166">
        <v>59</v>
      </c>
      <c r="B258" s="4" t="s">
        <v>663</v>
      </c>
      <c r="C258" s="4">
        <v>828</v>
      </c>
      <c r="D258" s="4" t="s">
        <v>3080</v>
      </c>
      <c r="E258" s="4" t="s">
        <v>71</v>
      </c>
      <c r="F258" s="4" t="s">
        <v>71</v>
      </c>
      <c r="G258" s="4" t="s">
        <v>666</v>
      </c>
      <c r="H258" s="4" t="s">
        <v>667</v>
      </c>
      <c r="I258" s="4" t="s">
        <v>668</v>
      </c>
      <c r="J258" s="4" t="s">
        <v>71</v>
      </c>
      <c r="K258" s="4">
        <v>9820720122</v>
      </c>
      <c r="L258" s="4" t="s">
        <v>664</v>
      </c>
      <c r="M258" s="4">
        <v>9820720122</v>
      </c>
      <c r="N258" s="4" t="s">
        <v>3081</v>
      </c>
      <c r="O258" s="4" t="s">
        <v>71</v>
      </c>
      <c r="P258" s="168" t="s">
        <v>669</v>
      </c>
      <c r="Q258" s="4" t="s">
        <v>47</v>
      </c>
      <c r="R258" s="172"/>
      <c r="S258" s="172"/>
      <c r="T258" s="172"/>
      <c r="U258" s="172"/>
      <c r="V258" s="172"/>
      <c r="W258" s="172"/>
      <c r="X258" s="172"/>
      <c r="Y258" s="172"/>
      <c r="Z258" s="172"/>
    </row>
    <row r="259" spans="1:26" ht="13.8">
      <c r="A259" s="166">
        <v>60</v>
      </c>
      <c r="B259" s="4" t="s">
        <v>674</v>
      </c>
      <c r="C259" s="4">
        <v>829</v>
      </c>
      <c r="D259" s="4" t="s">
        <v>3082</v>
      </c>
      <c r="E259" s="4" t="s">
        <v>71</v>
      </c>
      <c r="F259" s="4" t="s">
        <v>71</v>
      </c>
      <c r="G259" s="4" t="s">
        <v>677</v>
      </c>
      <c r="H259" s="4" t="s">
        <v>678</v>
      </c>
      <c r="I259" s="4" t="s">
        <v>534</v>
      </c>
      <c r="J259" s="4" t="s">
        <v>71</v>
      </c>
      <c r="K259" s="4">
        <v>9833533469</v>
      </c>
      <c r="L259" s="4" t="s">
        <v>675</v>
      </c>
      <c r="M259" s="4">
        <v>9833533469</v>
      </c>
      <c r="N259" s="4" t="s">
        <v>71</v>
      </c>
      <c r="O259" s="4" t="s">
        <v>71</v>
      </c>
      <c r="P259" s="168" t="s">
        <v>680</v>
      </c>
      <c r="Q259" s="4" t="s">
        <v>47</v>
      </c>
      <c r="R259" s="172"/>
      <c r="S259" s="172"/>
      <c r="T259" s="172"/>
      <c r="U259" s="172"/>
      <c r="V259" s="172"/>
      <c r="W259" s="172"/>
      <c r="X259" s="172"/>
      <c r="Y259" s="172"/>
      <c r="Z259" s="172"/>
    </row>
    <row r="260" spans="1:26" ht="13.8">
      <c r="A260" s="166">
        <v>61</v>
      </c>
      <c r="B260" s="4" t="s">
        <v>686</v>
      </c>
      <c r="C260" s="4">
        <v>830</v>
      </c>
      <c r="D260" s="4" t="s">
        <v>3083</v>
      </c>
      <c r="E260" s="4" t="s">
        <v>71</v>
      </c>
      <c r="F260" s="4" t="s">
        <v>693</v>
      </c>
      <c r="G260" s="4" t="s">
        <v>689</v>
      </c>
      <c r="H260" s="4" t="s">
        <v>690</v>
      </c>
      <c r="I260" s="4" t="s">
        <v>42</v>
      </c>
      <c r="J260" s="4" t="s">
        <v>691</v>
      </c>
      <c r="K260" s="4">
        <v>9870942711</v>
      </c>
      <c r="L260" s="4" t="s">
        <v>3084</v>
      </c>
      <c r="M260" s="4">
        <v>9870942711</v>
      </c>
      <c r="N260" s="4" t="s">
        <v>3085</v>
      </c>
      <c r="O260" s="4" t="s">
        <v>71</v>
      </c>
      <c r="P260" s="4" t="s">
        <v>71</v>
      </c>
      <c r="Q260" s="4" t="s">
        <v>47</v>
      </c>
      <c r="R260" s="172"/>
      <c r="S260" s="172"/>
      <c r="T260" s="172"/>
      <c r="U260" s="172"/>
      <c r="V260" s="172"/>
      <c r="W260" s="172"/>
      <c r="X260" s="172"/>
      <c r="Y260" s="172"/>
      <c r="Z260" s="172"/>
    </row>
    <row r="261" spans="1:26" ht="13.8">
      <c r="A261" s="166">
        <v>62</v>
      </c>
      <c r="B261" s="4" t="s">
        <v>695</v>
      </c>
      <c r="C261" s="4">
        <v>831</v>
      </c>
      <c r="D261" s="4" t="s">
        <v>3086</v>
      </c>
      <c r="E261" s="4" t="s">
        <v>71</v>
      </c>
      <c r="F261" s="4" t="s">
        <v>693</v>
      </c>
      <c r="G261" s="4" t="s">
        <v>689</v>
      </c>
      <c r="H261" s="4" t="s">
        <v>698</v>
      </c>
      <c r="I261" s="4" t="s">
        <v>42</v>
      </c>
      <c r="J261" s="4" t="s">
        <v>691</v>
      </c>
      <c r="K261" s="4">
        <v>8976864436</v>
      </c>
      <c r="L261" s="4" t="s">
        <v>3084</v>
      </c>
      <c r="M261" s="4">
        <v>8976864436</v>
      </c>
      <c r="N261" s="4" t="s">
        <v>3085</v>
      </c>
      <c r="O261" s="4" t="s">
        <v>71</v>
      </c>
      <c r="P261" s="4" t="s">
        <v>71</v>
      </c>
      <c r="Q261" s="4" t="s">
        <v>47</v>
      </c>
      <c r="R261" s="172"/>
      <c r="S261" s="172"/>
      <c r="T261" s="172"/>
      <c r="U261" s="172"/>
      <c r="V261" s="172"/>
      <c r="W261" s="172"/>
      <c r="X261" s="172"/>
      <c r="Y261" s="172"/>
      <c r="Z261" s="172"/>
    </row>
    <row r="262" spans="1:26" ht="13.8">
      <c r="A262" s="166">
        <v>63</v>
      </c>
      <c r="B262" s="4" t="s">
        <v>701</v>
      </c>
      <c r="C262" s="4">
        <v>833</v>
      </c>
      <c r="D262" s="4" t="s">
        <v>3087</v>
      </c>
      <c r="E262" s="4" t="s">
        <v>71</v>
      </c>
      <c r="F262" s="4" t="s">
        <v>561</v>
      </c>
      <c r="G262" s="4" t="s">
        <v>704</v>
      </c>
      <c r="H262" s="4" t="s">
        <v>705</v>
      </c>
      <c r="I262" s="4" t="s">
        <v>706</v>
      </c>
      <c r="J262" s="4" t="s">
        <v>71</v>
      </c>
      <c r="K262" s="4">
        <v>8169607878</v>
      </c>
      <c r="L262" s="4" t="s">
        <v>3088</v>
      </c>
      <c r="M262" s="4">
        <v>8169607878</v>
      </c>
      <c r="N262" s="4" t="s">
        <v>3089</v>
      </c>
      <c r="O262" s="4" t="s">
        <v>71</v>
      </c>
      <c r="P262" s="4" t="s">
        <v>71</v>
      </c>
      <c r="Q262" s="4" t="s">
        <v>47</v>
      </c>
      <c r="R262" s="172"/>
      <c r="S262" s="172"/>
      <c r="T262" s="172"/>
      <c r="U262" s="172"/>
      <c r="V262" s="172"/>
      <c r="W262" s="172"/>
      <c r="X262" s="172"/>
      <c r="Y262" s="172"/>
      <c r="Z262" s="172"/>
    </row>
    <row r="263" spans="1:26" ht="13.8">
      <c r="A263" s="166">
        <v>64</v>
      </c>
      <c r="B263" s="4" t="s">
        <v>710</v>
      </c>
      <c r="C263" s="4">
        <v>835</v>
      </c>
      <c r="D263" s="4" t="s">
        <v>71</v>
      </c>
      <c r="E263" s="4" t="s">
        <v>71</v>
      </c>
      <c r="F263" s="4" t="s">
        <v>71</v>
      </c>
      <c r="G263" s="4" t="s">
        <v>710</v>
      </c>
      <c r="H263" s="4" t="s">
        <v>713</v>
      </c>
      <c r="I263" s="4" t="s">
        <v>507</v>
      </c>
      <c r="J263" s="4" t="s">
        <v>1159</v>
      </c>
      <c r="K263" s="4">
        <v>7666820738</v>
      </c>
      <c r="L263" s="4" t="s">
        <v>3090</v>
      </c>
      <c r="M263" s="4">
        <v>7666820738</v>
      </c>
      <c r="N263" s="4" t="s">
        <v>3091</v>
      </c>
      <c r="O263" s="4" t="s">
        <v>71</v>
      </c>
      <c r="P263" s="4" t="s">
        <v>71</v>
      </c>
      <c r="Q263" s="4" t="s">
        <v>47</v>
      </c>
      <c r="R263" s="172"/>
      <c r="S263" s="172"/>
      <c r="T263" s="172"/>
      <c r="U263" s="172"/>
      <c r="V263" s="172"/>
      <c r="W263" s="172"/>
      <c r="X263" s="172"/>
      <c r="Y263" s="172"/>
      <c r="Z263" s="172"/>
    </row>
    <row r="264" spans="1:26" ht="13.8">
      <c r="A264" s="166">
        <v>65</v>
      </c>
      <c r="B264" s="4" t="s">
        <v>720</v>
      </c>
      <c r="C264" s="4">
        <v>836</v>
      </c>
      <c r="D264" s="4" t="s">
        <v>71</v>
      </c>
      <c r="E264" s="4" t="s">
        <v>71</v>
      </c>
      <c r="F264" s="4" t="s">
        <v>71</v>
      </c>
      <c r="G264" s="4" t="s">
        <v>723</v>
      </c>
      <c r="H264" s="4" t="s">
        <v>724</v>
      </c>
      <c r="I264" s="4" t="s">
        <v>725</v>
      </c>
      <c r="J264" s="4" t="s">
        <v>1146</v>
      </c>
      <c r="K264" s="4">
        <v>7021480916</v>
      </c>
      <c r="L264" s="4" t="s">
        <v>3092</v>
      </c>
      <c r="M264" s="4">
        <v>7021480916</v>
      </c>
      <c r="N264" s="4" t="s">
        <v>71</v>
      </c>
      <c r="O264" s="4" t="s">
        <v>71</v>
      </c>
      <c r="P264" s="4" t="s">
        <v>71</v>
      </c>
      <c r="Q264" s="4" t="s">
        <v>47</v>
      </c>
      <c r="R264" s="172"/>
      <c r="S264" s="172"/>
      <c r="T264" s="172"/>
      <c r="U264" s="172"/>
      <c r="V264" s="172"/>
      <c r="W264" s="172"/>
      <c r="X264" s="172"/>
      <c r="Y264" s="172"/>
      <c r="Z264" s="172"/>
    </row>
    <row r="265" spans="1:26" ht="13.8">
      <c r="A265" s="166">
        <v>66</v>
      </c>
      <c r="B265" s="4" t="s">
        <v>730</v>
      </c>
      <c r="C265" s="4">
        <v>837</v>
      </c>
      <c r="D265" s="4" t="s">
        <v>71</v>
      </c>
      <c r="E265" s="4" t="s">
        <v>71</v>
      </c>
      <c r="F265" s="4" t="s">
        <v>71</v>
      </c>
      <c r="G265" s="4" t="s">
        <v>733</v>
      </c>
      <c r="H265" s="4" t="s">
        <v>734</v>
      </c>
      <c r="I265" s="4" t="s">
        <v>78</v>
      </c>
      <c r="J265" s="4" t="s">
        <v>1159</v>
      </c>
      <c r="K265" s="173">
        <v>492000000000</v>
      </c>
      <c r="L265" s="4" t="s">
        <v>3093</v>
      </c>
      <c r="M265" s="173">
        <v>492000000000</v>
      </c>
      <c r="N265" s="4" t="s">
        <v>71</v>
      </c>
      <c r="O265" s="4" t="s">
        <v>71</v>
      </c>
      <c r="P265" s="4" t="s">
        <v>71</v>
      </c>
      <c r="Q265" s="4" t="s">
        <v>47</v>
      </c>
      <c r="R265" s="172"/>
      <c r="S265" s="172"/>
      <c r="T265" s="172"/>
      <c r="U265" s="172"/>
      <c r="V265" s="172"/>
      <c r="W265" s="172"/>
      <c r="X265" s="172"/>
      <c r="Y265" s="172"/>
      <c r="Z265" s="172"/>
    </row>
    <row r="266" spans="1:26" ht="13.8">
      <c r="A266" s="166">
        <v>67</v>
      </c>
      <c r="B266" s="4" t="s">
        <v>736</v>
      </c>
      <c r="C266" s="4">
        <v>838</v>
      </c>
      <c r="D266" s="4" t="s">
        <v>71</v>
      </c>
      <c r="E266" s="4" t="s">
        <v>71</v>
      </c>
      <c r="F266" s="4" t="s">
        <v>746</v>
      </c>
      <c r="G266" s="4" t="s">
        <v>739</v>
      </c>
      <c r="H266" s="4" t="s">
        <v>740</v>
      </c>
      <c r="I266" s="4" t="s">
        <v>260</v>
      </c>
      <c r="J266" s="4" t="s">
        <v>1159</v>
      </c>
      <c r="K266" s="4">
        <v>7977755253</v>
      </c>
      <c r="L266" s="4" t="s">
        <v>3094</v>
      </c>
      <c r="M266" s="4">
        <v>7977755253</v>
      </c>
      <c r="N266" s="4" t="s">
        <v>3095</v>
      </c>
      <c r="O266" s="4" t="s">
        <v>71</v>
      </c>
      <c r="P266" s="168" t="s">
        <v>742</v>
      </c>
      <c r="Q266" s="4" t="s">
        <v>47</v>
      </c>
      <c r="R266" s="172"/>
      <c r="S266" s="172"/>
      <c r="T266" s="172"/>
      <c r="U266" s="172"/>
      <c r="V266" s="172"/>
      <c r="W266" s="172"/>
      <c r="X266" s="172"/>
      <c r="Y266" s="172"/>
      <c r="Z266" s="172"/>
    </row>
    <row r="267" spans="1:26" ht="13.8">
      <c r="A267" s="166">
        <v>68</v>
      </c>
      <c r="B267" s="4" t="s">
        <v>748</v>
      </c>
      <c r="C267" s="4">
        <v>839</v>
      </c>
      <c r="D267" s="4" t="s">
        <v>3096</v>
      </c>
      <c r="E267" s="4" t="s">
        <v>757</v>
      </c>
      <c r="F267" s="4" t="s">
        <v>758</v>
      </c>
      <c r="G267" s="4" t="s">
        <v>751</v>
      </c>
      <c r="H267" s="4" t="s">
        <v>752</v>
      </c>
      <c r="I267" s="4" t="s">
        <v>534</v>
      </c>
      <c r="J267" s="4" t="s">
        <v>3097</v>
      </c>
      <c r="K267" s="4">
        <v>9920489374</v>
      </c>
      <c r="L267" s="4" t="s">
        <v>3098</v>
      </c>
      <c r="M267" s="4">
        <v>9920489374</v>
      </c>
      <c r="N267" s="4" t="s">
        <v>3099</v>
      </c>
      <c r="O267" s="4" t="s">
        <v>71</v>
      </c>
      <c r="P267" s="168" t="s">
        <v>754</v>
      </c>
      <c r="Q267" s="4" t="s">
        <v>47</v>
      </c>
      <c r="R267" s="172"/>
      <c r="S267" s="172"/>
      <c r="T267" s="172"/>
      <c r="U267" s="172"/>
      <c r="V267" s="172"/>
      <c r="W267" s="172"/>
      <c r="X267" s="172"/>
      <c r="Y267" s="172"/>
      <c r="Z267" s="172"/>
    </row>
    <row r="268" spans="1:26" ht="13.8">
      <c r="A268" s="166">
        <v>262</v>
      </c>
      <c r="B268" s="4" t="s">
        <v>3551</v>
      </c>
      <c r="C268" s="4">
        <v>846</v>
      </c>
      <c r="D268" s="4" t="s">
        <v>71</v>
      </c>
      <c r="E268" s="4" t="s">
        <v>3552</v>
      </c>
      <c r="F268" s="4" t="s">
        <v>3547</v>
      </c>
      <c r="G268" s="4" t="s">
        <v>2781</v>
      </c>
      <c r="H268" s="4" t="s">
        <v>3553</v>
      </c>
      <c r="I268" s="4" t="s">
        <v>3554</v>
      </c>
      <c r="J268" s="4" t="s">
        <v>2785</v>
      </c>
      <c r="K268" s="4">
        <v>9004446670</v>
      </c>
      <c r="L268" s="4" t="s">
        <v>2780</v>
      </c>
      <c r="M268" s="4">
        <v>9004446670</v>
      </c>
      <c r="N268" s="4" t="s">
        <v>3550</v>
      </c>
      <c r="O268" s="4" t="s">
        <v>71</v>
      </c>
      <c r="P268" s="168" t="s">
        <v>2786</v>
      </c>
      <c r="Q268" s="4" t="s">
        <v>47</v>
      </c>
      <c r="R268" s="172"/>
      <c r="S268" s="172"/>
      <c r="T268" s="172"/>
      <c r="U268" s="172"/>
      <c r="V268" s="172"/>
      <c r="W268" s="172"/>
      <c r="X268" s="172"/>
      <c r="Y268" s="172"/>
      <c r="Z268" s="172"/>
    </row>
    <row r="269" spans="1:26" ht="13.8">
      <c r="A269" s="166">
        <v>263</v>
      </c>
      <c r="B269" s="4" t="s">
        <v>3555</v>
      </c>
      <c r="C269" s="4">
        <v>847</v>
      </c>
      <c r="D269" s="4" t="s">
        <v>71</v>
      </c>
      <c r="E269" s="4" t="s">
        <v>3556</v>
      </c>
      <c r="F269" s="4" t="s">
        <v>3547</v>
      </c>
      <c r="G269" s="4" t="s">
        <v>2781</v>
      </c>
      <c r="H269" s="4" t="s">
        <v>3557</v>
      </c>
      <c r="I269" s="4" t="s">
        <v>3558</v>
      </c>
      <c r="J269" s="4" t="s">
        <v>2785</v>
      </c>
      <c r="K269" s="4">
        <v>9136013074</v>
      </c>
      <c r="L269" s="4" t="s">
        <v>2780</v>
      </c>
      <c r="M269" s="4">
        <v>9136013074</v>
      </c>
      <c r="N269" s="4" t="s">
        <v>3550</v>
      </c>
      <c r="O269" s="4" t="s">
        <v>71</v>
      </c>
      <c r="P269" s="168" t="s">
        <v>2786</v>
      </c>
      <c r="Q269" s="4" t="s">
        <v>47</v>
      </c>
      <c r="R269" s="172"/>
      <c r="S269" s="172"/>
      <c r="T269" s="172"/>
      <c r="U269" s="172"/>
      <c r="V269" s="172"/>
      <c r="W269" s="172"/>
      <c r="X269" s="172"/>
      <c r="Y269" s="172"/>
      <c r="Z269" s="172"/>
    </row>
    <row r="270" spans="1:26" ht="13.8">
      <c r="A270" s="166">
        <v>264</v>
      </c>
      <c r="B270" s="4" t="s">
        <v>3559</v>
      </c>
      <c r="C270" s="4">
        <v>848</v>
      </c>
      <c r="D270" s="4" t="s">
        <v>71</v>
      </c>
      <c r="E270" s="4" t="s">
        <v>3560</v>
      </c>
      <c r="F270" s="4" t="s">
        <v>3547</v>
      </c>
      <c r="G270" s="4" t="s">
        <v>2781</v>
      </c>
      <c r="H270" s="4" t="s">
        <v>3561</v>
      </c>
      <c r="I270" s="4" t="s">
        <v>3562</v>
      </c>
      <c r="J270" s="4" t="s">
        <v>2785</v>
      </c>
      <c r="K270" s="4">
        <v>9004446682</v>
      </c>
      <c r="L270" s="4" t="s">
        <v>2780</v>
      </c>
      <c r="M270" s="4">
        <v>9004446682</v>
      </c>
      <c r="N270" s="4" t="s">
        <v>3550</v>
      </c>
      <c r="O270" s="4" t="s">
        <v>71</v>
      </c>
      <c r="P270" s="168" t="s">
        <v>2786</v>
      </c>
      <c r="Q270" s="4" t="s">
        <v>47</v>
      </c>
      <c r="R270" s="172"/>
      <c r="S270" s="172"/>
      <c r="T270" s="172"/>
      <c r="U270" s="172"/>
      <c r="V270" s="172"/>
      <c r="W270" s="172"/>
      <c r="X270" s="172"/>
      <c r="Y270" s="172"/>
      <c r="Z270" s="172"/>
    </row>
    <row r="271" spans="1:26" ht="13.8">
      <c r="A271" s="166">
        <v>265</v>
      </c>
      <c r="B271" s="4" t="s">
        <v>3563</v>
      </c>
      <c r="C271" s="4">
        <v>849</v>
      </c>
      <c r="D271" s="4" t="s">
        <v>71</v>
      </c>
      <c r="E271" s="4" t="s">
        <v>3564</v>
      </c>
      <c r="F271" s="4" t="s">
        <v>3547</v>
      </c>
      <c r="G271" s="4" t="s">
        <v>2781</v>
      </c>
      <c r="H271" s="4" t="s">
        <v>3565</v>
      </c>
      <c r="I271" s="4" t="s">
        <v>3566</v>
      </c>
      <c r="J271" s="4" t="s">
        <v>2785</v>
      </c>
      <c r="K271" s="4">
        <v>8657995911</v>
      </c>
      <c r="L271" s="4" t="s">
        <v>2780</v>
      </c>
      <c r="M271" s="4">
        <v>8657995911</v>
      </c>
      <c r="N271" s="4" t="s">
        <v>3550</v>
      </c>
      <c r="O271" s="4" t="s">
        <v>71</v>
      </c>
      <c r="P271" s="168" t="s">
        <v>2786</v>
      </c>
      <c r="Q271" s="4" t="s">
        <v>47</v>
      </c>
      <c r="R271" s="172"/>
      <c r="S271" s="172"/>
      <c r="T271" s="172"/>
      <c r="U271" s="172"/>
      <c r="V271" s="172"/>
      <c r="W271" s="172"/>
      <c r="X271" s="172"/>
      <c r="Y271" s="172"/>
      <c r="Z271" s="172"/>
    </row>
    <row r="272" spans="1:26" ht="13.8">
      <c r="A272" s="166">
        <v>266</v>
      </c>
      <c r="B272" s="4" t="s">
        <v>3567</v>
      </c>
      <c r="C272" s="4">
        <v>850</v>
      </c>
      <c r="D272" s="4" t="s">
        <v>71</v>
      </c>
      <c r="E272" s="4" t="s">
        <v>3568</v>
      </c>
      <c r="F272" s="4" t="s">
        <v>3547</v>
      </c>
      <c r="G272" s="4" t="s">
        <v>2781</v>
      </c>
      <c r="H272" s="4" t="s">
        <v>3569</v>
      </c>
      <c r="I272" s="4" t="s">
        <v>3570</v>
      </c>
      <c r="J272" s="4" t="s">
        <v>2785</v>
      </c>
      <c r="K272" s="4">
        <v>9004492304</v>
      </c>
      <c r="L272" s="4" t="s">
        <v>2780</v>
      </c>
      <c r="M272" s="4">
        <v>9004492304</v>
      </c>
      <c r="N272" s="4" t="s">
        <v>3550</v>
      </c>
      <c r="O272" s="4" t="s">
        <v>71</v>
      </c>
      <c r="P272" s="168" t="s">
        <v>2786</v>
      </c>
      <c r="Q272" s="4" t="s">
        <v>47</v>
      </c>
      <c r="R272" s="172"/>
      <c r="S272" s="172"/>
      <c r="T272" s="172"/>
      <c r="U272" s="172"/>
      <c r="V272" s="172"/>
      <c r="W272" s="172"/>
      <c r="X272" s="172"/>
      <c r="Y272" s="172"/>
      <c r="Z272" s="172"/>
    </row>
    <row r="273" spans="1:26" ht="13.8">
      <c r="A273" s="166">
        <v>267</v>
      </c>
      <c r="B273" s="4" t="s">
        <v>3571</v>
      </c>
      <c r="C273" s="4">
        <v>851</v>
      </c>
      <c r="D273" s="4" t="s">
        <v>71</v>
      </c>
      <c r="E273" s="4" t="s">
        <v>3572</v>
      </c>
      <c r="F273" s="4" t="s">
        <v>3547</v>
      </c>
      <c r="G273" s="4" t="s">
        <v>2781</v>
      </c>
      <c r="H273" s="4" t="s">
        <v>3573</v>
      </c>
      <c r="I273" s="4" t="s">
        <v>3574</v>
      </c>
      <c r="J273" s="4" t="s">
        <v>2785</v>
      </c>
      <c r="K273" s="4">
        <v>9004446693</v>
      </c>
      <c r="L273" s="4" t="s">
        <v>2780</v>
      </c>
      <c r="M273" s="4">
        <v>9004446693</v>
      </c>
      <c r="N273" s="4" t="s">
        <v>3550</v>
      </c>
      <c r="O273" s="4" t="s">
        <v>71</v>
      </c>
      <c r="P273" s="168" t="s">
        <v>2786</v>
      </c>
      <c r="Q273" s="4" t="s">
        <v>47</v>
      </c>
      <c r="R273" s="172"/>
      <c r="S273" s="172"/>
      <c r="T273" s="172"/>
      <c r="U273" s="172"/>
      <c r="V273" s="172"/>
      <c r="W273" s="172"/>
      <c r="X273" s="172"/>
      <c r="Y273" s="172"/>
      <c r="Z273" s="172"/>
    </row>
    <row r="274" spans="1:26" ht="13.8">
      <c r="A274" s="166">
        <v>268</v>
      </c>
      <c r="B274" s="4" t="s">
        <v>3575</v>
      </c>
      <c r="C274" s="4">
        <v>852</v>
      </c>
      <c r="D274" s="4" t="s">
        <v>71</v>
      </c>
      <c r="E274" s="4" t="s">
        <v>3576</v>
      </c>
      <c r="F274" s="4" t="s">
        <v>3547</v>
      </c>
      <c r="G274" s="4" t="s">
        <v>2781</v>
      </c>
      <c r="H274" s="4" t="s">
        <v>3577</v>
      </c>
      <c r="I274" s="4" t="s">
        <v>3578</v>
      </c>
      <c r="J274" s="4" t="s">
        <v>2785</v>
      </c>
      <c r="K274" s="4">
        <v>9833051251</v>
      </c>
      <c r="L274" s="4" t="s">
        <v>2780</v>
      </c>
      <c r="M274" s="4">
        <v>9833051251</v>
      </c>
      <c r="N274" s="4" t="s">
        <v>3550</v>
      </c>
      <c r="O274" s="4" t="s">
        <v>71</v>
      </c>
      <c r="P274" s="168" t="s">
        <v>2786</v>
      </c>
      <c r="Q274" s="4" t="s">
        <v>47</v>
      </c>
      <c r="R274" s="172"/>
      <c r="S274" s="172"/>
      <c r="T274" s="172"/>
      <c r="U274" s="172"/>
      <c r="V274" s="172"/>
      <c r="W274" s="172"/>
      <c r="X274" s="172"/>
      <c r="Y274" s="172"/>
      <c r="Z274" s="172"/>
    </row>
    <row r="275" spans="1:26" ht="13.8">
      <c r="A275" s="166">
        <v>269</v>
      </c>
      <c r="B275" s="4" t="s">
        <v>3579</v>
      </c>
      <c r="C275" s="4">
        <v>853</v>
      </c>
      <c r="D275" s="4" t="s">
        <v>71</v>
      </c>
      <c r="E275" s="4" t="s">
        <v>3580</v>
      </c>
      <c r="F275" s="4" t="s">
        <v>3547</v>
      </c>
      <c r="G275" s="4" t="s">
        <v>2781</v>
      </c>
      <c r="H275" s="4" t="s">
        <v>3581</v>
      </c>
      <c r="I275" s="4" t="s">
        <v>3582</v>
      </c>
      <c r="J275" s="4" t="s">
        <v>2785</v>
      </c>
      <c r="K275" s="4">
        <v>9821436720</v>
      </c>
      <c r="L275" s="4" t="s">
        <v>2780</v>
      </c>
      <c r="M275" s="4">
        <v>9821436720</v>
      </c>
      <c r="N275" s="4" t="s">
        <v>3550</v>
      </c>
      <c r="O275" s="4" t="s">
        <v>71</v>
      </c>
      <c r="P275" s="168" t="s">
        <v>2786</v>
      </c>
      <c r="Q275" s="4" t="s">
        <v>47</v>
      </c>
      <c r="R275" s="172"/>
      <c r="S275" s="172"/>
      <c r="T275" s="172"/>
      <c r="U275" s="172"/>
      <c r="V275" s="172"/>
      <c r="W275" s="172"/>
      <c r="X275" s="172"/>
      <c r="Y275" s="172"/>
      <c r="Z275" s="172"/>
    </row>
    <row r="276" spans="1:26" ht="13.8">
      <c r="A276" s="166">
        <v>270</v>
      </c>
      <c r="B276" s="4" t="s">
        <v>3583</v>
      </c>
      <c r="C276" s="4">
        <v>854</v>
      </c>
      <c r="D276" s="4" t="s">
        <v>71</v>
      </c>
      <c r="E276" s="4" t="s">
        <v>3584</v>
      </c>
      <c r="F276" s="4" t="s">
        <v>3547</v>
      </c>
      <c r="G276" s="4" t="s">
        <v>2781</v>
      </c>
      <c r="H276" s="4" t="s">
        <v>3585</v>
      </c>
      <c r="I276" s="4" t="s">
        <v>1610</v>
      </c>
      <c r="J276" s="4" t="s">
        <v>2785</v>
      </c>
      <c r="K276" s="4">
        <v>9821136720</v>
      </c>
      <c r="L276" s="4" t="s">
        <v>2780</v>
      </c>
      <c r="M276" s="4">
        <v>9821136720</v>
      </c>
      <c r="N276" s="4" t="s">
        <v>3550</v>
      </c>
      <c r="O276" s="4" t="s">
        <v>71</v>
      </c>
      <c r="P276" s="168" t="s">
        <v>2786</v>
      </c>
      <c r="Q276" s="4" t="s">
        <v>47</v>
      </c>
      <c r="R276" s="172"/>
      <c r="S276" s="172"/>
      <c r="T276" s="172"/>
      <c r="U276" s="172"/>
      <c r="V276" s="172"/>
      <c r="W276" s="172"/>
      <c r="X276" s="172"/>
      <c r="Y276" s="172"/>
      <c r="Z276" s="172"/>
    </row>
    <row r="277" spans="1:26" ht="13.8">
      <c r="A277" s="166">
        <v>271</v>
      </c>
      <c r="B277" s="4" t="s">
        <v>3586</v>
      </c>
      <c r="C277" s="4">
        <v>855</v>
      </c>
      <c r="D277" s="4" t="s">
        <v>71</v>
      </c>
      <c r="E277" s="4" t="s">
        <v>3587</v>
      </c>
      <c r="F277" s="4" t="s">
        <v>3547</v>
      </c>
      <c r="G277" s="4" t="s">
        <v>2781</v>
      </c>
      <c r="H277" s="4" t="s">
        <v>3588</v>
      </c>
      <c r="I277" s="4" t="s">
        <v>191</v>
      </c>
      <c r="J277" s="4" t="s">
        <v>2785</v>
      </c>
      <c r="K277" s="4">
        <v>9004446681</v>
      </c>
      <c r="L277" s="4" t="s">
        <v>2780</v>
      </c>
      <c r="M277" s="4">
        <v>9004446681</v>
      </c>
      <c r="N277" s="4" t="s">
        <v>3550</v>
      </c>
      <c r="O277" s="4" t="s">
        <v>71</v>
      </c>
      <c r="P277" s="168" t="s">
        <v>2786</v>
      </c>
      <c r="Q277" s="4" t="s">
        <v>47</v>
      </c>
      <c r="R277" s="172"/>
      <c r="S277" s="172"/>
      <c r="T277" s="172"/>
      <c r="U277" s="172"/>
      <c r="V277" s="172"/>
      <c r="W277" s="172"/>
      <c r="X277" s="172"/>
      <c r="Y277" s="172"/>
      <c r="Z277" s="172"/>
    </row>
    <row r="278" spans="1:26" ht="13.8">
      <c r="A278" s="166">
        <v>272</v>
      </c>
      <c r="B278" s="4" t="s">
        <v>3589</v>
      </c>
      <c r="C278" s="4">
        <v>856</v>
      </c>
      <c r="D278" s="4" t="s">
        <v>71</v>
      </c>
      <c r="E278" s="4" t="s">
        <v>3590</v>
      </c>
      <c r="F278" s="4" t="s">
        <v>3547</v>
      </c>
      <c r="G278" s="4" t="s">
        <v>2781</v>
      </c>
      <c r="H278" s="4" t="s">
        <v>3591</v>
      </c>
      <c r="I278" s="4" t="s">
        <v>3592</v>
      </c>
      <c r="J278" s="4" t="s">
        <v>2785</v>
      </c>
      <c r="K278" s="4">
        <v>8657859790</v>
      </c>
      <c r="L278" s="4" t="s">
        <v>2780</v>
      </c>
      <c r="M278" s="4">
        <v>8657859790</v>
      </c>
      <c r="N278" s="4" t="s">
        <v>3550</v>
      </c>
      <c r="O278" s="4" t="s">
        <v>71</v>
      </c>
      <c r="P278" s="168" t="s">
        <v>2786</v>
      </c>
      <c r="Q278" s="4" t="s">
        <v>47</v>
      </c>
      <c r="R278" s="172"/>
      <c r="S278" s="172"/>
      <c r="T278" s="172"/>
      <c r="U278" s="172"/>
      <c r="V278" s="172"/>
      <c r="W278" s="172"/>
      <c r="X278" s="172"/>
      <c r="Y278" s="172"/>
      <c r="Z278" s="172"/>
    </row>
    <row r="279" spans="1:26" ht="13.8">
      <c r="A279" s="166">
        <v>273</v>
      </c>
      <c r="B279" s="4" t="s">
        <v>3593</v>
      </c>
      <c r="C279" s="4">
        <v>857</v>
      </c>
      <c r="D279" s="4" t="s">
        <v>71</v>
      </c>
      <c r="E279" s="4" t="s">
        <v>3594</v>
      </c>
      <c r="F279" s="4" t="s">
        <v>3547</v>
      </c>
      <c r="G279" s="4" t="s">
        <v>2781</v>
      </c>
      <c r="H279" s="4" t="s">
        <v>3595</v>
      </c>
      <c r="I279" s="4" t="s">
        <v>3596</v>
      </c>
      <c r="J279" s="4" t="s">
        <v>2785</v>
      </c>
      <c r="K279" s="4">
        <v>9004425450</v>
      </c>
      <c r="L279" s="4" t="s">
        <v>2780</v>
      </c>
      <c r="M279" s="4">
        <v>9004425450</v>
      </c>
      <c r="N279" s="4" t="s">
        <v>3550</v>
      </c>
      <c r="O279" s="4" t="s">
        <v>71</v>
      </c>
      <c r="P279" s="168" t="s">
        <v>2786</v>
      </c>
      <c r="Q279" s="4" t="s">
        <v>47</v>
      </c>
      <c r="R279" s="172"/>
      <c r="S279" s="172"/>
      <c r="T279" s="172"/>
      <c r="U279" s="172"/>
      <c r="V279" s="172"/>
      <c r="W279" s="172"/>
      <c r="X279" s="172"/>
      <c r="Y279" s="172"/>
      <c r="Z279" s="172"/>
    </row>
    <row r="280" spans="1:26" ht="13.8">
      <c r="A280" s="166">
        <v>274</v>
      </c>
      <c r="B280" s="4" t="s">
        <v>3597</v>
      </c>
      <c r="C280" s="4">
        <v>858</v>
      </c>
      <c r="D280" s="4" t="s">
        <v>71</v>
      </c>
      <c r="E280" s="4" t="s">
        <v>3598</v>
      </c>
      <c r="F280" s="4" t="s">
        <v>3547</v>
      </c>
      <c r="G280" s="4" t="s">
        <v>2781</v>
      </c>
      <c r="H280" s="4" t="s">
        <v>3599</v>
      </c>
      <c r="I280" s="4" t="s">
        <v>3600</v>
      </c>
      <c r="J280" s="4" t="s">
        <v>2785</v>
      </c>
      <c r="K280" s="4">
        <v>8451901601</v>
      </c>
      <c r="L280" s="4" t="s">
        <v>2780</v>
      </c>
      <c r="M280" s="4">
        <v>8451901601</v>
      </c>
      <c r="N280" s="4" t="s">
        <v>3550</v>
      </c>
      <c r="O280" s="4" t="s">
        <v>71</v>
      </c>
      <c r="P280" s="168" t="s">
        <v>2786</v>
      </c>
      <c r="Q280" s="4" t="s">
        <v>47</v>
      </c>
      <c r="R280" s="172"/>
      <c r="S280" s="172"/>
      <c r="T280" s="172"/>
      <c r="U280" s="172"/>
      <c r="V280" s="172"/>
      <c r="W280" s="172"/>
      <c r="X280" s="172"/>
      <c r="Y280" s="172"/>
      <c r="Z280" s="172"/>
    </row>
    <row r="281" spans="1:26" ht="13.8">
      <c r="A281" s="166">
        <v>275</v>
      </c>
      <c r="B281" s="4" t="s">
        <v>3601</v>
      </c>
      <c r="C281" s="4">
        <v>859</v>
      </c>
      <c r="D281" s="4" t="s">
        <v>71</v>
      </c>
      <c r="E281" s="4" t="s">
        <v>3602</v>
      </c>
      <c r="F281" s="4" t="s">
        <v>3547</v>
      </c>
      <c r="G281" s="4" t="s">
        <v>2781</v>
      </c>
      <c r="H281" s="4" t="s">
        <v>3603</v>
      </c>
      <c r="I281" s="4" t="s">
        <v>3604</v>
      </c>
      <c r="J281" s="4" t="s">
        <v>2785</v>
      </c>
      <c r="K281" s="4">
        <v>7400420545</v>
      </c>
      <c r="L281" s="4" t="s">
        <v>2780</v>
      </c>
      <c r="M281" s="4">
        <v>7400420545</v>
      </c>
      <c r="N281" s="4" t="s">
        <v>3550</v>
      </c>
      <c r="O281" s="4" t="s">
        <v>71</v>
      </c>
      <c r="P281" s="168" t="s">
        <v>2786</v>
      </c>
      <c r="Q281" s="4" t="s">
        <v>47</v>
      </c>
      <c r="R281" s="172"/>
      <c r="S281" s="172"/>
      <c r="T281" s="172"/>
      <c r="U281" s="172"/>
      <c r="V281" s="172"/>
      <c r="W281" s="172"/>
      <c r="X281" s="172"/>
      <c r="Y281" s="172"/>
      <c r="Z281" s="172"/>
    </row>
    <row r="282" spans="1:26" ht="13.8">
      <c r="A282" s="166">
        <v>276</v>
      </c>
      <c r="B282" s="4" t="s">
        <v>3605</v>
      </c>
      <c r="C282" s="4">
        <v>860</v>
      </c>
      <c r="D282" s="4" t="s">
        <v>71</v>
      </c>
      <c r="E282" s="4" t="s">
        <v>3606</v>
      </c>
      <c r="F282" s="4" t="s">
        <v>3547</v>
      </c>
      <c r="G282" s="4" t="s">
        <v>2781</v>
      </c>
      <c r="H282" s="4" t="s">
        <v>3607</v>
      </c>
      <c r="I282" s="4" t="s">
        <v>3608</v>
      </c>
      <c r="J282" s="4" t="s">
        <v>2785</v>
      </c>
      <c r="K282" s="4">
        <v>8976909097</v>
      </c>
      <c r="L282" s="4" t="s">
        <v>2780</v>
      </c>
      <c r="M282" s="4">
        <v>8976909097</v>
      </c>
      <c r="N282" s="4" t="s">
        <v>3550</v>
      </c>
      <c r="O282" s="4" t="s">
        <v>71</v>
      </c>
      <c r="P282" s="168" t="s">
        <v>2786</v>
      </c>
      <c r="Q282" s="4" t="s">
        <v>47</v>
      </c>
      <c r="R282" s="172"/>
      <c r="S282" s="172"/>
      <c r="T282" s="172"/>
      <c r="U282" s="172"/>
      <c r="V282" s="172"/>
      <c r="W282" s="172"/>
      <c r="X282" s="172"/>
      <c r="Y282" s="172"/>
      <c r="Z282" s="172"/>
    </row>
    <row r="283" spans="1:26" ht="13.8">
      <c r="A283" s="166">
        <v>277</v>
      </c>
      <c r="B283" s="4" t="s">
        <v>3609</v>
      </c>
      <c r="C283" s="4">
        <v>861</v>
      </c>
      <c r="D283" s="4" t="s">
        <v>71</v>
      </c>
      <c r="E283" s="4" t="s">
        <v>71</v>
      </c>
      <c r="F283" s="4" t="s">
        <v>3547</v>
      </c>
      <c r="G283" s="4" t="s">
        <v>2781</v>
      </c>
      <c r="H283" s="4" t="s">
        <v>3610</v>
      </c>
      <c r="I283" s="4" t="s">
        <v>3611</v>
      </c>
      <c r="J283" s="4" t="s">
        <v>2785</v>
      </c>
      <c r="K283" s="4">
        <v>9136699303</v>
      </c>
      <c r="L283" s="4" t="s">
        <v>2780</v>
      </c>
      <c r="M283" s="4">
        <v>9136699303</v>
      </c>
      <c r="N283" s="4" t="s">
        <v>3550</v>
      </c>
      <c r="O283" s="4" t="s">
        <v>71</v>
      </c>
      <c r="P283" s="168" t="s">
        <v>2786</v>
      </c>
      <c r="Q283" s="4" t="s">
        <v>47</v>
      </c>
      <c r="R283" s="172"/>
      <c r="S283" s="172"/>
      <c r="T283" s="172"/>
      <c r="U283" s="172"/>
      <c r="V283" s="172"/>
      <c r="W283" s="172"/>
      <c r="X283" s="172"/>
      <c r="Y283" s="172"/>
      <c r="Z283" s="172"/>
    </row>
    <row r="284" spans="1:26" ht="13.8">
      <c r="A284" s="166">
        <v>278</v>
      </c>
      <c r="B284" s="4" t="s">
        <v>3612</v>
      </c>
      <c r="C284" s="4">
        <v>862</v>
      </c>
      <c r="D284" s="4" t="s">
        <v>71</v>
      </c>
      <c r="E284" s="4" t="s">
        <v>71</v>
      </c>
      <c r="F284" s="4" t="s">
        <v>3547</v>
      </c>
      <c r="G284" s="4" t="s">
        <v>2781</v>
      </c>
      <c r="H284" s="4" t="s">
        <v>3613</v>
      </c>
      <c r="I284" s="4" t="s">
        <v>3614</v>
      </c>
      <c r="J284" s="4" t="s">
        <v>2785</v>
      </c>
      <c r="K284" s="4">
        <v>8451903628</v>
      </c>
      <c r="L284" s="4" t="s">
        <v>2780</v>
      </c>
      <c r="M284" s="4">
        <v>8451903628</v>
      </c>
      <c r="N284" s="4" t="s">
        <v>3550</v>
      </c>
      <c r="O284" s="4" t="s">
        <v>71</v>
      </c>
      <c r="P284" s="168" t="s">
        <v>2786</v>
      </c>
      <c r="Q284" s="4" t="s">
        <v>47</v>
      </c>
      <c r="R284" s="172"/>
      <c r="S284" s="172"/>
      <c r="T284" s="172"/>
      <c r="U284" s="172"/>
      <c r="V284" s="172"/>
      <c r="W284" s="172"/>
      <c r="X284" s="172"/>
      <c r="Y284" s="172"/>
      <c r="Z284" s="172"/>
    </row>
    <row r="285" spans="1:26" ht="13.8">
      <c r="A285" s="166">
        <v>279</v>
      </c>
      <c r="B285" s="4" t="s">
        <v>3615</v>
      </c>
      <c r="C285" s="4">
        <v>863</v>
      </c>
      <c r="D285" s="4" t="s">
        <v>71</v>
      </c>
      <c r="E285" s="4" t="s">
        <v>71</v>
      </c>
      <c r="F285" s="4" t="s">
        <v>3547</v>
      </c>
      <c r="G285" s="4" t="s">
        <v>2781</v>
      </c>
      <c r="H285" s="4" t="s">
        <v>3616</v>
      </c>
      <c r="I285" s="4" t="s">
        <v>3617</v>
      </c>
      <c r="J285" s="4" t="s">
        <v>2785</v>
      </c>
      <c r="K285" s="4">
        <v>8879058840</v>
      </c>
      <c r="L285" s="4" t="s">
        <v>2780</v>
      </c>
      <c r="M285" s="4">
        <v>8879058840</v>
      </c>
      <c r="N285" s="4" t="s">
        <v>3550</v>
      </c>
      <c r="O285" s="4" t="s">
        <v>71</v>
      </c>
      <c r="P285" s="168" t="s">
        <v>2786</v>
      </c>
      <c r="Q285" s="4" t="s">
        <v>47</v>
      </c>
      <c r="R285" s="172"/>
      <c r="S285" s="172"/>
      <c r="T285" s="172"/>
      <c r="U285" s="172"/>
      <c r="V285" s="172"/>
      <c r="W285" s="172"/>
      <c r="X285" s="172"/>
      <c r="Y285" s="172"/>
      <c r="Z285" s="172"/>
    </row>
    <row r="286" spans="1:26" ht="13.8">
      <c r="A286" s="166">
        <v>280</v>
      </c>
      <c r="B286" s="4" t="s">
        <v>3618</v>
      </c>
      <c r="C286" s="4">
        <v>864</v>
      </c>
      <c r="D286" s="4" t="s">
        <v>71</v>
      </c>
      <c r="E286" s="4" t="s">
        <v>71</v>
      </c>
      <c r="F286" s="4" t="s">
        <v>3547</v>
      </c>
      <c r="G286" s="4" t="s">
        <v>2781</v>
      </c>
      <c r="H286" s="4" t="s">
        <v>3619</v>
      </c>
      <c r="I286" s="4" t="s">
        <v>3620</v>
      </c>
      <c r="J286" s="4" t="s">
        <v>2785</v>
      </c>
      <c r="K286" s="4">
        <v>7777078478</v>
      </c>
      <c r="L286" s="4" t="s">
        <v>2780</v>
      </c>
      <c r="M286" s="4">
        <v>7777078478</v>
      </c>
      <c r="N286" s="4" t="s">
        <v>3550</v>
      </c>
      <c r="O286" s="4" t="s">
        <v>71</v>
      </c>
      <c r="P286" s="168" t="s">
        <v>2786</v>
      </c>
      <c r="Q286" s="4" t="s">
        <v>47</v>
      </c>
      <c r="R286" s="172"/>
      <c r="S286" s="172"/>
      <c r="T286" s="172"/>
      <c r="U286" s="172"/>
      <c r="V286" s="172"/>
      <c r="W286" s="172"/>
      <c r="X286" s="172"/>
      <c r="Y286" s="172"/>
      <c r="Z286" s="172"/>
    </row>
    <row r="287" spans="1:26" ht="13.8">
      <c r="A287" s="166">
        <v>281</v>
      </c>
      <c r="B287" s="4" t="s">
        <v>3621</v>
      </c>
      <c r="C287" s="4">
        <v>865</v>
      </c>
      <c r="D287" s="4" t="s">
        <v>71</v>
      </c>
      <c r="E287" s="4" t="s">
        <v>71</v>
      </c>
      <c r="F287" s="4" t="s">
        <v>3547</v>
      </c>
      <c r="G287" s="4" t="s">
        <v>2781</v>
      </c>
      <c r="H287" s="4" t="s">
        <v>3622</v>
      </c>
      <c r="I287" s="4" t="s">
        <v>3623</v>
      </c>
      <c r="J287" s="4" t="s">
        <v>2785</v>
      </c>
      <c r="K287" s="4">
        <v>7400492872</v>
      </c>
      <c r="L287" s="4" t="s">
        <v>2780</v>
      </c>
      <c r="M287" s="4">
        <v>7400492872</v>
      </c>
      <c r="N287" s="4" t="s">
        <v>3550</v>
      </c>
      <c r="O287" s="4" t="s">
        <v>71</v>
      </c>
      <c r="P287" s="168" t="s">
        <v>2786</v>
      </c>
      <c r="Q287" s="4" t="s">
        <v>47</v>
      </c>
      <c r="R287" s="172"/>
      <c r="S287" s="172"/>
      <c r="T287" s="172"/>
      <c r="U287" s="172"/>
      <c r="V287" s="172"/>
      <c r="W287" s="172"/>
      <c r="X287" s="172"/>
      <c r="Y287" s="172"/>
      <c r="Z287" s="172"/>
    </row>
    <row r="288" spans="1:26" ht="13.8">
      <c r="A288" s="166">
        <v>69</v>
      </c>
      <c r="B288" s="4" t="s">
        <v>760</v>
      </c>
      <c r="C288" s="4">
        <v>869</v>
      </c>
      <c r="D288" s="4" t="s">
        <v>71</v>
      </c>
      <c r="E288" s="4" t="s">
        <v>71</v>
      </c>
      <c r="F288" s="4" t="s">
        <v>71</v>
      </c>
      <c r="G288" s="4" t="s">
        <v>763</v>
      </c>
      <c r="H288" s="4" t="s">
        <v>764</v>
      </c>
      <c r="I288" s="4" t="s">
        <v>71</v>
      </c>
      <c r="J288" s="4" t="s">
        <v>71</v>
      </c>
      <c r="K288" s="4">
        <v>9987599943</v>
      </c>
      <c r="L288" s="4" t="s">
        <v>3100</v>
      </c>
      <c r="M288" s="4">
        <v>9987599943</v>
      </c>
      <c r="N288" s="4" t="s">
        <v>765</v>
      </c>
      <c r="O288" s="4" t="s">
        <v>71</v>
      </c>
      <c r="P288" s="4" t="s">
        <v>71</v>
      </c>
      <c r="Q288" s="4" t="s">
        <v>47</v>
      </c>
      <c r="R288" s="172"/>
      <c r="S288" s="172"/>
      <c r="T288" s="172"/>
      <c r="U288" s="172"/>
      <c r="V288" s="172"/>
      <c r="W288" s="172"/>
      <c r="X288" s="172"/>
      <c r="Y288" s="172"/>
      <c r="Z288" s="172"/>
    </row>
    <row r="289" spans="1:26" ht="13.8">
      <c r="A289" s="166">
        <v>70</v>
      </c>
      <c r="B289" s="4" t="s">
        <v>767</v>
      </c>
      <c r="C289" s="4">
        <v>870</v>
      </c>
      <c r="D289" s="4" t="s">
        <v>3101</v>
      </c>
      <c r="E289" s="4" t="s">
        <v>779</v>
      </c>
      <c r="F289" s="4" t="s">
        <v>780</v>
      </c>
      <c r="G289" s="4" t="s">
        <v>770</v>
      </c>
      <c r="H289" s="4" t="s">
        <v>771</v>
      </c>
      <c r="I289" s="4" t="s">
        <v>772</v>
      </c>
      <c r="J289" s="4" t="s">
        <v>3102</v>
      </c>
      <c r="K289" s="4">
        <v>9892841461</v>
      </c>
      <c r="L289" s="4" t="s">
        <v>3103</v>
      </c>
      <c r="M289" s="4">
        <v>9892841461</v>
      </c>
      <c r="N289" s="4" t="s">
        <v>3104</v>
      </c>
      <c r="O289" s="4" t="s">
        <v>71</v>
      </c>
      <c r="P289" s="168" t="s">
        <v>774</v>
      </c>
      <c r="Q289" s="4" t="s">
        <v>47</v>
      </c>
      <c r="R289" s="172"/>
      <c r="S289" s="172"/>
      <c r="T289" s="172"/>
      <c r="U289" s="172"/>
      <c r="V289" s="172"/>
      <c r="W289" s="172"/>
      <c r="X289" s="172"/>
      <c r="Y289" s="172"/>
      <c r="Z289" s="172"/>
    </row>
    <row r="290" spans="1:26" ht="13.8">
      <c r="A290" s="166">
        <v>71</v>
      </c>
      <c r="B290" s="4" t="s">
        <v>782</v>
      </c>
      <c r="C290" s="4">
        <v>871</v>
      </c>
      <c r="D290" s="4" t="s">
        <v>3105</v>
      </c>
      <c r="E290" s="4" t="s">
        <v>71</v>
      </c>
      <c r="F290" s="4" t="s">
        <v>71</v>
      </c>
      <c r="G290" s="4" t="s">
        <v>785</v>
      </c>
      <c r="H290" s="4" t="s">
        <v>786</v>
      </c>
      <c r="I290" s="4" t="s">
        <v>787</v>
      </c>
      <c r="J290" s="4" t="s">
        <v>71</v>
      </c>
      <c r="K290" s="4">
        <v>9967535390</v>
      </c>
      <c r="L290" s="4" t="s">
        <v>3103</v>
      </c>
      <c r="M290" s="4">
        <v>9967535390</v>
      </c>
      <c r="N290" s="4" t="s">
        <v>3106</v>
      </c>
      <c r="O290" s="4" t="s">
        <v>71</v>
      </c>
      <c r="P290" s="168" t="s">
        <v>789</v>
      </c>
      <c r="Q290" s="4" t="s">
        <v>47</v>
      </c>
      <c r="R290" s="172"/>
      <c r="S290" s="172"/>
      <c r="T290" s="172"/>
      <c r="U290" s="172"/>
      <c r="V290" s="172"/>
      <c r="W290" s="172"/>
      <c r="X290" s="172"/>
      <c r="Y290" s="172"/>
      <c r="Z290" s="172"/>
    </row>
    <row r="291" spans="1:26" ht="13.8">
      <c r="A291" s="166">
        <v>72</v>
      </c>
      <c r="B291" s="4" t="s">
        <v>796</v>
      </c>
      <c r="C291" s="4">
        <v>872</v>
      </c>
      <c r="D291" s="4" t="s">
        <v>3107</v>
      </c>
      <c r="E291" s="4" t="s">
        <v>71</v>
      </c>
      <c r="F291" s="4" t="s">
        <v>71</v>
      </c>
      <c r="G291" s="4" t="s">
        <v>785</v>
      </c>
      <c r="H291" s="4" t="s">
        <v>799</v>
      </c>
      <c r="I291" s="4" t="s">
        <v>800</v>
      </c>
      <c r="J291" s="4" t="s">
        <v>1244</v>
      </c>
      <c r="K291" s="4">
        <v>9967535389</v>
      </c>
      <c r="L291" s="4" t="s">
        <v>3103</v>
      </c>
      <c r="M291" s="4">
        <v>9967535389</v>
      </c>
      <c r="N291" s="4" t="s">
        <v>3106</v>
      </c>
      <c r="O291" s="4" t="s">
        <v>71</v>
      </c>
      <c r="P291" s="168" t="s">
        <v>789</v>
      </c>
      <c r="Q291" s="4" t="s">
        <v>47</v>
      </c>
      <c r="R291" s="172"/>
      <c r="S291" s="172"/>
      <c r="T291" s="172"/>
      <c r="U291" s="172"/>
      <c r="V291" s="172"/>
      <c r="W291" s="172"/>
      <c r="X291" s="172"/>
      <c r="Y291" s="172"/>
      <c r="Z291" s="172"/>
    </row>
    <row r="292" spans="1:26" ht="13.8">
      <c r="A292" s="166">
        <v>73</v>
      </c>
      <c r="B292" s="4" t="s">
        <v>805</v>
      </c>
      <c r="C292" s="4">
        <v>873</v>
      </c>
      <c r="D292" s="4" t="s">
        <v>3108</v>
      </c>
      <c r="E292" s="4" t="s">
        <v>71</v>
      </c>
      <c r="F292" s="4" t="s">
        <v>71</v>
      </c>
      <c r="G292" s="4" t="s">
        <v>808</v>
      </c>
      <c r="H292" s="4" t="s">
        <v>809</v>
      </c>
      <c r="I292" s="4" t="s">
        <v>810</v>
      </c>
      <c r="J292" s="4" t="s">
        <v>1257</v>
      </c>
      <c r="K292" s="4">
        <v>8459952541</v>
      </c>
      <c r="L292" s="4" t="s">
        <v>3109</v>
      </c>
      <c r="M292" s="4">
        <v>8459952541</v>
      </c>
      <c r="N292" s="4" t="s">
        <v>3110</v>
      </c>
      <c r="O292" s="4" t="s">
        <v>71</v>
      </c>
      <c r="P292" s="4" t="s">
        <v>71</v>
      </c>
      <c r="Q292" s="4" t="s">
        <v>47</v>
      </c>
      <c r="R292" s="172"/>
      <c r="S292" s="172"/>
      <c r="T292" s="172"/>
      <c r="U292" s="172"/>
      <c r="V292" s="172"/>
      <c r="W292" s="172"/>
      <c r="X292" s="172"/>
      <c r="Y292" s="172"/>
      <c r="Z292" s="172"/>
    </row>
    <row r="293" spans="1:26" ht="13.8">
      <c r="A293" s="166">
        <v>74</v>
      </c>
      <c r="B293" s="4" t="s">
        <v>814</v>
      </c>
      <c r="C293" s="4">
        <v>875</v>
      </c>
      <c r="D293" s="4" t="s">
        <v>3111</v>
      </c>
      <c r="E293" s="4" t="s">
        <v>71</v>
      </c>
      <c r="F293" s="4" t="s">
        <v>71</v>
      </c>
      <c r="G293" s="4" t="s">
        <v>817</v>
      </c>
      <c r="H293" s="4" t="s">
        <v>818</v>
      </c>
      <c r="I293" s="4" t="s">
        <v>819</v>
      </c>
      <c r="J293" s="4" t="s">
        <v>1276</v>
      </c>
      <c r="K293" s="173">
        <v>920000000000</v>
      </c>
      <c r="L293" s="4" t="s">
        <v>3112</v>
      </c>
      <c r="M293" s="173">
        <v>920000000000</v>
      </c>
      <c r="N293" s="4" t="s">
        <v>3113</v>
      </c>
      <c r="O293" s="4" t="s">
        <v>71</v>
      </c>
      <c r="P293" s="168" t="s">
        <v>821</v>
      </c>
      <c r="Q293" s="4" t="s">
        <v>47</v>
      </c>
      <c r="R293" s="172"/>
      <c r="S293" s="172"/>
      <c r="T293" s="172"/>
      <c r="U293" s="172"/>
      <c r="V293" s="172"/>
      <c r="W293" s="172"/>
      <c r="X293" s="172"/>
      <c r="Y293" s="172"/>
      <c r="Z293" s="172"/>
    </row>
    <row r="294" spans="1:26" ht="13.8">
      <c r="A294" s="166">
        <v>746</v>
      </c>
      <c r="B294" s="4" t="s">
        <v>2779</v>
      </c>
      <c r="C294" s="4">
        <v>876</v>
      </c>
      <c r="D294" s="4" t="s">
        <v>5991</v>
      </c>
      <c r="E294" s="4" t="s">
        <v>71</v>
      </c>
      <c r="F294" s="4" t="s">
        <v>2787</v>
      </c>
      <c r="G294" s="4" t="s">
        <v>2782</v>
      </c>
      <c r="H294" s="4" t="s">
        <v>2783</v>
      </c>
      <c r="I294" s="4" t="s">
        <v>2784</v>
      </c>
      <c r="J294" s="4" t="s">
        <v>2785</v>
      </c>
      <c r="K294" s="4">
        <v>7400480852</v>
      </c>
      <c r="L294" s="4" t="s">
        <v>2780</v>
      </c>
      <c r="M294" s="4">
        <v>7400480852</v>
      </c>
      <c r="N294" s="4" t="s">
        <v>3550</v>
      </c>
      <c r="O294" s="4" t="s">
        <v>71</v>
      </c>
      <c r="P294" s="168" t="s">
        <v>2786</v>
      </c>
      <c r="Q294" s="4" t="s">
        <v>47</v>
      </c>
      <c r="R294" s="172"/>
      <c r="S294" s="172"/>
      <c r="T294" s="172"/>
      <c r="U294" s="172"/>
      <c r="V294" s="172"/>
      <c r="W294" s="172"/>
      <c r="X294" s="172"/>
      <c r="Y294" s="172"/>
      <c r="Z294" s="172"/>
    </row>
    <row r="295" spans="1:26" ht="13.8">
      <c r="A295" s="166">
        <v>75</v>
      </c>
      <c r="B295" s="4" t="s">
        <v>827</v>
      </c>
      <c r="C295" s="4">
        <v>877</v>
      </c>
      <c r="D295" s="4" t="s">
        <v>3114</v>
      </c>
      <c r="E295" s="4" t="s">
        <v>71</v>
      </c>
      <c r="F295" s="4" t="s">
        <v>839</v>
      </c>
      <c r="G295" s="4" t="s">
        <v>830</v>
      </c>
      <c r="H295" s="4" t="s">
        <v>831</v>
      </c>
      <c r="I295" s="4" t="s">
        <v>832</v>
      </c>
      <c r="J295" s="4" t="s">
        <v>833</v>
      </c>
      <c r="K295" s="4">
        <v>9820562470</v>
      </c>
      <c r="L295" s="4" t="s">
        <v>3115</v>
      </c>
      <c r="M295" s="4">
        <v>9820562470</v>
      </c>
      <c r="N295" s="4" t="s">
        <v>3116</v>
      </c>
      <c r="O295" s="4" t="s">
        <v>71</v>
      </c>
      <c r="P295" s="4" t="s">
        <v>71</v>
      </c>
      <c r="Q295" s="4" t="s">
        <v>47</v>
      </c>
      <c r="R295" s="172"/>
      <c r="S295" s="172"/>
      <c r="T295" s="172"/>
      <c r="U295" s="172"/>
      <c r="V295" s="172"/>
      <c r="W295" s="172"/>
      <c r="X295" s="172"/>
      <c r="Y295" s="172"/>
      <c r="Z295" s="172"/>
    </row>
    <row r="296" spans="1:26" ht="13.8">
      <c r="A296" s="166">
        <v>76</v>
      </c>
      <c r="B296" s="4" t="s">
        <v>842</v>
      </c>
      <c r="C296" s="4">
        <v>878</v>
      </c>
      <c r="D296" s="4" t="s">
        <v>3117</v>
      </c>
      <c r="E296" s="4" t="s">
        <v>71</v>
      </c>
      <c r="F296" s="4" t="s">
        <v>853</v>
      </c>
      <c r="G296" s="4" t="s">
        <v>845</v>
      </c>
      <c r="H296" s="4" t="s">
        <v>846</v>
      </c>
      <c r="I296" s="4" t="s">
        <v>534</v>
      </c>
      <c r="J296" s="4" t="s">
        <v>847</v>
      </c>
      <c r="K296" s="4">
        <v>9821558801</v>
      </c>
      <c r="L296" s="4" t="s">
        <v>3118</v>
      </c>
      <c r="M296" s="4">
        <v>9821558801</v>
      </c>
      <c r="N296" s="4" t="s">
        <v>3119</v>
      </c>
      <c r="O296" s="4" t="s">
        <v>71</v>
      </c>
      <c r="P296" s="168" t="s">
        <v>848</v>
      </c>
      <c r="Q296" s="4" t="s">
        <v>47</v>
      </c>
      <c r="R296" s="172"/>
      <c r="S296" s="172"/>
      <c r="T296" s="172"/>
      <c r="U296" s="172"/>
      <c r="V296" s="172"/>
      <c r="W296" s="172"/>
      <c r="X296" s="172"/>
      <c r="Y296" s="172"/>
      <c r="Z296" s="172"/>
    </row>
    <row r="297" spans="1:26" ht="13.8">
      <c r="A297" s="166">
        <v>78</v>
      </c>
      <c r="B297" s="4" t="s">
        <v>861</v>
      </c>
      <c r="C297" s="4">
        <v>879</v>
      </c>
      <c r="D297" s="4" t="s">
        <v>3120</v>
      </c>
      <c r="E297" s="4" t="s">
        <v>71</v>
      </c>
      <c r="F297" s="4" t="s">
        <v>873</v>
      </c>
      <c r="G297" s="4" t="s">
        <v>877</v>
      </c>
      <c r="H297" s="4" t="s">
        <v>865</v>
      </c>
      <c r="I297" s="4" t="s">
        <v>878</v>
      </c>
      <c r="J297" s="4" t="s">
        <v>1304</v>
      </c>
      <c r="K297" s="4">
        <v>9223319777</v>
      </c>
      <c r="L297" s="4" t="s">
        <v>3121</v>
      </c>
      <c r="M297" s="4">
        <v>9223319777</v>
      </c>
      <c r="N297" s="4" t="s">
        <v>881</v>
      </c>
      <c r="O297" s="4" t="s">
        <v>71</v>
      </c>
      <c r="P297" s="168" t="s">
        <v>880</v>
      </c>
      <c r="Q297" s="4" t="s">
        <v>47</v>
      </c>
      <c r="R297" s="172"/>
      <c r="S297" s="172"/>
      <c r="T297" s="172"/>
      <c r="U297" s="172"/>
      <c r="V297" s="172"/>
      <c r="W297" s="172"/>
      <c r="X297" s="172"/>
      <c r="Y297" s="172"/>
      <c r="Z297" s="172"/>
    </row>
    <row r="298" spans="1:26" ht="13.8">
      <c r="A298" s="166">
        <v>79</v>
      </c>
      <c r="B298" s="4" t="s">
        <v>885</v>
      </c>
      <c r="C298" s="4">
        <v>881</v>
      </c>
      <c r="D298" s="4" t="s">
        <v>3122</v>
      </c>
      <c r="E298" s="4" t="s">
        <v>71</v>
      </c>
      <c r="F298" s="4" t="s">
        <v>71</v>
      </c>
      <c r="G298" s="4" t="s">
        <v>888</v>
      </c>
      <c r="H298" s="4" t="s">
        <v>889</v>
      </c>
      <c r="I298" s="4" t="s">
        <v>890</v>
      </c>
      <c r="J298" s="4" t="s">
        <v>1304</v>
      </c>
      <c r="K298" s="4">
        <v>9920966561</v>
      </c>
      <c r="L298" s="4" t="s">
        <v>3123</v>
      </c>
      <c r="M298" s="4">
        <v>9920966561</v>
      </c>
      <c r="N298" s="4" t="s">
        <v>71</v>
      </c>
      <c r="O298" s="4" t="s">
        <v>71</v>
      </c>
      <c r="P298" s="4" t="s">
        <v>71</v>
      </c>
      <c r="Q298" s="4" t="s">
        <v>47</v>
      </c>
      <c r="R298" s="172"/>
      <c r="S298" s="172"/>
      <c r="T298" s="172"/>
      <c r="U298" s="172"/>
      <c r="V298" s="172"/>
      <c r="W298" s="172"/>
      <c r="X298" s="172"/>
      <c r="Y298" s="172"/>
      <c r="Z298" s="172"/>
    </row>
    <row r="299" spans="1:26" ht="13.8">
      <c r="A299" s="166">
        <v>80</v>
      </c>
      <c r="B299" s="4" t="s">
        <v>896</v>
      </c>
      <c r="C299" s="4">
        <v>882</v>
      </c>
      <c r="D299" s="4" t="s">
        <v>3124</v>
      </c>
      <c r="E299" s="4" t="s">
        <v>893</v>
      </c>
      <c r="F299" s="4" t="s">
        <v>894</v>
      </c>
      <c r="G299" s="4" t="s">
        <v>899</v>
      </c>
      <c r="H299" s="4" t="s">
        <v>900</v>
      </c>
      <c r="I299" s="4" t="s">
        <v>345</v>
      </c>
      <c r="J299" s="4" t="s">
        <v>3125</v>
      </c>
      <c r="K299" s="4">
        <v>9137509343</v>
      </c>
      <c r="L299" s="4" t="s">
        <v>3126</v>
      </c>
      <c r="M299" s="4">
        <v>9137509343</v>
      </c>
      <c r="N299" s="4" t="s">
        <v>903</v>
      </c>
      <c r="O299" s="4" t="s">
        <v>71</v>
      </c>
      <c r="P299" s="168" t="s">
        <v>902</v>
      </c>
      <c r="Q299" s="4" t="s">
        <v>47</v>
      </c>
      <c r="R299" s="172"/>
      <c r="S299" s="172"/>
      <c r="T299" s="172"/>
      <c r="U299" s="172"/>
      <c r="V299" s="172"/>
      <c r="W299" s="172"/>
      <c r="X299" s="172"/>
      <c r="Y299" s="172"/>
      <c r="Z299" s="172"/>
    </row>
    <row r="300" spans="1:26" ht="13.8">
      <c r="A300" s="166">
        <v>81</v>
      </c>
      <c r="B300" s="4" t="s">
        <v>910</v>
      </c>
      <c r="C300" s="4">
        <v>884</v>
      </c>
      <c r="D300" s="4" t="s">
        <v>3127</v>
      </c>
      <c r="E300" s="4" t="s">
        <v>908</v>
      </c>
      <c r="F300" s="4" t="s">
        <v>71</v>
      </c>
      <c r="G300" s="4" t="s">
        <v>913</v>
      </c>
      <c r="H300" s="4" t="s">
        <v>3128</v>
      </c>
      <c r="I300" s="4" t="s">
        <v>534</v>
      </c>
      <c r="J300" s="4" t="s">
        <v>916</v>
      </c>
      <c r="K300" s="4">
        <v>7276787924</v>
      </c>
      <c r="L300" s="4" t="s">
        <v>3129</v>
      </c>
      <c r="M300" s="4">
        <v>7276787924</v>
      </c>
      <c r="N300" s="4" t="s">
        <v>3057</v>
      </c>
      <c r="O300" s="4" t="s">
        <v>3057</v>
      </c>
      <c r="P300" s="168" t="s">
        <v>917</v>
      </c>
      <c r="Q300" s="4" t="s">
        <v>47</v>
      </c>
      <c r="R300" s="172"/>
      <c r="S300" s="172"/>
      <c r="T300" s="172"/>
      <c r="U300" s="172"/>
      <c r="V300" s="172"/>
      <c r="W300" s="172"/>
      <c r="X300" s="172"/>
      <c r="Y300" s="172"/>
      <c r="Z300" s="172"/>
    </row>
    <row r="301" spans="1:26" ht="13.8">
      <c r="A301" s="166">
        <v>82</v>
      </c>
      <c r="B301" s="4" t="s">
        <v>924</v>
      </c>
      <c r="C301" s="4">
        <v>886</v>
      </c>
      <c r="D301" s="4" t="s">
        <v>3130</v>
      </c>
      <c r="E301" s="4" t="s">
        <v>71</v>
      </c>
      <c r="F301" s="4" t="s">
        <v>921</v>
      </c>
      <c r="G301" s="4" t="s">
        <v>927</v>
      </c>
      <c r="H301" s="4" t="s">
        <v>928</v>
      </c>
      <c r="I301" s="4" t="s">
        <v>929</v>
      </c>
      <c r="J301" s="4" t="s">
        <v>1304</v>
      </c>
      <c r="K301" s="4">
        <v>9833267644</v>
      </c>
      <c r="L301" s="4" t="s">
        <v>3131</v>
      </c>
      <c r="M301" s="4">
        <v>9833267644</v>
      </c>
      <c r="N301" s="4" t="s">
        <v>3057</v>
      </c>
      <c r="O301" s="4" t="s">
        <v>71</v>
      </c>
      <c r="P301" s="4" t="s">
        <v>71</v>
      </c>
      <c r="Q301" s="4" t="s">
        <v>47</v>
      </c>
      <c r="R301" s="172"/>
      <c r="S301" s="172"/>
      <c r="T301" s="172"/>
      <c r="U301" s="172"/>
      <c r="V301" s="172"/>
      <c r="W301" s="172"/>
      <c r="X301" s="172"/>
      <c r="Y301" s="172"/>
      <c r="Z301" s="172"/>
    </row>
    <row r="302" spans="1:26" ht="13.8">
      <c r="A302" s="166">
        <v>83</v>
      </c>
      <c r="B302" s="4" t="s">
        <v>934</v>
      </c>
      <c r="C302" s="4">
        <v>887</v>
      </c>
      <c r="D302" s="4" t="s">
        <v>3132</v>
      </c>
      <c r="E302" s="4" t="s">
        <v>71</v>
      </c>
      <c r="F302" s="4" t="s">
        <v>932</v>
      </c>
      <c r="G302" s="4" t="s">
        <v>927</v>
      </c>
      <c r="H302" s="4" t="s">
        <v>937</v>
      </c>
      <c r="I302" s="4" t="s">
        <v>929</v>
      </c>
      <c r="J302" s="4" t="s">
        <v>1360</v>
      </c>
      <c r="K302" s="4">
        <v>9769640262</v>
      </c>
      <c r="L302" s="4" t="s">
        <v>3131</v>
      </c>
      <c r="M302" s="4">
        <v>9769640262</v>
      </c>
      <c r="N302" s="4" t="s">
        <v>3057</v>
      </c>
      <c r="O302" s="4" t="s">
        <v>71</v>
      </c>
      <c r="P302" s="4" t="s">
        <v>71</v>
      </c>
      <c r="Q302" s="4" t="s">
        <v>47</v>
      </c>
      <c r="R302" s="172"/>
      <c r="S302" s="172"/>
      <c r="T302" s="172"/>
      <c r="U302" s="172"/>
      <c r="V302" s="172"/>
      <c r="W302" s="172"/>
      <c r="X302" s="172"/>
      <c r="Y302" s="172"/>
      <c r="Z302" s="172"/>
    </row>
    <row r="303" spans="1:26" ht="13.8">
      <c r="A303" s="166">
        <v>84</v>
      </c>
      <c r="B303" s="4" t="s">
        <v>944</v>
      </c>
      <c r="C303" s="4">
        <v>889</v>
      </c>
      <c r="D303" s="4" t="s">
        <v>3133</v>
      </c>
      <c r="E303" s="4" t="s">
        <v>940</v>
      </c>
      <c r="F303" s="4" t="s">
        <v>941</v>
      </c>
      <c r="G303" s="4" t="s">
        <v>947</v>
      </c>
      <c r="H303" s="4" t="s">
        <v>948</v>
      </c>
      <c r="I303" s="4" t="s">
        <v>207</v>
      </c>
      <c r="J303" s="4" t="s">
        <v>3134</v>
      </c>
      <c r="K303" s="4">
        <v>71589616375</v>
      </c>
      <c r="L303" s="4" t="s">
        <v>3135</v>
      </c>
      <c r="M303" s="4">
        <v>71589616375</v>
      </c>
      <c r="N303" s="4" t="s">
        <v>3136</v>
      </c>
      <c r="O303" s="4" t="s">
        <v>71</v>
      </c>
      <c r="P303" s="168" t="s">
        <v>3137</v>
      </c>
      <c r="Q303" s="4" t="s">
        <v>47</v>
      </c>
      <c r="R303" s="172"/>
      <c r="S303" s="172"/>
      <c r="T303" s="172"/>
      <c r="U303" s="172"/>
      <c r="V303" s="172"/>
      <c r="W303" s="172"/>
      <c r="X303" s="172"/>
      <c r="Y303" s="172"/>
      <c r="Z303" s="172"/>
    </row>
    <row r="304" spans="1:26" ht="13.8">
      <c r="A304" s="166">
        <v>85</v>
      </c>
      <c r="B304" s="4" t="s">
        <v>954</v>
      </c>
      <c r="C304" s="4">
        <v>892</v>
      </c>
      <c r="D304" s="4" t="s">
        <v>3138</v>
      </c>
      <c r="E304" s="4" t="s">
        <v>951</v>
      </c>
      <c r="F304" s="4" t="s">
        <v>952</v>
      </c>
      <c r="G304" s="4" t="s">
        <v>957</v>
      </c>
      <c r="H304" s="4" t="s">
        <v>958</v>
      </c>
      <c r="I304" s="4" t="s">
        <v>959</v>
      </c>
      <c r="J304" s="4" t="s">
        <v>1388</v>
      </c>
      <c r="K304" s="4">
        <v>9082114554</v>
      </c>
      <c r="L304" s="4" t="s">
        <v>3139</v>
      </c>
      <c r="M304" s="4">
        <v>9082114554</v>
      </c>
      <c r="N304" s="4" t="s">
        <v>3140</v>
      </c>
      <c r="O304" s="4" t="s">
        <v>71</v>
      </c>
      <c r="P304" s="4" t="s">
        <v>71</v>
      </c>
      <c r="Q304" s="4" t="s">
        <v>47</v>
      </c>
      <c r="R304" s="172"/>
      <c r="S304" s="172"/>
      <c r="T304" s="172"/>
      <c r="U304" s="172"/>
      <c r="V304" s="172"/>
      <c r="W304" s="172"/>
      <c r="X304" s="172"/>
      <c r="Y304" s="172"/>
      <c r="Z304" s="172"/>
    </row>
    <row r="305" spans="1:26" ht="13.8">
      <c r="A305" s="166">
        <v>86</v>
      </c>
      <c r="B305" s="4" t="s">
        <v>966</v>
      </c>
      <c r="C305" s="4">
        <v>893</v>
      </c>
      <c r="D305" s="4" t="s">
        <v>3141</v>
      </c>
      <c r="E305" s="4" t="s">
        <v>71</v>
      </c>
      <c r="F305" s="4" t="s">
        <v>964</v>
      </c>
      <c r="G305" s="4" t="s">
        <v>968</v>
      </c>
      <c r="H305" s="4" t="s">
        <v>968</v>
      </c>
      <c r="I305" s="4" t="s">
        <v>969</v>
      </c>
      <c r="J305" s="4" t="s">
        <v>3142</v>
      </c>
      <c r="K305" s="4">
        <v>9619066672</v>
      </c>
      <c r="L305" s="4" t="s">
        <v>3143</v>
      </c>
      <c r="M305" s="4">
        <v>9619066672</v>
      </c>
      <c r="N305" s="4" t="s">
        <v>972</v>
      </c>
      <c r="O305" s="4" t="s">
        <v>71</v>
      </c>
      <c r="P305" s="168" t="s">
        <v>971</v>
      </c>
      <c r="Q305" s="4" t="s">
        <v>47</v>
      </c>
      <c r="R305" s="172"/>
      <c r="S305" s="172"/>
      <c r="T305" s="172"/>
      <c r="U305" s="172"/>
      <c r="V305" s="172"/>
      <c r="W305" s="172"/>
      <c r="X305" s="172"/>
      <c r="Y305" s="172"/>
      <c r="Z305" s="172"/>
    </row>
    <row r="306" spans="1:26" ht="13.8">
      <c r="A306" s="166">
        <v>87</v>
      </c>
      <c r="B306" s="4" t="s">
        <v>979</v>
      </c>
      <c r="C306" s="4">
        <v>894</v>
      </c>
      <c r="D306" s="4" t="s">
        <v>3144</v>
      </c>
      <c r="E306" s="4" t="s">
        <v>71</v>
      </c>
      <c r="F306" s="4" t="s">
        <v>977</v>
      </c>
      <c r="G306" s="4" t="s">
        <v>982</v>
      </c>
      <c r="H306" s="4" t="s">
        <v>983</v>
      </c>
      <c r="I306" s="4" t="s">
        <v>984</v>
      </c>
      <c r="J306" s="4" t="s">
        <v>3145</v>
      </c>
      <c r="K306" s="4">
        <v>9892770777</v>
      </c>
      <c r="L306" s="4" t="s">
        <v>3146</v>
      </c>
      <c r="M306" s="4">
        <v>9892770777</v>
      </c>
      <c r="N306" s="4" t="s">
        <v>3147</v>
      </c>
      <c r="O306" s="4" t="s">
        <v>71</v>
      </c>
      <c r="P306" s="168" t="s">
        <v>986</v>
      </c>
      <c r="Q306" s="4" t="s">
        <v>47</v>
      </c>
      <c r="R306" s="172"/>
      <c r="S306" s="172"/>
      <c r="T306" s="172"/>
      <c r="U306" s="172"/>
      <c r="V306" s="172"/>
      <c r="W306" s="172"/>
      <c r="X306" s="172"/>
      <c r="Y306" s="172"/>
      <c r="Z306" s="172"/>
    </row>
    <row r="307" spans="1:26" ht="13.8">
      <c r="A307" s="166">
        <v>88</v>
      </c>
      <c r="B307" s="4" t="s">
        <v>993</v>
      </c>
      <c r="C307" s="4">
        <v>895</v>
      </c>
      <c r="D307" s="4" t="s">
        <v>3148</v>
      </c>
      <c r="E307" s="4" t="s">
        <v>71</v>
      </c>
      <c r="F307" s="4" t="s">
        <v>991</v>
      </c>
      <c r="G307" s="4" t="s">
        <v>996</v>
      </c>
      <c r="H307" s="4" t="s">
        <v>997</v>
      </c>
      <c r="I307" s="4" t="s">
        <v>998</v>
      </c>
      <c r="J307" s="4" t="s">
        <v>999</v>
      </c>
      <c r="K307" s="4">
        <v>771804071</v>
      </c>
      <c r="L307" s="4" t="s">
        <v>3149</v>
      </c>
      <c r="M307" s="4">
        <v>771804071</v>
      </c>
      <c r="N307" s="4" t="s">
        <v>2953</v>
      </c>
      <c r="O307" s="4" t="s">
        <v>71</v>
      </c>
      <c r="P307" s="4" t="s">
        <v>71</v>
      </c>
      <c r="Q307" s="4" t="s">
        <v>47</v>
      </c>
      <c r="R307" s="172"/>
      <c r="S307" s="172"/>
      <c r="T307" s="172"/>
      <c r="U307" s="172"/>
      <c r="V307" s="172"/>
      <c r="W307" s="172"/>
      <c r="X307" s="172"/>
      <c r="Y307" s="172"/>
      <c r="Z307" s="172"/>
    </row>
    <row r="308" spans="1:26" ht="13.8">
      <c r="A308" s="166">
        <v>89</v>
      </c>
      <c r="B308" s="4" t="s">
        <v>1004</v>
      </c>
      <c r="C308" s="4">
        <v>898</v>
      </c>
      <c r="D308" s="4" t="s">
        <v>3150</v>
      </c>
      <c r="E308" s="4" t="s">
        <v>71</v>
      </c>
      <c r="F308" s="4" t="s">
        <v>1002</v>
      </c>
      <c r="G308" s="4" t="s">
        <v>1007</v>
      </c>
      <c r="H308" s="4" t="s">
        <v>1008</v>
      </c>
      <c r="I308" s="4" t="s">
        <v>1009</v>
      </c>
      <c r="J308" s="4" t="s">
        <v>1010</v>
      </c>
      <c r="K308" s="4">
        <v>7506608316</v>
      </c>
      <c r="L308" s="4" t="s">
        <v>3151</v>
      </c>
      <c r="M308" s="4">
        <v>7506608316</v>
      </c>
      <c r="N308" s="4" t="s">
        <v>2953</v>
      </c>
      <c r="O308" s="4" t="s">
        <v>71</v>
      </c>
      <c r="P308" s="4" t="s">
        <v>71</v>
      </c>
      <c r="Q308" s="4" t="s">
        <v>47</v>
      </c>
      <c r="R308" s="172"/>
      <c r="S308" s="172"/>
      <c r="T308" s="172"/>
      <c r="U308" s="172"/>
      <c r="V308" s="172"/>
      <c r="W308" s="172"/>
      <c r="X308" s="172"/>
      <c r="Y308" s="172"/>
      <c r="Z308" s="172"/>
    </row>
    <row r="309" spans="1:26" ht="13.8">
      <c r="A309" s="166">
        <v>90</v>
      </c>
      <c r="B309" s="4" t="s">
        <v>1015</v>
      </c>
      <c r="C309" s="4">
        <v>899</v>
      </c>
      <c r="D309" s="4" t="s">
        <v>3152</v>
      </c>
      <c r="E309" s="4" t="s">
        <v>71</v>
      </c>
      <c r="F309" s="4" t="s">
        <v>1013</v>
      </c>
      <c r="G309" s="4" t="s">
        <v>1018</v>
      </c>
      <c r="H309" s="4" t="s">
        <v>1019</v>
      </c>
      <c r="I309" s="4" t="s">
        <v>1020</v>
      </c>
      <c r="J309" s="4" t="s">
        <v>1021</v>
      </c>
      <c r="K309" s="4">
        <v>9833664646</v>
      </c>
      <c r="L309" s="4" t="s">
        <v>3153</v>
      </c>
      <c r="M309" s="4">
        <v>9833664646</v>
      </c>
      <c r="N309" s="4" t="s">
        <v>3154</v>
      </c>
      <c r="O309" s="4" t="s">
        <v>71</v>
      </c>
      <c r="P309" s="168" t="s">
        <v>1022</v>
      </c>
      <c r="Q309" s="4" t="s">
        <v>47</v>
      </c>
      <c r="R309" s="172"/>
      <c r="S309" s="172"/>
      <c r="T309" s="172"/>
      <c r="U309" s="172"/>
      <c r="V309" s="172"/>
      <c r="W309" s="172"/>
      <c r="X309" s="172"/>
      <c r="Y309" s="172"/>
      <c r="Z309" s="172"/>
    </row>
    <row r="310" spans="1:26" ht="13.8">
      <c r="A310" s="166">
        <v>91</v>
      </c>
      <c r="B310" s="4" t="s">
        <v>1028</v>
      </c>
      <c r="C310" s="4">
        <v>900</v>
      </c>
      <c r="D310" s="4" t="s">
        <v>3155</v>
      </c>
      <c r="E310" s="4" t="s">
        <v>1025</v>
      </c>
      <c r="F310" s="4" t="s">
        <v>1026</v>
      </c>
      <c r="G310" s="4" t="s">
        <v>1031</v>
      </c>
      <c r="H310" s="4" t="s">
        <v>1032</v>
      </c>
      <c r="I310" s="4" t="s">
        <v>534</v>
      </c>
      <c r="J310" s="4" t="s">
        <v>1033</v>
      </c>
      <c r="K310" s="4">
        <v>7021902696</v>
      </c>
      <c r="L310" s="4" t="s">
        <v>3156</v>
      </c>
      <c r="M310" s="4">
        <v>7021902696</v>
      </c>
      <c r="N310" s="4" t="s">
        <v>3057</v>
      </c>
      <c r="O310" s="4" t="s">
        <v>3157</v>
      </c>
      <c r="P310" s="168" t="s">
        <v>1034</v>
      </c>
      <c r="Q310" s="4" t="s">
        <v>47</v>
      </c>
      <c r="R310" s="172"/>
      <c r="S310" s="172"/>
      <c r="T310" s="172"/>
      <c r="U310" s="172"/>
      <c r="V310" s="172"/>
      <c r="W310" s="172"/>
      <c r="X310" s="172"/>
      <c r="Y310" s="172"/>
      <c r="Z310" s="172"/>
    </row>
    <row r="311" spans="1:26" ht="13.8">
      <c r="A311" s="166">
        <v>92</v>
      </c>
      <c r="B311" s="4" t="s">
        <v>3158</v>
      </c>
      <c r="C311" s="4">
        <v>901</v>
      </c>
      <c r="D311" s="4" t="s">
        <v>3159</v>
      </c>
      <c r="E311" s="4" t="s">
        <v>1060</v>
      </c>
      <c r="F311" s="4" t="s">
        <v>1061</v>
      </c>
      <c r="G311" s="4" t="s">
        <v>1054</v>
      </c>
      <c r="H311" s="4" t="s">
        <v>1055</v>
      </c>
      <c r="I311" s="4" t="s">
        <v>42</v>
      </c>
      <c r="J311" s="4" t="s">
        <v>3160</v>
      </c>
      <c r="K311" s="4">
        <v>7208353203</v>
      </c>
      <c r="L311" s="4" t="s">
        <v>3161</v>
      </c>
      <c r="M311" s="4">
        <v>7208353203</v>
      </c>
      <c r="N311" s="4" t="s">
        <v>3162</v>
      </c>
      <c r="O311" s="4" t="s">
        <v>71</v>
      </c>
      <c r="P311" s="168" t="s">
        <v>1057</v>
      </c>
      <c r="Q311" s="4" t="s">
        <v>47</v>
      </c>
      <c r="R311" s="172"/>
      <c r="S311" s="172"/>
      <c r="T311" s="172"/>
      <c r="U311" s="172"/>
      <c r="V311" s="172"/>
      <c r="W311" s="172"/>
      <c r="X311" s="172"/>
      <c r="Y311" s="172"/>
      <c r="Z311" s="172"/>
    </row>
    <row r="312" spans="1:26" ht="13.8">
      <c r="A312" s="166">
        <v>93</v>
      </c>
      <c r="B312" s="4" t="s">
        <v>3163</v>
      </c>
      <c r="C312" s="4">
        <v>902</v>
      </c>
      <c r="D312" s="4" t="s">
        <v>3164</v>
      </c>
      <c r="E312" s="4" t="s">
        <v>71</v>
      </c>
      <c r="F312" s="4" t="s">
        <v>1070</v>
      </c>
      <c r="G312" s="4" t="s">
        <v>1065</v>
      </c>
      <c r="H312" s="4" t="s">
        <v>1066</v>
      </c>
      <c r="I312" s="4" t="s">
        <v>1067</v>
      </c>
      <c r="J312" s="4" t="s">
        <v>71</v>
      </c>
      <c r="K312" s="4">
        <v>8854049767</v>
      </c>
      <c r="L312" s="4" t="s">
        <v>3165</v>
      </c>
      <c r="M312" s="4">
        <v>8854049767</v>
      </c>
      <c r="N312" s="4" t="s">
        <v>2953</v>
      </c>
      <c r="O312" s="4" t="s">
        <v>71</v>
      </c>
      <c r="P312" s="4" t="s">
        <v>71</v>
      </c>
      <c r="Q312" s="4" t="s">
        <v>47</v>
      </c>
      <c r="R312" s="172"/>
      <c r="S312" s="172"/>
      <c r="T312" s="172"/>
      <c r="U312" s="172"/>
      <c r="V312" s="172"/>
      <c r="W312" s="172"/>
      <c r="X312" s="172"/>
      <c r="Y312" s="172"/>
      <c r="Z312" s="172"/>
    </row>
    <row r="313" spans="1:26" ht="13.8">
      <c r="A313" s="166">
        <v>94</v>
      </c>
      <c r="B313" s="4" t="s">
        <v>3166</v>
      </c>
      <c r="C313" s="4">
        <v>909</v>
      </c>
      <c r="D313" s="4" t="s">
        <v>3167</v>
      </c>
      <c r="E313" s="4" t="s">
        <v>71</v>
      </c>
      <c r="F313" s="4" t="s">
        <v>71</v>
      </c>
      <c r="G313" s="4" t="s">
        <v>1074</v>
      </c>
      <c r="H313" s="4" t="s">
        <v>1075</v>
      </c>
      <c r="I313" s="4" t="s">
        <v>71</v>
      </c>
      <c r="J313" s="4" t="s">
        <v>71</v>
      </c>
      <c r="K313" s="4">
        <v>8779500452</v>
      </c>
      <c r="L313" s="4" t="s">
        <v>3168</v>
      </c>
      <c r="M313" s="4">
        <v>8779500452</v>
      </c>
      <c r="N313" s="4" t="s">
        <v>71</v>
      </c>
      <c r="O313" s="4" t="s">
        <v>71</v>
      </c>
      <c r="P313" s="4" t="s">
        <v>71</v>
      </c>
      <c r="Q313" s="4" t="s">
        <v>47</v>
      </c>
      <c r="R313" s="172"/>
      <c r="S313" s="172"/>
      <c r="T313" s="172"/>
      <c r="U313" s="172"/>
      <c r="V313" s="172"/>
      <c r="W313" s="172"/>
      <c r="X313" s="172"/>
      <c r="Y313" s="172"/>
      <c r="Z313" s="172"/>
    </row>
    <row r="314" spans="1:26" ht="13.8">
      <c r="A314" s="166">
        <v>696</v>
      </c>
      <c r="B314" s="4" t="s">
        <v>2690</v>
      </c>
      <c r="C314" s="4">
        <v>911</v>
      </c>
      <c r="D314" s="4" t="s">
        <v>5921</v>
      </c>
      <c r="E314" s="4" t="s">
        <v>71</v>
      </c>
      <c r="F314" s="4" t="s">
        <v>5902</v>
      </c>
      <c r="G314" s="4" t="s">
        <v>5903</v>
      </c>
      <c r="H314" s="4" t="s">
        <v>5922</v>
      </c>
      <c r="I314" s="4" t="s">
        <v>71</v>
      </c>
      <c r="J314" s="4" t="s">
        <v>71</v>
      </c>
      <c r="K314" s="4">
        <v>9833666133</v>
      </c>
      <c r="L314" s="4" t="s">
        <v>5906</v>
      </c>
      <c r="M314" s="4">
        <v>9833666133</v>
      </c>
      <c r="N314" s="4" t="s">
        <v>71</v>
      </c>
      <c r="O314" s="4" t="s">
        <v>71</v>
      </c>
      <c r="P314" s="4" t="s">
        <v>71</v>
      </c>
      <c r="Q314" s="4" t="s">
        <v>47</v>
      </c>
      <c r="R314" s="172"/>
      <c r="S314" s="172"/>
      <c r="T314" s="172"/>
      <c r="U314" s="172"/>
      <c r="V314" s="172"/>
      <c r="W314" s="172"/>
      <c r="X314" s="172"/>
      <c r="Y314" s="172"/>
      <c r="Z314" s="172"/>
    </row>
    <row r="315" spans="1:26" ht="13.8">
      <c r="A315" s="166">
        <v>695</v>
      </c>
      <c r="B315" s="4" t="s">
        <v>2689</v>
      </c>
      <c r="C315" s="4">
        <v>912</v>
      </c>
      <c r="D315" s="4" t="s">
        <v>71</v>
      </c>
      <c r="E315" s="4" t="s">
        <v>71</v>
      </c>
      <c r="F315" s="4" t="s">
        <v>5902</v>
      </c>
      <c r="G315" s="4" t="s">
        <v>5903</v>
      </c>
      <c r="H315" s="4" t="s">
        <v>5918</v>
      </c>
      <c r="I315" s="4" t="s">
        <v>5919</v>
      </c>
      <c r="J315" s="4" t="s">
        <v>71</v>
      </c>
      <c r="K315" s="4">
        <v>9819892630</v>
      </c>
      <c r="L315" s="4" t="s">
        <v>5920</v>
      </c>
      <c r="M315" s="4">
        <v>9819892630</v>
      </c>
      <c r="N315" s="4" t="s">
        <v>71</v>
      </c>
      <c r="O315" s="4" t="s">
        <v>71</v>
      </c>
      <c r="P315" s="4" t="s">
        <v>71</v>
      </c>
      <c r="Q315" s="4" t="s">
        <v>47</v>
      </c>
      <c r="R315" s="172"/>
      <c r="S315" s="172"/>
      <c r="T315" s="172"/>
      <c r="U315" s="172"/>
      <c r="V315" s="172"/>
      <c r="W315" s="172"/>
      <c r="X315" s="172"/>
      <c r="Y315" s="172"/>
      <c r="Z315" s="172"/>
    </row>
    <row r="316" spans="1:26" ht="13.8">
      <c r="A316" s="166">
        <v>694</v>
      </c>
      <c r="B316" s="4" t="s">
        <v>2688</v>
      </c>
      <c r="C316" s="4">
        <v>914</v>
      </c>
      <c r="D316" s="4" t="s">
        <v>5916</v>
      </c>
      <c r="E316" s="4" t="s">
        <v>71</v>
      </c>
      <c r="F316" s="4" t="s">
        <v>5902</v>
      </c>
      <c r="G316" s="4" t="s">
        <v>5903</v>
      </c>
      <c r="H316" s="4" t="s">
        <v>5917</v>
      </c>
      <c r="I316" s="4" t="s">
        <v>5905</v>
      </c>
      <c r="J316" s="4" t="s">
        <v>71</v>
      </c>
      <c r="K316" s="4">
        <v>8080703001</v>
      </c>
      <c r="L316" s="4" t="s">
        <v>5906</v>
      </c>
      <c r="M316" s="4">
        <v>8080703001</v>
      </c>
      <c r="N316" s="4" t="s">
        <v>71</v>
      </c>
      <c r="O316" s="4" t="s">
        <v>71</v>
      </c>
      <c r="P316" s="4" t="s">
        <v>71</v>
      </c>
      <c r="Q316" s="4" t="s">
        <v>47</v>
      </c>
      <c r="R316" s="172"/>
      <c r="S316" s="172"/>
      <c r="T316" s="172"/>
      <c r="U316" s="172"/>
      <c r="V316" s="172"/>
      <c r="W316" s="172"/>
      <c r="X316" s="172"/>
      <c r="Y316" s="172"/>
      <c r="Z316" s="172"/>
    </row>
    <row r="317" spans="1:26" ht="13.8">
      <c r="A317" s="166">
        <v>693</v>
      </c>
      <c r="B317" s="4" t="s">
        <v>2688</v>
      </c>
      <c r="C317" s="4">
        <v>915</v>
      </c>
      <c r="D317" s="4" t="s">
        <v>5914</v>
      </c>
      <c r="E317" s="4" t="s">
        <v>71</v>
      </c>
      <c r="F317" s="4" t="s">
        <v>5902</v>
      </c>
      <c r="G317" s="4" t="s">
        <v>5903</v>
      </c>
      <c r="H317" s="4" t="s">
        <v>5915</v>
      </c>
      <c r="I317" s="4" t="s">
        <v>5905</v>
      </c>
      <c r="J317" s="4" t="s">
        <v>71</v>
      </c>
      <c r="K317" s="4">
        <v>8080703001</v>
      </c>
      <c r="L317" s="4" t="s">
        <v>5906</v>
      </c>
      <c r="M317" s="4">
        <v>8080703001</v>
      </c>
      <c r="N317" s="4" t="s">
        <v>71</v>
      </c>
      <c r="O317" s="4" t="s">
        <v>71</v>
      </c>
      <c r="P317" s="4" t="s">
        <v>71</v>
      </c>
      <c r="Q317" s="4" t="s">
        <v>47</v>
      </c>
      <c r="R317" s="172"/>
      <c r="S317" s="172"/>
      <c r="T317" s="172"/>
      <c r="U317" s="172"/>
      <c r="V317" s="172"/>
      <c r="W317" s="172"/>
      <c r="X317" s="172"/>
      <c r="Y317" s="172"/>
      <c r="Z317" s="172"/>
    </row>
    <row r="318" spans="1:26" ht="13.8">
      <c r="A318" s="166">
        <v>692</v>
      </c>
      <c r="B318" s="4" t="s">
        <v>2688</v>
      </c>
      <c r="C318" s="4">
        <v>916</v>
      </c>
      <c r="D318" s="4" t="s">
        <v>5912</v>
      </c>
      <c r="E318" s="4" t="s">
        <v>71</v>
      </c>
      <c r="F318" s="4" t="s">
        <v>5902</v>
      </c>
      <c r="G318" s="4" t="s">
        <v>5903</v>
      </c>
      <c r="H318" s="4" t="s">
        <v>5913</v>
      </c>
      <c r="I318" s="4" t="s">
        <v>5905</v>
      </c>
      <c r="J318" s="4" t="s">
        <v>71</v>
      </c>
      <c r="K318" s="4">
        <v>8080703001</v>
      </c>
      <c r="L318" s="4" t="s">
        <v>5906</v>
      </c>
      <c r="M318" s="4">
        <v>8080703001</v>
      </c>
      <c r="N318" s="4" t="s">
        <v>71</v>
      </c>
      <c r="O318" s="4" t="s">
        <v>71</v>
      </c>
      <c r="P318" s="4" t="s">
        <v>71</v>
      </c>
      <c r="Q318" s="4" t="s">
        <v>47</v>
      </c>
      <c r="R318" s="172"/>
      <c r="S318" s="172"/>
      <c r="T318" s="172"/>
      <c r="U318" s="172"/>
      <c r="V318" s="172"/>
      <c r="W318" s="172"/>
      <c r="X318" s="172"/>
      <c r="Y318" s="172"/>
      <c r="Z318" s="172"/>
    </row>
    <row r="319" spans="1:26" ht="13.8">
      <c r="A319" s="166">
        <v>691</v>
      </c>
      <c r="B319" s="4" t="s">
        <v>2688</v>
      </c>
      <c r="C319" s="4">
        <v>917</v>
      </c>
      <c r="D319" s="4" t="s">
        <v>5910</v>
      </c>
      <c r="E319" s="4" t="s">
        <v>71</v>
      </c>
      <c r="F319" s="4" t="s">
        <v>5902</v>
      </c>
      <c r="G319" s="4" t="s">
        <v>5903</v>
      </c>
      <c r="H319" s="4" t="s">
        <v>5911</v>
      </c>
      <c r="I319" s="4" t="s">
        <v>5905</v>
      </c>
      <c r="J319" s="4" t="s">
        <v>71</v>
      </c>
      <c r="K319" s="4">
        <v>8080703001</v>
      </c>
      <c r="L319" s="4" t="s">
        <v>5906</v>
      </c>
      <c r="M319" s="4">
        <v>8080703001</v>
      </c>
      <c r="N319" s="4" t="s">
        <v>71</v>
      </c>
      <c r="O319" s="4" t="s">
        <v>71</v>
      </c>
      <c r="P319" s="4" t="s">
        <v>71</v>
      </c>
      <c r="Q319" s="4" t="s">
        <v>47</v>
      </c>
      <c r="R319" s="172"/>
      <c r="S319" s="172"/>
      <c r="T319" s="172"/>
      <c r="U319" s="172"/>
      <c r="V319" s="172"/>
      <c r="W319" s="172"/>
      <c r="X319" s="172"/>
      <c r="Y319" s="172"/>
      <c r="Z319" s="172"/>
    </row>
    <row r="320" spans="1:26" ht="13.8">
      <c r="A320" s="166">
        <v>690</v>
      </c>
      <c r="B320" s="4" t="s">
        <v>2688</v>
      </c>
      <c r="C320" s="4">
        <v>918</v>
      </c>
      <c r="D320" s="4" t="s">
        <v>5908</v>
      </c>
      <c r="E320" s="4" t="s">
        <v>71</v>
      </c>
      <c r="F320" s="4" t="s">
        <v>5902</v>
      </c>
      <c r="G320" s="4" t="s">
        <v>5903</v>
      </c>
      <c r="H320" s="4" t="s">
        <v>5909</v>
      </c>
      <c r="I320" s="4" t="s">
        <v>5905</v>
      </c>
      <c r="J320" s="4" t="s">
        <v>71</v>
      </c>
      <c r="K320" s="4">
        <v>8080703001</v>
      </c>
      <c r="L320" s="4" t="s">
        <v>5906</v>
      </c>
      <c r="M320" s="4">
        <v>8080703001</v>
      </c>
      <c r="N320" s="4" t="s">
        <v>71</v>
      </c>
      <c r="O320" s="4" t="s">
        <v>71</v>
      </c>
      <c r="P320" s="4" t="s">
        <v>71</v>
      </c>
      <c r="Q320" s="4" t="s">
        <v>47</v>
      </c>
      <c r="R320" s="172"/>
      <c r="S320" s="172"/>
      <c r="T320" s="172"/>
      <c r="U320" s="172"/>
      <c r="V320" s="172"/>
      <c r="W320" s="172"/>
      <c r="X320" s="172"/>
      <c r="Y320" s="172"/>
      <c r="Z320" s="172"/>
    </row>
    <row r="321" spans="1:26" ht="13.8">
      <c r="A321" s="166">
        <v>689</v>
      </c>
      <c r="B321" s="4" t="s">
        <v>2688</v>
      </c>
      <c r="C321" s="4">
        <v>919</v>
      </c>
      <c r="D321" s="4" t="s">
        <v>5901</v>
      </c>
      <c r="E321" s="4" t="s">
        <v>71</v>
      </c>
      <c r="F321" s="4" t="s">
        <v>5902</v>
      </c>
      <c r="G321" s="4" t="s">
        <v>5903</v>
      </c>
      <c r="H321" s="4" t="s">
        <v>5904</v>
      </c>
      <c r="I321" s="4" t="s">
        <v>5905</v>
      </c>
      <c r="J321" s="4" t="s">
        <v>71</v>
      </c>
      <c r="K321" s="4">
        <v>8080703001</v>
      </c>
      <c r="L321" s="4" t="s">
        <v>5906</v>
      </c>
      <c r="M321" s="4">
        <v>8080703001</v>
      </c>
      <c r="N321" s="4" t="s">
        <v>5907</v>
      </c>
      <c r="O321" s="4" t="s">
        <v>71</v>
      </c>
      <c r="P321" s="4" t="s">
        <v>71</v>
      </c>
      <c r="Q321" s="4" t="s">
        <v>47</v>
      </c>
      <c r="R321" s="172"/>
      <c r="S321" s="172"/>
      <c r="T321" s="172"/>
      <c r="U321" s="172"/>
      <c r="V321" s="172"/>
      <c r="W321" s="172"/>
      <c r="X321" s="172"/>
      <c r="Y321" s="172"/>
      <c r="Z321" s="172"/>
    </row>
    <row r="322" spans="1:26" ht="13.8">
      <c r="A322" s="166">
        <v>95</v>
      </c>
      <c r="B322" s="4" t="s">
        <v>3169</v>
      </c>
      <c r="C322" s="4">
        <v>921</v>
      </c>
      <c r="D322" s="4" t="s">
        <v>3170</v>
      </c>
      <c r="E322" s="4" t="s">
        <v>71</v>
      </c>
      <c r="F322" s="4" t="s">
        <v>1085</v>
      </c>
      <c r="G322" s="4" t="s">
        <v>1079</v>
      </c>
      <c r="H322" s="4" t="s">
        <v>1080</v>
      </c>
      <c r="I322" s="4" t="s">
        <v>1081</v>
      </c>
      <c r="J322" s="4" t="s">
        <v>71</v>
      </c>
      <c r="K322" s="4">
        <v>9833449855</v>
      </c>
      <c r="L322" s="4" t="s">
        <v>3171</v>
      </c>
      <c r="M322" s="4">
        <v>9833449855</v>
      </c>
      <c r="N322" s="4" t="s">
        <v>2953</v>
      </c>
      <c r="O322" s="4" t="s">
        <v>71</v>
      </c>
      <c r="P322" s="4" t="s">
        <v>71</v>
      </c>
      <c r="Q322" s="4" t="s">
        <v>47</v>
      </c>
      <c r="R322" s="172"/>
      <c r="S322" s="172"/>
      <c r="T322" s="172"/>
      <c r="U322" s="172"/>
      <c r="V322" s="172"/>
      <c r="W322" s="172"/>
      <c r="X322" s="172"/>
      <c r="Y322" s="172"/>
      <c r="Z322" s="172"/>
    </row>
    <row r="323" spans="1:26" ht="13.8">
      <c r="A323" s="166">
        <v>96</v>
      </c>
      <c r="B323" s="4" t="s">
        <v>3172</v>
      </c>
      <c r="C323" s="4">
        <v>923</v>
      </c>
      <c r="D323" s="4" t="s">
        <v>3173</v>
      </c>
      <c r="E323" s="4" t="s">
        <v>1094</v>
      </c>
      <c r="F323" s="4" t="s">
        <v>1095</v>
      </c>
      <c r="G323" s="4" t="s">
        <v>1089</v>
      </c>
      <c r="H323" s="4" t="s">
        <v>1090</v>
      </c>
      <c r="I323" s="4" t="s">
        <v>3174</v>
      </c>
      <c r="J323" s="4" t="s">
        <v>71</v>
      </c>
      <c r="K323" s="4">
        <v>9769108701</v>
      </c>
      <c r="L323" s="4" t="s">
        <v>1087</v>
      </c>
      <c r="M323" s="4">
        <v>9769108701</v>
      </c>
      <c r="N323" s="4" t="s">
        <v>2953</v>
      </c>
      <c r="O323" s="4" t="s">
        <v>71</v>
      </c>
      <c r="P323" s="4" t="s">
        <v>71</v>
      </c>
      <c r="Q323" s="4" t="s">
        <v>47</v>
      </c>
      <c r="R323" s="172"/>
      <c r="S323" s="172"/>
      <c r="T323" s="172"/>
      <c r="U323" s="172"/>
      <c r="V323" s="172"/>
      <c r="W323" s="172"/>
      <c r="X323" s="172"/>
      <c r="Y323" s="172"/>
      <c r="Z323" s="172"/>
    </row>
    <row r="324" spans="1:26" ht="13.8">
      <c r="A324" s="166">
        <v>97</v>
      </c>
      <c r="B324" s="4" t="s">
        <v>3175</v>
      </c>
      <c r="C324" s="4">
        <v>924</v>
      </c>
      <c r="D324" s="4" t="s">
        <v>3176</v>
      </c>
      <c r="E324" s="4" t="s">
        <v>71</v>
      </c>
      <c r="F324" s="4" t="s">
        <v>1105</v>
      </c>
      <c r="G324" s="4" t="s">
        <v>1099</v>
      </c>
      <c r="H324" s="4" t="s">
        <v>1100</v>
      </c>
      <c r="I324" s="4" t="s">
        <v>1101</v>
      </c>
      <c r="J324" s="4" t="s">
        <v>71</v>
      </c>
      <c r="K324" s="4">
        <v>7977738636</v>
      </c>
      <c r="L324" s="4" t="s">
        <v>3177</v>
      </c>
      <c r="M324" s="4">
        <v>7977738636</v>
      </c>
      <c r="N324" s="4" t="s">
        <v>3178</v>
      </c>
      <c r="O324" s="4" t="s">
        <v>71</v>
      </c>
      <c r="P324" s="4" t="s">
        <v>71</v>
      </c>
      <c r="Q324" s="4" t="s">
        <v>47</v>
      </c>
      <c r="R324" s="172"/>
      <c r="S324" s="172"/>
      <c r="T324" s="172"/>
      <c r="U324" s="172"/>
      <c r="V324" s="172"/>
      <c r="W324" s="172"/>
      <c r="X324" s="172"/>
      <c r="Y324" s="172"/>
      <c r="Z324" s="172"/>
    </row>
    <row r="325" spans="1:26" ht="13.8">
      <c r="A325" s="166">
        <v>98</v>
      </c>
      <c r="B325" s="4" t="s">
        <v>3179</v>
      </c>
      <c r="C325" s="4">
        <v>925</v>
      </c>
      <c r="D325" s="4" t="s">
        <v>3180</v>
      </c>
      <c r="E325" s="4" t="s">
        <v>1112</v>
      </c>
      <c r="F325" s="4" t="s">
        <v>1113</v>
      </c>
      <c r="G325" s="4" t="s">
        <v>1109</v>
      </c>
      <c r="H325" s="4" t="s">
        <v>1110</v>
      </c>
      <c r="I325" s="4" t="s">
        <v>42</v>
      </c>
      <c r="J325" s="4" t="s">
        <v>71</v>
      </c>
      <c r="K325" s="4">
        <v>9167574302</v>
      </c>
      <c r="L325" s="4" t="s">
        <v>3181</v>
      </c>
      <c r="M325" s="4">
        <v>9167574302</v>
      </c>
      <c r="N325" s="4" t="s">
        <v>2953</v>
      </c>
      <c r="O325" s="4" t="s">
        <v>71</v>
      </c>
      <c r="P325" s="4" t="s">
        <v>71</v>
      </c>
      <c r="Q325" s="4" t="s">
        <v>47</v>
      </c>
      <c r="R325" s="172"/>
      <c r="S325" s="172"/>
      <c r="T325" s="172"/>
      <c r="U325" s="172"/>
      <c r="V325" s="172"/>
      <c r="W325" s="172"/>
      <c r="X325" s="172"/>
      <c r="Y325" s="172"/>
      <c r="Z325" s="172"/>
    </row>
    <row r="326" spans="1:26" ht="13.8">
      <c r="A326" s="166">
        <v>99</v>
      </c>
      <c r="B326" s="4" t="s">
        <v>3182</v>
      </c>
      <c r="C326" s="4">
        <v>926</v>
      </c>
      <c r="D326" s="4" t="s">
        <v>3183</v>
      </c>
      <c r="E326" s="4" t="s">
        <v>1121</v>
      </c>
      <c r="F326" s="4" t="s">
        <v>1122</v>
      </c>
      <c r="G326" s="4" t="s">
        <v>1117</v>
      </c>
      <c r="H326" s="4" t="s">
        <v>1118</v>
      </c>
      <c r="I326" s="4" t="s">
        <v>534</v>
      </c>
      <c r="J326" s="4" t="s">
        <v>3184</v>
      </c>
      <c r="K326" s="4">
        <v>9594443216</v>
      </c>
      <c r="L326" s="4" t="s">
        <v>3185</v>
      </c>
      <c r="M326" s="4">
        <v>9594443216</v>
      </c>
      <c r="N326" s="4" t="s">
        <v>3186</v>
      </c>
      <c r="O326" s="4" t="s">
        <v>71</v>
      </c>
      <c r="P326" s="168" t="s">
        <v>3187</v>
      </c>
      <c r="Q326" s="4" t="s">
        <v>47</v>
      </c>
      <c r="R326" s="172"/>
      <c r="S326" s="172"/>
      <c r="T326" s="172"/>
      <c r="U326" s="172"/>
      <c r="V326" s="172"/>
      <c r="W326" s="172"/>
      <c r="X326" s="172"/>
      <c r="Y326" s="172"/>
      <c r="Z326" s="172"/>
    </row>
    <row r="327" spans="1:26" ht="13.8">
      <c r="A327" s="166">
        <v>100</v>
      </c>
      <c r="B327" s="4" t="s">
        <v>3188</v>
      </c>
      <c r="C327" s="4">
        <v>929</v>
      </c>
      <c r="D327" s="4" t="s">
        <v>3189</v>
      </c>
      <c r="E327" s="4" t="s">
        <v>1131</v>
      </c>
      <c r="F327" s="4" t="s">
        <v>1132</v>
      </c>
      <c r="G327" s="4" t="s">
        <v>1126</v>
      </c>
      <c r="H327" s="4" t="s">
        <v>1127</v>
      </c>
      <c r="I327" s="4" t="s">
        <v>1128</v>
      </c>
      <c r="J327" s="4" t="s">
        <v>2919</v>
      </c>
      <c r="K327" s="4">
        <v>8591708395</v>
      </c>
      <c r="L327" s="4" t="s">
        <v>3190</v>
      </c>
      <c r="M327" s="4">
        <v>8591708395</v>
      </c>
      <c r="N327" s="4" t="s">
        <v>3191</v>
      </c>
      <c r="O327" s="168" t="s">
        <v>3192</v>
      </c>
      <c r="P327" s="168" t="s">
        <v>3193</v>
      </c>
      <c r="Q327" s="4" t="s">
        <v>47</v>
      </c>
      <c r="R327" s="172"/>
      <c r="S327" s="172"/>
      <c r="T327" s="172"/>
      <c r="U327" s="172"/>
      <c r="V327" s="172"/>
      <c r="W327" s="172"/>
      <c r="X327" s="172"/>
      <c r="Y327" s="172"/>
      <c r="Z327" s="172"/>
    </row>
    <row r="328" spans="1:26" ht="13.8">
      <c r="A328" s="166">
        <v>101</v>
      </c>
      <c r="B328" s="4" t="s">
        <v>3194</v>
      </c>
      <c r="C328" s="4">
        <v>932</v>
      </c>
      <c r="D328" s="4" t="s">
        <v>3195</v>
      </c>
      <c r="E328" s="4" t="s">
        <v>71</v>
      </c>
      <c r="F328" s="4" t="s">
        <v>1140</v>
      </c>
      <c r="G328" s="4" t="s">
        <v>1136</v>
      </c>
      <c r="H328" s="4" t="s">
        <v>1137</v>
      </c>
      <c r="I328" s="4" t="s">
        <v>534</v>
      </c>
      <c r="J328" s="4" t="s">
        <v>3196</v>
      </c>
      <c r="K328" s="4">
        <v>9619800493</v>
      </c>
      <c r="L328" s="4" t="s">
        <v>3197</v>
      </c>
      <c r="M328" s="4">
        <v>9619800493</v>
      </c>
      <c r="N328" s="4" t="s">
        <v>2953</v>
      </c>
      <c r="O328" s="4" t="s">
        <v>71</v>
      </c>
      <c r="P328" s="4" t="s">
        <v>71</v>
      </c>
      <c r="Q328" s="4" t="s">
        <v>47</v>
      </c>
      <c r="R328" s="172"/>
      <c r="S328" s="172"/>
      <c r="T328" s="172"/>
      <c r="U328" s="172"/>
      <c r="V328" s="172"/>
      <c r="W328" s="172"/>
      <c r="X328" s="172"/>
      <c r="Y328" s="172"/>
      <c r="Z328" s="172"/>
    </row>
    <row r="329" spans="1:26" ht="13.8">
      <c r="A329" s="166">
        <v>102</v>
      </c>
      <c r="B329" s="4" t="s">
        <v>3198</v>
      </c>
      <c r="C329" s="4">
        <v>933</v>
      </c>
      <c r="D329" s="4" t="s">
        <v>3199</v>
      </c>
      <c r="E329" s="4" t="s">
        <v>71</v>
      </c>
      <c r="F329" s="4" t="s">
        <v>1163</v>
      </c>
      <c r="G329" s="4" t="s">
        <v>1156</v>
      </c>
      <c r="H329" s="4" t="s">
        <v>1157</v>
      </c>
      <c r="I329" s="4" t="s">
        <v>1158</v>
      </c>
      <c r="J329" s="4" t="s">
        <v>3200</v>
      </c>
      <c r="K329" s="4">
        <v>8879316929</v>
      </c>
      <c r="L329" s="4" t="s">
        <v>3201</v>
      </c>
      <c r="M329" s="4">
        <v>8879316929</v>
      </c>
      <c r="N329" s="4" t="s">
        <v>2953</v>
      </c>
      <c r="O329" s="4" t="s">
        <v>71</v>
      </c>
      <c r="P329" s="168" t="s">
        <v>1160</v>
      </c>
      <c r="Q329" s="4" t="s">
        <v>47</v>
      </c>
      <c r="R329" s="172"/>
      <c r="S329" s="172"/>
      <c r="T329" s="172"/>
      <c r="U329" s="172"/>
      <c r="V329" s="172"/>
      <c r="W329" s="172"/>
      <c r="X329" s="172"/>
      <c r="Y329" s="172"/>
      <c r="Z329" s="172"/>
    </row>
    <row r="330" spans="1:26" ht="13.8">
      <c r="A330" s="166">
        <v>103</v>
      </c>
      <c r="B330" s="4" t="s">
        <v>3202</v>
      </c>
      <c r="C330" s="4">
        <v>934</v>
      </c>
      <c r="D330" s="4" t="s">
        <v>3203</v>
      </c>
      <c r="E330" s="4" t="s">
        <v>71</v>
      </c>
      <c r="F330" s="4" t="s">
        <v>1152</v>
      </c>
      <c r="G330" s="4" t="s">
        <v>1144</v>
      </c>
      <c r="H330" s="4" t="s">
        <v>1145</v>
      </c>
      <c r="I330" s="4" t="s">
        <v>507</v>
      </c>
      <c r="J330" s="4" t="s">
        <v>3204</v>
      </c>
      <c r="K330" s="4">
        <v>9820325251</v>
      </c>
      <c r="L330" s="4" t="s">
        <v>3205</v>
      </c>
      <c r="M330" s="4">
        <v>9820325251</v>
      </c>
      <c r="N330" s="4" t="s">
        <v>3206</v>
      </c>
      <c r="O330" s="4" t="s">
        <v>71</v>
      </c>
      <c r="P330" s="168" t="s">
        <v>1147</v>
      </c>
      <c r="Q330" s="4" t="s">
        <v>47</v>
      </c>
      <c r="R330" s="172"/>
      <c r="S330" s="172"/>
      <c r="T330" s="172"/>
      <c r="U330" s="172"/>
      <c r="V330" s="172"/>
      <c r="W330" s="172"/>
      <c r="X330" s="172"/>
      <c r="Y330" s="172"/>
      <c r="Z330" s="172"/>
    </row>
    <row r="331" spans="1:26" ht="13.8">
      <c r="A331" s="166">
        <v>105</v>
      </c>
      <c r="B331" s="4" t="s">
        <v>3210</v>
      </c>
      <c r="C331" s="4">
        <v>935</v>
      </c>
      <c r="D331" s="4" t="s">
        <v>3211</v>
      </c>
      <c r="E331" s="4" t="s">
        <v>71</v>
      </c>
      <c r="F331" s="4" t="s">
        <v>1163</v>
      </c>
      <c r="G331" s="4" t="s">
        <v>1156</v>
      </c>
      <c r="H331" s="4" t="s">
        <v>1177</v>
      </c>
      <c r="I331" s="4" t="s">
        <v>1178</v>
      </c>
      <c r="J331" s="4" t="s">
        <v>3200</v>
      </c>
      <c r="K331" s="4">
        <v>9833629934</v>
      </c>
      <c r="L331" s="4" t="s">
        <v>3201</v>
      </c>
      <c r="M331" s="4">
        <v>9833629934</v>
      </c>
      <c r="N331" s="4" t="s">
        <v>3057</v>
      </c>
      <c r="O331" s="4" t="s">
        <v>71</v>
      </c>
      <c r="P331" s="168" t="s">
        <v>1160</v>
      </c>
      <c r="Q331" s="4" t="s">
        <v>47</v>
      </c>
      <c r="R331" s="172"/>
      <c r="S331" s="172"/>
      <c r="T331" s="172"/>
      <c r="U331" s="172"/>
      <c r="V331" s="172"/>
      <c r="W331" s="172"/>
      <c r="X331" s="172"/>
      <c r="Y331" s="172"/>
      <c r="Z331" s="172"/>
    </row>
    <row r="332" spans="1:26" ht="13.8">
      <c r="A332" s="166">
        <v>104</v>
      </c>
      <c r="B332" s="4" t="s">
        <v>3207</v>
      </c>
      <c r="C332" s="4">
        <v>936</v>
      </c>
      <c r="D332" s="4" t="s">
        <v>3208</v>
      </c>
      <c r="E332" s="4" t="s">
        <v>71</v>
      </c>
      <c r="F332" s="4" t="s">
        <v>1163</v>
      </c>
      <c r="G332" s="4" t="s">
        <v>1156</v>
      </c>
      <c r="H332" s="4" t="s">
        <v>1172</v>
      </c>
      <c r="I332" s="4" t="s">
        <v>1173</v>
      </c>
      <c r="J332" s="4" t="s">
        <v>3209</v>
      </c>
      <c r="K332" s="4">
        <v>8369075554</v>
      </c>
      <c r="L332" s="4" t="s">
        <v>3201</v>
      </c>
      <c r="M332" s="4">
        <v>8369075554</v>
      </c>
      <c r="N332" s="4" t="s">
        <v>2953</v>
      </c>
      <c r="O332" s="4" t="s">
        <v>71</v>
      </c>
      <c r="P332" s="168" t="s">
        <v>1160</v>
      </c>
      <c r="Q332" s="4" t="s">
        <v>47</v>
      </c>
      <c r="R332" s="172"/>
      <c r="S332" s="172"/>
      <c r="T332" s="172"/>
      <c r="U332" s="172"/>
      <c r="V332" s="172"/>
      <c r="W332" s="172"/>
      <c r="X332" s="172"/>
      <c r="Y332" s="172"/>
      <c r="Z332" s="172"/>
    </row>
    <row r="333" spans="1:26" ht="13.8">
      <c r="A333" s="166">
        <v>106</v>
      </c>
      <c r="B333" s="4" t="s">
        <v>3212</v>
      </c>
      <c r="C333" s="4">
        <v>938</v>
      </c>
      <c r="D333" s="4" t="s">
        <v>3213</v>
      </c>
      <c r="E333" s="4" t="s">
        <v>71</v>
      </c>
      <c r="F333" s="4" t="s">
        <v>1163</v>
      </c>
      <c r="G333" s="4" t="s">
        <v>1156</v>
      </c>
      <c r="H333" s="4" t="s">
        <v>1183</v>
      </c>
      <c r="I333" s="4" t="s">
        <v>1184</v>
      </c>
      <c r="J333" s="4" t="s">
        <v>3214</v>
      </c>
      <c r="K333" s="4">
        <v>8104672056</v>
      </c>
      <c r="L333" s="4" t="s">
        <v>3201</v>
      </c>
      <c r="M333" s="4">
        <v>8104672056</v>
      </c>
      <c r="N333" s="4" t="s">
        <v>2953</v>
      </c>
      <c r="O333" s="4" t="s">
        <v>71</v>
      </c>
      <c r="P333" s="168" t="s">
        <v>1160</v>
      </c>
      <c r="Q333" s="4" t="s">
        <v>47</v>
      </c>
      <c r="R333" s="172"/>
      <c r="S333" s="172"/>
      <c r="T333" s="172"/>
      <c r="U333" s="172"/>
      <c r="V333" s="172"/>
      <c r="W333" s="172"/>
      <c r="X333" s="172"/>
      <c r="Y333" s="172"/>
      <c r="Z333" s="172"/>
    </row>
    <row r="334" spans="1:26" ht="13.8">
      <c r="A334" s="166">
        <v>107</v>
      </c>
      <c r="B334" s="4" t="s">
        <v>3215</v>
      </c>
      <c r="C334" s="4">
        <v>939</v>
      </c>
      <c r="D334" s="4" t="s">
        <v>3216</v>
      </c>
      <c r="E334" s="4" t="s">
        <v>1193</v>
      </c>
      <c r="F334" s="4" t="s">
        <v>1194</v>
      </c>
      <c r="G334" s="4" t="s">
        <v>1189</v>
      </c>
      <c r="H334" s="4" t="s">
        <v>1190</v>
      </c>
      <c r="I334" s="4" t="s">
        <v>1191</v>
      </c>
      <c r="J334" s="4" t="s">
        <v>3217</v>
      </c>
      <c r="K334" s="4">
        <v>7044213777</v>
      </c>
      <c r="L334" s="4" t="s">
        <v>3218</v>
      </c>
      <c r="M334" s="4">
        <v>7044213777</v>
      </c>
      <c r="N334" s="4" t="s">
        <v>71</v>
      </c>
      <c r="O334" s="4" t="s">
        <v>71</v>
      </c>
      <c r="P334" s="168" t="s">
        <v>1192</v>
      </c>
      <c r="Q334" s="4" t="s">
        <v>47</v>
      </c>
      <c r="R334" s="172"/>
      <c r="S334" s="172"/>
      <c r="T334" s="172"/>
      <c r="U334" s="172"/>
      <c r="V334" s="172"/>
      <c r="W334" s="172"/>
      <c r="X334" s="172"/>
      <c r="Y334" s="172"/>
      <c r="Z334" s="172"/>
    </row>
    <row r="335" spans="1:26" ht="13.8">
      <c r="A335" s="166">
        <v>108</v>
      </c>
      <c r="B335" s="4" t="s">
        <v>3219</v>
      </c>
      <c r="C335" s="4">
        <v>946</v>
      </c>
      <c r="D335" s="4" t="s">
        <v>3220</v>
      </c>
      <c r="E335" s="4" t="s">
        <v>1206</v>
      </c>
      <c r="F335" s="4" t="s">
        <v>1207</v>
      </c>
      <c r="G335" s="4" t="s">
        <v>1198</v>
      </c>
      <c r="H335" s="4" t="s">
        <v>1199</v>
      </c>
      <c r="I335" s="4" t="s">
        <v>116</v>
      </c>
      <c r="J335" s="4" t="s">
        <v>1200</v>
      </c>
      <c r="K335" s="4">
        <v>8850070778</v>
      </c>
      <c r="L335" s="4" t="s">
        <v>3221</v>
      </c>
      <c r="M335" s="4">
        <v>8850070778</v>
      </c>
      <c r="N335" s="4" t="s">
        <v>3057</v>
      </c>
      <c r="O335" s="4" t="s">
        <v>71</v>
      </c>
      <c r="P335" s="168" t="s">
        <v>1201</v>
      </c>
      <c r="Q335" s="4" t="s">
        <v>47</v>
      </c>
      <c r="R335" s="172"/>
      <c r="S335" s="172"/>
      <c r="T335" s="172"/>
      <c r="U335" s="172"/>
      <c r="V335" s="172"/>
      <c r="W335" s="172"/>
      <c r="X335" s="172"/>
      <c r="Y335" s="172"/>
      <c r="Z335" s="172"/>
    </row>
    <row r="336" spans="1:26" ht="13.8">
      <c r="A336" s="166">
        <v>109</v>
      </c>
      <c r="B336" s="4" t="s">
        <v>3222</v>
      </c>
      <c r="C336" s="4">
        <v>947</v>
      </c>
      <c r="D336" s="4" t="s">
        <v>3223</v>
      </c>
      <c r="E336" s="4" t="s">
        <v>1223</v>
      </c>
      <c r="F336" s="4" t="s">
        <v>1224</v>
      </c>
      <c r="G336" s="4" t="s">
        <v>1217</v>
      </c>
      <c r="H336" s="4" t="s">
        <v>1199</v>
      </c>
      <c r="I336" s="4" t="s">
        <v>1218</v>
      </c>
      <c r="J336" s="4" t="s">
        <v>3224</v>
      </c>
      <c r="K336" s="4">
        <v>8850070778</v>
      </c>
      <c r="L336" s="4" t="s">
        <v>3221</v>
      </c>
      <c r="M336" s="4">
        <v>8850070778</v>
      </c>
      <c r="N336" s="4" t="s">
        <v>71</v>
      </c>
      <c r="O336" s="4" t="s">
        <v>3057</v>
      </c>
      <c r="P336" s="168" t="s">
        <v>1219</v>
      </c>
      <c r="Q336" s="4" t="s">
        <v>47</v>
      </c>
      <c r="R336" s="172"/>
      <c r="S336" s="172"/>
      <c r="T336" s="172"/>
      <c r="U336" s="172"/>
      <c r="V336" s="172"/>
      <c r="W336" s="172"/>
      <c r="X336" s="172"/>
      <c r="Y336" s="172"/>
      <c r="Z336" s="172"/>
    </row>
    <row r="337" spans="1:26" ht="13.8">
      <c r="A337" s="166">
        <v>110</v>
      </c>
      <c r="B337" s="4" t="s">
        <v>3225</v>
      </c>
      <c r="C337" s="4">
        <v>948</v>
      </c>
      <c r="D337" s="4" t="s">
        <v>3226</v>
      </c>
      <c r="E337" s="4" t="s">
        <v>1249</v>
      </c>
      <c r="F337" s="4" t="s">
        <v>1250</v>
      </c>
      <c r="G337" s="4" t="s">
        <v>1242</v>
      </c>
      <c r="H337" s="4" t="s">
        <v>1243</v>
      </c>
      <c r="I337" s="4" t="s">
        <v>534</v>
      </c>
      <c r="J337" s="4" t="s">
        <v>3227</v>
      </c>
      <c r="K337" s="4">
        <v>9820768266</v>
      </c>
      <c r="L337" s="4" t="s">
        <v>3228</v>
      </c>
      <c r="M337" s="4">
        <v>9820768266</v>
      </c>
      <c r="N337" s="4" t="s">
        <v>3229</v>
      </c>
      <c r="O337" s="4" t="s">
        <v>71</v>
      </c>
      <c r="P337" s="168" t="s">
        <v>1245</v>
      </c>
      <c r="Q337" s="4" t="s">
        <v>47</v>
      </c>
      <c r="R337" s="172"/>
      <c r="S337" s="172"/>
      <c r="T337" s="172"/>
      <c r="U337" s="172"/>
      <c r="V337" s="172"/>
      <c r="W337" s="172"/>
      <c r="X337" s="172"/>
      <c r="Y337" s="172"/>
      <c r="Z337" s="172"/>
    </row>
    <row r="338" spans="1:26" ht="13.8">
      <c r="A338" s="166">
        <v>111</v>
      </c>
      <c r="B338" s="4" t="s">
        <v>3230</v>
      </c>
      <c r="C338" s="4">
        <v>951</v>
      </c>
      <c r="D338" s="4" t="s">
        <v>3231</v>
      </c>
      <c r="E338" s="4" t="s">
        <v>71</v>
      </c>
      <c r="F338" s="4" t="s">
        <v>1260</v>
      </c>
      <c r="G338" s="4" t="s">
        <v>1254</v>
      </c>
      <c r="H338" s="4" t="s">
        <v>1255</v>
      </c>
      <c r="I338" s="4" t="s">
        <v>1256</v>
      </c>
      <c r="J338" s="4" t="s">
        <v>1257</v>
      </c>
      <c r="K338" s="4">
        <v>9820735575</v>
      </c>
      <c r="L338" s="4" t="s">
        <v>3232</v>
      </c>
      <c r="M338" s="4">
        <v>9820735575</v>
      </c>
      <c r="N338" s="4" t="s">
        <v>2953</v>
      </c>
      <c r="O338" s="4" t="s">
        <v>71</v>
      </c>
      <c r="P338" s="4" t="s">
        <v>71</v>
      </c>
      <c r="Q338" s="4" t="s">
        <v>47</v>
      </c>
      <c r="R338" s="172"/>
      <c r="S338" s="172"/>
      <c r="T338" s="172"/>
      <c r="U338" s="172"/>
      <c r="V338" s="172"/>
      <c r="W338" s="172"/>
      <c r="X338" s="172"/>
      <c r="Y338" s="172"/>
      <c r="Z338" s="172"/>
    </row>
    <row r="339" spans="1:26" ht="13.8">
      <c r="A339" s="166">
        <v>112</v>
      </c>
      <c r="B339" s="4" t="s">
        <v>3233</v>
      </c>
      <c r="C339" s="4">
        <v>952</v>
      </c>
      <c r="D339" s="4" t="s">
        <v>3234</v>
      </c>
      <c r="E339" s="4" t="s">
        <v>71</v>
      </c>
      <c r="F339" s="4" t="s">
        <v>1281</v>
      </c>
      <c r="G339" s="4" t="s">
        <v>1274</v>
      </c>
      <c r="H339" s="4" t="s">
        <v>1275</v>
      </c>
      <c r="I339" s="4" t="s">
        <v>534</v>
      </c>
      <c r="J339" s="4" t="s">
        <v>1276</v>
      </c>
      <c r="K339" s="4">
        <v>9323195233</v>
      </c>
      <c r="L339" s="4" t="s">
        <v>3235</v>
      </c>
      <c r="M339" s="4">
        <v>9323195233</v>
      </c>
      <c r="N339" s="4" t="s">
        <v>71</v>
      </c>
      <c r="O339" s="4" t="s">
        <v>71</v>
      </c>
      <c r="P339" s="4" t="s">
        <v>71</v>
      </c>
      <c r="Q339" s="4" t="s">
        <v>47</v>
      </c>
      <c r="R339" s="172"/>
      <c r="S339" s="172"/>
      <c r="T339" s="172"/>
      <c r="U339" s="172"/>
      <c r="V339" s="172"/>
      <c r="W339" s="172"/>
      <c r="X339" s="172"/>
      <c r="Y339" s="172"/>
      <c r="Z339" s="172"/>
    </row>
    <row r="340" spans="1:26" ht="13.8">
      <c r="A340" s="166">
        <v>113</v>
      </c>
      <c r="B340" s="4" t="s">
        <v>3236</v>
      </c>
      <c r="C340" s="4">
        <v>953</v>
      </c>
      <c r="D340" s="4" t="s">
        <v>3237</v>
      </c>
      <c r="E340" s="4" t="s">
        <v>71</v>
      </c>
      <c r="F340" s="4" t="s">
        <v>1292</v>
      </c>
      <c r="G340" s="4" t="s">
        <v>1285</v>
      </c>
      <c r="H340" s="4" t="s">
        <v>1286</v>
      </c>
      <c r="I340" s="4" t="s">
        <v>1287</v>
      </c>
      <c r="J340" s="4" t="s">
        <v>1288</v>
      </c>
      <c r="K340" s="4">
        <v>9004477002</v>
      </c>
      <c r="L340" s="4" t="s">
        <v>3238</v>
      </c>
      <c r="M340" s="4">
        <v>9004477002</v>
      </c>
      <c r="N340" s="4" t="s">
        <v>2953</v>
      </c>
      <c r="O340" s="4" t="s">
        <v>71</v>
      </c>
      <c r="P340" s="168" t="s">
        <v>1289</v>
      </c>
      <c r="Q340" s="4" t="s">
        <v>47</v>
      </c>
      <c r="R340" s="172"/>
      <c r="S340" s="172"/>
      <c r="T340" s="172"/>
      <c r="U340" s="172"/>
      <c r="V340" s="172"/>
      <c r="W340" s="172"/>
      <c r="X340" s="172"/>
      <c r="Y340" s="172"/>
      <c r="Z340" s="172"/>
    </row>
    <row r="341" spans="1:26" ht="13.8">
      <c r="A341" s="166">
        <v>114</v>
      </c>
      <c r="B341" s="4" t="s">
        <v>3239</v>
      </c>
      <c r="C341" s="4">
        <v>954</v>
      </c>
      <c r="D341" s="4" t="s">
        <v>3240</v>
      </c>
      <c r="E341" s="4" t="s">
        <v>71</v>
      </c>
      <c r="F341" s="4" t="s">
        <v>1310</v>
      </c>
      <c r="G341" s="4" t="s">
        <v>1302</v>
      </c>
      <c r="H341" s="4" t="s">
        <v>1303</v>
      </c>
      <c r="I341" s="4" t="s">
        <v>191</v>
      </c>
      <c r="J341" s="4" t="s">
        <v>1304</v>
      </c>
      <c r="K341" s="4">
        <v>9820941012</v>
      </c>
      <c r="L341" s="4" t="s">
        <v>3241</v>
      </c>
      <c r="M341" s="4">
        <v>9820941012</v>
      </c>
      <c r="N341" s="4" t="s">
        <v>3057</v>
      </c>
      <c r="O341" s="4" t="s">
        <v>71</v>
      </c>
      <c r="P341" s="168" t="s">
        <v>1305</v>
      </c>
      <c r="Q341" s="4" t="s">
        <v>47</v>
      </c>
      <c r="R341" s="172"/>
      <c r="S341" s="172"/>
      <c r="T341" s="172"/>
      <c r="U341" s="172"/>
      <c r="V341" s="172"/>
      <c r="W341" s="172"/>
      <c r="X341" s="172"/>
      <c r="Y341" s="172"/>
      <c r="Z341" s="172"/>
    </row>
    <row r="342" spans="1:26" ht="13.8">
      <c r="A342" s="166">
        <v>115</v>
      </c>
      <c r="B342" s="4" t="s">
        <v>3242</v>
      </c>
      <c r="C342" s="4">
        <v>955</v>
      </c>
      <c r="D342" s="4" t="s">
        <v>3243</v>
      </c>
      <c r="E342" s="4" t="s">
        <v>71</v>
      </c>
      <c r="F342" s="4" t="s">
        <v>1318</v>
      </c>
      <c r="G342" s="4" t="s">
        <v>1302</v>
      </c>
      <c r="H342" s="4" t="s">
        <v>1314</v>
      </c>
      <c r="I342" s="4" t="s">
        <v>1315</v>
      </c>
      <c r="J342" s="4" t="s">
        <v>1304</v>
      </c>
      <c r="K342" s="4">
        <v>8149634693</v>
      </c>
      <c r="L342" s="4" t="s">
        <v>3241</v>
      </c>
      <c r="M342" s="4">
        <v>8149634693</v>
      </c>
      <c r="N342" s="4" t="s">
        <v>2953</v>
      </c>
      <c r="O342" s="4" t="s">
        <v>71</v>
      </c>
      <c r="P342" s="168" t="s">
        <v>1305</v>
      </c>
      <c r="Q342" s="4" t="s">
        <v>47</v>
      </c>
      <c r="R342" s="172"/>
      <c r="S342" s="172"/>
      <c r="T342" s="172"/>
      <c r="U342" s="172"/>
      <c r="V342" s="172"/>
      <c r="W342" s="172"/>
      <c r="X342" s="172"/>
      <c r="Y342" s="172"/>
      <c r="Z342" s="172"/>
    </row>
    <row r="343" spans="1:26" ht="13.8">
      <c r="A343" s="166">
        <v>116</v>
      </c>
      <c r="B343" s="4" t="s">
        <v>3244</v>
      </c>
      <c r="C343" s="4">
        <v>956</v>
      </c>
      <c r="D343" s="4" t="s">
        <v>3245</v>
      </c>
      <c r="E343" s="4" t="s">
        <v>71</v>
      </c>
      <c r="F343" s="4" t="s">
        <v>1326</v>
      </c>
      <c r="G343" s="4" t="s">
        <v>1302</v>
      </c>
      <c r="H343" s="4" t="s">
        <v>1322</v>
      </c>
      <c r="I343" s="4" t="s">
        <v>1323</v>
      </c>
      <c r="J343" s="4" t="s">
        <v>1304</v>
      </c>
      <c r="K343" s="4">
        <v>9867267202</v>
      </c>
      <c r="L343" s="4" t="s">
        <v>3241</v>
      </c>
      <c r="M343" s="4">
        <v>9867267202</v>
      </c>
      <c r="N343" s="4" t="s">
        <v>2953</v>
      </c>
      <c r="O343" s="4" t="s">
        <v>71</v>
      </c>
      <c r="P343" s="168" t="s">
        <v>1305</v>
      </c>
      <c r="Q343" s="4" t="s">
        <v>47</v>
      </c>
      <c r="R343" s="172"/>
      <c r="S343" s="172"/>
      <c r="T343" s="172"/>
      <c r="U343" s="172"/>
      <c r="V343" s="172"/>
      <c r="W343" s="172"/>
      <c r="X343" s="172"/>
      <c r="Y343" s="172"/>
      <c r="Z343" s="172"/>
    </row>
    <row r="344" spans="1:26" ht="13.8">
      <c r="A344" s="166">
        <v>117</v>
      </c>
      <c r="B344" s="4" t="s">
        <v>3246</v>
      </c>
      <c r="C344" s="4">
        <v>958</v>
      </c>
      <c r="D344" s="4" t="s">
        <v>3247</v>
      </c>
      <c r="E344" s="4" t="s">
        <v>71</v>
      </c>
      <c r="F344" s="4" t="s">
        <v>1333</v>
      </c>
      <c r="G344" s="4" t="s">
        <v>1302</v>
      </c>
      <c r="H344" s="4" t="s">
        <v>1329</v>
      </c>
      <c r="I344" s="4" t="s">
        <v>1330</v>
      </c>
      <c r="J344" s="4" t="s">
        <v>1304</v>
      </c>
      <c r="K344" s="4">
        <v>9833775438</v>
      </c>
      <c r="L344" s="4" t="s">
        <v>3241</v>
      </c>
      <c r="M344" s="4">
        <v>9833775438</v>
      </c>
      <c r="N344" s="4" t="s">
        <v>2953</v>
      </c>
      <c r="O344" s="4" t="s">
        <v>71</v>
      </c>
      <c r="P344" s="168" t="s">
        <v>1305</v>
      </c>
      <c r="Q344" s="4" t="s">
        <v>47</v>
      </c>
      <c r="R344" s="172"/>
      <c r="S344" s="172"/>
      <c r="T344" s="172"/>
      <c r="U344" s="172"/>
      <c r="V344" s="172"/>
      <c r="W344" s="172"/>
      <c r="X344" s="172"/>
      <c r="Y344" s="172"/>
      <c r="Z344" s="172"/>
    </row>
    <row r="345" spans="1:26" ht="13.8">
      <c r="A345" s="166">
        <v>118</v>
      </c>
      <c r="B345" s="4" t="s">
        <v>3248</v>
      </c>
      <c r="C345" s="4">
        <v>959</v>
      </c>
      <c r="D345" s="4" t="s">
        <v>3249</v>
      </c>
      <c r="E345" s="4" t="s">
        <v>71</v>
      </c>
      <c r="F345" s="4" t="s">
        <v>1340</v>
      </c>
      <c r="G345" s="4" t="s">
        <v>1302</v>
      </c>
      <c r="H345" s="4" t="s">
        <v>1336</v>
      </c>
      <c r="I345" s="4" t="s">
        <v>1337</v>
      </c>
      <c r="J345" s="4" t="s">
        <v>1304</v>
      </c>
      <c r="K345" s="4">
        <v>9930065435</v>
      </c>
      <c r="L345" s="4" t="s">
        <v>3241</v>
      </c>
      <c r="M345" s="4">
        <v>9930065435</v>
      </c>
      <c r="N345" s="4" t="s">
        <v>2953</v>
      </c>
      <c r="O345" s="4" t="s">
        <v>71</v>
      </c>
      <c r="P345" s="168" t="s">
        <v>1305</v>
      </c>
      <c r="Q345" s="4" t="s">
        <v>47</v>
      </c>
      <c r="R345" s="172"/>
      <c r="S345" s="172"/>
      <c r="T345" s="172"/>
      <c r="U345" s="172"/>
      <c r="V345" s="172"/>
      <c r="W345" s="172"/>
      <c r="X345" s="172"/>
      <c r="Y345" s="172"/>
      <c r="Z345" s="172"/>
    </row>
    <row r="346" spans="1:26" ht="13.8">
      <c r="A346" s="166">
        <v>119</v>
      </c>
      <c r="B346" s="4" t="s">
        <v>3250</v>
      </c>
      <c r="C346" s="4">
        <v>960</v>
      </c>
      <c r="D346" s="4" t="s">
        <v>3251</v>
      </c>
      <c r="E346" s="4" t="s">
        <v>71</v>
      </c>
      <c r="F346" s="4" t="s">
        <v>1347</v>
      </c>
      <c r="G346" s="4" t="s">
        <v>1302</v>
      </c>
      <c r="H346" s="4" t="s">
        <v>1343</v>
      </c>
      <c r="I346" s="4" t="s">
        <v>1344</v>
      </c>
      <c r="J346" s="4" t="s">
        <v>1304</v>
      </c>
      <c r="K346" s="4">
        <v>7506022996</v>
      </c>
      <c r="L346" s="4" t="s">
        <v>3241</v>
      </c>
      <c r="M346" s="4">
        <v>7506022996</v>
      </c>
      <c r="N346" s="4" t="s">
        <v>2953</v>
      </c>
      <c r="O346" s="4" t="s">
        <v>71</v>
      </c>
      <c r="P346" s="168" t="s">
        <v>1305</v>
      </c>
      <c r="Q346" s="4" t="s">
        <v>47</v>
      </c>
      <c r="R346" s="172"/>
      <c r="S346" s="172"/>
      <c r="T346" s="172"/>
      <c r="U346" s="172"/>
      <c r="V346" s="172"/>
      <c r="W346" s="172"/>
      <c r="X346" s="172"/>
      <c r="Y346" s="172"/>
      <c r="Z346" s="172"/>
    </row>
    <row r="347" spans="1:26" ht="13.8">
      <c r="A347" s="166">
        <v>120</v>
      </c>
      <c r="B347" s="4" t="s">
        <v>3252</v>
      </c>
      <c r="C347" s="4">
        <v>961</v>
      </c>
      <c r="D347" s="4" t="s">
        <v>3253</v>
      </c>
      <c r="E347" s="4" t="s">
        <v>71</v>
      </c>
      <c r="F347" s="4" t="s">
        <v>1353</v>
      </c>
      <c r="G347" s="4" t="s">
        <v>1302</v>
      </c>
      <c r="H347" s="4" t="s">
        <v>1350</v>
      </c>
      <c r="I347" s="4" t="s">
        <v>191</v>
      </c>
      <c r="J347" s="4" t="s">
        <v>1304</v>
      </c>
      <c r="K347" s="4">
        <v>9664237770</v>
      </c>
      <c r="L347" s="4" t="s">
        <v>3241</v>
      </c>
      <c r="M347" s="4">
        <v>9664237770</v>
      </c>
      <c r="N347" s="4" t="s">
        <v>2953</v>
      </c>
      <c r="O347" s="4" t="s">
        <v>71</v>
      </c>
      <c r="P347" s="168" t="s">
        <v>1305</v>
      </c>
      <c r="Q347" s="4" t="s">
        <v>47</v>
      </c>
      <c r="R347" s="172"/>
      <c r="S347" s="172"/>
      <c r="T347" s="172"/>
      <c r="U347" s="172"/>
      <c r="V347" s="172"/>
      <c r="W347" s="172"/>
      <c r="X347" s="172"/>
      <c r="Y347" s="172"/>
      <c r="Z347" s="172"/>
    </row>
    <row r="348" spans="1:26" ht="13.8">
      <c r="A348" s="166">
        <v>121</v>
      </c>
      <c r="B348" s="4" t="s">
        <v>3254</v>
      </c>
      <c r="C348" s="4">
        <v>962</v>
      </c>
      <c r="D348" s="4" t="s">
        <v>3255</v>
      </c>
      <c r="E348" s="4" t="s">
        <v>71</v>
      </c>
      <c r="F348" s="4" t="s">
        <v>1362</v>
      </c>
      <c r="G348" s="4" t="s">
        <v>1357</v>
      </c>
      <c r="H348" s="4" t="s">
        <v>1358</v>
      </c>
      <c r="I348" s="4" t="s">
        <v>1359</v>
      </c>
      <c r="J348" s="4" t="s">
        <v>1694</v>
      </c>
      <c r="K348" s="4">
        <v>9833920865</v>
      </c>
      <c r="L348" s="4" t="s">
        <v>3256</v>
      </c>
      <c r="M348" s="4">
        <v>9833920865</v>
      </c>
      <c r="N348" s="4" t="s">
        <v>2953</v>
      </c>
      <c r="O348" s="4" t="s">
        <v>71</v>
      </c>
      <c r="P348" s="168" t="s">
        <v>1361</v>
      </c>
      <c r="Q348" s="4" t="s">
        <v>47</v>
      </c>
      <c r="R348" s="172"/>
      <c r="S348" s="172"/>
      <c r="T348" s="172"/>
      <c r="U348" s="172"/>
      <c r="V348" s="172"/>
      <c r="W348" s="172"/>
      <c r="X348" s="172"/>
      <c r="Y348" s="172"/>
      <c r="Z348" s="172"/>
    </row>
    <row r="349" spans="1:26" ht="13.8">
      <c r="A349" s="166">
        <v>296</v>
      </c>
      <c r="B349" s="4" t="s">
        <v>3681</v>
      </c>
      <c r="C349" s="4">
        <v>969</v>
      </c>
      <c r="D349" s="4" t="s">
        <v>3682</v>
      </c>
      <c r="E349" s="4" t="s">
        <v>71</v>
      </c>
      <c r="F349" s="4" t="s">
        <v>3547</v>
      </c>
      <c r="G349" s="4" t="s">
        <v>3683</v>
      </c>
      <c r="H349" s="4" t="s">
        <v>3684</v>
      </c>
      <c r="I349" s="4" t="s">
        <v>78</v>
      </c>
      <c r="J349" s="4" t="s">
        <v>71</v>
      </c>
      <c r="K349" s="4">
        <v>9289900999</v>
      </c>
      <c r="L349" s="4" t="s">
        <v>2780</v>
      </c>
      <c r="M349" s="4">
        <v>9289900999</v>
      </c>
      <c r="N349" s="4" t="s">
        <v>3685</v>
      </c>
      <c r="O349" s="4" t="s">
        <v>71</v>
      </c>
      <c r="P349" s="168" t="s">
        <v>2786</v>
      </c>
      <c r="Q349" s="4" t="s">
        <v>47</v>
      </c>
      <c r="R349" s="172"/>
      <c r="S349" s="172"/>
      <c r="T349" s="172"/>
      <c r="U349" s="172"/>
      <c r="V349" s="172"/>
      <c r="W349" s="172"/>
      <c r="X349" s="172"/>
      <c r="Y349" s="172"/>
      <c r="Z349" s="172"/>
    </row>
    <row r="350" spans="1:26" ht="13.8">
      <c r="A350" s="166">
        <v>282</v>
      </c>
      <c r="B350" s="4" t="s">
        <v>3624</v>
      </c>
      <c r="C350" s="4">
        <v>973</v>
      </c>
      <c r="D350" s="4" t="s">
        <v>3625</v>
      </c>
      <c r="E350" s="4" t="s">
        <v>71</v>
      </c>
      <c r="F350" s="4" t="s">
        <v>3547</v>
      </c>
      <c r="G350" s="4" t="s">
        <v>3626</v>
      </c>
      <c r="H350" s="4" t="s">
        <v>3627</v>
      </c>
      <c r="I350" s="4" t="s">
        <v>3628</v>
      </c>
      <c r="J350" s="4" t="s">
        <v>3629</v>
      </c>
      <c r="K350" s="4" t="s">
        <v>71</v>
      </c>
      <c r="L350" s="4" t="s">
        <v>2780</v>
      </c>
      <c r="M350" s="4" t="s">
        <v>71</v>
      </c>
      <c r="N350" s="4" t="s">
        <v>3301</v>
      </c>
      <c r="O350" s="4" t="s">
        <v>71</v>
      </c>
      <c r="P350" s="168" t="s">
        <v>2786</v>
      </c>
      <c r="Q350" s="4" t="s">
        <v>47</v>
      </c>
      <c r="R350" s="172"/>
      <c r="S350" s="172"/>
      <c r="T350" s="172"/>
      <c r="U350" s="172"/>
      <c r="V350" s="172"/>
      <c r="W350" s="172"/>
      <c r="X350" s="172"/>
      <c r="Y350" s="172"/>
      <c r="Z350" s="172"/>
    </row>
    <row r="351" spans="1:26" ht="13.8">
      <c r="A351" s="166">
        <v>283</v>
      </c>
      <c r="B351" s="4" t="s">
        <v>3630</v>
      </c>
      <c r="C351" s="4">
        <v>974</v>
      </c>
      <c r="D351" s="4" t="s">
        <v>3631</v>
      </c>
      <c r="E351" s="4" t="s">
        <v>71</v>
      </c>
      <c r="F351" s="4" t="s">
        <v>3547</v>
      </c>
      <c r="G351" s="4" t="s">
        <v>3626</v>
      </c>
      <c r="H351" s="4" t="s">
        <v>3632</v>
      </c>
      <c r="I351" s="4" t="s">
        <v>3628</v>
      </c>
      <c r="J351" s="4" t="s">
        <v>71</v>
      </c>
      <c r="K351" s="4">
        <v>7400480852</v>
      </c>
      <c r="L351" s="4" t="s">
        <v>2780</v>
      </c>
      <c r="M351" s="4">
        <v>7400480852</v>
      </c>
      <c r="N351" s="4" t="s">
        <v>3301</v>
      </c>
      <c r="O351" s="4" t="s">
        <v>71</v>
      </c>
      <c r="P351" s="168" t="s">
        <v>2786</v>
      </c>
      <c r="Q351" s="4" t="s">
        <v>47</v>
      </c>
      <c r="R351" s="172"/>
      <c r="S351" s="172"/>
      <c r="T351" s="172"/>
      <c r="U351" s="172"/>
      <c r="V351" s="172"/>
      <c r="W351" s="172"/>
      <c r="X351" s="172"/>
      <c r="Y351" s="172"/>
      <c r="Z351" s="172"/>
    </row>
    <row r="352" spans="1:26" ht="13.8">
      <c r="A352" s="166">
        <v>284</v>
      </c>
      <c r="B352" s="4" t="s">
        <v>3633</v>
      </c>
      <c r="C352" s="4">
        <v>975</v>
      </c>
      <c r="D352" s="4" t="s">
        <v>3634</v>
      </c>
      <c r="E352" s="4" t="s">
        <v>71</v>
      </c>
      <c r="F352" s="4" t="s">
        <v>3547</v>
      </c>
      <c r="G352" s="4" t="s">
        <v>3626</v>
      </c>
      <c r="H352" s="4" t="s">
        <v>3635</v>
      </c>
      <c r="I352" s="4" t="s">
        <v>3636</v>
      </c>
      <c r="J352" s="4" t="s">
        <v>71</v>
      </c>
      <c r="K352" s="4">
        <v>7400480852</v>
      </c>
      <c r="L352" s="4" t="s">
        <v>2780</v>
      </c>
      <c r="M352" s="4">
        <v>7400480852</v>
      </c>
      <c r="N352" s="4" t="s">
        <v>3301</v>
      </c>
      <c r="O352" s="4" t="s">
        <v>71</v>
      </c>
      <c r="P352" s="168" t="s">
        <v>2786</v>
      </c>
      <c r="Q352" s="4" t="s">
        <v>47</v>
      </c>
      <c r="R352" s="172"/>
      <c r="S352" s="172"/>
      <c r="T352" s="172"/>
      <c r="U352" s="172"/>
      <c r="V352" s="172"/>
      <c r="W352" s="172"/>
      <c r="X352" s="172"/>
      <c r="Y352" s="172"/>
      <c r="Z352" s="172"/>
    </row>
    <row r="353" spans="1:26" ht="13.8">
      <c r="A353" s="166">
        <v>285</v>
      </c>
      <c r="B353" s="4" t="s">
        <v>3637</v>
      </c>
      <c r="C353" s="4">
        <v>976</v>
      </c>
      <c r="D353" s="4" t="s">
        <v>3638</v>
      </c>
      <c r="E353" s="4" t="s">
        <v>71</v>
      </c>
      <c r="F353" s="4" t="s">
        <v>3547</v>
      </c>
      <c r="G353" s="4" t="s">
        <v>3626</v>
      </c>
      <c r="H353" s="4" t="s">
        <v>3639</v>
      </c>
      <c r="I353" s="4" t="s">
        <v>3640</v>
      </c>
      <c r="J353" s="4" t="s">
        <v>71</v>
      </c>
      <c r="K353" s="4">
        <v>7400480852</v>
      </c>
      <c r="L353" s="4" t="s">
        <v>2780</v>
      </c>
      <c r="M353" s="4">
        <v>7400480852</v>
      </c>
      <c r="N353" s="4" t="s">
        <v>3301</v>
      </c>
      <c r="O353" s="4" t="s">
        <v>71</v>
      </c>
      <c r="P353" s="168" t="s">
        <v>2786</v>
      </c>
      <c r="Q353" s="4" t="s">
        <v>47</v>
      </c>
      <c r="R353" s="172"/>
      <c r="S353" s="172"/>
      <c r="T353" s="172"/>
      <c r="U353" s="172"/>
      <c r="V353" s="172"/>
      <c r="W353" s="172"/>
      <c r="X353" s="172"/>
      <c r="Y353" s="172"/>
      <c r="Z353" s="172"/>
    </row>
    <row r="354" spans="1:26" ht="13.8">
      <c r="A354" s="166">
        <v>286</v>
      </c>
      <c r="B354" s="4" t="s">
        <v>3641</v>
      </c>
      <c r="C354" s="4">
        <v>977</v>
      </c>
      <c r="D354" s="4" t="s">
        <v>3642</v>
      </c>
      <c r="E354" s="4" t="s">
        <v>71</v>
      </c>
      <c r="F354" s="4" t="s">
        <v>3547</v>
      </c>
      <c r="G354" s="4" t="s">
        <v>3626</v>
      </c>
      <c r="H354" s="4" t="s">
        <v>3643</v>
      </c>
      <c r="I354" s="4" t="s">
        <v>3644</v>
      </c>
      <c r="J354" s="4" t="s">
        <v>71</v>
      </c>
      <c r="K354" s="4">
        <v>7400480852</v>
      </c>
      <c r="L354" s="4" t="s">
        <v>2780</v>
      </c>
      <c r="M354" s="4">
        <v>7400480852</v>
      </c>
      <c r="N354" s="4" t="s">
        <v>3301</v>
      </c>
      <c r="O354" s="4" t="s">
        <v>71</v>
      </c>
      <c r="P354" s="168" t="s">
        <v>2786</v>
      </c>
      <c r="Q354" s="4" t="s">
        <v>47</v>
      </c>
      <c r="R354" s="172"/>
      <c r="S354" s="172"/>
      <c r="T354" s="172"/>
      <c r="U354" s="172"/>
      <c r="V354" s="172"/>
      <c r="W354" s="172"/>
      <c r="X354" s="172"/>
      <c r="Y354" s="172"/>
      <c r="Z354" s="172"/>
    </row>
    <row r="355" spans="1:26" ht="13.8">
      <c r="A355" s="166">
        <v>287</v>
      </c>
      <c r="B355" s="4" t="s">
        <v>3645</v>
      </c>
      <c r="C355" s="4">
        <v>978</v>
      </c>
      <c r="D355" s="4" t="s">
        <v>3646</v>
      </c>
      <c r="E355" s="4" t="s">
        <v>71</v>
      </c>
      <c r="F355" s="4" t="s">
        <v>3547</v>
      </c>
      <c r="G355" s="4" t="s">
        <v>3626</v>
      </c>
      <c r="H355" s="4" t="s">
        <v>2381</v>
      </c>
      <c r="I355" s="4" t="s">
        <v>3647</v>
      </c>
      <c r="J355" s="4" t="s">
        <v>71</v>
      </c>
      <c r="K355" s="4">
        <v>7400480852</v>
      </c>
      <c r="L355" s="4" t="s">
        <v>2780</v>
      </c>
      <c r="M355" s="4">
        <v>7400480852</v>
      </c>
      <c r="N355" s="4" t="s">
        <v>3301</v>
      </c>
      <c r="O355" s="4" t="s">
        <v>71</v>
      </c>
      <c r="P355" s="168" t="s">
        <v>2786</v>
      </c>
      <c r="Q355" s="4" t="s">
        <v>47</v>
      </c>
      <c r="R355" s="172"/>
      <c r="S355" s="172"/>
      <c r="T355" s="172"/>
      <c r="U355" s="172"/>
      <c r="V355" s="172"/>
      <c r="W355" s="172"/>
      <c r="X355" s="172"/>
      <c r="Y355" s="172"/>
      <c r="Z355" s="172"/>
    </row>
    <row r="356" spans="1:26" ht="13.8">
      <c r="A356" s="166">
        <v>288</v>
      </c>
      <c r="B356" s="4" t="s">
        <v>3648</v>
      </c>
      <c r="C356" s="4">
        <v>979</v>
      </c>
      <c r="D356" s="4" t="s">
        <v>3649</v>
      </c>
      <c r="E356" s="4" t="s">
        <v>71</v>
      </c>
      <c r="F356" s="4" t="s">
        <v>3547</v>
      </c>
      <c r="G356" s="4" t="s">
        <v>3626</v>
      </c>
      <c r="H356" s="4" t="s">
        <v>3650</v>
      </c>
      <c r="I356" s="4" t="s">
        <v>3651</v>
      </c>
      <c r="J356" s="4" t="s">
        <v>71</v>
      </c>
      <c r="K356" s="4">
        <v>7400480852</v>
      </c>
      <c r="L356" s="4" t="s">
        <v>2780</v>
      </c>
      <c r="M356" s="4">
        <v>7400480852</v>
      </c>
      <c r="N356" s="4" t="s">
        <v>3301</v>
      </c>
      <c r="O356" s="4" t="s">
        <v>71</v>
      </c>
      <c r="P356" s="168" t="s">
        <v>2786</v>
      </c>
      <c r="Q356" s="4" t="s">
        <v>47</v>
      </c>
      <c r="R356" s="172"/>
      <c r="S356" s="172"/>
      <c r="T356" s="172"/>
      <c r="U356" s="172"/>
      <c r="V356" s="172"/>
      <c r="W356" s="172"/>
      <c r="X356" s="172"/>
      <c r="Y356" s="172"/>
      <c r="Z356" s="172"/>
    </row>
    <row r="357" spans="1:26" ht="13.8">
      <c r="A357" s="166">
        <v>289</v>
      </c>
      <c r="B357" s="4" t="s">
        <v>3652</v>
      </c>
      <c r="C357" s="4">
        <v>980</v>
      </c>
      <c r="D357" s="4" t="s">
        <v>3653</v>
      </c>
      <c r="E357" s="4" t="s">
        <v>71</v>
      </c>
      <c r="F357" s="4" t="s">
        <v>3547</v>
      </c>
      <c r="G357" s="4" t="s">
        <v>3626</v>
      </c>
      <c r="H357" s="4" t="s">
        <v>3654</v>
      </c>
      <c r="I357" s="4" t="s">
        <v>3655</v>
      </c>
      <c r="J357" s="4" t="s">
        <v>71</v>
      </c>
      <c r="K357" s="4">
        <v>7400480852</v>
      </c>
      <c r="L357" s="4" t="s">
        <v>2780</v>
      </c>
      <c r="M357" s="4">
        <v>7400480852</v>
      </c>
      <c r="N357" s="4" t="s">
        <v>3301</v>
      </c>
      <c r="O357" s="4" t="s">
        <v>71</v>
      </c>
      <c r="P357" s="168" t="s">
        <v>2786</v>
      </c>
      <c r="Q357" s="4" t="s">
        <v>47</v>
      </c>
      <c r="R357" s="172"/>
      <c r="S357" s="172"/>
      <c r="T357" s="172"/>
      <c r="U357" s="172"/>
      <c r="V357" s="172"/>
      <c r="W357" s="172"/>
      <c r="X357" s="172"/>
      <c r="Y357" s="172"/>
      <c r="Z357" s="172"/>
    </row>
    <row r="358" spans="1:26" ht="13.8">
      <c r="A358" s="166">
        <v>290</v>
      </c>
      <c r="B358" s="4" t="s">
        <v>3656</v>
      </c>
      <c r="C358" s="4">
        <v>981</v>
      </c>
      <c r="D358" s="4" t="s">
        <v>3657</v>
      </c>
      <c r="E358" s="4" t="s">
        <v>71</v>
      </c>
      <c r="F358" s="4" t="s">
        <v>3547</v>
      </c>
      <c r="G358" s="4" t="s">
        <v>3626</v>
      </c>
      <c r="H358" s="4" t="s">
        <v>3658</v>
      </c>
      <c r="I358" s="4" t="s">
        <v>3659</v>
      </c>
      <c r="J358" s="4" t="s">
        <v>71</v>
      </c>
      <c r="K358" s="4">
        <v>7400480852</v>
      </c>
      <c r="L358" s="4" t="s">
        <v>2780</v>
      </c>
      <c r="M358" s="4">
        <v>7400480852</v>
      </c>
      <c r="N358" s="4" t="s">
        <v>3301</v>
      </c>
      <c r="O358" s="4" t="s">
        <v>71</v>
      </c>
      <c r="P358" s="168" t="s">
        <v>2786</v>
      </c>
      <c r="Q358" s="4" t="s">
        <v>47</v>
      </c>
      <c r="R358" s="172"/>
      <c r="S358" s="172"/>
      <c r="T358" s="172"/>
      <c r="U358" s="172"/>
      <c r="V358" s="172"/>
      <c r="W358" s="172"/>
      <c r="X358" s="172"/>
      <c r="Y358" s="172"/>
      <c r="Z358" s="172"/>
    </row>
    <row r="359" spans="1:26" ht="13.8">
      <c r="A359" s="166">
        <v>291</v>
      </c>
      <c r="B359" s="4" t="s">
        <v>3660</v>
      </c>
      <c r="C359" s="4">
        <v>982</v>
      </c>
      <c r="D359" s="4" t="s">
        <v>3661</v>
      </c>
      <c r="E359" s="4" t="s">
        <v>71</v>
      </c>
      <c r="F359" s="4" t="s">
        <v>3547</v>
      </c>
      <c r="G359" s="4" t="s">
        <v>3626</v>
      </c>
      <c r="H359" s="4" t="s">
        <v>3662</v>
      </c>
      <c r="I359" s="4" t="s">
        <v>3663</v>
      </c>
      <c r="J359" s="4" t="s">
        <v>71</v>
      </c>
      <c r="K359" s="4">
        <v>7400480852</v>
      </c>
      <c r="L359" s="4" t="s">
        <v>2780</v>
      </c>
      <c r="M359" s="4">
        <v>7400480852</v>
      </c>
      <c r="N359" s="4" t="s">
        <v>3301</v>
      </c>
      <c r="O359" s="4" t="s">
        <v>71</v>
      </c>
      <c r="P359" s="168" t="s">
        <v>2786</v>
      </c>
      <c r="Q359" s="4" t="s">
        <v>47</v>
      </c>
      <c r="R359" s="172"/>
      <c r="S359" s="172"/>
      <c r="T359" s="172"/>
      <c r="U359" s="172"/>
      <c r="V359" s="172"/>
      <c r="W359" s="172"/>
      <c r="X359" s="172"/>
      <c r="Y359" s="172"/>
      <c r="Z359" s="172"/>
    </row>
    <row r="360" spans="1:26" ht="13.8">
      <c r="A360" s="166">
        <v>292</v>
      </c>
      <c r="B360" s="4" t="s">
        <v>3664</v>
      </c>
      <c r="C360" s="4">
        <v>983</v>
      </c>
      <c r="D360" s="4" t="s">
        <v>3665</v>
      </c>
      <c r="E360" s="4" t="s">
        <v>71</v>
      </c>
      <c r="F360" s="4" t="s">
        <v>3547</v>
      </c>
      <c r="G360" s="4" t="s">
        <v>3626</v>
      </c>
      <c r="H360" s="4" t="s">
        <v>3666</v>
      </c>
      <c r="I360" s="4" t="s">
        <v>3667</v>
      </c>
      <c r="J360" s="4" t="s">
        <v>71</v>
      </c>
      <c r="K360" s="4">
        <v>7400480852</v>
      </c>
      <c r="L360" s="4" t="s">
        <v>2780</v>
      </c>
      <c r="M360" s="4">
        <v>7400480852</v>
      </c>
      <c r="N360" s="4" t="s">
        <v>3301</v>
      </c>
      <c r="O360" s="4" t="s">
        <v>71</v>
      </c>
      <c r="P360" s="168" t="s">
        <v>2786</v>
      </c>
      <c r="Q360" s="4" t="s">
        <v>47</v>
      </c>
      <c r="R360" s="172"/>
      <c r="S360" s="172"/>
      <c r="T360" s="172"/>
      <c r="U360" s="172"/>
      <c r="V360" s="172"/>
      <c r="W360" s="172"/>
      <c r="X360" s="172"/>
      <c r="Y360" s="172"/>
      <c r="Z360" s="172"/>
    </row>
    <row r="361" spans="1:26" ht="13.8">
      <c r="A361" s="166">
        <v>293</v>
      </c>
      <c r="B361" s="4" t="s">
        <v>3668</v>
      </c>
      <c r="C361" s="4">
        <v>984</v>
      </c>
      <c r="D361" s="4" t="s">
        <v>3669</v>
      </c>
      <c r="E361" s="4" t="s">
        <v>71</v>
      </c>
      <c r="F361" s="4" t="s">
        <v>3547</v>
      </c>
      <c r="G361" s="4" t="s">
        <v>3626</v>
      </c>
      <c r="H361" s="4" t="s">
        <v>3670</v>
      </c>
      <c r="I361" s="4" t="s">
        <v>3671</v>
      </c>
      <c r="J361" s="4" t="s">
        <v>71</v>
      </c>
      <c r="K361" s="4">
        <v>7400480852</v>
      </c>
      <c r="L361" s="4" t="s">
        <v>2780</v>
      </c>
      <c r="M361" s="4">
        <v>7400480852</v>
      </c>
      <c r="N361" s="4" t="s">
        <v>3301</v>
      </c>
      <c r="O361" s="4" t="s">
        <v>71</v>
      </c>
      <c r="P361" s="168" t="s">
        <v>2786</v>
      </c>
      <c r="Q361" s="4" t="s">
        <v>47</v>
      </c>
      <c r="R361" s="172"/>
      <c r="S361" s="172"/>
      <c r="T361" s="172"/>
      <c r="U361" s="172"/>
      <c r="V361" s="172"/>
      <c r="W361" s="172"/>
      <c r="X361" s="172"/>
      <c r="Y361" s="172"/>
      <c r="Z361" s="172"/>
    </row>
    <row r="362" spans="1:26" ht="13.8">
      <c r="A362" s="166">
        <v>294</v>
      </c>
      <c r="B362" s="4" t="s">
        <v>3672</v>
      </c>
      <c r="C362" s="4">
        <v>985</v>
      </c>
      <c r="D362" s="4" t="s">
        <v>3673</v>
      </c>
      <c r="E362" s="4" t="s">
        <v>71</v>
      </c>
      <c r="F362" s="4" t="s">
        <v>3547</v>
      </c>
      <c r="G362" s="4" t="s">
        <v>3626</v>
      </c>
      <c r="H362" s="4" t="s">
        <v>3674</v>
      </c>
      <c r="I362" s="4" t="s">
        <v>3675</v>
      </c>
      <c r="J362" s="4" t="s">
        <v>71</v>
      </c>
      <c r="K362" s="4">
        <v>7400480852</v>
      </c>
      <c r="L362" s="4" t="s">
        <v>2780</v>
      </c>
      <c r="M362" s="4">
        <v>7400480852</v>
      </c>
      <c r="N362" s="4" t="s">
        <v>71</v>
      </c>
      <c r="O362" s="4" t="s">
        <v>71</v>
      </c>
      <c r="P362" s="168" t="s">
        <v>2786</v>
      </c>
      <c r="Q362" s="4" t="s">
        <v>47</v>
      </c>
      <c r="R362" s="172"/>
      <c r="S362" s="172"/>
      <c r="T362" s="172"/>
      <c r="U362" s="172"/>
      <c r="V362" s="172"/>
      <c r="W362" s="172"/>
      <c r="X362" s="172"/>
      <c r="Y362" s="172"/>
      <c r="Z362" s="172"/>
    </row>
    <row r="363" spans="1:26" ht="13.8">
      <c r="A363" s="166">
        <v>122</v>
      </c>
      <c r="B363" s="4" t="s">
        <v>3257</v>
      </c>
      <c r="C363" s="4">
        <v>986</v>
      </c>
      <c r="D363" s="4" t="s">
        <v>71</v>
      </c>
      <c r="E363" s="4" t="s">
        <v>71</v>
      </c>
      <c r="F363" s="4" t="s">
        <v>71</v>
      </c>
      <c r="G363" s="4" t="s">
        <v>71</v>
      </c>
      <c r="H363" s="4" t="s">
        <v>1380</v>
      </c>
      <c r="I363" s="4" t="s">
        <v>1381</v>
      </c>
      <c r="J363" s="4" t="s">
        <v>1730</v>
      </c>
      <c r="K363" s="4">
        <v>7021091539</v>
      </c>
      <c r="L363" s="4" t="s">
        <v>3258</v>
      </c>
      <c r="M363" s="4">
        <v>7021091539</v>
      </c>
      <c r="N363" s="4" t="s">
        <v>71</v>
      </c>
      <c r="O363" s="4" t="s">
        <v>71</v>
      </c>
      <c r="P363" s="4" t="s">
        <v>71</v>
      </c>
      <c r="Q363" s="4" t="s">
        <v>47</v>
      </c>
      <c r="R363" s="172"/>
      <c r="S363" s="172"/>
      <c r="T363" s="172"/>
      <c r="U363" s="172"/>
      <c r="V363" s="172"/>
      <c r="W363" s="172"/>
      <c r="X363" s="172"/>
      <c r="Y363" s="172"/>
      <c r="Z363" s="172"/>
    </row>
    <row r="364" spans="1:26" ht="13.8">
      <c r="A364" s="166">
        <v>123</v>
      </c>
      <c r="B364" s="4" t="s">
        <v>3259</v>
      </c>
      <c r="C364" s="4">
        <v>987</v>
      </c>
      <c r="D364" s="4" t="s">
        <v>3260</v>
      </c>
      <c r="E364" s="4" t="s">
        <v>71</v>
      </c>
      <c r="F364" s="4" t="s">
        <v>71</v>
      </c>
      <c r="G364" s="4" t="s">
        <v>71</v>
      </c>
      <c r="H364" s="4" t="s">
        <v>1386</v>
      </c>
      <c r="I364" s="4" t="s">
        <v>1387</v>
      </c>
      <c r="J364" s="4" t="s">
        <v>1388</v>
      </c>
      <c r="K364" s="4">
        <v>9967768202</v>
      </c>
      <c r="L364" s="4" t="s">
        <v>3261</v>
      </c>
      <c r="M364" s="4">
        <v>9967768202</v>
      </c>
      <c r="N364" s="4" t="s">
        <v>2953</v>
      </c>
      <c r="O364" s="4" t="s">
        <v>71</v>
      </c>
      <c r="P364" s="4" t="s">
        <v>71</v>
      </c>
      <c r="Q364" s="4" t="s">
        <v>47</v>
      </c>
      <c r="R364" s="172"/>
      <c r="S364" s="172"/>
      <c r="T364" s="172"/>
      <c r="U364" s="172"/>
      <c r="V364" s="172"/>
      <c r="W364" s="172"/>
      <c r="X364" s="172"/>
      <c r="Y364" s="172"/>
      <c r="Z364" s="172"/>
    </row>
    <row r="365" spans="1:26" ht="13.8">
      <c r="A365" s="166">
        <v>295</v>
      </c>
      <c r="B365" s="4" t="s">
        <v>3676</v>
      </c>
      <c r="C365" s="4">
        <v>988</v>
      </c>
      <c r="D365" s="4" t="s">
        <v>3677</v>
      </c>
      <c r="E365" s="4" t="s">
        <v>71</v>
      </c>
      <c r="F365" s="4" t="s">
        <v>3547</v>
      </c>
      <c r="G365" s="4" t="s">
        <v>3678</v>
      </c>
      <c r="H365" s="4" t="s">
        <v>3679</v>
      </c>
      <c r="I365" s="4" t="s">
        <v>78</v>
      </c>
      <c r="J365" s="4" t="s">
        <v>71</v>
      </c>
      <c r="K365" s="4">
        <v>9999666099</v>
      </c>
      <c r="L365" s="4" t="s">
        <v>2780</v>
      </c>
      <c r="M365" s="4">
        <v>9999666099</v>
      </c>
      <c r="N365" s="4" t="s">
        <v>3680</v>
      </c>
      <c r="O365" s="4" t="s">
        <v>71</v>
      </c>
      <c r="P365" s="168" t="s">
        <v>2786</v>
      </c>
      <c r="Q365" s="4" t="s">
        <v>47</v>
      </c>
      <c r="R365" s="172"/>
      <c r="S365" s="172"/>
      <c r="T365" s="172"/>
      <c r="U365" s="172"/>
      <c r="V365" s="172"/>
      <c r="W365" s="172"/>
      <c r="X365" s="172"/>
      <c r="Y365" s="172"/>
      <c r="Z365" s="172"/>
    </row>
    <row r="366" spans="1:26" ht="13.8">
      <c r="A366" s="166">
        <v>297</v>
      </c>
      <c r="B366" s="4" t="s">
        <v>3686</v>
      </c>
      <c r="C366" s="4">
        <v>990</v>
      </c>
      <c r="D366" s="4" t="s">
        <v>3687</v>
      </c>
      <c r="E366" s="4" t="s">
        <v>71</v>
      </c>
      <c r="F366" s="4" t="s">
        <v>3547</v>
      </c>
      <c r="G366" s="4" t="s">
        <v>3688</v>
      </c>
      <c r="H366" s="4" t="s">
        <v>3689</v>
      </c>
      <c r="I366" s="4" t="s">
        <v>78</v>
      </c>
      <c r="J366" s="4" t="s">
        <v>71</v>
      </c>
      <c r="K366" s="4" t="s">
        <v>3690</v>
      </c>
      <c r="L366" s="4" t="s">
        <v>2780</v>
      </c>
      <c r="M366" s="4" t="s">
        <v>3690</v>
      </c>
      <c r="N366" s="4" t="s">
        <v>3691</v>
      </c>
      <c r="O366" s="4" t="s">
        <v>71</v>
      </c>
      <c r="P366" s="168" t="s">
        <v>2786</v>
      </c>
      <c r="Q366" s="4" t="s">
        <v>47</v>
      </c>
      <c r="R366" s="172"/>
      <c r="S366" s="172"/>
      <c r="T366" s="172"/>
      <c r="U366" s="172"/>
      <c r="V366" s="172"/>
      <c r="W366" s="172"/>
      <c r="X366" s="172"/>
      <c r="Y366" s="172"/>
      <c r="Z366" s="172"/>
    </row>
    <row r="367" spans="1:26" ht="13.8">
      <c r="A367" s="166">
        <v>298</v>
      </c>
      <c r="B367" s="4" t="s">
        <v>3692</v>
      </c>
      <c r="C367" s="4">
        <v>991</v>
      </c>
      <c r="D367" s="4" t="s">
        <v>3693</v>
      </c>
      <c r="E367" s="4" t="s">
        <v>71</v>
      </c>
      <c r="F367" s="4" t="s">
        <v>3547</v>
      </c>
      <c r="G367" s="4" t="s">
        <v>3694</v>
      </c>
      <c r="H367" s="4" t="s">
        <v>3695</v>
      </c>
      <c r="I367" s="4" t="s">
        <v>78</v>
      </c>
      <c r="J367" s="4" t="s">
        <v>71</v>
      </c>
      <c r="K367" s="4" t="s">
        <v>3696</v>
      </c>
      <c r="L367" s="4" t="s">
        <v>2780</v>
      </c>
      <c r="M367" s="4" t="s">
        <v>3696</v>
      </c>
      <c r="N367" s="4" t="s">
        <v>3697</v>
      </c>
      <c r="O367" s="4" t="s">
        <v>71</v>
      </c>
      <c r="P367" s="168" t="s">
        <v>2786</v>
      </c>
      <c r="Q367" s="4" t="s">
        <v>47</v>
      </c>
      <c r="R367" s="172"/>
      <c r="S367" s="172"/>
      <c r="T367" s="172"/>
      <c r="U367" s="172"/>
      <c r="V367" s="172"/>
      <c r="W367" s="172"/>
      <c r="X367" s="172"/>
      <c r="Y367" s="172"/>
      <c r="Z367" s="172"/>
    </row>
    <row r="368" spans="1:26" ht="13.8">
      <c r="A368" s="166">
        <v>152</v>
      </c>
      <c r="B368" s="4" t="s">
        <v>3318</v>
      </c>
      <c r="C368" s="4">
        <v>992</v>
      </c>
      <c r="D368" s="4" t="s">
        <v>3319</v>
      </c>
      <c r="E368" s="4" t="s">
        <v>71</v>
      </c>
      <c r="F368" s="4" t="s">
        <v>1647</v>
      </c>
      <c r="G368" s="4" t="s">
        <v>1644</v>
      </c>
      <c r="H368" s="4" t="s">
        <v>1645</v>
      </c>
      <c r="I368" s="4" t="s">
        <v>191</v>
      </c>
      <c r="J368" s="4" t="s">
        <v>1646</v>
      </c>
      <c r="K368" s="4">
        <v>9830006429</v>
      </c>
      <c r="L368" s="4" t="s">
        <v>3320</v>
      </c>
      <c r="M368" s="4">
        <v>9830006429</v>
      </c>
      <c r="N368" s="4" t="s">
        <v>2953</v>
      </c>
      <c r="O368" s="4" t="s">
        <v>71</v>
      </c>
      <c r="P368" s="4" t="s">
        <v>71</v>
      </c>
      <c r="Q368" s="4" t="s">
        <v>47</v>
      </c>
      <c r="R368" s="172"/>
      <c r="S368" s="172"/>
      <c r="T368" s="172"/>
      <c r="U368" s="172"/>
      <c r="V368" s="172"/>
      <c r="W368" s="172"/>
      <c r="X368" s="172"/>
      <c r="Y368" s="172"/>
      <c r="Z368" s="172"/>
    </row>
    <row r="369" spans="1:26" ht="13.8">
      <c r="A369" s="166">
        <v>299</v>
      </c>
      <c r="B369" s="4" t="s">
        <v>3698</v>
      </c>
      <c r="C369" s="4">
        <v>992</v>
      </c>
      <c r="D369" s="4" t="s">
        <v>3699</v>
      </c>
      <c r="E369" s="4" t="s">
        <v>71</v>
      </c>
      <c r="F369" s="4" t="s">
        <v>3547</v>
      </c>
      <c r="G369" s="4" t="s">
        <v>3700</v>
      </c>
      <c r="H369" s="4" t="s">
        <v>3701</v>
      </c>
      <c r="I369" s="4" t="s">
        <v>78</v>
      </c>
      <c r="J369" s="4" t="s">
        <v>71</v>
      </c>
      <c r="K369" s="4" t="s">
        <v>3702</v>
      </c>
      <c r="L369" s="4" t="s">
        <v>2780</v>
      </c>
      <c r="M369" s="4" t="s">
        <v>3702</v>
      </c>
      <c r="N369" s="4" t="s">
        <v>3703</v>
      </c>
      <c r="O369" s="4" t="s">
        <v>71</v>
      </c>
      <c r="P369" s="168" t="s">
        <v>2786</v>
      </c>
      <c r="Q369" s="4" t="s">
        <v>47</v>
      </c>
      <c r="R369" s="172"/>
      <c r="S369" s="172"/>
      <c r="T369" s="172"/>
      <c r="U369" s="172"/>
      <c r="V369" s="172"/>
      <c r="W369" s="172"/>
      <c r="X369" s="172"/>
      <c r="Y369" s="172"/>
      <c r="Z369" s="172"/>
    </row>
    <row r="370" spans="1:26" ht="13.8">
      <c r="A370" s="166">
        <v>300</v>
      </c>
      <c r="B370" s="4" t="s">
        <v>3704</v>
      </c>
      <c r="C370" s="4">
        <v>993</v>
      </c>
      <c r="D370" s="4" t="s">
        <v>3705</v>
      </c>
      <c r="E370" s="4" t="s">
        <v>71</v>
      </c>
      <c r="F370" s="4" t="s">
        <v>3547</v>
      </c>
      <c r="G370" s="4" t="s">
        <v>3706</v>
      </c>
      <c r="H370" s="4" t="s">
        <v>3707</v>
      </c>
      <c r="I370" s="4" t="s">
        <v>78</v>
      </c>
      <c r="J370" s="4" t="s">
        <v>71</v>
      </c>
      <c r="K370" s="4" t="s">
        <v>3708</v>
      </c>
      <c r="L370" s="4" t="s">
        <v>2780</v>
      </c>
      <c r="M370" s="4" t="s">
        <v>3708</v>
      </c>
      <c r="N370" s="4" t="s">
        <v>3709</v>
      </c>
      <c r="O370" s="4" t="s">
        <v>71</v>
      </c>
      <c r="P370" s="168" t="s">
        <v>2786</v>
      </c>
      <c r="Q370" s="4" t="s">
        <v>47</v>
      </c>
      <c r="R370" s="172"/>
      <c r="S370" s="172"/>
      <c r="T370" s="172"/>
      <c r="U370" s="172"/>
      <c r="V370" s="172"/>
      <c r="W370" s="172"/>
      <c r="X370" s="172"/>
      <c r="Y370" s="172"/>
      <c r="Z370" s="172"/>
    </row>
    <row r="371" spans="1:26" ht="13.8">
      <c r="A371" s="166">
        <v>301</v>
      </c>
      <c r="B371" s="4" t="s">
        <v>3710</v>
      </c>
      <c r="C371" s="4">
        <v>994</v>
      </c>
      <c r="D371" s="4" t="s">
        <v>3711</v>
      </c>
      <c r="E371" s="4" t="s">
        <v>71</v>
      </c>
      <c r="F371" s="4" t="s">
        <v>3547</v>
      </c>
      <c r="G371" s="4" t="s">
        <v>3712</v>
      </c>
      <c r="H371" s="4" t="s">
        <v>3713</v>
      </c>
      <c r="I371" s="4" t="s">
        <v>78</v>
      </c>
      <c r="J371" s="4" t="s">
        <v>71</v>
      </c>
      <c r="K371" s="4" t="s">
        <v>3714</v>
      </c>
      <c r="L371" s="4" t="s">
        <v>2780</v>
      </c>
      <c r="M371" s="4" t="s">
        <v>3714</v>
      </c>
      <c r="N371" s="4" t="s">
        <v>3715</v>
      </c>
      <c r="O371" s="4" t="s">
        <v>71</v>
      </c>
      <c r="P371" s="168" t="s">
        <v>2786</v>
      </c>
      <c r="Q371" s="4" t="s">
        <v>47</v>
      </c>
      <c r="R371" s="172"/>
      <c r="S371" s="172"/>
      <c r="T371" s="172"/>
      <c r="U371" s="172"/>
      <c r="V371" s="172"/>
      <c r="W371" s="172"/>
      <c r="X371" s="172"/>
      <c r="Y371" s="172"/>
      <c r="Z371" s="172"/>
    </row>
    <row r="372" spans="1:26" ht="13.8">
      <c r="A372" s="166">
        <v>302</v>
      </c>
      <c r="B372" s="4" t="s">
        <v>3716</v>
      </c>
      <c r="C372" s="4">
        <v>995</v>
      </c>
      <c r="D372" s="4" t="s">
        <v>3717</v>
      </c>
      <c r="E372" s="4" t="s">
        <v>71</v>
      </c>
      <c r="F372" s="4" t="s">
        <v>3547</v>
      </c>
      <c r="G372" s="4" t="s">
        <v>3718</v>
      </c>
      <c r="H372" s="4" t="s">
        <v>3719</v>
      </c>
      <c r="I372" s="4" t="s">
        <v>78</v>
      </c>
      <c r="J372" s="4" t="s">
        <v>71</v>
      </c>
      <c r="K372" s="4" t="s">
        <v>3720</v>
      </c>
      <c r="L372" s="4" t="s">
        <v>2780</v>
      </c>
      <c r="M372" s="4" t="s">
        <v>3720</v>
      </c>
      <c r="N372" s="4" t="s">
        <v>3721</v>
      </c>
      <c r="O372" s="4" t="s">
        <v>71</v>
      </c>
      <c r="P372" s="168" t="s">
        <v>2786</v>
      </c>
      <c r="Q372" s="4" t="s">
        <v>47</v>
      </c>
      <c r="R372" s="172"/>
      <c r="S372" s="172"/>
      <c r="T372" s="172"/>
      <c r="U372" s="172"/>
      <c r="V372" s="172"/>
      <c r="W372" s="172"/>
      <c r="X372" s="172"/>
      <c r="Y372" s="172"/>
      <c r="Z372" s="172"/>
    </row>
    <row r="373" spans="1:26" ht="13.8">
      <c r="A373" s="166">
        <v>303</v>
      </c>
      <c r="B373" s="4" t="s">
        <v>3722</v>
      </c>
      <c r="C373" s="4">
        <v>996</v>
      </c>
      <c r="D373" s="4" t="s">
        <v>3723</v>
      </c>
      <c r="E373" s="4" t="s">
        <v>71</v>
      </c>
      <c r="F373" s="4" t="s">
        <v>3547</v>
      </c>
      <c r="G373" s="4" t="s">
        <v>3724</v>
      </c>
      <c r="H373" s="4" t="s">
        <v>3725</v>
      </c>
      <c r="I373" s="4" t="s">
        <v>78</v>
      </c>
      <c r="J373" s="4" t="s">
        <v>71</v>
      </c>
      <c r="K373" s="4" t="s">
        <v>3726</v>
      </c>
      <c r="L373" s="4" t="s">
        <v>2780</v>
      </c>
      <c r="M373" s="4" t="s">
        <v>3726</v>
      </c>
      <c r="N373" s="4" t="s">
        <v>3727</v>
      </c>
      <c r="O373" s="4" t="s">
        <v>71</v>
      </c>
      <c r="P373" s="168" t="s">
        <v>2786</v>
      </c>
      <c r="Q373" s="4" t="s">
        <v>47</v>
      </c>
      <c r="R373" s="172"/>
      <c r="S373" s="172"/>
      <c r="T373" s="172"/>
      <c r="U373" s="172"/>
      <c r="V373" s="172"/>
      <c r="W373" s="172"/>
      <c r="X373" s="172"/>
      <c r="Y373" s="172"/>
      <c r="Z373" s="172"/>
    </row>
    <row r="374" spans="1:26" ht="13.8">
      <c r="A374" s="166">
        <v>304</v>
      </c>
      <c r="B374" s="4" t="s">
        <v>3728</v>
      </c>
      <c r="C374" s="4">
        <v>997</v>
      </c>
      <c r="D374" s="4" t="s">
        <v>3729</v>
      </c>
      <c r="E374" s="4" t="s">
        <v>71</v>
      </c>
      <c r="F374" s="4" t="s">
        <v>3547</v>
      </c>
      <c r="G374" s="4" t="s">
        <v>3730</v>
      </c>
      <c r="H374" s="4" t="s">
        <v>3731</v>
      </c>
      <c r="I374" s="4" t="s">
        <v>78</v>
      </c>
      <c r="J374" s="4" t="s">
        <v>71</v>
      </c>
      <c r="K374" s="4" t="s">
        <v>3732</v>
      </c>
      <c r="L374" s="4" t="s">
        <v>2780</v>
      </c>
      <c r="M374" s="4" t="s">
        <v>3732</v>
      </c>
      <c r="N374" s="4" t="s">
        <v>3733</v>
      </c>
      <c r="O374" s="4" t="s">
        <v>71</v>
      </c>
      <c r="P374" s="168" t="s">
        <v>2786</v>
      </c>
      <c r="Q374" s="4" t="s">
        <v>47</v>
      </c>
      <c r="R374" s="172"/>
      <c r="S374" s="172"/>
      <c r="T374" s="172"/>
      <c r="U374" s="172"/>
      <c r="V374" s="172"/>
      <c r="W374" s="172"/>
      <c r="X374" s="172"/>
      <c r="Y374" s="172"/>
      <c r="Z374" s="172"/>
    </row>
    <row r="375" spans="1:26" ht="13.8">
      <c r="A375" s="166">
        <v>305</v>
      </c>
      <c r="B375" s="4" t="s">
        <v>3734</v>
      </c>
      <c r="C375" s="4">
        <v>998</v>
      </c>
      <c r="D375" s="4" t="s">
        <v>3735</v>
      </c>
      <c r="E375" s="4" t="s">
        <v>71</v>
      </c>
      <c r="F375" s="4" t="s">
        <v>3547</v>
      </c>
      <c r="G375" s="4" t="s">
        <v>3736</v>
      </c>
      <c r="H375" s="4" t="s">
        <v>3737</v>
      </c>
      <c r="I375" s="4" t="s">
        <v>78</v>
      </c>
      <c r="J375" s="4" t="s">
        <v>71</v>
      </c>
      <c r="K375" s="4" t="s">
        <v>3738</v>
      </c>
      <c r="L375" s="4" t="s">
        <v>2780</v>
      </c>
      <c r="M375" s="4" t="s">
        <v>3738</v>
      </c>
      <c r="N375" s="4" t="s">
        <v>3739</v>
      </c>
      <c r="O375" s="4" t="s">
        <v>71</v>
      </c>
      <c r="P375" s="168" t="s">
        <v>2786</v>
      </c>
      <c r="Q375" s="4" t="s">
        <v>47</v>
      </c>
      <c r="R375" s="172"/>
      <c r="S375" s="172"/>
      <c r="T375" s="172"/>
      <c r="U375" s="172"/>
      <c r="V375" s="172"/>
      <c r="W375" s="172"/>
      <c r="X375" s="172"/>
      <c r="Y375" s="172"/>
      <c r="Z375" s="172"/>
    </row>
    <row r="376" spans="1:26" ht="13.8">
      <c r="A376" s="166">
        <v>306</v>
      </c>
      <c r="B376" s="4" t="s">
        <v>3740</v>
      </c>
      <c r="C376" s="4">
        <v>999</v>
      </c>
      <c r="D376" s="4" t="s">
        <v>3741</v>
      </c>
      <c r="E376" s="4" t="s">
        <v>71</v>
      </c>
      <c r="F376" s="4" t="s">
        <v>3547</v>
      </c>
      <c r="G376" s="4" t="s">
        <v>3742</v>
      </c>
      <c r="H376" s="4" t="s">
        <v>3743</v>
      </c>
      <c r="I376" s="4" t="s">
        <v>78</v>
      </c>
      <c r="J376" s="4" t="s">
        <v>71</v>
      </c>
      <c r="K376" s="4" t="s">
        <v>3744</v>
      </c>
      <c r="L376" s="4" t="s">
        <v>2780</v>
      </c>
      <c r="M376" s="4" t="s">
        <v>3744</v>
      </c>
      <c r="N376" s="4" t="s">
        <v>3745</v>
      </c>
      <c r="O376" s="4" t="s">
        <v>71</v>
      </c>
      <c r="P376" s="168" t="s">
        <v>2786</v>
      </c>
      <c r="Q376" s="4" t="s">
        <v>47</v>
      </c>
      <c r="R376" s="172"/>
      <c r="S376" s="172"/>
      <c r="T376" s="172"/>
      <c r="U376" s="172"/>
      <c r="V376" s="172"/>
      <c r="W376" s="172"/>
      <c r="X376" s="172"/>
      <c r="Y376" s="172"/>
      <c r="Z376" s="172"/>
    </row>
    <row r="377" spans="1:26" ht="13.8">
      <c r="A377" s="166">
        <v>307</v>
      </c>
      <c r="B377" s="4" t="s">
        <v>3746</v>
      </c>
      <c r="C377" s="4">
        <v>1000</v>
      </c>
      <c r="D377" s="4" t="s">
        <v>3747</v>
      </c>
      <c r="E377" s="4" t="s">
        <v>71</v>
      </c>
      <c r="F377" s="4" t="s">
        <v>3547</v>
      </c>
      <c r="G377" s="4" t="s">
        <v>3748</v>
      </c>
      <c r="H377" s="4" t="s">
        <v>3749</v>
      </c>
      <c r="I377" s="4" t="s">
        <v>42</v>
      </c>
      <c r="J377" s="4" t="s">
        <v>71</v>
      </c>
      <c r="K377" s="4" t="s">
        <v>3750</v>
      </c>
      <c r="L377" s="4" t="s">
        <v>2780</v>
      </c>
      <c r="M377" s="4" t="s">
        <v>3750</v>
      </c>
      <c r="N377" s="4" t="s">
        <v>3751</v>
      </c>
      <c r="O377" s="4" t="s">
        <v>71</v>
      </c>
      <c r="P377" s="168" t="s">
        <v>2786</v>
      </c>
      <c r="Q377" s="4" t="s">
        <v>47</v>
      </c>
      <c r="R377" s="172"/>
      <c r="S377" s="172"/>
      <c r="T377" s="172"/>
      <c r="U377" s="172"/>
      <c r="V377" s="172"/>
      <c r="W377" s="172"/>
      <c r="X377" s="172"/>
      <c r="Y377" s="172"/>
      <c r="Z377" s="172"/>
    </row>
    <row r="378" spans="1:26" ht="13.8">
      <c r="A378" s="166">
        <v>308</v>
      </c>
      <c r="B378" s="4" t="s">
        <v>3752</v>
      </c>
      <c r="C378" s="4">
        <v>1001</v>
      </c>
      <c r="D378" s="4" t="s">
        <v>3753</v>
      </c>
      <c r="E378" s="4" t="s">
        <v>71</v>
      </c>
      <c r="F378" s="4" t="s">
        <v>3547</v>
      </c>
      <c r="G378" s="4" t="s">
        <v>3754</v>
      </c>
      <c r="H378" s="4" t="s">
        <v>3755</v>
      </c>
      <c r="I378" s="4" t="s">
        <v>42</v>
      </c>
      <c r="J378" s="4" t="s">
        <v>71</v>
      </c>
      <c r="K378" s="4" t="s">
        <v>3756</v>
      </c>
      <c r="L378" s="4" t="s">
        <v>2780</v>
      </c>
      <c r="M378" s="4" t="s">
        <v>3756</v>
      </c>
      <c r="N378" s="4" t="s">
        <v>3757</v>
      </c>
      <c r="O378" s="4" t="s">
        <v>71</v>
      </c>
      <c r="P378" s="168" t="s">
        <v>2786</v>
      </c>
      <c r="Q378" s="4" t="s">
        <v>47</v>
      </c>
      <c r="R378" s="172"/>
      <c r="S378" s="172"/>
      <c r="T378" s="172"/>
      <c r="U378" s="172"/>
      <c r="V378" s="172"/>
      <c r="W378" s="172"/>
      <c r="X378" s="172"/>
      <c r="Y378" s="172"/>
      <c r="Z378" s="172"/>
    </row>
    <row r="379" spans="1:26" ht="13.8">
      <c r="A379" s="166">
        <v>309</v>
      </c>
      <c r="B379" s="4" t="s">
        <v>3758</v>
      </c>
      <c r="C379" s="4">
        <v>1002</v>
      </c>
      <c r="D379" s="4" t="s">
        <v>3759</v>
      </c>
      <c r="E379" s="4" t="s">
        <v>71</v>
      </c>
      <c r="F379" s="4" t="s">
        <v>3547</v>
      </c>
      <c r="G379" s="4" t="s">
        <v>3760</v>
      </c>
      <c r="H379" s="4" t="s">
        <v>3761</v>
      </c>
      <c r="I379" s="4" t="s">
        <v>507</v>
      </c>
      <c r="J379" s="4" t="s">
        <v>71</v>
      </c>
      <c r="K379" s="4" t="s">
        <v>3762</v>
      </c>
      <c r="L379" s="4" t="s">
        <v>2780</v>
      </c>
      <c r="M379" s="4" t="s">
        <v>3762</v>
      </c>
      <c r="N379" s="4" t="s">
        <v>3763</v>
      </c>
      <c r="O379" s="4" t="s">
        <v>71</v>
      </c>
      <c r="P379" s="168" t="s">
        <v>2786</v>
      </c>
      <c r="Q379" s="4" t="s">
        <v>47</v>
      </c>
      <c r="R379" s="172"/>
      <c r="S379" s="172"/>
      <c r="T379" s="172"/>
      <c r="U379" s="172"/>
      <c r="V379" s="172"/>
      <c r="W379" s="172"/>
      <c r="X379" s="172"/>
      <c r="Y379" s="172"/>
      <c r="Z379" s="172"/>
    </row>
    <row r="380" spans="1:26" ht="13.8">
      <c r="A380" s="166">
        <v>310</v>
      </c>
      <c r="B380" s="4" t="s">
        <v>3764</v>
      </c>
      <c r="C380" s="4">
        <v>1003</v>
      </c>
      <c r="D380" s="4" t="s">
        <v>3765</v>
      </c>
      <c r="E380" s="4" t="s">
        <v>71</v>
      </c>
      <c r="F380" s="4" t="s">
        <v>3547</v>
      </c>
      <c r="G380" s="4" t="s">
        <v>3766</v>
      </c>
      <c r="H380" s="4" t="s">
        <v>3767</v>
      </c>
      <c r="I380" s="4" t="s">
        <v>507</v>
      </c>
      <c r="J380" s="4" t="s">
        <v>71</v>
      </c>
      <c r="K380" s="4" t="s">
        <v>3768</v>
      </c>
      <c r="L380" s="4" t="s">
        <v>2780</v>
      </c>
      <c r="M380" s="4" t="s">
        <v>3768</v>
      </c>
      <c r="N380" s="4" t="s">
        <v>3769</v>
      </c>
      <c r="O380" s="4" t="s">
        <v>71</v>
      </c>
      <c r="P380" s="168" t="s">
        <v>2786</v>
      </c>
      <c r="Q380" s="4" t="s">
        <v>47</v>
      </c>
      <c r="R380" s="172"/>
      <c r="S380" s="172"/>
      <c r="T380" s="172"/>
      <c r="U380" s="172"/>
      <c r="V380" s="172"/>
      <c r="W380" s="172"/>
      <c r="X380" s="172"/>
      <c r="Y380" s="172"/>
      <c r="Z380" s="172"/>
    </row>
    <row r="381" spans="1:26" ht="13.8">
      <c r="A381" s="166">
        <v>312</v>
      </c>
      <c r="B381" s="4" t="s">
        <v>3770</v>
      </c>
      <c r="C381" s="4">
        <v>1004</v>
      </c>
      <c r="D381" s="4" t="s">
        <v>3771</v>
      </c>
      <c r="E381" s="4" t="s">
        <v>71</v>
      </c>
      <c r="F381" s="4" t="s">
        <v>3547</v>
      </c>
      <c r="G381" s="4" t="s">
        <v>3772</v>
      </c>
      <c r="H381" s="4" t="s">
        <v>3773</v>
      </c>
      <c r="I381" s="4" t="s">
        <v>507</v>
      </c>
      <c r="J381" s="4" t="s">
        <v>71</v>
      </c>
      <c r="K381" s="4" t="s">
        <v>3774</v>
      </c>
      <c r="L381" s="4" t="s">
        <v>2780</v>
      </c>
      <c r="M381" s="4" t="s">
        <v>3774</v>
      </c>
      <c r="N381" s="4" t="s">
        <v>3775</v>
      </c>
      <c r="O381" s="4" t="s">
        <v>71</v>
      </c>
      <c r="P381" s="168" t="s">
        <v>2786</v>
      </c>
      <c r="Q381" s="4" t="s">
        <v>47</v>
      </c>
      <c r="R381" s="172"/>
      <c r="S381" s="172"/>
      <c r="T381" s="172"/>
      <c r="U381" s="172"/>
      <c r="V381" s="172"/>
      <c r="W381" s="172"/>
      <c r="X381" s="172"/>
      <c r="Y381" s="172"/>
      <c r="Z381" s="172"/>
    </row>
    <row r="382" spans="1:26" ht="13.8">
      <c r="A382" s="166">
        <v>314</v>
      </c>
      <c r="B382" s="4" t="s">
        <v>3781</v>
      </c>
      <c r="C382" s="4">
        <v>1005</v>
      </c>
      <c r="D382" s="4" t="s">
        <v>3782</v>
      </c>
      <c r="E382" s="4" t="s">
        <v>71</v>
      </c>
      <c r="F382" s="4" t="s">
        <v>3547</v>
      </c>
      <c r="G382" s="4" t="s">
        <v>3783</v>
      </c>
      <c r="H382" s="4" t="s">
        <v>3784</v>
      </c>
      <c r="I382" s="4" t="s">
        <v>507</v>
      </c>
      <c r="J382" s="4" t="s">
        <v>71</v>
      </c>
      <c r="K382" s="4" t="s">
        <v>3785</v>
      </c>
      <c r="L382" s="4" t="s">
        <v>2780</v>
      </c>
      <c r="M382" s="4" t="s">
        <v>3785</v>
      </c>
      <c r="N382" s="4" t="s">
        <v>3786</v>
      </c>
      <c r="O382" s="4" t="s">
        <v>71</v>
      </c>
      <c r="P382" s="168" t="s">
        <v>2786</v>
      </c>
      <c r="Q382" s="4" t="s">
        <v>47</v>
      </c>
      <c r="R382" s="172"/>
      <c r="S382" s="172"/>
      <c r="T382" s="172"/>
      <c r="U382" s="172"/>
      <c r="V382" s="172"/>
      <c r="W382" s="172"/>
      <c r="X382" s="172"/>
      <c r="Y382" s="172"/>
      <c r="Z382" s="172"/>
    </row>
    <row r="383" spans="1:26" ht="13.8">
      <c r="A383" s="166">
        <v>315</v>
      </c>
      <c r="B383" s="4" t="s">
        <v>3787</v>
      </c>
      <c r="C383" s="4">
        <v>1006</v>
      </c>
      <c r="D383" s="4" t="s">
        <v>3788</v>
      </c>
      <c r="E383" s="4" t="s">
        <v>71</v>
      </c>
      <c r="F383" s="4" t="s">
        <v>3547</v>
      </c>
      <c r="G383" s="4" t="s">
        <v>3789</v>
      </c>
      <c r="H383" s="4" t="s">
        <v>3790</v>
      </c>
      <c r="I383" s="4" t="s">
        <v>191</v>
      </c>
      <c r="J383" s="4" t="s">
        <v>71</v>
      </c>
      <c r="K383" s="4" t="s">
        <v>3791</v>
      </c>
      <c r="L383" s="4" t="s">
        <v>2780</v>
      </c>
      <c r="M383" s="4" t="s">
        <v>3791</v>
      </c>
      <c r="N383" s="4" t="s">
        <v>3792</v>
      </c>
      <c r="O383" s="4" t="s">
        <v>71</v>
      </c>
      <c r="P383" s="168" t="s">
        <v>2786</v>
      </c>
      <c r="Q383" s="4" t="s">
        <v>47</v>
      </c>
      <c r="R383" s="172"/>
      <c r="S383" s="172"/>
      <c r="T383" s="172"/>
      <c r="U383" s="172"/>
      <c r="V383" s="172"/>
      <c r="W383" s="172"/>
      <c r="X383" s="172"/>
      <c r="Y383" s="172"/>
      <c r="Z383" s="172"/>
    </row>
    <row r="384" spans="1:26" ht="13.8">
      <c r="A384" s="166">
        <v>313</v>
      </c>
      <c r="B384" s="4" t="s">
        <v>3776</v>
      </c>
      <c r="C384" s="4">
        <v>1008</v>
      </c>
      <c r="D384" s="4" t="s">
        <v>3777</v>
      </c>
      <c r="E384" s="4" t="s">
        <v>71</v>
      </c>
      <c r="F384" s="4" t="s">
        <v>3547</v>
      </c>
      <c r="G384" s="4" t="s">
        <v>3778</v>
      </c>
      <c r="H384" s="4" t="s">
        <v>3779</v>
      </c>
      <c r="I384" s="4" t="s">
        <v>507</v>
      </c>
      <c r="J384" s="4" t="s">
        <v>71</v>
      </c>
      <c r="K384" s="4" t="s">
        <v>3780</v>
      </c>
      <c r="L384" s="4" t="s">
        <v>2780</v>
      </c>
      <c r="M384" s="4" t="s">
        <v>3780</v>
      </c>
      <c r="N384" s="4" t="s">
        <v>3301</v>
      </c>
      <c r="O384" s="4" t="s">
        <v>71</v>
      </c>
      <c r="P384" s="168" t="s">
        <v>2786</v>
      </c>
      <c r="Q384" s="4" t="s">
        <v>47</v>
      </c>
      <c r="R384" s="172"/>
      <c r="S384" s="172"/>
      <c r="T384" s="172"/>
      <c r="U384" s="172"/>
      <c r="V384" s="172"/>
      <c r="W384" s="172"/>
      <c r="X384" s="172"/>
      <c r="Y384" s="172"/>
      <c r="Z384" s="172"/>
    </row>
    <row r="385" spans="1:26" ht="13.8">
      <c r="A385" s="166">
        <v>697</v>
      </c>
      <c r="B385" s="4" t="s">
        <v>2691</v>
      </c>
      <c r="C385" s="4">
        <v>1009</v>
      </c>
      <c r="D385" s="4" t="s">
        <v>71</v>
      </c>
      <c r="E385" s="4" t="s">
        <v>71</v>
      </c>
      <c r="F385" s="4" t="s">
        <v>5923</v>
      </c>
      <c r="G385" s="4" t="s">
        <v>5924</v>
      </c>
      <c r="H385" s="4" t="s">
        <v>5925</v>
      </c>
      <c r="I385" s="4" t="s">
        <v>5926</v>
      </c>
      <c r="J385" s="4" t="s">
        <v>71</v>
      </c>
      <c r="K385" s="4">
        <v>9969983000</v>
      </c>
      <c r="L385" s="4" t="s">
        <v>5927</v>
      </c>
      <c r="M385" s="4">
        <v>9969983000</v>
      </c>
      <c r="N385" s="4" t="s">
        <v>71</v>
      </c>
      <c r="O385" s="4" t="s">
        <v>71</v>
      </c>
      <c r="P385" s="4" t="s">
        <v>71</v>
      </c>
      <c r="Q385" s="4" t="s">
        <v>47</v>
      </c>
      <c r="R385" s="172"/>
      <c r="S385" s="172"/>
      <c r="T385" s="172"/>
      <c r="U385" s="172"/>
      <c r="V385" s="172"/>
      <c r="W385" s="172"/>
      <c r="X385" s="172"/>
      <c r="Y385" s="172"/>
      <c r="Z385" s="172"/>
    </row>
    <row r="386" spans="1:26" ht="13.8">
      <c r="A386" s="166">
        <v>124</v>
      </c>
      <c r="B386" s="4" t="s">
        <v>3262</v>
      </c>
      <c r="C386" s="4">
        <v>1010</v>
      </c>
      <c r="D386" s="4" t="s">
        <v>3263</v>
      </c>
      <c r="E386" s="4" t="s">
        <v>71</v>
      </c>
      <c r="F386" s="4" t="s">
        <v>71</v>
      </c>
      <c r="G386" s="4" t="s">
        <v>1392</v>
      </c>
      <c r="H386" s="4" t="s">
        <v>1393</v>
      </c>
      <c r="I386" s="4" t="s">
        <v>191</v>
      </c>
      <c r="J386" s="4" t="s">
        <v>1394</v>
      </c>
      <c r="K386" s="4">
        <v>8562066666</v>
      </c>
      <c r="L386" s="4" t="s">
        <v>3264</v>
      </c>
      <c r="M386" s="4">
        <v>8562066666</v>
      </c>
      <c r="N386" s="4" t="s">
        <v>3265</v>
      </c>
      <c r="O386" s="4" t="s">
        <v>71</v>
      </c>
      <c r="P386" s="168" t="s">
        <v>1395</v>
      </c>
      <c r="Q386" s="4" t="s">
        <v>47</v>
      </c>
      <c r="R386" s="172"/>
      <c r="S386" s="172"/>
      <c r="T386" s="172"/>
      <c r="U386" s="172"/>
      <c r="V386" s="172"/>
      <c r="W386" s="172"/>
      <c r="X386" s="172"/>
      <c r="Y386" s="172"/>
      <c r="Z386" s="172"/>
    </row>
    <row r="387" spans="1:26" ht="13.8">
      <c r="A387" s="166">
        <v>144</v>
      </c>
      <c r="B387" s="4" t="s">
        <v>3299</v>
      </c>
      <c r="C387" s="4">
        <v>1013</v>
      </c>
      <c r="D387" s="4" t="s">
        <v>3300</v>
      </c>
      <c r="E387" s="4" t="s">
        <v>71</v>
      </c>
      <c r="F387" s="4" t="s">
        <v>1564</v>
      </c>
      <c r="G387" s="4" t="s">
        <v>1558</v>
      </c>
      <c r="H387" s="4" t="s">
        <v>1559</v>
      </c>
      <c r="I387" s="4" t="s">
        <v>1560</v>
      </c>
      <c r="J387" s="4" t="s">
        <v>1561</v>
      </c>
      <c r="K387" s="4">
        <v>7021031804</v>
      </c>
      <c r="L387" s="4" t="s">
        <v>1608</v>
      </c>
      <c r="M387" s="4">
        <v>7021031804</v>
      </c>
      <c r="N387" s="4" t="s">
        <v>3301</v>
      </c>
      <c r="O387" s="4" t="s">
        <v>71</v>
      </c>
      <c r="P387" s="168" t="s">
        <v>1562</v>
      </c>
      <c r="Q387" s="4" t="s">
        <v>47</v>
      </c>
      <c r="R387" s="172"/>
      <c r="S387" s="172"/>
      <c r="T387" s="172"/>
      <c r="U387" s="172"/>
      <c r="V387" s="172"/>
      <c r="W387" s="172"/>
      <c r="X387" s="172"/>
      <c r="Y387" s="172"/>
      <c r="Z387" s="172"/>
    </row>
    <row r="388" spans="1:26" ht="13.8">
      <c r="A388" s="166">
        <v>145</v>
      </c>
      <c r="B388" s="4" t="s">
        <v>3302</v>
      </c>
      <c r="C388" s="4">
        <v>1014</v>
      </c>
      <c r="D388" s="4" t="s">
        <v>3303</v>
      </c>
      <c r="E388" s="4" t="s">
        <v>71</v>
      </c>
      <c r="F388" s="4" t="s">
        <v>1584</v>
      </c>
      <c r="G388" s="4" t="s">
        <v>1578</v>
      </c>
      <c r="H388" s="4" t="s">
        <v>1579</v>
      </c>
      <c r="I388" s="4" t="s">
        <v>78</v>
      </c>
      <c r="J388" s="4" t="s">
        <v>1580</v>
      </c>
      <c r="K388" s="4">
        <v>61430442201</v>
      </c>
      <c r="L388" s="4" t="s">
        <v>1608</v>
      </c>
      <c r="M388" s="4">
        <v>61430442201</v>
      </c>
      <c r="N388" s="4" t="s">
        <v>3304</v>
      </c>
      <c r="O388" s="4" t="s">
        <v>71</v>
      </c>
      <c r="P388" s="168" t="s">
        <v>1581</v>
      </c>
      <c r="Q388" s="4" t="s">
        <v>47</v>
      </c>
      <c r="R388" s="172"/>
      <c r="S388" s="172"/>
      <c r="T388" s="172"/>
      <c r="U388" s="172"/>
      <c r="V388" s="172"/>
      <c r="W388" s="172"/>
      <c r="X388" s="172"/>
      <c r="Y388" s="172"/>
      <c r="Z388" s="172"/>
    </row>
    <row r="389" spans="1:26" ht="13.8">
      <c r="A389" s="166">
        <v>146</v>
      </c>
      <c r="B389" s="4" t="s">
        <v>3305</v>
      </c>
      <c r="C389" s="4">
        <v>1016</v>
      </c>
      <c r="D389" s="4" t="s">
        <v>3306</v>
      </c>
      <c r="E389" s="4" t="s">
        <v>71</v>
      </c>
      <c r="F389" s="4" t="s">
        <v>1584</v>
      </c>
      <c r="G389" s="4" t="s">
        <v>1596</v>
      </c>
      <c r="H389" s="4" t="s">
        <v>1597</v>
      </c>
      <c r="I389" s="4" t="s">
        <v>1598</v>
      </c>
      <c r="J389" s="4" t="s">
        <v>1580</v>
      </c>
      <c r="K389" s="4">
        <v>8070905905</v>
      </c>
      <c r="L389" s="4" t="s">
        <v>1608</v>
      </c>
      <c r="M389" s="4">
        <v>8070905905</v>
      </c>
      <c r="N389" s="4" t="s">
        <v>3307</v>
      </c>
      <c r="O389" s="4" t="s">
        <v>71</v>
      </c>
      <c r="P389" s="168" t="s">
        <v>1599</v>
      </c>
      <c r="Q389" s="4" t="s">
        <v>47</v>
      </c>
      <c r="R389" s="172"/>
      <c r="S389" s="172"/>
      <c r="T389" s="172"/>
      <c r="U389" s="172"/>
      <c r="V389" s="172"/>
      <c r="W389" s="172"/>
      <c r="X389" s="172"/>
      <c r="Y389" s="172"/>
      <c r="Z389" s="172"/>
    </row>
    <row r="390" spans="1:26" ht="13.8">
      <c r="A390" s="166">
        <v>147</v>
      </c>
      <c r="B390" s="4" t="s">
        <v>3308</v>
      </c>
      <c r="C390" s="4">
        <v>1017</v>
      </c>
      <c r="D390" s="4" t="s">
        <v>3309</v>
      </c>
      <c r="E390" s="4" t="s">
        <v>71</v>
      </c>
      <c r="F390" s="4" t="s">
        <v>1584</v>
      </c>
      <c r="G390" s="4" t="s">
        <v>1578</v>
      </c>
      <c r="H390" s="4" t="s">
        <v>1605</v>
      </c>
      <c r="I390" s="4" t="s">
        <v>1606</v>
      </c>
      <c r="J390" s="4" t="s">
        <v>1580</v>
      </c>
      <c r="K390" s="4">
        <v>8062260000</v>
      </c>
      <c r="L390" s="4" t="s">
        <v>1608</v>
      </c>
      <c r="M390" s="4">
        <v>8062260000</v>
      </c>
      <c r="N390" s="4" t="s">
        <v>2953</v>
      </c>
      <c r="O390" s="4" t="s">
        <v>71</v>
      </c>
      <c r="P390" s="168" t="s">
        <v>1599</v>
      </c>
      <c r="Q390" s="4" t="s">
        <v>47</v>
      </c>
      <c r="R390" s="172"/>
      <c r="S390" s="172"/>
      <c r="T390" s="172"/>
      <c r="U390" s="172"/>
      <c r="V390" s="172"/>
      <c r="W390" s="172"/>
      <c r="X390" s="172"/>
      <c r="Y390" s="172"/>
      <c r="Z390" s="172"/>
    </row>
    <row r="391" spans="1:26" ht="13.8">
      <c r="A391" s="166">
        <v>148</v>
      </c>
      <c r="B391" s="4" t="s">
        <v>3310</v>
      </c>
      <c r="C391" s="4">
        <v>1018</v>
      </c>
      <c r="D391" s="4" t="s">
        <v>3311</v>
      </c>
      <c r="E391" s="4" t="s">
        <v>71</v>
      </c>
      <c r="F391" s="4" t="s">
        <v>1584</v>
      </c>
      <c r="G391" s="4" t="s">
        <v>1578</v>
      </c>
      <c r="H391" s="4" t="s">
        <v>1559</v>
      </c>
      <c r="I391" s="4" t="s">
        <v>1610</v>
      </c>
      <c r="J391" s="4" t="s">
        <v>1580</v>
      </c>
      <c r="K391" s="4">
        <v>7021031804</v>
      </c>
      <c r="L391" s="4" t="s">
        <v>1608</v>
      </c>
      <c r="M391" s="4">
        <v>7021031804</v>
      </c>
      <c r="N391" s="4" t="s">
        <v>2953</v>
      </c>
      <c r="O391" s="4" t="s">
        <v>71</v>
      </c>
      <c r="P391" s="168" t="s">
        <v>1599</v>
      </c>
      <c r="Q391" s="4" t="s">
        <v>47</v>
      </c>
      <c r="R391" s="172"/>
      <c r="S391" s="172"/>
      <c r="T391" s="172"/>
      <c r="U391" s="172"/>
      <c r="V391" s="172"/>
      <c r="W391" s="172"/>
      <c r="X391" s="172"/>
      <c r="Y391" s="172"/>
      <c r="Z391" s="172"/>
    </row>
    <row r="392" spans="1:26" ht="13.8">
      <c r="A392" s="166">
        <v>149</v>
      </c>
      <c r="B392" s="4" t="s">
        <v>1611</v>
      </c>
      <c r="C392" s="4">
        <v>1019</v>
      </c>
      <c r="D392" s="4" t="s">
        <v>3312</v>
      </c>
      <c r="E392" s="4" t="s">
        <v>71</v>
      </c>
      <c r="F392" s="4" t="s">
        <v>71</v>
      </c>
      <c r="G392" s="4" t="s">
        <v>1614</v>
      </c>
      <c r="H392" s="4" t="s">
        <v>1615</v>
      </c>
      <c r="I392" s="4" t="s">
        <v>507</v>
      </c>
      <c r="J392" s="4" t="s">
        <v>71</v>
      </c>
      <c r="K392" s="4">
        <v>9819946897</v>
      </c>
      <c r="L392" s="4" t="s">
        <v>3313</v>
      </c>
      <c r="M392" s="4">
        <v>9819946897</v>
      </c>
      <c r="N392" s="4" t="s">
        <v>3314</v>
      </c>
      <c r="O392" s="4" t="s">
        <v>71</v>
      </c>
      <c r="P392" s="4" t="s">
        <v>71</v>
      </c>
      <c r="Q392" s="4" t="s">
        <v>47</v>
      </c>
      <c r="R392" s="172"/>
      <c r="S392" s="172"/>
      <c r="T392" s="172"/>
      <c r="U392" s="172"/>
      <c r="V392" s="172"/>
      <c r="W392" s="172"/>
      <c r="X392" s="172"/>
      <c r="Y392" s="172"/>
      <c r="Z392" s="172"/>
    </row>
    <row r="393" spans="1:26" ht="13.8">
      <c r="A393" s="166">
        <v>126</v>
      </c>
      <c r="B393" s="4" t="s">
        <v>3266</v>
      </c>
      <c r="C393" s="4">
        <v>1022</v>
      </c>
      <c r="D393" s="4" t="s">
        <v>3267</v>
      </c>
      <c r="E393" s="4" t="s">
        <v>1409</v>
      </c>
      <c r="F393" s="4" t="s">
        <v>1410</v>
      </c>
      <c r="G393" s="4" t="s">
        <v>1401</v>
      </c>
      <c r="H393" s="4" t="s">
        <v>1413</v>
      </c>
      <c r="I393" s="4" t="s">
        <v>1414</v>
      </c>
      <c r="J393" s="4" t="s">
        <v>1404</v>
      </c>
      <c r="K393" s="4">
        <v>7045358783</v>
      </c>
      <c r="L393" s="4" t="s">
        <v>3268</v>
      </c>
      <c r="M393" s="4">
        <v>7045358783</v>
      </c>
      <c r="N393" s="4" t="s">
        <v>2953</v>
      </c>
      <c r="O393" s="4" t="s">
        <v>71</v>
      </c>
      <c r="P393" s="168" t="s">
        <v>1405</v>
      </c>
      <c r="Q393" s="4" t="s">
        <v>47</v>
      </c>
      <c r="R393" s="172"/>
      <c r="S393" s="172"/>
      <c r="T393" s="172"/>
      <c r="U393" s="172"/>
      <c r="V393" s="172"/>
      <c r="W393" s="172"/>
      <c r="X393" s="172"/>
      <c r="Y393" s="172"/>
      <c r="Z393" s="172"/>
    </row>
    <row r="394" spans="1:26" ht="13.8">
      <c r="A394" s="166">
        <v>127</v>
      </c>
      <c r="B394" s="4" t="s">
        <v>3269</v>
      </c>
      <c r="C394" s="4">
        <v>1023</v>
      </c>
      <c r="D394" s="4" t="s">
        <v>3270</v>
      </c>
      <c r="E394" s="4" t="s">
        <v>71</v>
      </c>
      <c r="F394" s="4" t="s">
        <v>1410</v>
      </c>
      <c r="G394" s="4" t="s">
        <v>1401</v>
      </c>
      <c r="H394" s="4" t="s">
        <v>1420</v>
      </c>
      <c r="I394" s="4" t="s">
        <v>1421</v>
      </c>
      <c r="J394" s="4" t="s">
        <v>1404</v>
      </c>
      <c r="K394" s="4">
        <v>7506407720</v>
      </c>
      <c r="L394" s="4" t="s">
        <v>3268</v>
      </c>
      <c r="M394" s="4">
        <v>7506407720</v>
      </c>
      <c r="N394" s="4" t="s">
        <v>2953</v>
      </c>
      <c r="O394" s="4" t="s">
        <v>71</v>
      </c>
      <c r="P394" s="168" t="s">
        <v>1405</v>
      </c>
      <c r="Q394" s="4" t="s">
        <v>47</v>
      </c>
      <c r="R394" s="172"/>
      <c r="S394" s="172"/>
      <c r="T394" s="172"/>
      <c r="U394" s="172"/>
      <c r="V394" s="172"/>
      <c r="W394" s="172"/>
      <c r="X394" s="172"/>
      <c r="Y394" s="172"/>
      <c r="Z394" s="172"/>
    </row>
    <row r="395" spans="1:26" ht="13.8">
      <c r="A395" s="166">
        <v>128</v>
      </c>
      <c r="B395" s="4" t="s">
        <v>3271</v>
      </c>
      <c r="C395" s="4">
        <v>1024</v>
      </c>
      <c r="D395" s="4" t="s">
        <v>3272</v>
      </c>
      <c r="E395" s="4" t="s">
        <v>71</v>
      </c>
      <c r="F395" s="4" t="s">
        <v>1410</v>
      </c>
      <c r="G395" s="4" t="s">
        <v>1401</v>
      </c>
      <c r="H395" s="4" t="s">
        <v>1427</v>
      </c>
      <c r="I395" s="4" t="s">
        <v>1428</v>
      </c>
      <c r="J395" s="4" t="s">
        <v>1404</v>
      </c>
      <c r="K395" s="4">
        <v>7506965545</v>
      </c>
      <c r="L395" s="4" t="s">
        <v>3268</v>
      </c>
      <c r="M395" s="4">
        <v>7506965545</v>
      </c>
      <c r="N395" s="4" t="s">
        <v>2953</v>
      </c>
      <c r="O395" s="4" t="s">
        <v>71</v>
      </c>
      <c r="P395" s="168" t="s">
        <v>1405</v>
      </c>
      <c r="Q395" s="4" t="s">
        <v>47</v>
      </c>
      <c r="R395" s="172"/>
      <c r="S395" s="172"/>
      <c r="T395" s="172"/>
      <c r="U395" s="172"/>
      <c r="V395" s="172"/>
      <c r="W395" s="172"/>
      <c r="X395" s="172"/>
      <c r="Y395" s="172"/>
      <c r="Z395" s="172"/>
    </row>
    <row r="396" spans="1:26" ht="13.8">
      <c r="A396" s="166">
        <v>129</v>
      </c>
      <c r="B396" s="4" t="s">
        <v>3273</v>
      </c>
      <c r="C396" s="4">
        <v>1025</v>
      </c>
      <c r="D396" s="4" t="s">
        <v>3274</v>
      </c>
      <c r="E396" s="4" t="s">
        <v>71</v>
      </c>
      <c r="F396" s="4" t="s">
        <v>1410</v>
      </c>
      <c r="G396" s="4" t="s">
        <v>1401</v>
      </c>
      <c r="H396" s="4" t="s">
        <v>1434</v>
      </c>
      <c r="I396" s="4" t="s">
        <v>1435</v>
      </c>
      <c r="J396" s="4" t="s">
        <v>1837</v>
      </c>
      <c r="K396" s="4">
        <v>8657968797</v>
      </c>
      <c r="L396" s="4" t="s">
        <v>3268</v>
      </c>
      <c r="M396" s="4">
        <v>8657968797</v>
      </c>
      <c r="N396" s="4" t="s">
        <v>71</v>
      </c>
      <c r="O396" s="4" t="s">
        <v>71</v>
      </c>
      <c r="P396" s="168" t="s">
        <v>1405</v>
      </c>
      <c r="Q396" s="4" t="s">
        <v>47</v>
      </c>
      <c r="R396" s="172"/>
      <c r="S396" s="172"/>
      <c r="T396" s="172"/>
      <c r="U396" s="172"/>
      <c r="V396" s="172"/>
      <c r="W396" s="172"/>
      <c r="X396" s="172"/>
      <c r="Y396" s="172"/>
      <c r="Z396" s="172"/>
    </row>
    <row r="397" spans="1:26" ht="13.8">
      <c r="A397" s="166">
        <v>130</v>
      </c>
      <c r="B397" s="4" t="s">
        <v>3275</v>
      </c>
      <c r="C397" s="4">
        <v>1026</v>
      </c>
      <c r="D397" s="4" t="s">
        <v>3276</v>
      </c>
      <c r="E397" s="4" t="s">
        <v>1440</v>
      </c>
      <c r="F397" s="4" t="s">
        <v>1410</v>
      </c>
      <c r="G397" s="4" t="s">
        <v>1401</v>
      </c>
      <c r="H397" s="4" t="s">
        <v>1443</v>
      </c>
      <c r="I397" s="4" t="s">
        <v>1435</v>
      </c>
      <c r="J397" s="4" t="s">
        <v>71</v>
      </c>
      <c r="K397" s="4">
        <v>8657968796</v>
      </c>
      <c r="L397" s="4" t="s">
        <v>3268</v>
      </c>
      <c r="M397" s="4">
        <v>8657968796</v>
      </c>
      <c r="N397" s="4" t="s">
        <v>71</v>
      </c>
      <c r="O397" s="4" t="s">
        <v>71</v>
      </c>
      <c r="P397" s="168" t="s">
        <v>1405</v>
      </c>
      <c r="Q397" s="4" t="s">
        <v>47</v>
      </c>
      <c r="R397" s="172"/>
      <c r="S397" s="172"/>
      <c r="T397" s="172"/>
      <c r="U397" s="172"/>
      <c r="V397" s="172"/>
      <c r="W397" s="172"/>
      <c r="X397" s="172"/>
      <c r="Y397" s="172"/>
      <c r="Z397" s="172"/>
    </row>
    <row r="398" spans="1:26" ht="13.8">
      <c r="A398" s="166">
        <v>131</v>
      </c>
      <c r="B398" s="4" t="s">
        <v>3277</v>
      </c>
      <c r="C398" s="4">
        <v>1028</v>
      </c>
      <c r="D398" s="4" t="s">
        <v>3278</v>
      </c>
      <c r="E398" s="4" t="s">
        <v>71</v>
      </c>
      <c r="F398" s="4" t="s">
        <v>1410</v>
      </c>
      <c r="G398" s="4" t="s">
        <v>1401</v>
      </c>
      <c r="H398" s="4" t="s">
        <v>1450</v>
      </c>
      <c r="I398" s="4" t="s">
        <v>1451</v>
      </c>
      <c r="J398" s="4" t="s">
        <v>71</v>
      </c>
      <c r="K398" s="4">
        <v>8657601586</v>
      </c>
      <c r="L398" s="4" t="s">
        <v>3268</v>
      </c>
      <c r="M398" s="4">
        <v>8657601586</v>
      </c>
      <c r="N398" s="4" t="s">
        <v>71</v>
      </c>
      <c r="O398" s="4" t="s">
        <v>71</v>
      </c>
      <c r="P398" s="168" t="s">
        <v>1405</v>
      </c>
      <c r="Q398" s="4" t="s">
        <v>47</v>
      </c>
      <c r="R398" s="172"/>
      <c r="S398" s="172"/>
      <c r="T398" s="172"/>
      <c r="U398" s="172"/>
      <c r="V398" s="172"/>
      <c r="W398" s="172"/>
      <c r="X398" s="172"/>
      <c r="Y398" s="172"/>
      <c r="Z398" s="172"/>
    </row>
    <row r="399" spans="1:26" ht="13.8">
      <c r="A399" s="166">
        <v>132</v>
      </c>
      <c r="B399" s="4" t="s">
        <v>3279</v>
      </c>
      <c r="C399" s="4">
        <v>1029</v>
      </c>
      <c r="D399" s="4" t="s">
        <v>3280</v>
      </c>
      <c r="E399" s="4" t="s">
        <v>1410</v>
      </c>
      <c r="F399" s="4" t="s">
        <v>1410</v>
      </c>
      <c r="G399" s="4" t="s">
        <v>1401</v>
      </c>
      <c r="H399" s="4" t="s">
        <v>1402</v>
      </c>
      <c r="I399" s="4" t="s">
        <v>1403</v>
      </c>
      <c r="J399" s="4" t="s">
        <v>71</v>
      </c>
      <c r="K399" s="4">
        <v>8657006837</v>
      </c>
      <c r="L399" s="4" t="s">
        <v>3268</v>
      </c>
      <c r="M399" s="4">
        <v>8657006837</v>
      </c>
      <c r="N399" s="4" t="s">
        <v>71</v>
      </c>
      <c r="O399" s="4" t="s">
        <v>71</v>
      </c>
      <c r="P399" s="168" t="s">
        <v>1405</v>
      </c>
      <c r="Q399" s="4" t="s">
        <v>47</v>
      </c>
      <c r="R399" s="172"/>
      <c r="S399" s="172"/>
      <c r="T399" s="172"/>
      <c r="U399" s="172"/>
      <c r="V399" s="172"/>
      <c r="W399" s="172"/>
      <c r="X399" s="172"/>
      <c r="Y399" s="172"/>
      <c r="Z399" s="172"/>
    </row>
    <row r="400" spans="1:26" ht="13.8">
      <c r="A400" s="166">
        <v>134</v>
      </c>
      <c r="B400" s="4" t="s">
        <v>3283</v>
      </c>
      <c r="C400" s="4">
        <v>1031</v>
      </c>
      <c r="D400" s="4" t="s">
        <v>3284</v>
      </c>
      <c r="E400" s="4" t="s">
        <v>71</v>
      </c>
      <c r="F400" s="4" t="s">
        <v>1410</v>
      </c>
      <c r="G400" s="4" t="s">
        <v>1401</v>
      </c>
      <c r="H400" s="4" t="s">
        <v>1471</v>
      </c>
      <c r="I400" s="4" t="s">
        <v>1472</v>
      </c>
      <c r="J400" s="4" t="s">
        <v>71</v>
      </c>
      <c r="K400" s="4">
        <v>8657052649</v>
      </c>
      <c r="L400" s="4" t="s">
        <v>3268</v>
      </c>
      <c r="M400" s="4">
        <v>8657052649</v>
      </c>
      <c r="N400" s="4" t="s">
        <v>71</v>
      </c>
      <c r="O400" s="4" t="s">
        <v>71</v>
      </c>
      <c r="P400" s="168" t="s">
        <v>1405</v>
      </c>
      <c r="Q400" s="4" t="s">
        <v>47</v>
      </c>
      <c r="R400" s="172"/>
      <c r="S400" s="172"/>
      <c r="T400" s="172"/>
      <c r="U400" s="172"/>
      <c r="V400" s="172"/>
      <c r="W400" s="172"/>
      <c r="X400" s="172"/>
      <c r="Y400" s="172"/>
      <c r="Z400" s="172"/>
    </row>
    <row r="401" spans="1:26" ht="13.8">
      <c r="A401" s="166">
        <v>135</v>
      </c>
      <c r="B401" s="4" t="s">
        <v>3285</v>
      </c>
      <c r="C401" s="4">
        <v>1032</v>
      </c>
      <c r="D401" s="4" t="s">
        <v>3286</v>
      </c>
      <c r="E401" s="4" t="s">
        <v>1477</v>
      </c>
      <c r="F401" s="4" t="s">
        <v>1410</v>
      </c>
      <c r="G401" s="4" t="s">
        <v>1401</v>
      </c>
      <c r="H401" s="4" t="s">
        <v>1480</v>
      </c>
      <c r="I401" s="4" t="s">
        <v>1481</v>
      </c>
      <c r="J401" s="4" t="s">
        <v>1899</v>
      </c>
      <c r="K401" s="4">
        <v>8657962271</v>
      </c>
      <c r="L401" s="4" t="s">
        <v>3268</v>
      </c>
      <c r="M401" s="4">
        <v>8657962271</v>
      </c>
      <c r="N401" s="4" t="s">
        <v>71</v>
      </c>
      <c r="O401" s="4" t="s">
        <v>71</v>
      </c>
      <c r="P401" s="168" t="s">
        <v>1405</v>
      </c>
      <c r="Q401" s="4" t="s">
        <v>47</v>
      </c>
      <c r="R401" s="172"/>
      <c r="S401" s="172"/>
      <c r="T401" s="172"/>
      <c r="U401" s="172"/>
      <c r="V401" s="172"/>
      <c r="W401" s="172"/>
      <c r="X401" s="172"/>
      <c r="Y401" s="172"/>
      <c r="Z401" s="172"/>
    </row>
    <row r="402" spans="1:26" ht="13.8">
      <c r="A402" s="166">
        <v>136</v>
      </c>
      <c r="B402" s="4" t="s">
        <v>3287</v>
      </c>
      <c r="C402" s="4">
        <v>1033</v>
      </c>
      <c r="D402" s="4" t="s">
        <v>3288</v>
      </c>
      <c r="E402" s="4" t="s">
        <v>71</v>
      </c>
      <c r="F402" s="4" t="s">
        <v>1410</v>
      </c>
      <c r="G402" s="4" t="s">
        <v>1401</v>
      </c>
      <c r="H402" s="4" t="s">
        <v>1488</v>
      </c>
      <c r="I402" s="4" t="s">
        <v>78</v>
      </c>
      <c r="J402" s="4" t="s">
        <v>1907</v>
      </c>
      <c r="K402" s="4">
        <v>9820989960</v>
      </c>
      <c r="L402" s="4" t="s">
        <v>3268</v>
      </c>
      <c r="M402" s="4">
        <v>9820989960</v>
      </c>
      <c r="N402" s="4" t="s">
        <v>71</v>
      </c>
      <c r="O402" s="4" t="s">
        <v>71</v>
      </c>
      <c r="P402" s="168" t="s">
        <v>1405</v>
      </c>
      <c r="Q402" s="4" t="s">
        <v>47</v>
      </c>
      <c r="R402" s="172"/>
      <c r="S402" s="172"/>
      <c r="T402" s="172"/>
      <c r="U402" s="172"/>
      <c r="V402" s="172"/>
      <c r="W402" s="172"/>
      <c r="X402" s="172"/>
      <c r="Y402" s="172"/>
      <c r="Z402" s="172"/>
    </row>
    <row r="403" spans="1:26" ht="13.8">
      <c r="A403" s="166">
        <v>137</v>
      </c>
      <c r="B403" s="4" t="s">
        <v>3289</v>
      </c>
      <c r="C403" s="4">
        <v>1034</v>
      </c>
      <c r="D403" s="4" t="s">
        <v>3290</v>
      </c>
      <c r="E403" s="4" t="s">
        <v>71</v>
      </c>
      <c r="F403" s="4" t="s">
        <v>1410</v>
      </c>
      <c r="G403" s="4" t="s">
        <v>1401</v>
      </c>
      <c r="H403" s="4" t="s">
        <v>1495</v>
      </c>
      <c r="I403" s="4" t="s">
        <v>1496</v>
      </c>
      <c r="J403" s="4" t="s">
        <v>71</v>
      </c>
      <c r="K403" s="4">
        <v>8657031693</v>
      </c>
      <c r="L403" s="4" t="s">
        <v>3268</v>
      </c>
      <c r="M403" s="4">
        <v>8657031693</v>
      </c>
      <c r="N403" s="4" t="s">
        <v>71</v>
      </c>
      <c r="O403" s="4" t="s">
        <v>71</v>
      </c>
      <c r="P403" s="168" t="s">
        <v>1405</v>
      </c>
      <c r="Q403" s="4" t="s">
        <v>47</v>
      </c>
      <c r="R403" s="172"/>
      <c r="S403" s="172"/>
      <c r="T403" s="172"/>
      <c r="U403" s="172"/>
      <c r="V403" s="172"/>
      <c r="W403" s="172"/>
      <c r="X403" s="172"/>
      <c r="Y403" s="172"/>
      <c r="Z403" s="172"/>
    </row>
    <row r="404" spans="1:26" ht="13.8">
      <c r="A404" s="166">
        <v>138</v>
      </c>
      <c r="B404" s="4" t="s">
        <v>3291</v>
      </c>
      <c r="C404" s="4">
        <v>1035</v>
      </c>
      <c r="D404" s="4" t="s">
        <v>3292</v>
      </c>
      <c r="E404" s="4" t="s">
        <v>1501</v>
      </c>
      <c r="F404" s="4" t="s">
        <v>1410</v>
      </c>
      <c r="G404" s="4" t="s">
        <v>1401</v>
      </c>
      <c r="H404" s="4" t="s">
        <v>1504</v>
      </c>
      <c r="I404" s="4" t="s">
        <v>1505</v>
      </c>
      <c r="J404" s="4" t="s">
        <v>1926</v>
      </c>
      <c r="K404" s="4">
        <v>8657713033</v>
      </c>
      <c r="L404" s="4" t="s">
        <v>3268</v>
      </c>
      <c r="M404" s="4">
        <v>8657713033</v>
      </c>
      <c r="N404" s="4" t="s">
        <v>71</v>
      </c>
      <c r="O404" s="4" t="s">
        <v>71</v>
      </c>
      <c r="P404" s="168" t="s">
        <v>1405</v>
      </c>
      <c r="Q404" s="4" t="s">
        <v>47</v>
      </c>
      <c r="R404" s="172"/>
      <c r="S404" s="172"/>
      <c r="T404" s="172"/>
      <c r="U404" s="172"/>
      <c r="V404" s="172"/>
      <c r="W404" s="172"/>
      <c r="X404" s="172"/>
      <c r="Y404" s="172"/>
      <c r="Z404" s="172"/>
    </row>
    <row r="405" spans="1:26" ht="13.8">
      <c r="A405" s="166">
        <v>139</v>
      </c>
      <c r="B405" s="4" t="s">
        <v>3293</v>
      </c>
      <c r="C405" s="4">
        <v>1038</v>
      </c>
      <c r="D405" s="4" t="s">
        <v>3294</v>
      </c>
      <c r="E405" s="4" t="s">
        <v>71</v>
      </c>
      <c r="F405" s="4" t="s">
        <v>1410</v>
      </c>
      <c r="G405" s="4" t="s">
        <v>1401</v>
      </c>
      <c r="H405" s="4" t="s">
        <v>1512</v>
      </c>
      <c r="I405" s="4" t="s">
        <v>1513</v>
      </c>
      <c r="J405" s="4" t="s">
        <v>71</v>
      </c>
      <c r="K405" s="4">
        <v>9819516937</v>
      </c>
      <c r="L405" s="4" t="s">
        <v>3268</v>
      </c>
      <c r="M405" s="4">
        <v>9819516937</v>
      </c>
      <c r="N405" s="4" t="s">
        <v>71</v>
      </c>
      <c r="O405" s="4" t="s">
        <v>71</v>
      </c>
      <c r="P405" s="168" t="s">
        <v>1405</v>
      </c>
      <c r="Q405" s="4" t="s">
        <v>47</v>
      </c>
      <c r="R405" s="172"/>
      <c r="S405" s="172"/>
      <c r="T405" s="172"/>
      <c r="U405" s="172"/>
      <c r="V405" s="172"/>
      <c r="W405" s="172"/>
      <c r="X405" s="172"/>
      <c r="Y405" s="172"/>
      <c r="Z405" s="172"/>
    </row>
    <row r="406" spans="1:26" ht="13.8">
      <c r="A406" s="166">
        <v>143</v>
      </c>
      <c r="B406" s="4" t="s">
        <v>1548</v>
      </c>
      <c r="C406" s="4">
        <v>1041</v>
      </c>
      <c r="D406" s="4" t="s">
        <v>3297</v>
      </c>
      <c r="E406" s="4" t="s">
        <v>71</v>
      </c>
      <c r="F406" s="4" t="s">
        <v>1554</v>
      </c>
      <c r="G406" s="4" t="s">
        <v>1551</v>
      </c>
      <c r="H406" s="4" t="s">
        <v>1552</v>
      </c>
      <c r="I406" s="4" t="s">
        <v>1553</v>
      </c>
      <c r="J406" s="4" t="s">
        <v>1288</v>
      </c>
      <c r="K406" s="4">
        <v>9920484605</v>
      </c>
      <c r="L406" s="4" t="s">
        <v>3298</v>
      </c>
      <c r="M406" s="4">
        <v>9920484605</v>
      </c>
      <c r="N406" s="4" t="s">
        <v>3057</v>
      </c>
      <c r="O406" s="4" t="s">
        <v>71</v>
      </c>
      <c r="P406" s="168" t="s">
        <v>1289</v>
      </c>
      <c r="Q406" s="4" t="s">
        <v>47</v>
      </c>
      <c r="R406" s="172"/>
      <c r="S406" s="172"/>
      <c r="T406" s="172"/>
      <c r="U406" s="172"/>
      <c r="V406" s="172"/>
      <c r="W406" s="172"/>
      <c r="X406" s="172"/>
      <c r="Y406" s="172"/>
      <c r="Z406" s="172"/>
    </row>
    <row r="407" spans="1:26" ht="13.8">
      <c r="A407" s="166">
        <v>316</v>
      </c>
      <c r="B407" s="4" t="s">
        <v>3793</v>
      </c>
      <c r="C407" s="4">
        <v>1042</v>
      </c>
      <c r="D407" s="4" t="s">
        <v>3794</v>
      </c>
      <c r="E407" s="4" t="s">
        <v>71</v>
      </c>
      <c r="F407" s="4" t="s">
        <v>3547</v>
      </c>
      <c r="G407" s="4" t="s">
        <v>3795</v>
      </c>
      <c r="H407" s="4" t="s">
        <v>3796</v>
      </c>
      <c r="I407" s="4" t="s">
        <v>42</v>
      </c>
      <c r="J407" s="4" t="s">
        <v>71</v>
      </c>
      <c r="K407" s="4">
        <v>860332787</v>
      </c>
      <c r="L407" s="4" t="s">
        <v>2780</v>
      </c>
      <c r="M407" s="4">
        <v>860332787</v>
      </c>
      <c r="N407" s="4" t="s">
        <v>71</v>
      </c>
      <c r="O407" s="4" t="s">
        <v>71</v>
      </c>
      <c r="P407" s="168" t="s">
        <v>2786</v>
      </c>
      <c r="Q407" s="4" t="s">
        <v>47</v>
      </c>
      <c r="R407" s="172"/>
      <c r="S407" s="172"/>
      <c r="T407" s="172"/>
      <c r="U407" s="172"/>
      <c r="V407" s="172"/>
      <c r="W407" s="172"/>
      <c r="X407" s="172"/>
      <c r="Y407" s="172"/>
      <c r="Z407" s="172"/>
    </row>
    <row r="408" spans="1:26" ht="13.8">
      <c r="A408" s="166">
        <v>317</v>
      </c>
      <c r="B408" s="4" t="s">
        <v>3797</v>
      </c>
      <c r="C408" s="4">
        <v>1043</v>
      </c>
      <c r="D408" s="4" t="s">
        <v>3798</v>
      </c>
      <c r="E408" s="4" t="s">
        <v>71</v>
      </c>
      <c r="F408" s="4" t="s">
        <v>3547</v>
      </c>
      <c r="G408" s="4" t="s">
        <v>3799</v>
      </c>
      <c r="H408" s="4" t="s">
        <v>3800</v>
      </c>
      <c r="I408" s="4" t="s">
        <v>42</v>
      </c>
      <c r="J408" s="4" t="s">
        <v>71</v>
      </c>
      <c r="K408" s="4">
        <v>9918686269</v>
      </c>
      <c r="L408" s="4" t="s">
        <v>2780</v>
      </c>
      <c r="M408" s="4">
        <v>9918686269</v>
      </c>
      <c r="N408" s="4" t="s">
        <v>3301</v>
      </c>
      <c r="O408" s="4" t="s">
        <v>71</v>
      </c>
      <c r="P408" s="168" t="s">
        <v>2786</v>
      </c>
      <c r="Q408" s="4" t="s">
        <v>47</v>
      </c>
      <c r="R408" s="172"/>
      <c r="S408" s="172"/>
      <c r="T408" s="172"/>
      <c r="U408" s="172"/>
      <c r="V408" s="172"/>
      <c r="W408" s="172"/>
      <c r="X408" s="172"/>
      <c r="Y408" s="172"/>
      <c r="Z408" s="172"/>
    </row>
    <row r="409" spans="1:26" ht="13.8">
      <c r="A409" s="166">
        <v>318</v>
      </c>
      <c r="B409" s="4" t="s">
        <v>3801</v>
      </c>
      <c r="C409" s="4">
        <v>1044</v>
      </c>
      <c r="D409" s="4" t="s">
        <v>3802</v>
      </c>
      <c r="E409" s="4" t="s">
        <v>71</v>
      </c>
      <c r="F409" s="4" t="s">
        <v>3547</v>
      </c>
      <c r="G409" s="4" t="s">
        <v>3803</v>
      </c>
      <c r="H409" s="4" t="s">
        <v>3804</v>
      </c>
      <c r="I409" s="4" t="s">
        <v>706</v>
      </c>
      <c r="J409" s="4" t="s">
        <v>71</v>
      </c>
      <c r="K409" s="4">
        <v>9354910500</v>
      </c>
      <c r="L409" s="4" t="s">
        <v>2780</v>
      </c>
      <c r="M409" s="4">
        <v>9354910500</v>
      </c>
      <c r="N409" s="4" t="s">
        <v>3301</v>
      </c>
      <c r="O409" s="4" t="s">
        <v>71</v>
      </c>
      <c r="P409" s="168" t="s">
        <v>2786</v>
      </c>
      <c r="Q409" s="4" t="s">
        <v>47</v>
      </c>
      <c r="R409" s="172"/>
      <c r="S409" s="172"/>
      <c r="T409" s="172"/>
      <c r="U409" s="172"/>
      <c r="V409" s="172"/>
      <c r="W409" s="172"/>
      <c r="X409" s="172"/>
      <c r="Y409" s="172"/>
      <c r="Z409" s="172"/>
    </row>
    <row r="410" spans="1:26" ht="13.8">
      <c r="A410" s="166">
        <v>319</v>
      </c>
      <c r="B410" s="4" t="s">
        <v>3805</v>
      </c>
      <c r="C410" s="4">
        <v>1045</v>
      </c>
      <c r="D410" s="4" t="s">
        <v>3806</v>
      </c>
      <c r="E410" s="4" t="s">
        <v>71</v>
      </c>
      <c r="F410" s="4" t="s">
        <v>3547</v>
      </c>
      <c r="G410" s="4" t="s">
        <v>3807</v>
      </c>
      <c r="H410" s="4" t="s">
        <v>3808</v>
      </c>
      <c r="I410" s="4" t="s">
        <v>706</v>
      </c>
      <c r="J410" s="4" t="s">
        <v>71</v>
      </c>
      <c r="K410" s="4">
        <v>9760137397</v>
      </c>
      <c r="L410" s="4" t="s">
        <v>2780</v>
      </c>
      <c r="M410" s="4">
        <v>9760137397</v>
      </c>
      <c r="N410" s="4" t="s">
        <v>3301</v>
      </c>
      <c r="O410" s="4" t="s">
        <v>71</v>
      </c>
      <c r="P410" s="168" t="s">
        <v>2786</v>
      </c>
      <c r="Q410" s="4" t="s">
        <v>47</v>
      </c>
      <c r="R410" s="172"/>
      <c r="S410" s="172"/>
      <c r="T410" s="172"/>
      <c r="U410" s="172"/>
      <c r="V410" s="172"/>
      <c r="W410" s="172"/>
      <c r="X410" s="172"/>
      <c r="Y410" s="172"/>
      <c r="Z410" s="172"/>
    </row>
    <row r="411" spans="1:26" ht="13.8">
      <c r="A411" s="166">
        <v>320</v>
      </c>
      <c r="B411" s="4" t="s">
        <v>3809</v>
      </c>
      <c r="C411" s="4">
        <v>1046</v>
      </c>
      <c r="D411" s="4" t="s">
        <v>3810</v>
      </c>
      <c r="E411" s="4" t="s">
        <v>71</v>
      </c>
      <c r="F411" s="4" t="s">
        <v>3547</v>
      </c>
      <c r="G411" s="4" t="s">
        <v>3811</v>
      </c>
      <c r="H411" s="4" t="s">
        <v>3812</v>
      </c>
      <c r="I411" s="4" t="s">
        <v>507</v>
      </c>
      <c r="J411" s="4" t="s">
        <v>71</v>
      </c>
      <c r="K411" s="4">
        <v>9560003770</v>
      </c>
      <c r="L411" s="4" t="s">
        <v>2780</v>
      </c>
      <c r="M411" s="4">
        <v>9560003770</v>
      </c>
      <c r="N411" s="4" t="s">
        <v>3301</v>
      </c>
      <c r="O411" s="4" t="s">
        <v>71</v>
      </c>
      <c r="P411" s="168" t="s">
        <v>2786</v>
      </c>
      <c r="Q411" s="4" t="s">
        <v>47</v>
      </c>
      <c r="R411" s="172"/>
      <c r="S411" s="172"/>
      <c r="T411" s="172"/>
      <c r="U411" s="172"/>
      <c r="V411" s="172"/>
      <c r="W411" s="172"/>
      <c r="X411" s="172"/>
      <c r="Y411" s="172"/>
      <c r="Z411" s="172"/>
    </row>
    <row r="412" spans="1:26" ht="13.8">
      <c r="A412" s="166">
        <v>321</v>
      </c>
      <c r="B412" s="4" t="s">
        <v>3813</v>
      </c>
      <c r="C412" s="4">
        <v>1047</v>
      </c>
      <c r="D412" s="4" t="s">
        <v>3814</v>
      </c>
      <c r="E412" s="4" t="s">
        <v>71</v>
      </c>
      <c r="F412" s="4" t="s">
        <v>3547</v>
      </c>
      <c r="G412" s="4" t="s">
        <v>3815</v>
      </c>
      <c r="H412" s="4" t="s">
        <v>3816</v>
      </c>
      <c r="I412" s="4" t="s">
        <v>706</v>
      </c>
      <c r="J412" s="4" t="s">
        <v>71</v>
      </c>
      <c r="K412" s="4">
        <v>9999415021</v>
      </c>
      <c r="L412" s="4" t="s">
        <v>2780</v>
      </c>
      <c r="M412" s="4">
        <v>9999415021</v>
      </c>
      <c r="N412" s="4" t="s">
        <v>3301</v>
      </c>
      <c r="O412" s="4" t="s">
        <v>71</v>
      </c>
      <c r="P412" s="168" t="s">
        <v>2786</v>
      </c>
      <c r="Q412" s="4" t="s">
        <v>47</v>
      </c>
      <c r="R412" s="172"/>
      <c r="S412" s="172"/>
      <c r="T412" s="172"/>
      <c r="U412" s="172"/>
      <c r="V412" s="172"/>
      <c r="W412" s="172"/>
      <c r="X412" s="172"/>
      <c r="Y412" s="172"/>
      <c r="Z412" s="172"/>
    </row>
    <row r="413" spans="1:26" ht="13.8">
      <c r="A413" s="166">
        <v>322</v>
      </c>
      <c r="B413" s="4" t="s">
        <v>3817</v>
      </c>
      <c r="C413" s="4">
        <v>1048</v>
      </c>
      <c r="D413" s="4" t="s">
        <v>3818</v>
      </c>
      <c r="E413" s="4" t="s">
        <v>71</v>
      </c>
      <c r="F413" s="4" t="s">
        <v>3547</v>
      </c>
      <c r="G413" s="4" t="s">
        <v>3819</v>
      </c>
      <c r="H413" s="4" t="s">
        <v>3820</v>
      </c>
      <c r="I413" s="4" t="s">
        <v>42</v>
      </c>
      <c r="J413" s="4" t="s">
        <v>71</v>
      </c>
      <c r="K413" s="4">
        <v>9586461141</v>
      </c>
      <c r="L413" s="4" t="s">
        <v>2780</v>
      </c>
      <c r="M413" s="4">
        <v>9586461141</v>
      </c>
      <c r="N413" s="4" t="s">
        <v>3301</v>
      </c>
      <c r="O413" s="4" t="s">
        <v>71</v>
      </c>
      <c r="P413" s="168" t="s">
        <v>2786</v>
      </c>
      <c r="Q413" s="4" t="s">
        <v>47</v>
      </c>
      <c r="R413" s="172"/>
      <c r="S413" s="172"/>
      <c r="T413" s="172"/>
      <c r="U413" s="172"/>
      <c r="V413" s="172"/>
      <c r="W413" s="172"/>
      <c r="X413" s="172"/>
      <c r="Y413" s="172"/>
      <c r="Z413" s="172"/>
    </row>
    <row r="414" spans="1:26" ht="13.8">
      <c r="A414" s="166">
        <v>323</v>
      </c>
      <c r="B414" s="4" t="s">
        <v>3821</v>
      </c>
      <c r="C414" s="4">
        <v>1049</v>
      </c>
      <c r="D414" s="4" t="s">
        <v>3822</v>
      </c>
      <c r="E414" s="4" t="s">
        <v>71</v>
      </c>
      <c r="F414" s="4" t="s">
        <v>3547</v>
      </c>
      <c r="G414" s="4" t="s">
        <v>3823</v>
      </c>
      <c r="H414" s="4" t="s">
        <v>3824</v>
      </c>
      <c r="I414" s="4" t="s">
        <v>42</v>
      </c>
      <c r="J414" s="4" t="s">
        <v>71</v>
      </c>
      <c r="K414" s="4">
        <v>8605001401</v>
      </c>
      <c r="L414" s="4" t="s">
        <v>2780</v>
      </c>
      <c r="M414" s="4">
        <v>8605001401</v>
      </c>
      <c r="N414" s="4" t="s">
        <v>3301</v>
      </c>
      <c r="O414" s="4" t="s">
        <v>71</v>
      </c>
      <c r="P414" s="168" t="s">
        <v>2786</v>
      </c>
      <c r="Q414" s="4" t="s">
        <v>47</v>
      </c>
      <c r="R414" s="172"/>
      <c r="S414" s="172"/>
      <c r="T414" s="172"/>
      <c r="U414" s="172"/>
      <c r="V414" s="172"/>
      <c r="W414" s="172"/>
      <c r="X414" s="172"/>
      <c r="Y414" s="172"/>
      <c r="Z414" s="172"/>
    </row>
    <row r="415" spans="1:26" ht="13.8">
      <c r="A415" s="166">
        <v>324</v>
      </c>
      <c r="B415" s="4" t="s">
        <v>3825</v>
      </c>
      <c r="C415" s="4">
        <v>1056</v>
      </c>
      <c r="D415" s="4" t="s">
        <v>3826</v>
      </c>
      <c r="E415" s="4" t="s">
        <v>71</v>
      </c>
      <c r="F415" s="4" t="s">
        <v>3547</v>
      </c>
      <c r="G415" s="4" t="s">
        <v>3827</v>
      </c>
      <c r="H415" s="4" t="s">
        <v>3828</v>
      </c>
      <c r="I415" s="4" t="s">
        <v>3829</v>
      </c>
      <c r="J415" s="4" t="s">
        <v>71</v>
      </c>
      <c r="K415" s="4">
        <v>9370313451</v>
      </c>
      <c r="L415" s="4" t="s">
        <v>2780</v>
      </c>
      <c r="M415" s="4">
        <v>9370313451</v>
      </c>
      <c r="N415" s="4" t="s">
        <v>3301</v>
      </c>
      <c r="O415" s="4" t="s">
        <v>71</v>
      </c>
      <c r="P415" s="168" t="s">
        <v>2786</v>
      </c>
      <c r="Q415" s="4" t="s">
        <v>47</v>
      </c>
      <c r="R415" s="172"/>
      <c r="S415" s="172"/>
      <c r="T415" s="172"/>
      <c r="U415" s="172"/>
      <c r="V415" s="172"/>
      <c r="W415" s="172"/>
      <c r="X415" s="172"/>
      <c r="Y415" s="172"/>
      <c r="Z415" s="172"/>
    </row>
    <row r="416" spans="1:26" ht="13.8">
      <c r="A416" s="166">
        <v>325</v>
      </c>
      <c r="B416" s="4" t="s">
        <v>3830</v>
      </c>
      <c r="C416" s="4">
        <v>1057</v>
      </c>
      <c r="D416" s="4" t="s">
        <v>3831</v>
      </c>
      <c r="E416" s="4" t="s">
        <v>71</v>
      </c>
      <c r="F416" s="4" t="s">
        <v>3547</v>
      </c>
      <c r="G416" s="4" t="s">
        <v>3832</v>
      </c>
      <c r="H416" s="4" t="s">
        <v>3833</v>
      </c>
      <c r="I416" s="4" t="s">
        <v>507</v>
      </c>
      <c r="J416" s="4" t="s">
        <v>71</v>
      </c>
      <c r="K416" s="4">
        <v>7828947823</v>
      </c>
      <c r="L416" s="4" t="s">
        <v>2780</v>
      </c>
      <c r="M416" s="4">
        <v>7828947823</v>
      </c>
      <c r="N416" s="4" t="s">
        <v>3301</v>
      </c>
      <c r="O416" s="4" t="s">
        <v>71</v>
      </c>
      <c r="P416" s="168" t="s">
        <v>2786</v>
      </c>
      <c r="Q416" s="4" t="s">
        <v>47</v>
      </c>
      <c r="R416" s="172"/>
      <c r="S416" s="172"/>
      <c r="T416" s="172"/>
      <c r="U416" s="172"/>
      <c r="V416" s="172"/>
      <c r="W416" s="172"/>
      <c r="X416" s="172"/>
      <c r="Y416" s="172"/>
      <c r="Z416" s="172"/>
    </row>
    <row r="417" spans="1:26" ht="13.8">
      <c r="A417" s="166">
        <v>150</v>
      </c>
      <c r="B417" s="4" t="s">
        <v>1620</v>
      </c>
      <c r="C417" s="4">
        <v>1059</v>
      </c>
      <c r="D417" s="4" t="s">
        <v>3315</v>
      </c>
      <c r="E417" s="4" t="s">
        <v>71</v>
      </c>
      <c r="F417" s="4" t="s">
        <v>1630</v>
      </c>
      <c r="G417" s="4" t="s">
        <v>1623</v>
      </c>
      <c r="H417" s="4" t="s">
        <v>1624</v>
      </c>
      <c r="I417" s="4" t="s">
        <v>1625</v>
      </c>
      <c r="J417" s="4" t="s">
        <v>1626</v>
      </c>
      <c r="K417" s="4">
        <v>9819860110</v>
      </c>
      <c r="L417" s="4" t="s">
        <v>3316</v>
      </c>
      <c r="M417" s="4">
        <v>9819860110</v>
      </c>
      <c r="N417" s="4" t="s">
        <v>2953</v>
      </c>
      <c r="O417" s="4" t="s">
        <v>71</v>
      </c>
      <c r="P417" s="168" t="s">
        <v>1627</v>
      </c>
      <c r="Q417" s="4" t="s">
        <v>47</v>
      </c>
      <c r="R417" s="172"/>
      <c r="S417" s="172"/>
      <c r="T417" s="172"/>
      <c r="U417" s="172"/>
      <c r="V417" s="172"/>
      <c r="W417" s="172"/>
      <c r="X417" s="172"/>
      <c r="Y417" s="172"/>
      <c r="Z417" s="172"/>
    </row>
    <row r="418" spans="1:26" ht="13.8">
      <c r="A418" s="166">
        <v>151</v>
      </c>
      <c r="B418" s="4" t="s">
        <v>1631</v>
      </c>
      <c r="C418" s="4">
        <v>1060</v>
      </c>
      <c r="D418" s="4" t="s">
        <v>3317</v>
      </c>
      <c r="E418" s="4" t="s">
        <v>71</v>
      </c>
      <c r="F418" s="4" t="s">
        <v>1640</v>
      </c>
      <c r="G418" s="4" t="s">
        <v>1634</v>
      </c>
      <c r="H418" s="4" t="s">
        <v>1635</v>
      </c>
      <c r="I418" s="4" t="s">
        <v>1636</v>
      </c>
      <c r="J418" s="4" t="s">
        <v>1637</v>
      </c>
      <c r="K418" s="4">
        <v>9987779979</v>
      </c>
      <c r="L418" s="4" t="s">
        <v>1632</v>
      </c>
      <c r="M418" s="4">
        <v>9987779979</v>
      </c>
      <c r="N418" s="4" t="s">
        <v>2953</v>
      </c>
      <c r="O418" s="4" t="s">
        <v>71</v>
      </c>
      <c r="P418" s="168" t="s">
        <v>1638</v>
      </c>
      <c r="Q418" s="4" t="s">
        <v>47</v>
      </c>
      <c r="R418" s="172"/>
      <c r="S418" s="172"/>
      <c r="T418" s="172"/>
      <c r="U418" s="172"/>
      <c r="V418" s="172"/>
      <c r="W418" s="172"/>
      <c r="X418" s="172"/>
      <c r="Y418" s="172"/>
      <c r="Z418" s="172"/>
    </row>
    <row r="419" spans="1:26" ht="13.8">
      <c r="A419" s="166">
        <v>698</v>
      </c>
      <c r="B419" s="4" t="s">
        <v>2692</v>
      </c>
      <c r="C419" s="4">
        <v>1063</v>
      </c>
      <c r="D419" s="4" t="s">
        <v>71</v>
      </c>
      <c r="E419" s="4" t="s">
        <v>71</v>
      </c>
      <c r="F419" s="4" t="s">
        <v>5923</v>
      </c>
      <c r="G419" s="4" t="s">
        <v>5924</v>
      </c>
      <c r="H419" s="4" t="s">
        <v>5928</v>
      </c>
      <c r="I419" s="4" t="s">
        <v>5926</v>
      </c>
      <c r="J419" s="4" t="s">
        <v>71</v>
      </c>
      <c r="K419" s="4">
        <v>8655083000</v>
      </c>
      <c r="L419" s="4" t="s">
        <v>5927</v>
      </c>
      <c r="M419" s="4">
        <v>8655083000</v>
      </c>
      <c r="N419" s="4" t="s">
        <v>5929</v>
      </c>
      <c r="O419" s="4" t="s">
        <v>71</v>
      </c>
      <c r="P419" s="4" t="s">
        <v>71</v>
      </c>
      <c r="Q419" s="4" t="s">
        <v>47</v>
      </c>
      <c r="R419" s="172"/>
      <c r="S419" s="172"/>
      <c r="T419" s="172"/>
      <c r="U419" s="172"/>
      <c r="V419" s="172"/>
      <c r="W419" s="172"/>
      <c r="X419" s="172"/>
      <c r="Y419" s="172"/>
      <c r="Z419" s="172"/>
    </row>
    <row r="420" spans="1:26" ht="13.8">
      <c r="A420" s="166">
        <v>699</v>
      </c>
      <c r="B420" s="4" t="s">
        <v>2693</v>
      </c>
      <c r="C420" s="4">
        <v>1064</v>
      </c>
      <c r="D420" s="4" t="s">
        <v>71</v>
      </c>
      <c r="E420" s="4" t="s">
        <v>71</v>
      </c>
      <c r="F420" s="4" t="s">
        <v>5923</v>
      </c>
      <c r="G420" s="4" t="s">
        <v>5924</v>
      </c>
      <c r="H420" s="4" t="s">
        <v>5930</v>
      </c>
      <c r="I420" s="4" t="s">
        <v>5926</v>
      </c>
      <c r="J420" s="4" t="s">
        <v>71</v>
      </c>
      <c r="K420" s="4">
        <v>9969987000</v>
      </c>
      <c r="L420" s="4" t="s">
        <v>5927</v>
      </c>
      <c r="M420" s="4">
        <v>9969987000</v>
      </c>
      <c r="N420" s="4" t="s">
        <v>5931</v>
      </c>
      <c r="O420" s="4" t="s">
        <v>71</v>
      </c>
      <c r="P420" s="4" t="s">
        <v>71</v>
      </c>
      <c r="Q420" s="4" t="s">
        <v>47</v>
      </c>
      <c r="R420" s="172"/>
      <c r="S420" s="172"/>
      <c r="T420" s="172"/>
      <c r="U420" s="172"/>
      <c r="V420" s="172"/>
      <c r="W420" s="172"/>
      <c r="X420" s="172"/>
      <c r="Y420" s="172"/>
      <c r="Z420" s="172"/>
    </row>
    <row r="421" spans="1:26" ht="13.8">
      <c r="A421" s="166">
        <v>700</v>
      </c>
      <c r="B421" s="4" t="s">
        <v>2694</v>
      </c>
      <c r="C421" s="4">
        <v>1066</v>
      </c>
      <c r="D421" s="4" t="s">
        <v>71</v>
      </c>
      <c r="E421" s="4" t="s">
        <v>71</v>
      </c>
      <c r="F421" s="4" t="s">
        <v>5923</v>
      </c>
      <c r="G421" s="4" t="s">
        <v>5924</v>
      </c>
      <c r="H421" s="4" t="s">
        <v>5932</v>
      </c>
      <c r="I421" s="4" t="s">
        <v>5926</v>
      </c>
      <c r="J421" s="4" t="s">
        <v>71</v>
      </c>
      <c r="K421" s="4">
        <v>9969983000</v>
      </c>
      <c r="L421" s="4" t="s">
        <v>5927</v>
      </c>
      <c r="M421" s="4">
        <v>9969983000</v>
      </c>
      <c r="N421" s="4" t="s">
        <v>5933</v>
      </c>
      <c r="O421" s="4" t="s">
        <v>71</v>
      </c>
      <c r="P421" s="4" t="s">
        <v>71</v>
      </c>
      <c r="Q421" s="4" t="s">
        <v>47</v>
      </c>
      <c r="R421" s="172"/>
      <c r="S421" s="172"/>
      <c r="T421" s="172"/>
      <c r="U421" s="172"/>
      <c r="V421" s="172"/>
      <c r="W421" s="172"/>
      <c r="X421" s="172"/>
      <c r="Y421" s="172"/>
      <c r="Z421" s="172"/>
    </row>
    <row r="422" spans="1:26" ht="13.8">
      <c r="A422" s="166">
        <v>701</v>
      </c>
      <c r="B422" s="4" t="s">
        <v>2695</v>
      </c>
      <c r="C422" s="4">
        <v>1068</v>
      </c>
      <c r="D422" s="4" t="s">
        <v>71</v>
      </c>
      <c r="E422" s="4" t="s">
        <v>71</v>
      </c>
      <c r="F422" s="4" t="s">
        <v>5923</v>
      </c>
      <c r="G422" s="4" t="s">
        <v>5924</v>
      </c>
      <c r="H422" s="4" t="s">
        <v>5934</v>
      </c>
      <c r="I422" s="4" t="s">
        <v>5926</v>
      </c>
      <c r="J422" s="4" t="s">
        <v>71</v>
      </c>
      <c r="K422" s="4">
        <v>9969921234</v>
      </c>
      <c r="L422" s="4" t="s">
        <v>5927</v>
      </c>
      <c r="M422" s="4">
        <v>9969921234</v>
      </c>
      <c r="N422" s="4" t="s">
        <v>5935</v>
      </c>
      <c r="O422" s="4" t="s">
        <v>71</v>
      </c>
      <c r="P422" s="4" t="s">
        <v>71</v>
      </c>
      <c r="Q422" s="4" t="s">
        <v>47</v>
      </c>
      <c r="R422" s="172"/>
      <c r="S422" s="172"/>
      <c r="T422" s="172"/>
      <c r="U422" s="172"/>
      <c r="V422" s="172"/>
      <c r="W422" s="172"/>
      <c r="X422" s="172"/>
      <c r="Y422" s="172"/>
      <c r="Z422" s="172"/>
    </row>
    <row r="423" spans="1:26" ht="13.8">
      <c r="A423" s="166">
        <v>702</v>
      </c>
      <c r="B423" s="4" t="s">
        <v>2696</v>
      </c>
      <c r="C423" s="4">
        <v>1069</v>
      </c>
      <c r="D423" s="4" t="s">
        <v>71</v>
      </c>
      <c r="E423" s="4" t="s">
        <v>71</v>
      </c>
      <c r="F423" s="4" t="s">
        <v>5923</v>
      </c>
      <c r="G423" s="4" t="s">
        <v>5924</v>
      </c>
      <c r="H423" s="4" t="s">
        <v>5936</v>
      </c>
      <c r="I423" s="4" t="s">
        <v>5926</v>
      </c>
      <c r="J423" s="4" t="s">
        <v>71</v>
      </c>
      <c r="K423" s="4">
        <v>9969921234</v>
      </c>
      <c r="L423" s="4" t="s">
        <v>5927</v>
      </c>
      <c r="M423" s="4">
        <v>9969921234</v>
      </c>
      <c r="N423" s="4" t="s">
        <v>71</v>
      </c>
      <c r="O423" s="4" t="s">
        <v>71</v>
      </c>
      <c r="P423" s="4" t="s">
        <v>71</v>
      </c>
      <c r="Q423" s="4" t="s">
        <v>47</v>
      </c>
      <c r="R423" s="172"/>
      <c r="S423" s="172"/>
      <c r="T423" s="172"/>
      <c r="U423" s="172"/>
      <c r="V423" s="172"/>
      <c r="W423" s="172"/>
      <c r="X423" s="172"/>
      <c r="Y423" s="172"/>
      <c r="Z423" s="172"/>
    </row>
    <row r="424" spans="1:26" ht="13.8">
      <c r="A424" s="166">
        <v>703</v>
      </c>
      <c r="B424" s="4" t="s">
        <v>2697</v>
      </c>
      <c r="C424" s="4">
        <v>1070</v>
      </c>
      <c r="D424" s="4" t="s">
        <v>71</v>
      </c>
      <c r="E424" s="4" t="s">
        <v>71</v>
      </c>
      <c r="F424" s="4" t="s">
        <v>5923</v>
      </c>
      <c r="G424" s="4" t="s">
        <v>5924</v>
      </c>
      <c r="H424" s="4" t="s">
        <v>5937</v>
      </c>
      <c r="I424" s="4" t="s">
        <v>5926</v>
      </c>
      <c r="J424" s="4" t="s">
        <v>71</v>
      </c>
      <c r="K424" s="4">
        <v>9969041234</v>
      </c>
      <c r="L424" s="4" t="s">
        <v>5927</v>
      </c>
      <c r="M424" s="4">
        <v>9969041234</v>
      </c>
      <c r="N424" s="4" t="s">
        <v>5938</v>
      </c>
      <c r="O424" s="4" t="s">
        <v>71</v>
      </c>
      <c r="P424" s="4" t="s">
        <v>71</v>
      </c>
      <c r="Q424" s="4" t="s">
        <v>47</v>
      </c>
      <c r="R424" s="172"/>
      <c r="S424" s="172"/>
      <c r="T424" s="172"/>
      <c r="U424" s="172"/>
      <c r="V424" s="172"/>
      <c r="W424" s="172"/>
      <c r="X424" s="172"/>
      <c r="Y424" s="172"/>
      <c r="Z424" s="172"/>
    </row>
    <row r="425" spans="1:26" ht="13.8">
      <c r="A425" s="166">
        <v>704</v>
      </c>
      <c r="B425" s="4" t="s">
        <v>2698</v>
      </c>
      <c r="C425" s="4">
        <v>1071</v>
      </c>
      <c r="D425" s="4" t="s">
        <v>71</v>
      </c>
      <c r="E425" s="4" t="s">
        <v>71</v>
      </c>
      <c r="F425" s="4" t="s">
        <v>5923</v>
      </c>
      <c r="G425" s="4" t="s">
        <v>5924</v>
      </c>
      <c r="H425" s="4" t="s">
        <v>5939</v>
      </c>
      <c r="I425" s="4" t="s">
        <v>5926</v>
      </c>
      <c r="J425" s="4" t="s">
        <v>71</v>
      </c>
      <c r="K425" s="4">
        <v>9969961234</v>
      </c>
      <c r="L425" s="4" t="s">
        <v>5927</v>
      </c>
      <c r="M425" s="4">
        <v>9969961234</v>
      </c>
      <c r="N425" s="4" t="s">
        <v>71</v>
      </c>
      <c r="O425" s="4" t="s">
        <v>71</v>
      </c>
      <c r="P425" s="4" t="s">
        <v>71</v>
      </c>
      <c r="Q425" s="4" t="s">
        <v>47</v>
      </c>
      <c r="R425" s="172"/>
      <c r="S425" s="172"/>
      <c r="T425" s="172"/>
      <c r="U425" s="172"/>
      <c r="V425" s="172"/>
      <c r="W425" s="172"/>
      <c r="X425" s="172"/>
      <c r="Y425" s="172"/>
      <c r="Z425" s="172"/>
    </row>
    <row r="426" spans="1:26" ht="13.8">
      <c r="A426" s="166">
        <v>705</v>
      </c>
      <c r="B426" s="4" t="s">
        <v>2699</v>
      </c>
      <c r="C426" s="4">
        <v>1072</v>
      </c>
      <c r="D426" s="4" t="s">
        <v>71</v>
      </c>
      <c r="E426" s="4" t="s">
        <v>71</v>
      </c>
      <c r="F426" s="4" t="s">
        <v>5923</v>
      </c>
      <c r="G426" s="4" t="s">
        <v>5924</v>
      </c>
      <c r="H426" s="4" t="s">
        <v>5940</v>
      </c>
      <c r="I426" s="4" t="s">
        <v>5926</v>
      </c>
      <c r="J426" s="4" t="s">
        <v>71</v>
      </c>
      <c r="K426" s="4">
        <v>9969961234</v>
      </c>
      <c r="L426" s="4" t="s">
        <v>5927</v>
      </c>
      <c r="M426" s="4">
        <v>9969961234</v>
      </c>
      <c r="N426" s="4" t="s">
        <v>5941</v>
      </c>
      <c r="O426" s="4" t="s">
        <v>71</v>
      </c>
      <c r="P426" s="4" t="s">
        <v>71</v>
      </c>
      <c r="Q426" s="4" t="s">
        <v>47</v>
      </c>
      <c r="R426" s="172"/>
      <c r="S426" s="172"/>
      <c r="T426" s="172"/>
      <c r="U426" s="172"/>
      <c r="V426" s="172"/>
      <c r="W426" s="172"/>
      <c r="X426" s="172"/>
      <c r="Y426" s="172"/>
      <c r="Z426" s="172"/>
    </row>
    <row r="427" spans="1:26" ht="13.8">
      <c r="A427" s="166">
        <v>706</v>
      </c>
      <c r="B427" s="4" t="s">
        <v>2700</v>
      </c>
      <c r="C427" s="4">
        <v>1073</v>
      </c>
      <c r="D427" s="4" t="s">
        <v>71</v>
      </c>
      <c r="E427" s="4" t="s">
        <v>71</v>
      </c>
      <c r="F427" s="4" t="s">
        <v>5923</v>
      </c>
      <c r="G427" s="4" t="s">
        <v>5924</v>
      </c>
      <c r="H427" s="4" t="s">
        <v>5942</v>
      </c>
      <c r="I427" s="4" t="s">
        <v>5926</v>
      </c>
      <c r="J427" s="4" t="s">
        <v>71</v>
      </c>
      <c r="K427" s="4">
        <v>9969931234</v>
      </c>
      <c r="L427" s="4" t="s">
        <v>5927</v>
      </c>
      <c r="M427" s="4">
        <v>9969931234</v>
      </c>
      <c r="N427" s="4" t="s">
        <v>71</v>
      </c>
      <c r="O427" s="4" t="s">
        <v>71</v>
      </c>
      <c r="P427" s="4" t="s">
        <v>71</v>
      </c>
      <c r="Q427" s="4" t="s">
        <v>47</v>
      </c>
      <c r="R427" s="172"/>
      <c r="S427" s="172"/>
      <c r="T427" s="172"/>
      <c r="U427" s="172"/>
      <c r="V427" s="172"/>
      <c r="W427" s="172"/>
      <c r="X427" s="172"/>
      <c r="Y427" s="172"/>
      <c r="Z427" s="172"/>
    </row>
    <row r="428" spans="1:26" ht="13.8">
      <c r="A428" s="166">
        <v>707</v>
      </c>
      <c r="B428" s="4" t="s">
        <v>2701</v>
      </c>
      <c r="C428" s="4">
        <v>1074</v>
      </c>
      <c r="D428" s="4" t="s">
        <v>71</v>
      </c>
      <c r="E428" s="4" t="s">
        <v>71</v>
      </c>
      <c r="F428" s="4" t="s">
        <v>5923</v>
      </c>
      <c r="G428" s="4" t="s">
        <v>5924</v>
      </c>
      <c r="H428" s="4" t="s">
        <v>5943</v>
      </c>
      <c r="I428" s="4" t="s">
        <v>5926</v>
      </c>
      <c r="J428" s="4" t="s">
        <v>71</v>
      </c>
      <c r="K428" s="4">
        <v>8928623994</v>
      </c>
      <c r="L428" s="4" t="s">
        <v>5927</v>
      </c>
      <c r="M428" s="4">
        <v>8928623994</v>
      </c>
      <c r="N428" s="4" t="s">
        <v>5944</v>
      </c>
      <c r="O428" s="4" t="s">
        <v>71</v>
      </c>
      <c r="P428" s="4" t="s">
        <v>71</v>
      </c>
      <c r="Q428" s="4" t="s">
        <v>47</v>
      </c>
      <c r="R428" s="172"/>
      <c r="S428" s="172"/>
      <c r="T428" s="172"/>
      <c r="U428" s="172"/>
      <c r="V428" s="172"/>
      <c r="W428" s="172"/>
      <c r="X428" s="172"/>
      <c r="Y428" s="172"/>
      <c r="Z428" s="172"/>
    </row>
    <row r="429" spans="1:26" ht="13.8">
      <c r="A429" s="166">
        <v>708</v>
      </c>
      <c r="B429" s="4" t="s">
        <v>2702</v>
      </c>
      <c r="C429" s="4">
        <v>1075</v>
      </c>
      <c r="D429" s="4" t="s">
        <v>71</v>
      </c>
      <c r="E429" s="4" t="s">
        <v>71</v>
      </c>
      <c r="F429" s="4" t="s">
        <v>5923</v>
      </c>
      <c r="G429" s="4" t="s">
        <v>5924</v>
      </c>
      <c r="H429" s="4" t="s">
        <v>5945</v>
      </c>
      <c r="I429" s="4" t="s">
        <v>5926</v>
      </c>
      <c r="J429" s="4" t="s">
        <v>71</v>
      </c>
      <c r="K429" s="4">
        <v>9969941234</v>
      </c>
      <c r="L429" s="4" t="s">
        <v>5927</v>
      </c>
      <c r="M429" s="4">
        <v>9969941234</v>
      </c>
      <c r="N429" s="4" t="s">
        <v>5946</v>
      </c>
      <c r="O429" s="4" t="s">
        <v>71</v>
      </c>
      <c r="P429" s="4" t="s">
        <v>71</v>
      </c>
      <c r="Q429" s="4" t="s">
        <v>47</v>
      </c>
      <c r="R429" s="172"/>
      <c r="S429" s="172"/>
      <c r="T429" s="172"/>
      <c r="U429" s="172"/>
      <c r="V429" s="172"/>
      <c r="W429" s="172"/>
      <c r="X429" s="172"/>
      <c r="Y429" s="172"/>
      <c r="Z429" s="172"/>
    </row>
    <row r="430" spans="1:26" ht="13.8">
      <c r="A430" s="166">
        <v>709</v>
      </c>
      <c r="B430" s="4" t="s">
        <v>2703</v>
      </c>
      <c r="C430" s="4">
        <v>1076</v>
      </c>
      <c r="D430" s="4" t="s">
        <v>71</v>
      </c>
      <c r="E430" s="4" t="s">
        <v>71</v>
      </c>
      <c r="F430" s="4" t="s">
        <v>5923</v>
      </c>
      <c r="G430" s="4" t="s">
        <v>5924</v>
      </c>
      <c r="H430" s="4" t="s">
        <v>5947</v>
      </c>
      <c r="I430" s="4" t="s">
        <v>5926</v>
      </c>
      <c r="J430" s="4" t="s">
        <v>71</v>
      </c>
      <c r="K430" s="4" t="s">
        <v>71</v>
      </c>
      <c r="L430" s="4" t="s">
        <v>5927</v>
      </c>
      <c r="M430" s="4" t="s">
        <v>71</v>
      </c>
      <c r="N430" s="4" t="s">
        <v>5948</v>
      </c>
      <c r="O430" s="4" t="s">
        <v>71</v>
      </c>
      <c r="P430" s="4" t="s">
        <v>71</v>
      </c>
      <c r="Q430" s="4" t="s">
        <v>47</v>
      </c>
      <c r="R430" s="172"/>
      <c r="S430" s="172"/>
      <c r="T430" s="172"/>
      <c r="U430" s="172"/>
      <c r="V430" s="172"/>
      <c r="W430" s="172"/>
      <c r="X430" s="172"/>
      <c r="Y430" s="172"/>
      <c r="Z430" s="172"/>
    </row>
    <row r="431" spans="1:26" ht="13.8">
      <c r="A431" s="166">
        <v>710</v>
      </c>
      <c r="B431" s="4" t="s">
        <v>2704</v>
      </c>
      <c r="C431" s="4">
        <v>1077</v>
      </c>
      <c r="D431" s="4" t="s">
        <v>71</v>
      </c>
      <c r="E431" s="4" t="s">
        <v>71</v>
      </c>
      <c r="F431" s="4" t="s">
        <v>5923</v>
      </c>
      <c r="G431" s="4" t="s">
        <v>5924</v>
      </c>
      <c r="H431" s="4" t="s">
        <v>5949</v>
      </c>
      <c r="I431" s="4" t="s">
        <v>5926</v>
      </c>
      <c r="J431" s="4" t="s">
        <v>71</v>
      </c>
      <c r="K431" s="4">
        <v>8928623991</v>
      </c>
      <c r="L431" s="4" t="s">
        <v>5927</v>
      </c>
      <c r="M431" s="4" t="s">
        <v>71</v>
      </c>
      <c r="N431" s="4" t="s">
        <v>5950</v>
      </c>
      <c r="O431" s="4" t="s">
        <v>71</v>
      </c>
      <c r="P431" s="4" t="s">
        <v>71</v>
      </c>
      <c r="Q431" s="4" t="s">
        <v>47</v>
      </c>
      <c r="R431" s="172"/>
      <c r="S431" s="172"/>
      <c r="T431" s="172"/>
      <c r="U431" s="172"/>
      <c r="V431" s="172"/>
      <c r="W431" s="172"/>
      <c r="X431" s="172"/>
      <c r="Y431" s="172"/>
      <c r="Z431" s="172"/>
    </row>
    <row r="432" spans="1:26" ht="13.8">
      <c r="A432" s="166">
        <v>711</v>
      </c>
      <c r="B432" s="4" t="s">
        <v>2705</v>
      </c>
      <c r="C432" s="4">
        <v>1078</v>
      </c>
      <c r="D432" s="4" t="s">
        <v>71</v>
      </c>
      <c r="E432" s="4" t="s">
        <v>71</v>
      </c>
      <c r="F432" s="4" t="s">
        <v>5923</v>
      </c>
      <c r="G432" s="4" t="s">
        <v>5924</v>
      </c>
      <c r="H432" s="4" t="s">
        <v>5951</v>
      </c>
      <c r="I432" s="4" t="s">
        <v>5926</v>
      </c>
      <c r="J432" s="4" t="s">
        <v>71</v>
      </c>
      <c r="K432" s="4">
        <v>9969051234</v>
      </c>
      <c r="L432" s="4" t="s">
        <v>5927</v>
      </c>
      <c r="M432" s="4" t="s">
        <v>71</v>
      </c>
      <c r="N432" s="4" t="s">
        <v>5952</v>
      </c>
      <c r="O432" s="4" t="s">
        <v>71</v>
      </c>
      <c r="P432" s="4" t="s">
        <v>71</v>
      </c>
      <c r="Q432" s="4" t="s">
        <v>47</v>
      </c>
      <c r="R432" s="172"/>
      <c r="S432" s="172"/>
      <c r="T432" s="172"/>
      <c r="U432" s="172"/>
      <c r="V432" s="172"/>
      <c r="W432" s="172"/>
      <c r="X432" s="172"/>
      <c r="Y432" s="172"/>
      <c r="Z432" s="172"/>
    </row>
    <row r="433" spans="1:26" ht="13.8">
      <c r="A433" s="166">
        <v>712</v>
      </c>
      <c r="B433" s="4" t="s">
        <v>2706</v>
      </c>
      <c r="C433" s="4">
        <v>1079</v>
      </c>
      <c r="D433" s="4" t="s">
        <v>71</v>
      </c>
      <c r="E433" s="4" t="s">
        <v>71</v>
      </c>
      <c r="F433" s="4" t="s">
        <v>5923</v>
      </c>
      <c r="G433" s="4" t="s">
        <v>5924</v>
      </c>
      <c r="H433" s="4" t="s">
        <v>5953</v>
      </c>
      <c r="I433" s="4" t="s">
        <v>5926</v>
      </c>
      <c r="J433" s="4" t="s">
        <v>71</v>
      </c>
      <c r="K433" s="4">
        <v>9969071234</v>
      </c>
      <c r="L433" s="4" t="s">
        <v>5927</v>
      </c>
      <c r="M433" s="4">
        <v>9969071234</v>
      </c>
      <c r="N433" s="4" t="s">
        <v>5954</v>
      </c>
      <c r="O433" s="4" t="s">
        <v>71</v>
      </c>
      <c r="P433" s="4" t="s">
        <v>71</v>
      </c>
      <c r="Q433" s="4" t="s">
        <v>47</v>
      </c>
      <c r="R433" s="172"/>
      <c r="S433" s="172"/>
      <c r="T433" s="172"/>
      <c r="U433" s="172"/>
      <c r="V433" s="172"/>
      <c r="W433" s="172"/>
      <c r="X433" s="172"/>
      <c r="Y433" s="172"/>
      <c r="Z433" s="172"/>
    </row>
    <row r="434" spans="1:26" ht="13.8">
      <c r="A434" s="166">
        <v>713</v>
      </c>
      <c r="B434" s="4" t="s">
        <v>2707</v>
      </c>
      <c r="C434" s="4">
        <v>1081</v>
      </c>
      <c r="D434" s="4" t="s">
        <v>71</v>
      </c>
      <c r="E434" s="4" t="s">
        <v>71</v>
      </c>
      <c r="F434" s="4" t="s">
        <v>5923</v>
      </c>
      <c r="G434" s="4" t="s">
        <v>5924</v>
      </c>
      <c r="H434" s="4" t="s">
        <v>5955</v>
      </c>
      <c r="I434" s="4" t="s">
        <v>5926</v>
      </c>
      <c r="J434" s="4" t="s">
        <v>71</v>
      </c>
      <c r="K434" s="4">
        <v>9324983695</v>
      </c>
      <c r="L434" s="4" t="s">
        <v>5927</v>
      </c>
      <c r="M434" s="4">
        <v>9324983695</v>
      </c>
      <c r="N434" s="4" t="s">
        <v>5956</v>
      </c>
      <c r="O434" s="4" t="s">
        <v>71</v>
      </c>
      <c r="P434" s="4" t="s">
        <v>71</v>
      </c>
      <c r="Q434" s="4" t="s">
        <v>47</v>
      </c>
      <c r="R434" s="172"/>
      <c r="S434" s="172"/>
      <c r="T434" s="172"/>
      <c r="U434" s="172"/>
      <c r="V434" s="172"/>
      <c r="W434" s="172"/>
      <c r="X434" s="172"/>
      <c r="Y434" s="172"/>
      <c r="Z434" s="172"/>
    </row>
    <row r="435" spans="1:26" ht="13.8">
      <c r="A435" s="166">
        <v>714</v>
      </c>
      <c r="B435" s="4" t="s">
        <v>2708</v>
      </c>
      <c r="C435" s="4">
        <v>1083</v>
      </c>
      <c r="D435" s="4" t="s">
        <v>71</v>
      </c>
      <c r="E435" s="4" t="s">
        <v>71</v>
      </c>
      <c r="F435" s="4" t="s">
        <v>5923</v>
      </c>
      <c r="G435" s="4" t="s">
        <v>5924</v>
      </c>
      <c r="H435" s="4" t="s">
        <v>5957</v>
      </c>
      <c r="I435" s="4" t="s">
        <v>5926</v>
      </c>
      <c r="J435" s="4" t="s">
        <v>71</v>
      </c>
      <c r="K435" s="4">
        <v>9969061234</v>
      </c>
      <c r="L435" s="4" t="s">
        <v>5927</v>
      </c>
      <c r="M435" s="4">
        <v>9969061234</v>
      </c>
      <c r="N435" s="4" t="s">
        <v>5958</v>
      </c>
      <c r="O435" s="4" t="s">
        <v>71</v>
      </c>
      <c r="P435" s="4" t="s">
        <v>71</v>
      </c>
      <c r="Q435" s="4" t="s">
        <v>47</v>
      </c>
      <c r="R435" s="172"/>
      <c r="S435" s="172"/>
      <c r="T435" s="172"/>
      <c r="U435" s="172"/>
      <c r="V435" s="172"/>
      <c r="W435" s="172"/>
      <c r="X435" s="172"/>
      <c r="Y435" s="172"/>
      <c r="Z435" s="172"/>
    </row>
    <row r="436" spans="1:26" ht="13.8">
      <c r="A436" s="166">
        <v>715</v>
      </c>
      <c r="B436" s="4" t="s">
        <v>2709</v>
      </c>
      <c r="C436" s="4">
        <v>1084</v>
      </c>
      <c r="D436" s="4" t="s">
        <v>71</v>
      </c>
      <c r="E436" s="4" t="s">
        <v>71</v>
      </c>
      <c r="F436" s="4" t="s">
        <v>5923</v>
      </c>
      <c r="G436" s="4" t="s">
        <v>5924</v>
      </c>
      <c r="H436" s="4" t="s">
        <v>5959</v>
      </c>
      <c r="I436" s="4" t="s">
        <v>5926</v>
      </c>
      <c r="J436" s="4" t="s">
        <v>71</v>
      </c>
      <c r="K436" s="4">
        <v>9969981234</v>
      </c>
      <c r="L436" s="4" t="s">
        <v>5927</v>
      </c>
      <c r="M436" s="4">
        <v>9969981234</v>
      </c>
      <c r="N436" s="4" t="s">
        <v>5960</v>
      </c>
      <c r="O436" s="4" t="s">
        <v>71</v>
      </c>
      <c r="P436" s="4" t="s">
        <v>71</v>
      </c>
      <c r="Q436" s="4" t="s">
        <v>47</v>
      </c>
      <c r="R436" s="172"/>
      <c r="S436" s="172"/>
      <c r="T436" s="172"/>
      <c r="U436" s="172"/>
      <c r="V436" s="172"/>
      <c r="W436" s="172"/>
      <c r="X436" s="172"/>
      <c r="Y436" s="172"/>
      <c r="Z436" s="172"/>
    </row>
    <row r="437" spans="1:26" ht="13.8">
      <c r="A437" s="166">
        <v>716</v>
      </c>
      <c r="B437" s="4" t="s">
        <v>2710</v>
      </c>
      <c r="C437" s="4">
        <v>1085</v>
      </c>
      <c r="D437" s="4" t="s">
        <v>71</v>
      </c>
      <c r="E437" s="4" t="s">
        <v>71</v>
      </c>
      <c r="F437" s="4" t="s">
        <v>5923</v>
      </c>
      <c r="G437" s="4" t="s">
        <v>5924</v>
      </c>
      <c r="H437" s="4" t="s">
        <v>5961</v>
      </c>
      <c r="I437" s="4" t="s">
        <v>5926</v>
      </c>
      <c r="J437" s="4" t="s">
        <v>71</v>
      </c>
      <c r="K437" s="4">
        <v>9969011234</v>
      </c>
      <c r="L437" s="4" t="s">
        <v>5927</v>
      </c>
      <c r="M437" s="4">
        <v>9969011234</v>
      </c>
      <c r="N437" s="4" t="s">
        <v>5962</v>
      </c>
      <c r="O437" s="4" t="s">
        <v>71</v>
      </c>
      <c r="P437" s="4" t="s">
        <v>71</v>
      </c>
      <c r="Q437" s="4" t="s">
        <v>47</v>
      </c>
      <c r="R437" s="172"/>
      <c r="S437" s="172"/>
      <c r="T437" s="172"/>
      <c r="U437" s="172"/>
      <c r="V437" s="172"/>
      <c r="W437" s="172"/>
      <c r="X437" s="172"/>
      <c r="Y437" s="172"/>
      <c r="Z437" s="172"/>
    </row>
    <row r="438" spans="1:26" ht="13.8">
      <c r="A438" s="166">
        <v>717</v>
      </c>
      <c r="B438" s="4" t="s">
        <v>2711</v>
      </c>
      <c r="C438" s="4">
        <v>1086</v>
      </c>
      <c r="D438" s="4" t="s">
        <v>71</v>
      </c>
      <c r="E438" s="4" t="s">
        <v>71</v>
      </c>
      <c r="F438" s="4" t="s">
        <v>5923</v>
      </c>
      <c r="G438" s="4" t="s">
        <v>5924</v>
      </c>
      <c r="H438" s="4" t="s">
        <v>5963</v>
      </c>
      <c r="I438" s="4" t="s">
        <v>5926</v>
      </c>
      <c r="J438" s="4" t="s">
        <v>71</v>
      </c>
      <c r="K438" s="4">
        <v>8928623992</v>
      </c>
      <c r="L438" s="4" t="s">
        <v>5927</v>
      </c>
      <c r="M438" s="4">
        <v>8928623992</v>
      </c>
      <c r="N438" s="4" t="s">
        <v>5964</v>
      </c>
      <c r="O438" s="4" t="s">
        <v>71</v>
      </c>
      <c r="P438" s="4" t="s">
        <v>71</v>
      </c>
      <c r="Q438" s="4" t="s">
        <v>47</v>
      </c>
      <c r="R438" s="172"/>
      <c r="S438" s="172"/>
      <c r="T438" s="172"/>
      <c r="U438" s="172"/>
      <c r="V438" s="172"/>
      <c r="W438" s="172"/>
      <c r="X438" s="172"/>
      <c r="Y438" s="172"/>
      <c r="Z438" s="172"/>
    </row>
    <row r="439" spans="1:26" ht="13.8">
      <c r="A439" s="166">
        <v>718</v>
      </c>
      <c r="B439" s="4" t="s">
        <v>2712</v>
      </c>
      <c r="C439" s="4">
        <v>1087</v>
      </c>
      <c r="D439" s="4" t="s">
        <v>71</v>
      </c>
      <c r="E439" s="4" t="s">
        <v>71</v>
      </c>
      <c r="F439" s="4" t="s">
        <v>5923</v>
      </c>
      <c r="G439" s="4" t="s">
        <v>5924</v>
      </c>
      <c r="H439" s="4" t="s">
        <v>5965</v>
      </c>
      <c r="I439" s="4" t="s">
        <v>5926</v>
      </c>
      <c r="J439" s="4" t="s">
        <v>71</v>
      </c>
      <c r="K439" s="4">
        <v>8928623992</v>
      </c>
      <c r="L439" s="4" t="s">
        <v>5927</v>
      </c>
      <c r="M439" s="4">
        <v>8928623992</v>
      </c>
      <c r="N439" s="4" t="s">
        <v>5966</v>
      </c>
      <c r="O439" s="4" t="s">
        <v>71</v>
      </c>
      <c r="P439" s="4" t="s">
        <v>71</v>
      </c>
      <c r="Q439" s="4" t="s">
        <v>47</v>
      </c>
      <c r="R439" s="172"/>
      <c r="S439" s="172"/>
      <c r="T439" s="172"/>
      <c r="U439" s="172"/>
      <c r="V439" s="172"/>
      <c r="W439" s="172"/>
      <c r="X439" s="172"/>
      <c r="Y439" s="172"/>
      <c r="Z439" s="172"/>
    </row>
    <row r="440" spans="1:26" ht="13.8">
      <c r="A440" s="166">
        <v>719</v>
      </c>
      <c r="B440" s="4" t="s">
        <v>2712</v>
      </c>
      <c r="C440" s="4">
        <v>1088</v>
      </c>
      <c r="D440" s="4" t="s">
        <v>71</v>
      </c>
      <c r="E440" s="4" t="s">
        <v>71</v>
      </c>
      <c r="F440" s="4" t="s">
        <v>5923</v>
      </c>
      <c r="G440" s="4" t="s">
        <v>5924</v>
      </c>
      <c r="H440" s="4" t="s">
        <v>5965</v>
      </c>
      <c r="I440" s="4" t="s">
        <v>5926</v>
      </c>
      <c r="J440" s="4" t="s">
        <v>71</v>
      </c>
      <c r="K440" s="4">
        <v>9969986000</v>
      </c>
      <c r="L440" s="4" t="s">
        <v>5927</v>
      </c>
      <c r="M440" s="4">
        <v>9969986000</v>
      </c>
      <c r="N440" s="4" t="s">
        <v>5967</v>
      </c>
      <c r="O440" s="4" t="s">
        <v>71</v>
      </c>
      <c r="P440" s="4" t="s">
        <v>71</v>
      </c>
      <c r="Q440" s="4" t="s">
        <v>47</v>
      </c>
      <c r="R440" s="172"/>
      <c r="S440" s="172"/>
      <c r="T440" s="172"/>
      <c r="U440" s="172"/>
      <c r="V440" s="172"/>
      <c r="W440" s="172"/>
      <c r="X440" s="172"/>
      <c r="Y440" s="172"/>
      <c r="Z440" s="172"/>
    </row>
    <row r="441" spans="1:26" ht="13.8">
      <c r="A441" s="166">
        <v>720</v>
      </c>
      <c r="B441" s="4" t="s">
        <v>2713</v>
      </c>
      <c r="C441" s="4">
        <v>1089</v>
      </c>
      <c r="D441" s="4" t="s">
        <v>71</v>
      </c>
      <c r="E441" s="4" t="s">
        <v>71</v>
      </c>
      <c r="F441" s="4" t="s">
        <v>5923</v>
      </c>
      <c r="G441" s="4" t="s">
        <v>5924</v>
      </c>
      <c r="H441" s="4" t="s">
        <v>5968</v>
      </c>
      <c r="I441" s="4" t="s">
        <v>5926</v>
      </c>
      <c r="J441" s="4" t="s">
        <v>71</v>
      </c>
      <c r="K441" s="4">
        <v>9969951234</v>
      </c>
      <c r="L441" s="4" t="s">
        <v>5927</v>
      </c>
      <c r="M441" s="4">
        <v>9969951234</v>
      </c>
      <c r="N441" s="4" t="s">
        <v>5969</v>
      </c>
      <c r="O441" s="4" t="s">
        <v>71</v>
      </c>
      <c r="P441" s="4" t="s">
        <v>71</v>
      </c>
      <c r="Q441" s="4" t="s">
        <v>47</v>
      </c>
      <c r="R441" s="172"/>
      <c r="S441" s="172"/>
      <c r="T441" s="172"/>
      <c r="U441" s="172"/>
      <c r="V441" s="172"/>
      <c r="W441" s="172"/>
      <c r="X441" s="172"/>
      <c r="Y441" s="172"/>
      <c r="Z441" s="172"/>
    </row>
    <row r="442" spans="1:26" ht="13.8">
      <c r="A442" s="166">
        <v>721</v>
      </c>
      <c r="B442" s="4" t="s">
        <v>2714</v>
      </c>
      <c r="C442" s="4">
        <v>1090</v>
      </c>
      <c r="D442" s="4" t="s">
        <v>71</v>
      </c>
      <c r="E442" s="4" t="s">
        <v>71</v>
      </c>
      <c r="F442" s="4" t="s">
        <v>5923</v>
      </c>
      <c r="G442" s="4" t="s">
        <v>5924</v>
      </c>
      <c r="H442" s="4" t="s">
        <v>5970</v>
      </c>
      <c r="I442" s="4" t="s">
        <v>5926</v>
      </c>
      <c r="J442" s="4" t="s">
        <v>71</v>
      </c>
      <c r="K442" s="4">
        <v>9324983699</v>
      </c>
      <c r="L442" s="4" t="s">
        <v>5927</v>
      </c>
      <c r="M442" s="4">
        <v>9324983699</v>
      </c>
      <c r="N442" s="4" t="s">
        <v>5971</v>
      </c>
      <c r="O442" s="4" t="s">
        <v>71</v>
      </c>
      <c r="P442" s="4" t="s">
        <v>71</v>
      </c>
      <c r="Q442" s="4" t="s">
        <v>47</v>
      </c>
      <c r="R442" s="172"/>
      <c r="S442" s="172"/>
      <c r="T442" s="172"/>
      <c r="U442" s="172"/>
      <c r="V442" s="172"/>
      <c r="W442" s="172"/>
      <c r="X442" s="172"/>
      <c r="Y442" s="172"/>
      <c r="Z442" s="172"/>
    </row>
    <row r="443" spans="1:26" ht="13.8">
      <c r="A443" s="166">
        <v>722</v>
      </c>
      <c r="B443" s="4" t="s">
        <v>2715</v>
      </c>
      <c r="C443" s="4">
        <v>1091</v>
      </c>
      <c r="D443" s="4" t="s">
        <v>71</v>
      </c>
      <c r="E443" s="4" t="s">
        <v>71</v>
      </c>
      <c r="F443" s="4" t="s">
        <v>5923</v>
      </c>
      <c r="G443" s="4" t="s">
        <v>5924</v>
      </c>
      <c r="H443" s="4" t="s">
        <v>5972</v>
      </c>
      <c r="I443" s="4" t="s">
        <v>5926</v>
      </c>
      <c r="J443" s="4" t="s">
        <v>71</v>
      </c>
      <c r="K443" s="4">
        <v>9969985000</v>
      </c>
      <c r="L443" s="4" t="s">
        <v>5927</v>
      </c>
      <c r="M443" s="4">
        <v>9969985000</v>
      </c>
      <c r="N443" s="4" t="s">
        <v>5973</v>
      </c>
      <c r="O443" s="4" t="s">
        <v>71</v>
      </c>
      <c r="P443" s="4" t="s">
        <v>71</v>
      </c>
      <c r="Q443" s="4" t="s">
        <v>47</v>
      </c>
      <c r="R443" s="172"/>
      <c r="S443" s="172"/>
      <c r="T443" s="172"/>
      <c r="U443" s="172"/>
      <c r="V443" s="172"/>
      <c r="W443" s="172"/>
      <c r="X443" s="172"/>
      <c r="Y443" s="172"/>
      <c r="Z443" s="172"/>
    </row>
    <row r="444" spans="1:26" ht="13.8">
      <c r="A444" s="166">
        <v>723</v>
      </c>
      <c r="B444" s="4" t="s">
        <v>2716</v>
      </c>
      <c r="C444" s="4">
        <v>1092</v>
      </c>
      <c r="D444" s="4" t="s">
        <v>71</v>
      </c>
      <c r="E444" s="4" t="s">
        <v>71</v>
      </c>
      <c r="F444" s="4" t="s">
        <v>5923</v>
      </c>
      <c r="G444" s="4" t="s">
        <v>5924</v>
      </c>
      <c r="H444" s="4" t="s">
        <v>5974</v>
      </c>
      <c r="I444" s="4" t="s">
        <v>5926</v>
      </c>
      <c r="J444" s="4" t="s">
        <v>71</v>
      </c>
      <c r="K444" s="4">
        <v>8928787501</v>
      </c>
      <c r="L444" s="4" t="s">
        <v>5927</v>
      </c>
      <c r="M444" s="4">
        <v>8928787501</v>
      </c>
      <c r="N444" s="4" t="s">
        <v>71</v>
      </c>
      <c r="O444" s="4" t="s">
        <v>71</v>
      </c>
      <c r="P444" s="4" t="s">
        <v>71</v>
      </c>
      <c r="Q444" s="4" t="s">
        <v>47</v>
      </c>
      <c r="R444" s="172"/>
      <c r="S444" s="172"/>
      <c r="T444" s="172"/>
      <c r="U444" s="172"/>
      <c r="V444" s="172"/>
      <c r="W444" s="172"/>
      <c r="X444" s="172"/>
      <c r="Y444" s="172"/>
      <c r="Z444" s="172"/>
    </row>
    <row r="445" spans="1:26" ht="13.8">
      <c r="A445" s="166">
        <v>724</v>
      </c>
      <c r="B445" s="4" t="s">
        <v>2717</v>
      </c>
      <c r="C445" s="4">
        <v>1093</v>
      </c>
      <c r="D445" s="4" t="s">
        <v>71</v>
      </c>
      <c r="E445" s="4" t="s">
        <v>71</v>
      </c>
      <c r="F445" s="4" t="s">
        <v>5923</v>
      </c>
      <c r="G445" s="4" t="s">
        <v>5924</v>
      </c>
      <c r="H445" s="4" t="s">
        <v>5975</v>
      </c>
      <c r="I445" s="4" t="s">
        <v>5926</v>
      </c>
      <c r="J445" s="4" t="s">
        <v>71</v>
      </c>
      <c r="K445" s="4">
        <v>9137299981</v>
      </c>
      <c r="L445" s="4" t="s">
        <v>5927</v>
      </c>
      <c r="M445" s="4">
        <v>9137299981</v>
      </c>
      <c r="N445" s="4" t="s">
        <v>5976</v>
      </c>
      <c r="O445" s="4" t="s">
        <v>71</v>
      </c>
      <c r="P445" s="4" t="s">
        <v>71</v>
      </c>
      <c r="Q445" s="4" t="s">
        <v>47</v>
      </c>
      <c r="R445" s="172"/>
      <c r="S445" s="172"/>
      <c r="T445" s="172"/>
      <c r="U445" s="172"/>
      <c r="V445" s="172"/>
      <c r="W445" s="172"/>
      <c r="X445" s="172"/>
      <c r="Y445" s="172"/>
      <c r="Z445" s="172"/>
    </row>
    <row r="446" spans="1:26" ht="13.8">
      <c r="A446" s="166">
        <v>725</v>
      </c>
      <c r="B446" s="4" t="s">
        <v>2718</v>
      </c>
      <c r="C446" s="4">
        <v>1094</v>
      </c>
      <c r="D446" s="4" t="s">
        <v>71</v>
      </c>
      <c r="E446" s="4" t="s">
        <v>71</v>
      </c>
      <c r="F446" s="4" t="s">
        <v>5923</v>
      </c>
      <c r="G446" s="4" t="s">
        <v>5924</v>
      </c>
      <c r="H446" s="4" t="s">
        <v>5977</v>
      </c>
      <c r="I446" s="4" t="s">
        <v>5926</v>
      </c>
      <c r="J446" s="4" t="s">
        <v>71</v>
      </c>
      <c r="K446" s="4">
        <v>8779398553</v>
      </c>
      <c r="L446" s="4" t="s">
        <v>5927</v>
      </c>
      <c r="M446" s="4">
        <v>8779398553</v>
      </c>
      <c r="N446" s="4" t="s">
        <v>71</v>
      </c>
      <c r="O446" s="4" t="s">
        <v>71</v>
      </c>
      <c r="P446" s="4" t="s">
        <v>71</v>
      </c>
      <c r="Q446" s="4" t="s">
        <v>47</v>
      </c>
      <c r="R446" s="172"/>
      <c r="S446" s="172"/>
      <c r="T446" s="172"/>
      <c r="U446" s="172"/>
      <c r="V446" s="172"/>
      <c r="W446" s="172"/>
      <c r="X446" s="172"/>
      <c r="Y446" s="172"/>
      <c r="Z446" s="172"/>
    </row>
    <row r="447" spans="1:26" ht="13.8">
      <c r="A447" s="166">
        <v>141</v>
      </c>
      <c r="B447" s="4" t="s">
        <v>3295</v>
      </c>
      <c r="C447" s="4">
        <v>1096</v>
      </c>
      <c r="D447" s="4" t="s">
        <v>3296</v>
      </c>
      <c r="E447" s="4" t="s">
        <v>71</v>
      </c>
      <c r="F447" s="4" t="s">
        <v>1410</v>
      </c>
      <c r="G447" s="4" t="s">
        <v>1401</v>
      </c>
      <c r="H447" s="4" t="s">
        <v>1526</v>
      </c>
      <c r="I447" s="4" t="s">
        <v>1527</v>
      </c>
      <c r="J447" s="4" t="s">
        <v>71</v>
      </c>
      <c r="K447" s="4">
        <v>8657962272</v>
      </c>
      <c r="L447" s="4" t="s">
        <v>3268</v>
      </c>
      <c r="M447" s="4">
        <v>8657962272</v>
      </c>
      <c r="N447" s="4" t="s">
        <v>71</v>
      </c>
      <c r="O447" s="4" t="s">
        <v>71</v>
      </c>
      <c r="P447" s="168" t="s">
        <v>1405</v>
      </c>
      <c r="Q447" s="4" t="s">
        <v>47</v>
      </c>
      <c r="R447" s="172"/>
      <c r="S447" s="172"/>
      <c r="T447" s="172"/>
      <c r="U447" s="172"/>
      <c r="V447" s="172"/>
      <c r="W447" s="172"/>
      <c r="X447" s="172"/>
      <c r="Y447" s="172"/>
      <c r="Z447" s="172"/>
    </row>
    <row r="448" spans="1:26" ht="13.8">
      <c r="A448" s="166">
        <v>153</v>
      </c>
      <c r="B448" s="4" t="s">
        <v>1649</v>
      </c>
      <c r="C448" s="4">
        <v>1098</v>
      </c>
      <c r="D448" s="4" t="s">
        <v>3321</v>
      </c>
      <c r="E448" s="4" t="s">
        <v>71</v>
      </c>
      <c r="F448" s="4" t="s">
        <v>71</v>
      </c>
      <c r="G448" s="4" t="s">
        <v>1652</v>
      </c>
      <c r="H448" s="4" t="s">
        <v>1653</v>
      </c>
      <c r="I448" s="4" t="s">
        <v>191</v>
      </c>
      <c r="J448" s="4" t="s">
        <v>1654</v>
      </c>
      <c r="K448" s="4">
        <v>9984559999</v>
      </c>
      <c r="L448" s="4" t="s">
        <v>3322</v>
      </c>
      <c r="M448" s="4">
        <v>9984559999</v>
      </c>
      <c r="N448" s="4" t="s">
        <v>1656</v>
      </c>
      <c r="O448" s="4" t="s">
        <v>71</v>
      </c>
      <c r="P448" s="168" t="s">
        <v>1655</v>
      </c>
      <c r="Q448" s="4" t="s">
        <v>47</v>
      </c>
      <c r="R448" s="172"/>
      <c r="S448" s="172"/>
      <c r="T448" s="172"/>
      <c r="U448" s="172"/>
      <c r="V448" s="172"/>
      <c r="W448" s="172"/>
      <c r="X448" s="172"/>
      <c r="Y448" s="172"/>
      <c r="Z448" s="172"/>
    </row>
    <row r="449" spans="1:26" ht="13.8">
      <c r="A449" s="166">
        <v>154</v>
      </c>
      <c r="B449" s="4" t="s">
        <v>1657</v>
      </c>
      <c r="C449" s="4">
        <v>1106</v>
      </c>
      <c r="D449" s="4" t="s">
        <v>3323</v>
      </c>
      <c r="E449" s="4" t="s">
        <v>1666</v>
      </c>
      <c r="F449" s="4" t="s">
        <v>1667</v>
      </c>
      <c r="G449" s="4" t="s">
        <v>1660</v>
      </c>
      <c r="H449" s="4" t="s">
        <v>1661</v>
      </c>
      <c r="I449" s="4" t="s">
        <v>1662</v>
      </c>
      <c r="J449" s="4" t="s">
        <v>1663</v>
      </c>
      <c r="K449" s="4">
        <v>16464250063</v>
      </c>
      <c r="L449" s="4" t="s">
        <v>1658</v>
      </c>
      <c r="M449" s="4">
        <v>16464250063</v>
      </c>
      <c r="N449" s="4" t="s">
        <v>2953</v>
      </c>
      <c r="O449" s="4" t="s">
        <v>71</v>
      </c>
      <c r="P449" s="168" t="s">
        <v>1664</v>
      </c>
      <c r="Q449" s="4" t="s">
        <v>47</v>
      </c>
      <c r="R449" s="172"/>
      <c r="S449" s="172"/>
      <c r="T449" s="172"/>
      <c r="U449" s="172"/>
      <c r="V449" s="172"/>
      <c r="W449" s="172"/>
      <c r="X449" s="172"/>
      <c r="Y449" s="172"/>
      <c r="Z449" s="172"/>
    </row>
    <row r="450" spans="1:26" ht="13.8">
      <c r="A450" s="166">
        <v>155</v>
      </c>
      <c r="B450" s="4" t="s">
        <v>1680</v>
      </c>
      <c r="C450" s="4">
        <v>1107</v>
      </c>
      <c r="D450" s="4" t="s">
        <v>3324</v>
      </c>
      <c r="E450" s="4" t="s">
        <v>1687</v>
      </c>
      <c r="F450" s="4" t="s">
        <v>1667</v>
      </c>
      <c r="G450" s="4" t="s">
        <v>1660</v>
      </c>
      <c r="H450" s="4" t="s">
        <v>1683</v>
      </c>
      <c r="I450" s="4" t="s">
        <v>1684</v>
      </c>
      <c r="J450" s="4" t="s">
        <v>1685</v>
      </c>
      <c r="K450" s="4">
        <v>9176367939</v>
      </c>
      <c r="L450" s="4" t="s">
        <v>1681</v>
      </c>
      <c r="M450" s="4">
        <v>9176367939</v>
      </c>
      <c r="N450" s="4" t="s">
        <v>2953</v>
      </c>
      <c r="O450" s="4" t="s">
        <v>71</v>
      </c>
      <c r="P450" s="168" t="s">
        <v>1664</v>
      </c>
      <c r="Q450" s="4" t="s">
        <v>47</v>
      </c>
      <c r="R450" s="172"/>
      <c r="S450" s="172"/>
      <c r="T450" s="172"/>
      <c r="U450" s="172"/>
      <c r="V450" s="172"/>
      <c r="W450" s="172"/>
      <c r="X450" s="172"/>
      <c r="Y450" s="172"/>
      <c r="Z450" s="172"/>
    </row>
    <row r="451" spans="1:26" ht="13.8">
      <c r="A451" s="166">
        <v>156</v>
      </c>
      <c r="B451" s="4" t="s">
        <v>3325</v>
      </c>
      <c r="C451" s="4">
        <v>1110</v>
      </c>
      <c r="D451" s="4" t="s">
        <v>3326</v>
      </c>
      <c r="E451" s="4" t="s">
        <v>1699</v>
      </c>
      <c r="F451" s="4" t="s">
        <v>1700</v>
      </c>
      <c r="G451" s="4" t="s">
        <v>1691</v>
      </c>
      <c r="H451" s="4" t="s">
        <v>1692</v>
      </c>
      <c r="I451" s="4" t="s">
        <v>1693</v>
      </c>
      <c r="J451" s="4" t="s">
        <v>1694</v>
      </c>
      <c r="K451" s="4">
        <v>9967758499</v>
      </c>
      <c r="L451" s="4" t="s">
        <v>1710</v>
      </c>
      <c r="M451" s="4">
        <v>9967758499</v>
      </c>
      <c r="N451" s="4" t="s">
        <v>3327</v>
      </c>
      <c r="O451" s="4" t="s">
        <v>71</v>
      </c>
      <c r="P451" s="168" t="s">
        <v>1695</v>
      </c>
      <c r="Q451" s="4" t="s">
        <v>47</v>
      </c>
      <c r="R451" s="172"/>
      <c r="S451" s="172"/>
      <c r="T451" s="172"/>
      <c r="U451" s="172"/>
      <c r="V451" s="172"/>
      <c r="W451" s="172"/>
      <c r="X451" s="172"/>
      <c r="Y451" s="172"/>
      <c r="Z451" s="172"/>
    </row>
    <row r="452" spans="1:26" ht="13.8">
      <c r="A452" s="166">
        <v>157</v>
      </c>
      <c r="B452" s="4" t="s">
        <v>3328</v>
      </c>
      <c r="C452" s="4">
        <v>1111</v>
      </c>
      <c r="D452" s="4" t="s">
        <v>3329</v>
      </c>
      <c r="E452" s="4" t="s">
        <v>1708</v>
      </c>
      <c r="F452" s="4" t="s">
        <v>1700</v>
      </c>
      <c r="G452" s="4" t="s">
        <v>1691</v>
      </c>
      <c r="H452" s="4" t="s">
        <v>1704</v>
      </c>
      <c r="I452" s="4" t="s">
        <v>1693</v>
      </c>
      <c r="J452" s="4" t="s">
        <v>1694</v>
      </c>
      <c r="K452" s="4">
        <v>8208406133</v>
      </c>
      <c r="L452" s="4" t="s">
        <v>1710</v>
      </c>
      <c r="M452" s="4">
        <v>8208406133</v>
      </c>
      <c r="N452" s="4" t="s">
        <v>3327</v>
      </c>
      <c r="O452" s="4" t="s">
        <v>71</v>
      </c>
      <c r="P452" s="168" t="s">
        <v>1695</v>
      </c>
      <c r="Q452" s="4" t="s">
        <v>47</v>
      </c>
      <c r="R452" s="172"/>
      <c r="S452" s="172"/>
      <c r="T452" s="172"/>
      <c r="U452" s="172"/>
      <c r="V452" s="172"/>
      <c r="W452" s="172"/>
      <c r="X452" s="172"/>
      <c r="Y452" s="172"/>
      <c r="Z452" s="172"/>
    </row>
    <row r="453" spans="1:26" ht="13.8">
      <c r="A453" s="166">
        <v>158</v>
      </c>
      <c r="B453" s="4" t="s">
        <v>3330</v>
      </c>
      <c r="C453" s="4">
        <v>1112</v>
      </c>
      <c r="D453" s="4" t="s">
        <v>3331</v>
      </c>
      <c r="E453" s="4" t="s">
        <v>1717</v>
      </c>
      <c r="F453" s="4" t="s">
        <v>1700</v>
      </c>
      <c r="G453" s="4" t="s">
        <v>1691</v>
      </c>
      <c r="H453" s="4" t="s">
        <v>1712</v>
      </c>
      <c r="I453" s="4" t="s">
        <v>1713</v>
      </c>
      <c r="J453" s="4" t="s">
        <v>2199</v>
      </c>
      <c r="K453" s="4">
        <v>9321697279</v>
      </c>
      <c r="L453" s="4" t="s">
        <v>1710</v>
      </c>
      <c r="M453" s="4">
        <v>9321697279</v>
      </c>
      <c r="N453" s="4" t="s">
        <v>3327</v>
      </c>
      <c r="O453" s="4" t="s">
        <v>71</v>
      </c>
      <c r="P453" s="168" t="s">
        <v>1695</v>
      </c>
      <c r="Q453" s="4" t="s">
        <v>47</v>
      </c>
      <c r="R453" s="172"/>
      <c r="S453" s="172"/>
      <c r="T453" s="172"/>
      <c r="U453" s="172"/>
      <c r="V453" s="172"/>
      <c r="W453" s="172"/>
      <c r="X453" s="172"/>
      <c r="Y453" s="172"/>
      <c r="Z453" s="172"/>
    </row>
    <row r="454" spans="1:26" ht="13.8">
      <c r="A454" s="166">
        <v>159</v>
      </c>
      <c r="B454" s="4" t="s">
        <v>3332</v>
      </c>
      <c r="C454" s="4">
        <v>1113</v>
      </c>
      <c r="D454" s="4" t="s">
        <v>3333</v>
      </c>
      <c r="E454" s="4" t="s">
        <v>71</v>
      </c>
      <c r="F454" s="4" t="s">
        <v>1700</v>
      </c>
      <c r="G454" s="4" t="s">
        <v>1691</v>
      </c>
      <c r="H454" s="4" t="s">
        <v>1720</v>
      </c>
      <c r="I454" s="4" t="s">
        <v>1693</v>
      </c>
      <c r="J454" s="4" t="s">
        <v>2199</v>
      </c>
      <c r="K454" s="4">
        <v>9321697279</v>
      </c>
      <c r="L454" s="4" t="s">
        <v>1710</v>
      </c>
      <c r="M454" s="4">
        <v>9321697279</v>
      </c>
      <c r="N454" s="4" t="s">
        <v>3327</v>
      </c>
      <c r="O454" s="4" t="s">
        <v>71</v>
      </c>
      <c r="P454" s="168" t="s">
        <v>1695</v>
      </c>
      <c r="Q454" s="4" t="s">
        <v>47</v>
      </c>
      <c r="R454" s="172"/>
      <c r="S454" s="172"/>
      <c r="T454" s="172"/>
      <c r="U454" s="172"/>
      <c r="V454" s="172"/>
      <c r="W454" s="172"/>
      <c r="X454" s="172"/>
      <c r="Y454" s="172"/>
      <c r="Z454" s="172"/>
    </row>
    <row r="455" spans="1:26" ht="13.8">
      <c r="A455" s="166">
        <v>160</v>
      </c>
      <c r="B455" s="4" t="s">
        <v>1724</v>
      </c>
      <c r="C455" s="4">
        <v>1115</v>
      </c>
      <c r="D455" s="4" t="s">
        <v>3334</v>
      </c>
      <c r="E455" s="4" t="s">
        <v>1734</v>
      </c>
      <c r="F455" s="4" t="s">
        <v>1735</v>
      </c>
      <c r="G455" s="4" t="s">
        <v>1727</v>
      </c>
      <c r="H455" s="4" t="s">
        <v>1728</v>
      </c>
      <c r="I455" s="4" t="s">
        <v>1729</v>
      </c>
      <c r="J455" s="4" t="s">
        <v>1730</v>
      </c>
      <c r="K455" s="4">
        <v>9082395719</v>
      </c>
      <c r="L455" s="4" t="s">
        <v>1725</v>
      </c>
      <c r="M455" s="4">
        <v>9082395719</v>
      </c>
      <c r="N455" s="4" t="s">
        <v>2953</v>
      </c>
      <c r="O455" s="4" t="s">
        <v>71</v>
      </c>
      <c r="P455" s="168" t="s">
        <v>1731</v>
      </c>
      <c r="Q455" s="4" t="s">
        <v>47</v>
      </c>
      <c r="R455" s="172"/>
      <c r="S455" s="172"/>
      <c r="T455" s="172"/>
      <c r="U455" s="172"/>
      <c r="V455" s="172"/>
      <c r="W455" s="172"/>
      <c r="X455" s="172"/>
      <c r="Y455" s="172"/>
      <c r="Z455" s="172"/>
    </row>
    <row r="456" spans="1:26" ht="13.8">
      <c r="A456" s="166">
        <v>161</v>
      </c>
      <c r="B456" s="4" t="s">
        <v>1749</v>
      </c>
      <c r="C456" s="4">
        <v>1116</v>
      </c>
      <c r="D456" s="4" t="s">
        <v>3335</v>
      </c>
      <c r="E456" s="4" t="s">
        <v>71</v>
      </c>
      <c r="F456" s="4" t="s">
        <v>1758</v>
      </c>
      <c r="G456" s="4" t="s">
        <v>1752</v>
      </c>
      <c r="H456" s="4" t="s">
        <v>1753</v>
      </c>
      <c r="I456" s="4" t="s">
        <v>534</v>
      </c>
      <c r="J456" s="4" t="s">
        <v>1754</v>
      </c>
      <c r="K456" s="4">
        <v>950604111</v>
      </c>
      <c r="L456" s="4" t="s">
        <v>1750</v>
      </c>
      <c r="M456" s="4">
        <v>950604111</v>
      </c>
      <c r="N456" s="4" t="s">
        <v>2953</v>
      </c>
      <c r="O456" s="4" t="s">
        <v>71</v>
      </c>
      <c r="P456" s="168" t="s">
        <v>1755</v>
      </c>
      <c r="Q456" s="4" t="s">
        <v>47</v>
      </c>
      <c r="R456" s="172"/>
      <c r="S456" s="172"/>
      <c r="T456" s="172"/>
      <c r="U456" s="172"/>
      <c r="V456" s="172"/>
      <c r="W456" s="172"/>
      <c r="X456" s="172"/>
      <c r="Y456" s="172"/>
      <c r="Z456" s="172"/>
    </row>
    <row r="457" spans="1:26" ht="13.8">
      <c r="A457" s="166">
        <v>162</v>
      </c>
      <c r="B457" s="4" t="s">
        <v>3336</v>
      </c>
      <c r="C457" s="4">
        <v>1117</v>
      </c>
      <c r="D457" s="4" t="s">
        <v>3337</v>
      </c>
      <c r="E457" s="4" t="s">
        <v>1770</v>
      </c>
      <c r="F457" s="4" t="s">
        <v>1771</v>
      </c>
      <c r="G457" s="4" t="s">
        <v>1762</v>
      </c>
      <c r="H457" s="4" t="s">
        <v>1763</v>
      </c>
      <c r="I457" s="4" t="s">
        <v>1764</v>
      </c>
      <c r="J457" s="4" t="s">
        <v>71</v>
      </c>
      <c r="K457" s="4">
        <v>9820298682</v>
      </c>
      <c r="L457" s="4" t="s">
        <v>3338</v>
      </c>
      <c r="M457" s="4">
        <v>9820298682</v>
      </c>
      <c r="N457" s="4" t="s">
        <v>2953</v>
      </c>
      <c r="O457" s="4" t="s">
        <v>71</v>
      </c>
      <c r="P457" s="4" t="s">
        <v>71</v>
      </c>
      <c r="Q457" s="4" t="s">
        <v>47</v>
      </c>
      <c r="R457" s="172"/>
      <c r="S457" s="172"/>
      <c r="T457" s="172"/>
      <c r="U457" s="172"/>
      <c r="V457" s="172"/>
      <c r="W457" s="172"/>
      <c r="X457" s="172"/>
      <c r="Y457" s="172"/>
      <c r="Z457" s="172"/>
    </row>
    <row r="458" spans="1:26" ht="13.8">
      <c r="A458" s="166">
        <v>163</v>
      </c>
      <c r="B458" s="4" t="s">
        <v>1772</v>
      </c>
      <c r="C458" s="4">
        <v>1118</v>
      </c>
      <c r="D458" s="4" t="s">
        <v>3339</v>
      </c>
      <c r="E458" s="4" t="s">
        <v>71</v>
      </c>
      <c r="F458" s="4" t="s">
        <v>71</v>
      </c>
      <c r="G458" s="4" t="s">
        <v>1775</v>
      </c>
      <c r="H458" s="4" t="s">
        <v>1776</v>
      </c>
      <c r="I458" s="4" t="s">
        <v>116</v>
      </c>
      <c r="J458" s="4" t="s">
        <v>71</v>
      </c>
      <c r="K458" s="4">
        <v>9820081014</v>
      </c>
      <c r="L458" s="4" t="s">
        <v>3340</v>
      </c>
      <c r="M458" s="4">
        <v>9820081014</v>
      </c>
      <c r="N458" s="4" t="s">
        <v>2953</v>
      </c>
      <c r="O458" s="4" t="s">
        <v>71</v>
      </c>
      <c r="P458" s="4" t="s">
        <v>71</v>
      </c>
      <c r="Q458" s="4" t="s">
        <v>47</v>
      </c>
      <c r="R458" s="172"/>
      <c r="S458" s="172"/>
      <c r="T458" s="172"/>
      <c r="U458" s="172"/>
      <c r="V458" s="172"/>
      <c r="W458" s="172"/>
      <c r="X458" s="172"/>
      <c r="Y458" s="172"/>
      <c r="Z458" s="172"/>
    </row>
    <row r="459" spans="1:26" ht="13.8">
      <c r="A459" s="166">
        <v>164</v>
      </c>
      <c r="B459" s="4" t="s">
        <v>1779</v>
      </c>
      <c r="C459" s="4">
        <v>1119</v>
      </c>
      <c r="D459" s="4" t="s">
        <v>3341</v>
      </c>
      <c r="E459" s="4" t="s">
        <v>71</v>
      </c>
      <c r="F459" s="4" t="s">
        <v>1787</v>
      </c>
      <c r="G459" s="4" t="s">
        <v>1782</v>
      </c>
      <c r="H459" s="4" t="s">
        <v>1783</v>
      </c>
      <c r="I459" s="4" t="s">
        <v>534</v>
      </c>
      <c r="J459" s="4" t="s">
        <v>71</v>
      </c>
      <c r="K459" s="4">
        <v>8655241941</v>
      </c>
      <c r="L459" s="4" t="s">
        <v>1780</v>
      </c>
      <c r="M459" s="4">
        <v>8655241941</v>
      </c>
      <c r="N459" s="4" t="s">
        <v>2953</v>
      </c>
      <c r="O459" s="4" t="s">
        <v>71</v>
      </c>
      <c r="P459" s="4" t="s">
        <v>71</v>
      </c>
      <c r="Q459" s="4" t="s">
        <v>47</v>
      </c>
      <c r="R459" s="172"/>
      <c r="S459" s="172"/>
      <c r="T459" s="172"/>
      <c r="U459" s="172"/>
      <c r="V459" s="172"/>
      <c r="W459" s="172"/>
      <c r="X459" s="172"/>
      <c r="Y459" s="172"/>
      <c r="Z459" s="172"/>
    </row>
    <row r="460" spans="1:26" ht="13.8">
      <c r="A460" s="166">
        <v>165</v>
      </c>
      <c r="B460" s="4" t="s">
        <v>3342</v>
      </c>
      <c r="C460" s="4">
        <v>1121</v>
      </c>
      <c r="D460" s="4" t="s">
        <v>3343</v>
      </c>
      <c r="E460" s="4" t="s">
        <v>71</v>
      </c>
      <c r="F460" s="4" t="s">
        <v>1805</v>
      </c>
      <c r="G460" s="4" t="s">
        <v>1799</v>
      </c>
      <c r="H460" s="4" t="s">
        <v>1800</v>
      </c>
      <c r="I460" s="4" t="s">
        <v>71</v>
      </c>
      <c r="J460" s="4" t="s">
        <v>1801</v>
      </c>
      <c r="K460" s="4">
        <v>9833409290</v>
      </c>
      <c r="L460" s="4" t="s">
        <v>3344</v>
      </c>
      <c r="M460" s="4">
        <v>9833409290</v>
      </c>
      <c r="N460" s="4" t="s">
        <v>1802</v>
      </c>
      <c r="O460" s="4" t="s">
        <v>71</v>
      </c>
      <c r="P460" s="4" t="s">
        <v>71</v>
      </c>
      <c r="Q460" s="4" t="s">
        <v>47</v>
      </c>
      <c r="R460" s="172"/>
      <c r="S460" s="172"/>
      <c r="T460" s="172"/>
      <c r="U460" s="172"/>
      <c r="V460" s="172"/>
      <c r="W460" s="172"/>
      <c r="X460" s="172"/>
      <c r="Y460" s="172"/>
      <c r="Z460" s="172"/>
    </row>
    <row r="461" spans="1:26" ht="13.8">
      <c r="A461" s="166">
        <v>166</v>
      </c>
      <c r="B461" s="4" t="s">
        <v>1820</v>
      </c>
      <c r="C461" s="4">
        <v>1125</v>
      </c>
      <c r="D461" s="4" t="s">
        <v>3345</v>
      </c>
      <c r="E461" s="4" t="s">
        <v>71</v>
      </c>
      <c r="F461" s="4" t="s">
        <v>1830</v>
      </c>
      <c r="G461" s="4" t="s">
        <v>1823</v>
      </c>
      <c r="H461" s="4" t="s">
        <v>1824</v>
      </c>
      <c r="I461" s="4" t="s">
        <v>1825</v>
      </c>
      <c r="J461" s="4" t="s">
        <v>1826</v>
      </c>
      <c r="K461" s="4">
        <v>9051646424</v>
      </c>
      <c r="L461" s="4" t="s">
        <v>1821</v>
      </c>
      <c r="M461" s="4">
        <v>9051646424</v>
      </c>
      <c r="N461" s="4" t="s">
        <v>3346</v>
      </c>
      <c r="O461" s="4" t="s">
        <v>71</v>
      </c>
      <c r="P461" s="168" t="s">
        <v>1827</v>
      </c>
      <c r="Q461" s="4" t="s">
        <v>47</v>
      </c>
      <c r="R461" s="172"/>
      <c r="S461" s="172"/>
      <c r="T461" s="172"/>
      <c r="U461" s="172"/>
      <c r="V461" s="172"/>
      <c r="W461" s="172"/>
      <c r="X461" s="172"/>
      <c r="Y461" s="172"/>
      <c r="Z461" s="172"/>
    </row>
    <row r="462" spans="1:26" ht="13.8">
      <c r="A462" s="166">
        <v>167</v>
      </c>
      <c r="B462" s="4" t="s">
        <v>1832</v>
      </c>
      <c r="C462" s="4">
        <v>1126</v>
      </c>
      <c r="D462" s="4" t="s">
        <v>3347</v>
      </c>
      <c r="E462" s="4" t="s">
        <v>71</v>
      </c>
      <c r="F462" s="4" t="s">
        <v>1841</v>
      </c>
      <c r="G462" s="4" t="s">
        <v>1835</v>
      </c>
      <c r="H462" s="4" t="s">
        <v>1835</v>
      </c>
      <c r="I462" s="4" t="s">
        <v>1836</v>
      </c>
      <c r="J462" s="4" t="s">
        <v>1837</v>
      </c>
      <c r="K462" s="4">
        <v>7044127834</v>
      </c>
      <c r="L462" s="4" t="s">
        <v>1833</v>
      </c>
      <c r="M462" s="4">
        <v>7044127834</v>
      </c>
      <c r="N462" s="4" t="s">
        <v>3346</v>
      </c>
      <c r="O462" s="4" t="s">
        <v>71</v>
      </c>
      <c r="P462" s="168" t="s">
        <v>1838</v>
      </c>
      <c r="Q462" s="4" t="s">
        <v>47</v>
      </c>
      <c r="R462" s="172"/>
      <c r="S462" s="172"/>
      <c r="T462" s="172"/>
      <c r="U462" s="172"/>
      <c r="V462" s="172"/>
      <c r="W462" s="172"/>
      <c r="X462" s="172"/>
      <c r="Y462" s="172"/>
      <c r="Z462" s="172"/>
    </row>
    <row r="463" spans="1:26" ht="13.8">
      <c r="A463" s="166">
        <v>326</v>
      </c>
      <c r="B463" s="4" t="s">
        <v>3834</v>
      </c>
      <c r="C463" s="4">
        <v>1127</v>
      </c>
      <c r="D463" s="4" t="s">
        <v>3835</v>
      </c>
      <c r="E463" s="4" t="s">
        <v>71</v>
      </c>
      <c r="F463" s="4" t="s">
        <v>3547</v>
      </c>
      <c r="G463" s="4" t="s">
        <v>3836</v>
      </c>
      <c r="H463" s="4" t="s">
        <v>3837</v>
      </c>
      <c r="I463" s="4" t="s">
        <v>71</v>
      </c>
      <c r="J463" s="4" t="s">
        <v>71</v>
      </c>
      <c r="K463" s="4">
        <v>9819499143</v>
      </c>
      <c r="L463" s="4" t="s">
        <v>2780</v>
      </c>
      <c r="M463" s="4">
        <v>9819499143</v>
      </c>
      <c r="N463" s="4" t="s">
        <v>3301</v>
      </c>
      <c r="O463" s="4" t="s">
        <v>71</v>
      </c>
      <c r="P463" s="168" t="s">
        <v>2786</v>
      </c>
      <c r="Q463" s="4" t="s">
        <v>47</v>
      </c>
      <c r="R463" s="172"/>
      <c r="S463" s="172"/>
      <c r="T463" s="172"/>
      <c r="U463" s="172"/>
      <c r="V463" s="172"/>
      <c r="W463" s="172"/>
      <c r="X463" s="172"/>
      <c r="Y463" s="172"/>
      <c r="Z463" s="172"/>
    </row>
    <row r="464" spans="1:26" ht="13.8">
      <c r="A464" s="166">
        <v>327</v>
      </c>
      <c r="B464" s="4" t="s">
        <v>3838</v>
      </c>
      <c r="C464" s="4">
        <v>1129</v>
      </c>
      <c r="D464" s="4" t="s">
        <v>3839</v>
      </c>
      <c r="E464" s="4" t="s">
        <v>71</v>
      </c>
      <c r="F464" s="4" t="s">
        <v>3547</v>
      </c>
      <c r="G464" s="4" t="s">
        <v>3840</v>
      </c>
      <c r="H464" s="4" t="s">
        <v>3841</v>
      </c>
      <c r="I464" s="4" t="s">
        <v>42</v>
      </c>
      <c r="J464" s="4" t="s">
        <v>71</v>
      </c>
      <c r="K464" s="4">
        <v>9099077028</v>
      </c>
      <c r="L464" s="4" t="s">
        <v>2780</v>
      </c>
      <c r="M464" s="4">
        <v>9099077028</v>
      </c>
      <c r="N464" s="4" t="s">
        <v>3301</v>
      </c>
      <c r="O464" s="4" t="s">
        <v>71</v>
      </c>
      <c r="P464" s="168" t="s">
        <v>2786</v>
      </c>
      <c r="Q464" s="4" t="s">
        <v>47</v>
      </c>
      <c r="R464" s="172"/>
      <c r="S464" s="172"/>
      <c r="T464" s="172"/>
      <c r="U464" s="172"/>
      <c r="V464" s="172"/>
      <c r="W464" s="172"/>
      <c r="X464" s="172"/>
      <c r="Y464" s="172"/>
      <c r="Z464" s="172"/>
    </row>
    <row r="465" spans="1:26" ht="13.8">
      <c r="A465" s="166">
        <v>168</v>
      </c>
      <c r="B465" s="4" t="s">
        <v>1842</v>
      </c>
      <c r="C465" s="4">
        <v>1130</v>
      </c>
      <c r="D465" s="4" t="s">
        <v>3348</v>
      </c>
      <c r="E465" s="4" t="s">
        <v>71</v>
      </c>
      <c r="F465" s="4" t="s">
        <v>1849</v>
      </c>
      <c r="G465" s="4" t="s">
        <v>1845</v>
      </c>
      <c r="H465" s="4" t="s">
        <v>1846</v>
      </c>
      <c r="I465" s="4" t="s">
        <v>545</v>
      </c>
      <c r="J465" s="4" t="s">
        <v>1837</v>
      </c>
      <c r="K465" s="4">
        <v>8591697900</v>
      </c>
      <c r="L465" s="4" t="s">
        <v>3349</v>
      </c>
      <c r="M465" s="4">
        <v>8591697900</v>
      </c>
      <c r="N465" s="4" t="s">
        <v>3057</v>
      </c>
      <c r="O465" s="4" t="s">
        <v>71</v>
      </c>
      <c r="P465" s="4" t="s">
        <v>71</v>
      </c>
      <c r="Q465" s="4" t="s">
        <v>47</v>
      </c>
      <c r="R465" s="172"/>
      <c r="S465" s="172"/>
      <c r="T465" s="172"/>
      <c r="U465" s="172"/>
      <c r="V465" s="172"/>
      <c r="W465" s="172"/>
      <c r="X465" s="172"/>
      <c r="Y465" s="172"/>
      <c r="Z465" s="172"/>
    </row>
    <row r="466" spans="1:26" ht="13.8">
      <c r="A466" s="166">
        <v>726</v>
      </c>
      <c r="B466" s="4" t="s">
        <v>2719</v>
      </c>
      <c r="C466" s="4">
        <v>1131</v>
      </c>
      <c r="D466" s="4" t="s">
        <v>71</v>
      </c>
      <c r="E466" s="4" t="s">
        <v>71</v>
      </c>
      <c r="F466" s="4" t="s">
        <v>5923</v>
      </c>
      <c r="G466" s="4" t="s">
        <v>5924</v>
      </c>
      <c r="H466" s="4" t="s">
        <v>5978</v>
      </c>
      <c r="I466" s="4" t="s">
        <v>5926</v>
      </c>
      <c r="J466" s="4" t="s">
        <v>71</v>
      </c>
      <c r="K466" s="4">
        <v>9969982000</v>
      </c>
      <c r="L466" s="4" t="s">
        <v>5927</v>
      </c>
      <c r="M466" s="4">
        <v>9969982000</v>
      </c>
      <c r="N466" s="4" t="s">
        <v>71</v>
      </c>
      <c r="O466" s="4" t="s">
        <v>71</v>
      </c>
      <c r="P466" s="4" t="s">
        <v>71</v>
      </c>
      <c r="Q466" s="4" t="s">
        <v>47</v>
      </c>
      <c r="R466" s="172"/>
      <c r="S466" s="172"/>
      <c r="T466" s="172"/>
      <c r="U466" s="172"/>
      <c r="V466" s="172"/>
      <c r="W466" s="172"/>
      <c r="X466" s="172"/>
      <c r="Y466" s="172"/>
      <c r="Z466" s="172"/>
    </row>
    <row r="467" spans="1:26" ht="13.8">
      <c r="A467" s="166">
        <v>169</v>
      </c>
      <c r="B467" s="4" t="s">
        <v>1856</v>
      </c>
      <c r="C467" s="4">
        <v>1133</v>
      </c>
      <c r="D467" s="4" t="s">
        <v>3350</v>
      </c>
      <c r="E467" s="4" t="s">
        <v>1865</v>
      </c>
      <c r="F467" s="4" t="s">
        <v>1866</v>
      </c>
      <c r="G467" s="4" t="s">
        <v>1859</v>
      </c>
      <c r="H467" s="4" t="s">
        <v>1860</v>
      </c>
      <c r="I467" s="4" t="s">
        <v>1861</v>
      </c>
      <c r="J467" s="4" t="s">
        <v>71</v>
      </c>
      <c r="K467" s="4">
        <v>9833930531</v>
      </c>
      <c r="L467" s="4" t="s">
        <v>1857</v>
      </c>
      <c r="M467" s="4">
        <v>9833930531</v>
      </c>
      <c r="N467" s="4" t="s">
        <v>1862</v>
      </c>
      <c r="O467" s="4" t="s">
        <v>71</v>
      </c>
      <c r="P467" s="168" t="s">
        <v>3351</v>
      </c>
      <c r="Q467" s="4" t="s">
        <v>47</v>
      </c>
      <c r="R467" s="172"/>
      <c r="S467" s="172"/>
      <c r="T467" s="172"/>
      <c r="U467" s="172"/>
      <c r="V467" s="172"/>
      <c r="W467" s="172"/>
      <c r="X467" s="172"/>
      <c r="Y467" s="172"/>
      <c r="Z467" s="172"/>
    </row>
    <row r="468" spans="1:26" ht="13.8">
      <c r="A468" s="166">
        <v>727</v>
      </c>
      <c r="B468" s="4" t="s">
        <v>2720</v>
      </c>
      <c r="C468" s="4">
        <v>1134</v>
      </c>
      <c r="D468" s="4" t="s">
        <v>71</v>
      </c>
      <c r="E468" s="4" t="s">
        <v>71</v>
      </c>
      <c r="F468" s="4" t="s">
        <v>5923</v>
      </c>
      <c r="G468" s="4" t="s">
        <v>5924</v>
      </c>
      <c r="H468" s="4" t="s">
        <v>5979</v>
      </c>
      <c r="I468" s="4" t="s">
        <v>5926</v>
      </c>
      <c r="J468" s="4" t="s">
        <v>71</v>
      </c>
      <c r="K468" s="4" t="s">
        <v>71</v>
      </c>
      <c r="L468" s="4" t="s">
        <v>5927</v>
      </c>
      <c r="M468" s="4" t="s">
        <v>71</v>
      </c>
      <c r="N468" s="4" t="s">
        <v>71</v>
      </c>
      <c r="O468" s="4" t="s">
        <v>71</v>
      </c>
      <c r="P468" s="4" t="s">
        <v>71</v>
      </c>
      <c r="Q468" s="4" t="s">
        <v>47</v>
      </c>
      <c r="R468" s="172"/>
      <c r="S468" s="172"/>
      <c r="T468" s="172"/>
      <c r="U468" s="172"/>
      <c r="V468" s="172"/>
      <c r="W468" s="172"/>
      <c r="X468" s="172"/>
      <c r="Y468" s="172"/>
      <c r="Z468" s="172"/>
    </row>
    <row r="469" spans="1:26" ht="13.8">
      <c r="A469" s="166">
        <v>170</v>
      </c>
      <c r="B469" s="4" t="s">
        <v>1868</v>
      </c>
      <c r="C469" s="4">
        <v>1135</v>
      </c>
      <c r="D469" s="4" t="s">
        <v>3352</v>
      </c>
      <c r="E469" s="4" t="s">
        <v>71</v>
      </c>
      <c r="F469" s="4" t="s">
        <v>1876</v>
      </c>
      <c r="G469" s="4" t="s">
        <v>1871</v>
      </c>
      <c r="H469" s="4" t="s">
        <v>1872</v>
      </c>
      <c r="I469" s="4" t="s">
        <v>1873</v>
      </c>
      <c r="J469" s="4" t="s">
        <v>71</v>
      </c>
      <c r="K469" s="4">
        <v>8080704119</v>
      </c>
      <c r="L469" s="4" t="s">
        <v>1869</v>
      </c>
      <c r="M469" s="4">
        <v>8080704119</v>
      </c>
      <c r="N469" s="4" t="s">
        <v>2953</v>
      </c>
      <c r="O469" s="4" t="s">
        <v>71</v>
      </c>
      <c r="P469" s="4" t="s">
        <v>71</v>
      </c>
      <c r="Q469" s="4" t="s">
        <v>47</v>
      </c>
      <c r="R469" s="172"/>
      <c r="S469" s="172"/>
      <c r="T469" s="172"/>
      <c r="U469" s="172"/>
      <c r="V469" s="172"/>
      <c r="W469" s="172"/>
      <c r="X469" s="172"/>
      <c r="Y469" s="172"/>
      <c r="Z469" s="172"/>
    </row>
    <row r="470" spans="1:26" ht="13.8">
      <c r="A470" s="166">
        <v>171</v>
      </c>
      <c r="B470" s="4" t="s">
        <v>1877</v>
      </c>
      <c r="C470" s="4">
        <v>1137</v>
      </c>
      <c r="D470" s="4" t="s">
        <v>3353</v>
      </c>
      <c r="E470" s="4" t="s">
        <v>71</v>
      </c>
      <c r="F470" s="4" t="s">
        <v>1885</v>
      </c>
      <c r="G470" s="4" t="s">
        <v>1880</v>
      </c>
      <c r="H470" s="4" t="s">
        <v>1881</v>
      </c>
      <c r="I470" s="4" t="s">
        <v>1882</v>
      </c>
      <c r="J470" s="4" t="s">
        <v>71</v>
      </c>
      <c r="K470" s="4">
        <v>7777029097</v>
      </c>
      <c r="L470" s="4" t="s">
        <v>1878</v>
      </c>
      <c r="M470" s="4">
        <v>7777029097</v>
      </c>
      <c r="N470" s="4" t="s">
        <v>2953</v>
      </c>
      <c r="O470" s="4" t="s">
        <v>71</v>
      </c>
      <c r="P470" s="4" t="s">
        <v>71</v>
      </c>
      <c r="Q470" s="4" t="s">
        <v>47</v>
      </c>
      <c r="R470" s="172"/>
      <c r="S470" s="172"/>
      <c r="T470" s="172"/>
      <c r="U470" s="172"/>
      <c r="V470" s="172"/>
      <c r="W470" s="172"/>
      <c r="X470" s="172"/>
      <c r="Y470" s="172"/>
      <c r="Z470" s="172"/>
    </row>
    <row r="471" spans="1:26" ht="13.8">
      <c r="A471" s="166">
        <v>172</v>
      </c>
      <c r="B471" s="4" t="s">
        <v>1886</v>
      </c>
      <c r="C471" s="4">
        <v>1138</v>
      </c>
      <c r="D471" s="4" t="s">
        <v>3354</v>
      </c>
      <c r="E471" s="4" t="s">
        <v>71</v>
      </c>
      <c r="F471" s="4" t="s">
        <v>1892</v>
      </c>
      <c r="G471" s="4" t="s">
        <v>1889</v>
      </c>
      <c r="H471" s="4" t="s">
        <v>1890</v>
      </c>
      <c r="I471" s="4" t="s">
        <v>116</v>
      </c>
      <c r="J471" s="4" t="s">
        <v>71</v>
      </c>
      <c r="K471" s="4">
        <v>9820947010</v>
      </c>
      <c r="L471" s="4" t="s">
        <v>1887</v>
      </c>
      <c r="M471" s="4">
        <v>9820947010</v>
      </c>
      <c r="N471" s="4" t="s">
        <v>2953</v>
      </c>
      <c r="O471" s="4" t="s">
        <v>71</v>
      </c>
      <c r="P471" s="4" t="s">
        <v>71</v>
      </c>
      <c r="Q471" s="4" t="s">
        <v>47</v>
      </c>
      <c r="R471" s="172"/>
      <c r="S471" s="172"/>
      <c r="T471" s="172"/>
      <c r="U471" s="172"/>
      <c r="V471" s="172"/>
      <c r="W471" s="172"/>
      <c r="X471" s="172"/>
      <c r="Y471" s="172"/>
      <c r="Z471" s="172"/>
    </row>
    <row r="472" spans="1:26" ht="13.8">
      <c r="A472" s="166">
        <v>173</v>
      </c>
      <c r="B472" s="4" t="s">
        <v>1894</v>
      </c>
      <c r="C472" s="4">
        <v>1139</v>
      </c>
      <c r="D472" s="4" t="s">
        <v>3355</v>
      </c>
      <c r="E472" s="4" t="s">
        <v>71</v>
      </c>
      <c r="F472" s="4" t="s">
        <v>1900</v>
      </c>
      <c r="G472" s="4" t="s">
        <v>1897</v>
      </c>
      <c r="H472" s="4" t="s">
        <v>1898</v>
      </c>
      <c r="I472" s="4" t="s">
        <v>1742</v>
      </c>
      <c r="J472" s="4" t="s">
        <v>1899</v>
      </c>
      <c r="K472" s="4">
        <v>9903635366</v>
      </c>
      <c r="L472" s="4" t="s">
        <v>3356</v>
      </c>
      <c r="M472" s="4">
        <v>9903635366</v>
      </c>
      <c r="N472" s="4" t="s">
        <v>3346</v>
      </c>
      <c r="O472" s="4" t="s">
        <v>71</v>
      </c>
      <c r="P472" s="4" t="s">
        <v>71</v>
      </c>
      <c r="Q472" s="4" t="s">
        <v>47</v>
      </c>
      <c r="R472" s="172"/>
      <c r="S472" s="172"/>
      <c r="T472" s="172"/>
      <c r="U472" s="172"/>
      <c r="V472" s="172"/>
      <c r="W472" s="172"/>
      <c r="X472" s="172"/>
      <c r="Y472" s="172"/>
      <c r="Z472" s="172"/>
    </row>
    <row r="473" spans="1:26" ht="13.8">
      <c r="A473" s="166">
        <v>174</v>
      </c>
      <c r="B473" s="4" t="s">
        <v>1902</v>
      </c>
      <c r="C473" s="4">
        <v>1160</v>
      </c>
      <c r="D473" s="4" t="s">
        <v>3357</v>
      </c>
      <c r="E473" s="4" t="s">
        <v>71</v>
      </c>
      <c r="F473" s="4" t="s">
        <v>1912</v>
      </c>
      <c r="G473" s="4" t="s">
        <v>1905</v>
      </c>
      <c r="H473" s="4" t="s">
        <v>1906</v>
      </c>
      <c r="I473" s="4" t="s">
        <v>545</v>
      </c>
      <c r="J473" s="4" t="s">
        <v>1907</v>
      </c>
      <c r="K473" s="4">
        <v>7977963942</v>
      </c>
      <c r="L473" s="4" t="s">
        <v>1903</v>
      </c>
      <c r="M473" s="4">
        <v>7977963942</v>
      </c>
      <c r="N473" s="4" t="s">
        <v>1908</v>
      </c>
      <c r="O473" s="4" t="s">
        <v>71</v>
      </c>
      <c r="P473" s="4" t="s">
        <v>71</v>
      </c>
      <c r="Q473" s="4" t="s">
        <v>47</v>
      </c>
      <c r="R473" s="172"/>
      <c r="S473" s="172"/>
      <c r="T473" s="172"/>
      <c r="U473" s="172"/>
      <c r="V473" s="172"/>
      <c r="W473" s="172"/>
      <c r="X473" s="172"/>
      <c r="Y473" s="172"/>
      <c r="Z473" s="172"/>
    </row>
    <row r="474" spans="1:26" ht="13.8">
      <c r="A474" s="166">
        <v>175</v>
      </c>
      <c r="B474" s="4" t="s">
        <v>1913</v>
      </c>
      <c r="C474" s="4">
        <v>1165</v>
      </c>
      <c r="D474" s="4" t="s">
        <v>3358</v>
      </c>
      <c r="E474" s="4" t="s">
        <v>71</v>
      </c>
      <c r="F474" s="4" t="s">
        <v>1920</v>
      </c>
      <c r="G474" s="4" t="s">
        <v>1916</v>
      </c>
      <c r="H474" s="4" t="s">
        <v>1916</v>
      </c>
      <c r="I474" s="4" t="s">
        <v>3359</v>
      </c>
      <c r="J474" s="4" t="s">
        <v>71</v>
      </c>
      <c r="K474" s="4">
        <v>9699393949</v>
      </c>
      <c r="L474" s="4" t="s">
        <v>1914</v>
      </c>
      <c r="M474" s="4">
        <v>9699393949</v>
      </c>
      <c r="N474" s="4" t="s">
        <v>3360</v>
      </c>
      <c r="O474" s="4" t="s">
        <v>71</v>
      </c>
      <c r="P474" s="4" t="s">
        <v>71</v>
      </c>
      <c r="Q474" s="4" t="s">
        <v>47</v>
      </c>
      <c r="R474" s="172"/>
      <c r="S474" s="172"/>
      <c r="T474" s="172"/>
      <c r="U474" s="172"/>
      <c r="V474" s="172"/>
      <c r="W474" s="172"/>
      <c r="X474" s="172"/>
      <c r="Y474" s="172"/>
      <c r="Z474" s="172"/>
    </row>
    <row r="475" spans="1:26" ht="13.8">
      <c r="A475" s="166">
        <v>176</v>
      </c>
      <c r="B475" s="4" t="s">
        <v>1921</v>
      </c>
      <c r="C475" s="4">
        <v>1166</v>
      </c>
      <c r="D475" s="4" t="s">
        <v>3361</v>
      </c>
      <c r="E475" s="4" t="s">
        <v>1929</v>
      </c>
      <c r="F475" s="4" t="s">
        <v>1930</v>
      </c>
      <c r="G475" s="4" t="s">
        <v>3362</v>
      </c>
      <c r="H475" s="4" t="s">
        <v>3363</v>
      </c>
      <c r="I475" s="4" t="s">
        <v>3364</v>
      </c>
      <c r="J475" s="4" t="s">
        <v>3365</v>
      </c>
      <c r="K475" s="4">
        <v>8286810610</v>
      </c>
      <c r="L475" s="4" t="s">
        <v>1922</v>
      </c>
      <c r="M475" s="4">
        <v>8286810610</v>
      </c>
      <c r="N475" s="4" t="s">
        <v>2953</v>
      </c>
      <c r="O475" s="4" t="s">
        <v>71</v>
      </c>
      <c r="P475" s="168" t="s">
        <v>1927</v>
      </c>
      <c r="Q475" s="4" t="s">
        <v>47</v>
      </c>
      <c r="R475" s="172"/>
      <c r="S475" s="172"/>
      <c r="T475" s="172"/>
      <c r="U475" s="172"/>
      <c r="V475" s="172"/>
      <c r="W475" s="172"/>
      <c r="X475" s="172"/>
      <c r="Y475" s="172"/>
      <c r="Z475" s="172"/>
    </row>
    <row r="476" spans="1:26" ht="13.8">
      <c r="A476" s="166">
        <v>328</v>
      </c>
      <c r="B476" s="4" t="s">
        <v>3842</v>
      </c>
      <c r="C476" s="4">
        <v>1167</v>
      </c>
      <c r="D476" s="4" t="s">
        <v>3843</v>
      </c>
      <c r="E476" s="4" t="s">
        <v>71</v>
      </c>
      <c r="F476" s="4" t="s">
        <v>3547</v>
      </c>
      <c r="G476" s="4" t="s">
        <v>3844</v>
      </c>
      <c r="H476" s="4" t="s">
        <v>3845</v>
      </c>
      <c r="I476" s="4" t="s">
        <v>507</v>
      </c>
      <c r="J476" s="4" t="s">
        <v>71</v>
      </c>
      <c r="K476" s="4">
        <v>9534114404</v>
      </c>
      <c r="L476" s="4" t="s">
        <v>2780</v>
      </c>
      <c r="M476" s="4">
        <v>9534114404</v>
      </c>
      <c r="N476" s="4" t="s">
        <v>3301</v>
      </c>
      <c r="O476" s="4" t="s">
        <v>71</v>
      </c>
      <c r="P476" s="168" t="s">
        <v>2786</v>
      </c>
      <c r="Q476" s="4" t="s">
        <v>47</v>
      </c>
      <c r="R476" s="172"/>
      <c r="S476" s="172"/>
      <c r="T476" s="172"/>
      <c r="U476" s="172"/>
      <c r="V476" s="172"/>
      <c r="W476" s="172"/>
      <c r="X476" s="172"/>
      <c r="Y476" s="172"/>
      <c r="Z476" s="172"/>
    </row>
    <row r="477" spans="1:26" ht="13.8">
      <c r="A477" s="166">
        <v>177</v>
      </c>
      <c r="B477" s="4" t="s">
        <v>1946</v>
      </c>
      <c r="C477" s="4">
        <v>1170</v>
      </c>
      <c r="D477" s="4" t="s">
        <v>3366</v>
      </c>
      <c r="E477" s="4" t="s">
        <v>71</v>
      </c>
      <c r="F477" s="4" t="s">
        <v>71</v>
      </c>
      <c r="G477" s="4" t="s">
        <v>1949</v>
      </c>
      <c r="H477" s="4" t="s">
        <v>1949</v>
      </c>
      <c r="I477" s="4" t="s">
        <v>1950</v>
      </c>
      <c r="J477" s="4" t="s">
        <v>71</v>
      </c>
      <c r="K477" s="4">
        <v>9167547808</v>
      </c>
      <c r="L477" s="4" t="s">
        <v>1947</v>
      </c>
      <c r="M477" s="4">
        <v>9167547808</v>
      </c>
      <c r="N477" s="4" t="s">
        <v>2953</v>
      </c>
      <c r="O477" s="4" t="s">
        <v>71</v>
      </c>
      <c r="P477" s="4" t="s">
        <v>71</v>
      </c>
      <c r="Q477" s="4" t="s">
        <v>47</v>
      </c>
      <c r="R477" s="172"/>
      <c r="S477" s="172"/>
      <c r="T477" s="172"/>
      <c r="U477" s="172"/>
      <c r="V477" s="172"/>
      <c r="W477" s="172"/>
      <c r="X477" s="172"/>
      <c r="Y477" s="172"/>
      <c r="Z477" s="172"/>
    </row>
    <row r="478" spans="1:26" ht="13.8">
      <c r="A478" s="166">
        <v>178</v>
      </c>
      <c r="B478" s="4" t="s">
        <v>1951</v>
      </c>
      <c r="C478" s="4">
        <v>1171</v>
      </c>
      <c r="D478" s="4" t="s">
        <v>3367</v>
      </c>
      <c r="E478" s="4" t="s">
        <v>71</v>
      </c>
      <c r="F478" s="4" t="s">
        <v>1958</v>
      </c>
      <c r="G478" s="4" t="s">
        <v>1954</v>
      </c>
      <c r="H478" s="4" t="s">
        <v>1955</v>
      </c>
      <c r="I478" s="4" t="s">
        <v>42</v>
      </c>
      <c r="J478" s="4" t="s">
        <v>1956</v>
      </c>
      <c r="K478" s="4">
        <v>9967119121</v>
      </c>
      <c r="L478" s="4" t="s">
        <v>1952</v>
      </c>
      <c r="M478" s="4">
        <v>9967119121</v>
      </c>
      <c r="N478" s="4" t="s">
        <v>2953</v>
      </c>
      <c r="O478" s="4" t="s">
        <v>71</v>
      </c>
      <c r="P478" s="4" t="s">
        <v>71</v>
      </c>
      <c r="Q478" s="4" t="s">
        <v>47</v>
      </c>
      <c r="R478" s="172"/>
      <c r="S478" s="172"/>
      <c r="T478" s="172"/>
      <c r="U478" s="172"/>
      <c r="V478" s="172"/>
      <c r="W478" s="172"/>
      <c r="X478" s="172"/>
      <c r="Y478" s="172"/>
      <c r="Z478" s="172"/>
    </row>
    <row r="479" spans="1:26" ht="13.8">
      <c r="A479" s="166">
        <v>179</v>
      </c>
      <c r="B479" s="4" t="s">
        <v>1973</v>
      </c>
      <c r="C479" s="4">
        <v>1173</v>
      </c>
      <c r="D479" s="4" t="s">
        <v>3368</v>
      </c>
      <c r="E479" s="4" t="s">
        <v>71</v>
      </c>
      <c r="F479" s="4" t="s">
        <v>1979</v>
      </c>
      <c r="G479" s="4" t="s">
        <v>1976</v>
      </c>
      <c r="H479" s="4" t="s">
        <v>1977</v>
      </c>
      <c r="I479" s="4" t="s">
        <v>42</v>
      </c>
      <c r="J479" s="4" t="s">
        <v>71</v>
      </c>
      <c r="K479" s="4">
        <v>9831788868</v>
      </c>
      <c r="L479" s="4" t="s">
        <v>1974</v>
      </c>
      <c r="M479" s="4">
        <v>9831788868</v>
      </c>
      <c r="N479" s="4" t="s">
        <v>3369</v>
      </c>
      <c r="O479" s="4" t="s">
        <v>71</v>
      </c>
      <c r="P479" s="4" t="s">
        <v>71</v>
      </c>
      <c r="Q479" s="4" t="s">
        <v>47</v>
      </c>
      <c r="R479" s="172"/>
      <c r="S479" s="172"/>
      <c r="T479" s="172"/>
      <c r="U479" s="172"/>
      <c r="V479" s="172"/>
      <c r="W479" s="172"/>
      <c r="X479" s="172"/>
      <c r="Y479" s="172"/>
      <c r="Z479" s="172"/>
    </row>
    <row r="480" spans="1:26" ht="13.8">
      <c r="A480" s="166">
        <v>180</v>
      </c>
      <c r="B480" s="4" t="s">
        <v>1981</v>
      </c>
      <c r="C480" s="4">
        <v>1174</v>
      </c>
      <c r="D480" s="4" t="s">
        <v>3370</v>
      </c>
      <c r="E480" s="4" t="s">
        <v>71</v>
      </c>
      <c r="F480" s="4" t="s">
        <v>1986</v>
      </c>
      <c r="G480" s="4" t="s">
        <v>1976</v>
      </c>
      <c r="H480" s="4" t="s">
        <v>1984</v>
      </c>
      <c r="I480" s="4" t="s">
        <v>1985</v>
      </c>
      <c r="J480" s="4" t="s">
        <v>71</v>
      </c>
      <c r="K480" s="4">
        <v>8697046543</v>
      </c>
      <c r="L480" s="4" t="s">
        <v>1982</v>
      </c>
      <c r="M480" s="4">
        <v>8697046543</v>
      </c>
      <c r="N480" s="4" t="s">
        <v>2953</v>
      </c>
      <c r="O480" s="4" t="s">
        <v>71</v>
      </c>
      <c r="P480" s="4" t="s">
        <v>71</v>
      </c>
      <c r="Q480" s="4" t="s">
        <v>47</v>
      </c>
      <c r="R480" s="172"/>
      <c r="S480" s="172"/>
      <c r="T480" s="172"/>
      <c r="U480" s="172"/>
      <c r="V480" s="172"/>
      <c r="W480" s="172"/>
      <c r="X480" s="172"/>
      <c r="Y480" s="172"/>
      <c r="Z480" s="172"/>
    </row>
    <row r="481" spans="1:26" ht="13.8">
      <c r="A481" s="166">
        <v>181</v>
      </c>
      <c r="B481" s="4" t="s">
        <v>1988</v>
      </c>
      <c r="C481" s="4">
        <v>1175</v>
      </c>
      <c r="D481" s="4" t="s">
        <v>3371</v>
      </c>
      <c r="E481" s="4" t="s">
        <v>71</v>
      </c>
      <c r="F481" s="4" t="s">
        <v>1998</v>
      </c>
      <c r="G481" s="4" t="s">
        <v>1991</v>
      </c>
      <c r="H481" s="4" t="s">
        <v>1992</v>
      </c>
      <c r="I481" s="4" t="s">
        <v>507</v>
      </c>
      <c r="J481" s="4" t="s">
        <v>1993</v>
      </c>
      <c r="K481" s="4">
        <v>9921947820</v>
      </c>
      <c r="L481" s="4" t="s">
        <v>1989</v>
      </c>
      <c r="M481" s="4">
        <v>9921947820</v>
      </c>
      <c r="N481" s="4" t="s">
        <v>3372</v>
      </c>
      <c r="O481" s="4" t="s">
        <v>71</v>
      </c>
      <c r="P481" s="4" t="s">
        <v>71</v>
      </c>
      <c r="Q481" s="4" t="s">
        <v>47</v>
      </c>
      <c r="R481" s="172"/>
      <c r="S481" s="172"/>
      <c r="T481" s="172"/>
      <c r="U481" s="172"/>
      <c r="V481" s="172"/>
      <c r="W481" s="172"/>
      <c r="X481" s="172"/>
      <c r="Y481" s="172"/>
      <c r="Z481" s="172"/>
    </row>
    <row r="482" spans="1:26" ht="13.8">
      <c r="A482" s="166">
        <v>182</v>
      </c>
      <c r="B482" s="4" t="s">
        <v>1999</v>
      </c>
      <c r="C482" s="4">
        <v>1176</v>
      </c>
      <c r="D482" s="4" t="s">
        <v>3373</v>
      </c>
      <c r="E482" s="4" t="s">
        <v>71</v>
      </c>
      <c r="F482" s="4" t="s">
        <v>2004</v>
      </c>
      <c r="G482" s="4" t="s">
        <v>2001</v>
      </c>
      <c r="H482" s="4" t="s">
        <v>2001</v>
      </c>
      <c r="I482" s="4" t="s">
        <v>71</v>
      </c>
      <c r="J482" s="4" t="s">
        <v>71</v>
      </c>
      <c r="K482" s="4">
        <v>8446053121</v>
      </c>
      <c r="L482" s="4" t="s">
        <v>3374</v>
      </c>
      <c r="M482" s="4">
        <v>8446053121</v>
      </c>
      <c r="N482" s="4" t="s">
        <v>3375</v>
      </c>
      <c r="O482" s="4" t="s">
        <v>71</v>
      </c>
      <c r="P482" s="4" t="s">
        <v>71</v>
      </c>
      <c r="Q482" s="4" t="s">
        <v>47</v>
      </c>
      <c r="R482" s="172"/>
      <c r="S482" s="172"/>
      <c r="T482" s="172"/>
      <c r="U482" s="172"/>
      <c r="V482" s="172"/>
      <c r="W482" s="172"/>
      <c r="X482" s="172"/>
      <c r="Y482" s="172"/>
      <c r="Z482" s="172"/>
    </row>
    <row r="483" spans="1:26" ht="13.8">
      <c r="A483" s="166">
        <v>183</v>
      </c>
      <c r="B483" s="4" t="s">
        <v>2005</v>
      </c>
      <c r="C483" s="4">
        <v>1177</v>
      </c>
      <c r="D483" s="4" t="s">
        <v>3376</v>
      </c>
      <c r="E483" s="4" t="s">
        <v>2013</v>
      </c>
      <c r="F483" s="4" t="s">
        <v>2014</v>
      </c>
      <c r="G483" s="4" t="s">
        <v>3377</v>
      </c>
      <c r="H483" s="4" t="s">
        <v>2008</v>
      </c>
      <c r="I483" s="4" t="s">
        <v>2009</v>
      </c>
      <c r="J483" s="4" t="s">
        <v>71</v>
      </c>
      <c r="K483" s="4">
        <v>9987655062</v>
      </c>
      <c r="L483" s="4" t="s">
        <v>3378</v>
      </c>
      <c r="M483" s="4">
        <v>9987655062</v>
      </c>
      <c r="N483" s="4" t="s">
        <v>2953</v>
      </c>
      <c r="O483" s="4" t="s">
        <v>71</v>
      </c>
      <c r="P483" s="4" t="s">
        <v>71</v>
      </c>
      <c r="Q483" s="4" t="s">
        <v>47</v>
      </c>
      <c r="R483" s="172"/>
      <c r="S483" s="172"/>
      <c r="T483" s="172"/>
      <c r="U483" s="172"/>
      <c r="V483" s="172"/>
      <c r="W483" s="172"/>
      <c r="X483" s="172"/>
      <c r="Y483" s="172"/>
      <c r="Z483" s="172"/>
    </row>
    <row r="484" spans="1:26" ht="13.8">
      <c r="A484" s="166">
        <v>184</v>
      </c>
      <c r="B484" s="4" t="s">
        <v>2015</v>
      </c>
      <c r="C484" s="4">
        <v>1180</v>
      </c>
      <c r="D484" s="4" t="s">
        <v>3379</v>
      </c>
      <c r="E484" s="4" t="s">
        <v>71</v>
      </c>
      <c r="F484" s="4" t="s">
        <v>2024</v>
      </c>
      <c r="G484" s="4" t="s">
        <v>2018</v>
      </c>
      <c r="H484" s="4" t="s">
        <v>2019</v>
      </c>
      <c r="I484" s="4" t="s">
        <v>191</v>
      </c>
      <c r="J484" s="4" t="s">
        <v>2020</v>
      </c>
      <c r="K484" s="4">
        <v>8080877002</v>
      </c>
      <c r="L484" s="4" t="s">
        <v>3380</v>
      </c>
      <c r="M484" s="4">
        <v>8080877002</v>
      </c>
      <c r="N484" s="4" t="s">
        <v>2953</v>
      </c>
      <c r="O484" s="4" t="s">
        <v>71</v>
      </c>
      <c r="P484" s="168" t="s">
        <v>2021</v>
      </c>
      <c r="Q484" s="4" t="s">
        <v>47</v>
      </c>
      <c r="R484" s="172"/>
      <c r="S484" s="172"/>
      <c r="T484" s="172"/>
      <c r="U484" s="172"/>
      <c r="V484" s="172"/>
      <c r="W484" s="172"/>
      <c r="X484" s="172"/>
      <c r="Y484" s="172"/>
      <c r="Z484" s="172"/>
    </row>
    <row r="485" spans="1:26" ht="13.8">
      <c r="A485" s="166">
        <v>185</v>
      </c>
      <c r="B485" s="4" t="s">
        <v>2030</v>
      </c>
      <c r="C485" s="4">
        <v>1181</v>
      </c>
      <c r="D485" s="4" t="s">
        <v>3381</v>
      </c>
      <c r="E485" s="4" t="s">
        <v>71</v>
      </c>
      <c r="F485" s="4" t="s">
        <v>71</v>
      </c>
      <c r="G485" s="4" t="s">
        <v>2033</v>
      </c>
      <c r="H485" s="4" t="s">
        <v>2034</v>
      </c>
      <c r="I485" s="4" t="s">
        <v>2035</v>
      </c>
      <c r="J485" s="4" t="s">
        <v>2036</v>
      </c>
      <c r="K485" s="4">
        <v>7050657559</v>
      </c>
      <c r="L485" s="4" t="s">
        <v>2031</v>
      </c>
      <c r="M485" s="4">
        <v>7050657559</v>
      </c>
      <c r="N485" s="4" t="s">
        <v>2953</v>
      </c>
      <c r="O485" s="4" t="s">
        <v>71</v>
      </c>
      <c r="P485" s="4" t="s">
        <v>71</v>
      </c>
      <c r="Q485" s="4" t="s">
        <v>47</v>
      </c>
      <c r="R485" s="172"/>
      <c r="S485" s="172"/>
      <c r="T485" s="172"/>
      <c r="U485" s="172"/>
      <c r="V485" s="172"/>
      <c r="W485" s="172"/>
      <c r="X485" s="172"/>
      <c r="Y485" s="172"/>
      <c r="Z485" s="172"/>
    </row>
    <row r="486" spans="1:26" ht="13.8">
      <c r="A486" s="166">
        <v>186</v>
      </c>
      <c r="B486" s="4" t="s">
        <v>2039</v>
      </c>
      <c r="C486" s="4">
        <v>1182</v>
      </c>
      <c r="D486" s="4" t="s">
        <v>3382</v>
      </c>
      <c r="E486" s="4" t="s">
        <v>71</v>
      </c>
      <c r="F486" s="4" t="s">
        <v>71</v>
      </c>
      <c r="G486" s="4" t="s">
        <v>2042</v>
      </c>
      <c r="H486" s="4" t="s">
        <v>2043</v>
      </c>
      <c r="I486" s="4" t="s">
        <v>2044</v>
      </c>
      <c r="J486" s="4" t="s">
        <v>2045</v>
      </c>
      <c r="K486" s="4">
        <v>7987590946</v>
      </c>
      <c r="L486" s="4" t="s">
        <v>3383</v>
      </c>
      <c r="M486" s="4">
        <v>7987590946</v>
      </c>
      <c r="N486" s="4" t="s">
        <v>2953</v>
      </c>
      <c r="O486" s="4" t="s">
        <v>71</v>
      </c>
      <c r="P486" s="4" t="s">
        <v>71</v>
      </c>
      <c r="Q486" s="4" t="s">
        <v>47</v>
      </c>
      <c r="R486" s="172"/>
      <c r="S486" s="172"/>
      <c r="T486" s="172"/>
      <c r="U486" s="172"/>
      <c r="V486" s="172"/>
      <c r="W486" s="172"/>
      <c r="X486" s="172"/>
      <c r="Y486" s="172"/>
      <c r="Z486" s="172"/>
    </row>
    <row r="487" spans="1:26" ht="13.8">
      <c r="A487" s="166">
        <v>187</v>
      </c>
      <c r="B487" s="4" t="s">
        <v>2047</v>
      </c>
      <c r="C487" s="4">
        <v>1184</v>
      </c>
      <c r="D487" s="4" t="s">
        <v>3384</v>
      </c>
      <c r="E487" s="4" t="s">
        <v>71</v>
      </c>
      <c r="F487" s="4" t="s">
        <v>2056</v>
      </c>
      <c r="G487" s="4" t="s">
        <v>2050</v>
      </c>
      <c r="H487" s="4" t="s">
        <v>2051</v>
      </c>
      <c r="I487" s="4" t="s">
        <v>42</v>
      </c>
      <c r="J487" s="4" t="s">
        <v>2052</v>
      </c>
      <c r="K487" s="4">
        <v>9821050365</v>
      </c>
      <c r="L487" s="4" t="s">
        <v>3385</v>
      </c>
      <c r="M487" s="4">
        <v>9821050365</v>
      </c>
      <c r="N487" s="4" t="s">
        <v>2953</v>
      </c>
      <c r="O487" s="4" t="s">
        <v>71</v>
      </c>
      <c r="P487" s="168" t="s">
        <v>2053</v>
      </c>
      <c r="Q487" s="4" t="s">
        <v>47</v>
      </c>
      <c r="R487" s="172"/>
      <c r="S487" s="172"/>
      <c r="T487" s="172"/>
      <c r="U487" s="172"/>
      <c r="V487" s="172"/>
      <c r="W487" s="172"/>
      <c r="X487" s="172"/>
      <c r="Y487" s="172"/>
      <c r="Z487" s="172"/>
    </row>
    <row r="488" spans="1:26" ht="13.8">
      <c r="A488" s="166">
        <v>188</v>
      </c>
      <c r="B488" s="4" t="s">
        <v>2057</v>
      </c>
      <c r="C488" s="4">
        <v>1185</v>
      </c>
      <c r="D488" s="4" t="s">
        <v>3386</v>
      </c>
      <c r="E488" s="4" t="s">
        <v>71</v>
      </c>
      <c r="F488" s="4" t="s">
        <v>71</v>
      </c>
      <c r="G488" s="4" t="s">
        <v>2060</v>
      </c>
      <c r="H488" s="4" t="s">
        <v>2061</v>
      </c>
      <c r="I488" s="4" t="s">
        <v>116</v>
      </c>
      <c r="J488" s="4" t="s">
        <v>71</v>
      </c>
      <c r="K488" s="4">
        <v>7045111355</v>
      </c>
      <c r="L488" s="4" t="s">
        <v>3387</v>
      </c>
      <c r="M488" s="4">
        <v>7045111355</v>
      </c>
      <c r="N488" s="4" t="s">
        <v>2953</v>
      </c>
      <c r="O488" s="4" t="s">
        <v>71</v>
      </c>
      <c r="P488" s="4" t="s">
        <v>71</v>
      </c>
      <c r="Q488" s="4" t="s">
        <v>47</v>
      </c>
      <c r="R488" s="172"/>
      <c r="S488" s="172"/>
      <c r="T488" s="172"/>
      <c r="U488" s="172"/>
      <c r="V488" s="172"/>
      <c r="W488" s="172"/>
      <c r="X488" s="172"/>
      <c r="Y488" s="172"/>
      <c r="Z488" s="172"/>
    </row>
    <row r="489" spans="1:26" ht="13.8">
      <c r="A489" s="166">
        <v>189</v>
      </c>
      <c r="B489" s="4" t="s">
        <v>2063</v>
      </c>
      <c r="C489" s="4">
        <v>1186</v>
      </c>
      <c r="D489" s="4" t="s">
        <v>3388</v>
      </c>
      <c r="E489" s="4" t="s">
        <v>71</v>
      </c>
      <c r="F489" s="4" t="s">
        <v>71</v>
      </c>
      <c r="G489" s="4" t="s">
        <v>2066</v>
      </c>
      <c r="H489" s="4" t="s">
        <v>2067</v>
      </c>
      <c r="I489" s="4" t="s">
        <v>2068</v>
      </c>
      <c r="J489" s="4" t="s">
        <v>71</v>
      </c>
      <c r="K489" s="4">
        <v>9664086422</v>
      </c>
      <c r="L489" s="4" t="s">
        <v>3389</v>
      </c>
      <c r="M489" s="4">
        <v>9664086422</v>
      </c>
      <c r="N489" s="4" t="s">
        <v>2953</v>
      </c>
      <c r="O489" s="4" t="s">
        <v>71</v>
      </c>
      <c r="P489" s="4" t="s">
        <v>71</v>
      </c>
      <c r="Q489" s="4" t="s">
        <v>47</v>
      </c>
      <c r="R489" s="172"/>
      <c r="S489" s="172"/>
      <c r="T489" s="172"/>
      <c r="U489" s="172"/>
      <c r="V489" s="172"/>
      <c r="W489" s="172"/>
      <c r="X489" s="172"/>
      <c r="Y489" s="172"/>
      <c r="Z489" s="172"/>
    </row>
    <row r="490" spans="1:26" ht="13.8">
      <c r="A490" s="166">
        <v>190</v>
      </c>
      <c r="B490" s="4" t="s">
        <v>2069</v>
      </c>
      <c r="C490" s="4">
        <v>1187</v>
      </c>
      <c r="D490" s="4" t="s">
        <v>3390</v>
      </c>
      <c r="E490" s="4" t="s">
        <v>71</v>
      </c>
      <c r="F490" s="4" t="s">
        <v>71</v>
      </c>
      <c r="G490" s="4" t="s">
        <v>2072</v>
      </c>
      <c r="H490" s="4" t="s">
        <v>2071</v>
      </c>
      <c r="I490" s="4" t="s">
        <v>3391</v>
      </c>
      <c r="J490" s="4" t="s">
        <v>2073</v>
      </c>
      <c r="K490" s="4">
        <v>7219460020</v>
      </c>
      <c r="L490" s="4" t="s">
        <v>3392</v>
      </c>
      <c r="M490" s="4">
        <v>7219460020</v>
      </c>
      <c r="N490" s="4" t="s">
        <v>71</v>
      </c>
      <c r="O490" s="4" t="s">
        <v>71</v>
      </c>
      <c r="P490" s="168" t="s">
        <v>2074</v>
      </c>
      <c r="Q490" s="4" t="s">
        <v>47</v>
      </c>
      <c r="R490" s="172"/>
      <c r="S490" s="172"/>
      <c r="T490" s="172"/>
      <c r="U490" s="172"/>
      <c r="V490" s="172"/>
      <c r="W490" s="172"/>
      <c r="X490" s="172"/>
      <c r="Y490" s="172"/>
      <c r="Z490" s="172"/>
    </row>
    <row r="491" spans="1:26" ht="13.8">
      <c r="A491" s="166">
        <v>191</v>
      </c>
      <c r="B491" s="4" t="s">
        <v>2077</v>
      </c>
      <c r="C491" s="4">
        <v>1188</v>
      </c>
      <c r="D491" s="4" t="s">
        <v>3393</v>
      </c>
      <c r="E491" s="4" t="s">
        <v>71</v>
      </c>
      <c r="F491" s="4" t="s">
        <v>71</v>
      </c>
      <c r="G491" s="4" t="s">
        <v>2080</v>
      </c>
      <c r="H491" s="4" t="s">
        <v>2080</v>
      </c>
      <c r="I491" s="4" t="s">
        <v>2081</v>
      </c>
      <c r="J491" s="4" t="s">
        <v>71</v>
      </c>
      <c r="K491" s="4">
        <v>7715068245</v>
      </c>
      <c r="L491" s="4" t="s">
        <v>3394</v>
      </c>
      <c r="M491" s="4">
        <v>7715068245</v>
      </c>
      <c r="N491" s="4" t="s">
        <v>3395</v>
      </c>
      <c r="O491" s="4" t="s">
        <v>71</v>
      </c>
      <c r="P491" s="4" t="s">
        <v>71</v>
      </c>
      <c r="Q491" s="4" t="s">
        <v>47</v>
      </c>
      <c r="R491" s="172"/>
      <c r="S491" s="172"/>
      <c r="T491" s="172"/>
      <c r="U491" s="172"/>
      <c r="V491" s="172"/>
      <c r="W491" s="172"/>
      <c r="X491" s="172"/>
      <c r="Y491" s="172"/>
      <c r="Z491" s="172"/>
    </row>
    <row r="492" spans="1:26" ht="13.8">
      <c r="A492" s="166">
        <v>192</v>
      </c>
      <c r="B492" s="4" t="s">
        <v>2084</v>
      </c>
      <c r="C492" s="4">
        <v>1189</v>
      </c>
      <c r="D492" s="4" t="s">
        <v>3396</v>
      </c>
      <c r="E492" s="4" t="s">
        <v>71</v>
      </c>
      <c r="F492" s="4" t="s">
        <v>2094</v>
      </c>
      <c r="G492" s="4" t="s">
        <v>2087</v>
      </c>
      <c r="H492" s="4" t="s">
        <v>2088</v>
      </c>
      <c r="I492" s="4" t="s">
        <v>2089</v>
      </c>
      <c r="J492" s="4" t="s">
        <v>2090</v>
      </c>
      <c r="K492" s="4">
        <v>777394435</v>
      </c>
      <c r="L492" s="4" t="s">
        <v>3397</v>
      </c>
      <c r="M492" s="4">
        <v>777394435</v>
      </c>
      <c r="N492" s="4" t="s">
        <v>3398</v>
      </c>
      <c r="O492" s="4" t="s">
        <v>71</v>
      </c>
      <c r="P492" s="4" t="s">
        <v>71</v>
      </c>
      <c r="Q492" s="4" t="s">
        <v>47</v>
      </c>
      <c r="R492" s="172"/>
      <c r="S492" s="172"/>
      <c r="T492" s="172"/>
      <c r="U492" s="172"/>
      <c r="V492" s="172"/>
      <c r="W492" s="172"/>
      <c r="X492" s="172"/>
      <c r="Y492" s="172"/>
      <c r="Z492" s="172"/>
    </row>
    <row r="493" spans="1:26" ht="13.8">
      <c r="A493" s="166">
        <v>193</v>
      </c>
      <c r="B493" s="4" t="s">
        <v>2095</v>
      </c>
      <c r="C493" s="4">
        <v>1190</v>
      </c>
      <c r="D493" s="4" t="s">
        <v>3399</v>
      </c>
      <c r="E493" s="4" t="s">
        <v>71</v>
      </c>
      <c r="F493" s="4" t="s">
        <v>71</v>
      </c>
      <c r="G493" s="4" t="s">
        <v>2098</v>
      </c>
      <c r="H493" s="4" t="s">
        <v>2099</v>
      </c>
      <c r="I493" s="4" t="s">
        <v>2100</v>
      </c>
      <c r="J493" s="4" t="s">
        <v>71</v>
      </c>
      <c r="K493" s="4">
        <v>9373290157</v>
      </c>
      <c r="L493" s="4" t="s">
        <v>3400</v>
      </c>
      <c r="M493" s="4">
        <v>9373290157</v>
      </c>
      <c r="N493" s="4" t="s">
        <v>3401</v>
      </c>
      <c r="O493" s="4" t="s">
        <v>71</v>
      </c>
      <c r="P493" s="4" t="s">
        <v>71</v>
      </c>
      <c r="Q493" s="4" t="s">
        <v>47</v>
      </c>
      <c r="R493" s="172"/>
      <c r="S493" s="172"/>
      <c r="T493" s="172"/>
      <c r="U493" s="172"/>
      <c r="V493" s="172"/>
      <c r="W493" s="172"/>
      <c r="X493" s="172"/>
      <c r="Y493" s="172"/>
      <c r="Z493" s="172"/>
    </row>
    <row r="494" spans="1:26" ht="13.8">
      <c r="A494" s="166">
        <v>194</v>
      </c>
      <c r="B494" s="4" t="s">
        <v>2102</v>
      </c>
      <c r="C494" s="4">
        <v>1191</v>
      </c>
      <c r="D494" s="4" t="s">
        <v>3402</v>
      </c>
      <c r="E494" s="4" t="s">
        <v>71</v>
      </c>
      <c r="F494" s="4" t="s">
        <v>2111</v>
      </c>
      <c r="G494" s="4" t="s">
        <v>2105</v>
      </c>
      <c r="H494" s="4" t="s">
        <v>2106</v>
      </c>
      <c r="I494" s="4" t="s">
        <v>507</v>
      </c>
      <c r="J494" s="4" t="s">
        <v>2107</v>
      </c>
      <c r="K494" s="4">
        <v>9967220115</v>
      </c>
      <c r="L494" s="4" t="s">
        <v>3403</v>
      </c>
      <c r="M494" s="4">
        <v>9967220115</v>
      </c>
      <c r="N494" s="4" t="s">
        <v>2953</v>
      </c>
      <c r="O494" s="4" t="s">
        <v>71</v>
      </c>
      <c r="P494" s="4" t="s">
        <v>71</v>
      </c>
      <c r="Q494" s="4" t="s">
        <v>47</v>
      </c>
      <c r="R494" s="172"/>
      <c r="S494" s="172"/>
      <c r="T494" s="172"/>
      <c r="U494" s="172"/>
      <c r="V494" s="172"/>
      <c r="W494" s="172"/>
      <c r="X494" s="172"/>
      <c r="Y494" s="172"/>
      <c r="Z494" s="172"/>
    </row>
    <row r="495" spans="1:26" ht="13.8">
      <c r="A495" s="166">
        <v>195</v>
      </c>
      <c r="B495" s="4" t="s">
        <v>2112</v>
      </c>
      <c r="C495" s="4">
        <v>1192</v>
      </c>
      <c r="D495" s="4" t="s">
        <v>3404</v>
      </c>
      <c r="E495" s="4" t="s">
        <v>71</v>
      </c>
      <c r="F495" s="4" t="s">
        <v>2120</v>
      </c>
      <c r="G495" s="4" t="s">
        <v>2115</v>
      </c>
      <c r="H495" s="4" t="s">
        <v>2116</v>
      </c>
      <c r="I495" s="4" t="s">
        <v>42</v>
      </c>
      <c r="J495" s="4" t="s">
        <v>3405</v>
      </c>
      <c r="K495" s="4">
        <v>7045671515</v>
      </c>
      <c r="L495" s="4" t="s">
        <v>3406</v>
      </c>
      <c r="M495" s="4">
        <v>7045671515</v>
      </c>
      <c r="N495" s="4" t="s">
        <v>2953</v>
      </c>
      <c r="O495" s="4" t="s">
        <v>71</v>
      </c>
      <c r="P495" s="168" t="s">
        <v>2117</v>
      </c>
      <c r="Q495" s="4" t="s">
        <v>47</v>
      </c>
      <c r="R495" s="172"/>
      <c r="S495" s="172"/>
      <c r="T495" s="172"/>
      <c r="U495" s="172"/>
      <c r="V495" s="172"/>
      <c r="W495" s="172"/>
      <c r="X495" s="172"/>
      <c r="Y495" s="172"/>
      <c r="Z495" s="172"/>
    </row>
    <row r="496" spans="1:26" ht="13.8">
      <c r="A496" s="166">
        <v>196</v>
      </c>
      <c r="B496" s="4" t="s">
        <v>2121</v>
      </c>
      <c r="C496" s="4">
        <v>1193</v>
      </c>
      <c r="D496" s="4" t="s">
        <v>3407</v>
      </c>
      <c r="E496" s="4" t="s">
        <v>2129</v>
      </c>
      <c r="F496" s="4" t="s">
        <v>2130</v>
      </c>
      <c r="G496" s="4" t="s">
        <v>2124</v>
      </c>
      <c r="H496" s="4" t="s">
        <v>3408</v>
      </c>
      <c r="I496" s="4" t="s">
        <v>1191</v>
      </c>
      <c r="J496" s="4" t="s">
        <v>3409</v>
      </c>
      <c r="K496" s="4">
        <v>7021112677</v>
      </c>
      <c r="L496" s="4" t="s">
        <v>3410</v>
      </c>
      <c r="M496" s="4">
        <v>7021112677</v>
      </c>
      <c r="N496" s="4" t="s">
        <v>2953</v>
      </c>
      <c r="O496" s="4" t="s">
        <v>71</v>
      </c>
      <c r="P496" s="4" t="s">
        <v>71</v>
      </c>
      <c r="Q496" s="4" t="s">
        <v>47</v>
      </c>
      <c r="R496" s="172"/>
      <c r="S496" s="172"/>
      <c r="T496" s="172"/>
      <c r="U496" s="172"/>
      <c r="V496" s="172"/>
      <c r="W496" s="172"/>
      <c r="X496" s="172"/>
      <c r="Y496" s="172"/>
      <c r="Z496" s="172"/>
    </row>
    <row r="497" spans="1:26" ht="13.8">
      <c r="A497" s="166">
        <v>329</v>
      </c>
      <c r="B497" s="4" t="s">
        <v>3846</v>
      </c>
      <c r="C497" s="4">
        <v>1194</v>
      </c>
      <c r="D497" s="4" t="s">
        <v>3847</v>
      </c>
      <c r="E497" s="4" t="s">
        <v>71</v>
      </c>
      <c r="F497" s="4" t="s">
        <v>3547</v>
      </c>
      <c r="G497" s="4" t="s">
        <v>3848</v>
      </c>
      <c r="H497" s="4" t="s">
        <v>3849</v>
      </c>
      <c r="I497" s="4" t="s">
        <v>191</v>
      </c>
      <c r="J497" s="4" t="s">
        <v>71</v>
      </c>
      <c r="K497" s="4">
        <v>9123426199</v>
      </c>
      <c r="L497" s="4" t="s">
        <v>2780</v>
      </c>
      <c r="M497" s="4">
        <v>9123426199</v>
      </c>
      <c r="N497" s="4" t="s">
        <v>3301</v>
      </c>
      <c r="O497" s="4" t="s">
        <v>71</v>
      </c>
      <c r="P497" s="168" t="s">
        <v>2786</v>
      </c>
      <c r="Q497" s="4" t="s">
        <v>47</v>
      </c>
      <c r="R497" s="172"/>
      <c r="S497" s="172"/>
      <c r="T497" s="172"/>
      <c r="U497" s="172"/>
      <c r="V497" s="172"/>
      <c r="W497" s="172"/>
      <c r="X497" s="172"/>
      <c r="Y497" s="172"/>
      <c r="Z497" s="172"/>
    </row>
    <row r="498" spans="1:26" ht="13.8">
      <c r="A498" s="166">
        <v>197</v>
      </c>
      <c r="B498" s="4" t="s">
        <v>2131</v>
      </c>
      <c r="C498" s="4">
        <v>1195</v>
      </c>
      <c r="D498" s="4" t="s">
        <v>3411</v>
      </c>
      <c r="E498" s="4" t="s">
        <v>71</v>
      </c>
      <c r="F498" s="4" t="s">
        <v>2139</v>
      </c>
      <c r="G498" s="4" t="s">
        <v>2134</v>
      </c>
      <c r="H498" s="4" t="s">
        <v>2135</v>
      </c>
      <c r="I498" s="4" t="s">
        <v>2136</v>
      </c>
      <c r="J498" s="4" t="s">
        <v>71</v>
      </c>
      <c r="K498" s="4">
        <v>9423443188</v>
      </c>
      <c r="L498" s="4" t="s">
        <v>3412</v>
      </c>
      <c r="M498" s="4">
        <v>9423443188</v>
      </c>
      <c r="N498" s="4" t="s">
        <v>2953</v>
      </c>
      <c r="O498" s="4" t="s">
        <v>71</v>
      </c>
      <c r="P498" s="168" t="s">
        <v>2137</v>
      </c>
      <c r="Q498" s="4" t="s">
        <v>47</v>
      </c>
      <c r="R498" s="172"/>
      <c r="S498" s="172"/>
      <c r="T498" s="172"/>
      <c r="U498" s="172"/>
      <c r="V498" s="172"/>
      <c r="W498" s="172"/>
      <c r="X498" s="172"/>
      <c r="Y498" s="172"/>
      <c r="Z498" s="172"/>
    </row>
    <row r="499" spans="1:26" ht="13.8">
      <c r="A499" s="166">
        <v>198</v>
      </c>
      <c r="B499" s="4" t="s">
        <v>2140</v>
      </c>
      <c r="C499" s="4">
        <v>1196</v>
      </c>
      <c r="D499" s="4" t="s">
        <v>3413</v>
      </c>
      <c r="E499" s="4" t="s">
        <v>2145</v>
      </c>
      <c r="F499" s="4" t="s">
        <v>2146</v>
      </c>
      <c r="G499" s="4" t="s">
        <v>2142</v>
      </c>
      <c r="H499" s="4" t="s">
        <v>2141</v>
      </c>
      <c r="I499" s="4" t="s">
        <v>2143</v>
      </c>
      <c r="J499" s="4" t="s">
        <v>2245</v>
      </c>
      <c r="K499" s="4">
        <v>9820488881</v>
      </c>
      <c r="L499" s="4" t="s">
        <v>3414</v>
      </c>
      <c r="M499" s="4">
        <v>9820488881</v>
      </c>
      <c r="N499" s="4" t="s">
        <v>2953</v>
      </c>
      <c r="O499" s="4" t="s">
        <v>71</v>
      </c>
      <c r="P499" s="4" t="s">
        <v>71</v>
      </c>
      <c r="Q499" s="4" t="s">
        <v>47</v>
      </c>
      <c r="R499" s="172"/>
      <c r="S499" s="172"/>
      <c r="T499" s="172"/>
      <c r="U499" s="172"/>
      <c r="V499" s="172"/>
      <c r="W499" s="172"/>
      <c r="X499" s="172"/>
      <c r="Y499" s="172"/>
      <c r="Z499" s="172"/>
    </row>
    <row r="500" spans="1:26" ht="13.8">
      <c r="A500" s="166">
        <v>199</v>
      </c>
      <c r="B500" s="4" t="s">
        <v>2148</v>
      </c>
      <c r="C500" s="4">
        <v>1197</v>
      </c>
      <c r="D500" s="4" t="s">
        <v>3415</v>
      </c>
      <c r="E500" s="4" t="s">
        <v>71</v>
      </c>
      <c r="F500" s="4" t="s">
        <v>2157</v>
      </c>
      <c r="G500" s="4" t="s">
        <v>2151</v>
      </c>
      <c r="H500" s="4" t="s">
        <v>2152</v>
      </c>
      <c r="I500" s="4" t="s">
        <v>2153</v>
      </c>
      <c r="J500" s="4" t="s">
        <v>3416</v>
      </c>
      <c r="K500" s="4">
        <v>9819338777</v>
      </c>
      <c r="L500" s="4" t="s">
        <v>3417</v>
      </c>
      <c r="M500" s="4">
        <v>9819338777</v>
      </c>
      <c r="N500" s="4" t="s">
        <v>3418</v>
      </c>
      <c r="O500" s="4" t="s">
        <v>71</v>
      </c>
      <c r="P500" s="168" t="s">
        <v>2155</v>
      </c>
      <c r="Q500" s="4" t="s">
        <v>47</v>
      </c>
      <c r="R500" s="172"/>
      <c r="S500" s="172"/>
      <c r="T500" s="172"/>
      <c r="U500" s="172"/>
      <c r="V500" s="172"/>
      <c r="W500" s="172"/>
      <c r="X500" s="172"/>
      <c r="Y500" s="172"/>
      <c r="Z500" s="172"/>
    </row>
    <row r="501" spans="1:26" ht="13.8">
      <c r="A501" s="166">
        <v>200</v>
      </c>
      <c r="B501" s="4" t="s">
        <v>2158</v>
      </c>
      <c r="C501" s="4">
        <v>1198</v>
      </c>
      <c r="D501" s="4" t="s">
        <v>3419</v>
      </c>
      <c r="E501" s="4" t="s">
        <v>71</v>
      </c>
      <c r="F501" s="4" t="s">
        <v>2165</v>
      </c>
      <c r="G501" s="4" t="s">
        <v>2161</v>
      </c>
      <c r="H501" s="4" t="s">
        <v>2162</v>
      </c>
      <c r="I501" s="4" t="s">
        <v>534</v>
      </c>
      <c r="J501" s="4" t="s">
        <v>71</v>
      </c>
      <c r="K501" s="4">
        <v>9867380759</v>
      </c>
      <c r="L501" s="4" t="s">
        <v>3420</v>
      </c>
      <c r="M501" s="4">
        <v>9867380759</v>
      </c>
      <c r="N501" s="4" t="s">
        <v>2163</v>
      </c>
      <c r="O501" s="4" t="s">
        <v>71</v>
      </c>
      <c r="P501" s="4" t="s">
        <v>71</v>
      </c>
      <c r="Q501" s="4" t="s">
        <v>47</v>
      </c>
      <c r="R501" s="172"/>
      <c r="S501" s="172"/>
      <c r="T501" s="172"/>
      <c r="U501" s="172"/>
      <c r="V501" s="172"/>
      <c r="W501" s="172"/>
      <c r="X501" s="172"/>
      <c r="Y501" s="172"/>
      <c r="Z501" s="172"/>
    </row>
    <row r="502" spans="1:26" ht="13.8">
      <c r="A502" s="166">
        <v>201</v>
      </c>
      <c r="B502" s="4" t="s">
        <v>2166</v>
      </c>
      <c r="C502" s="4">
        <v>1199</v>
      </c>
      <c r="D502" s="4" t="s">
        <v>3421</v>
      </c>
      <c r="E502" s="4" t="s">
        <v>71</v>
      </c>
      <c r="F502" s="4" t="s">
        <v>2173</v>
      </c>
      <c r="G502" s="4" t="s">
        <v>2169</v>
      </c>
      <c r="H502" s="4" t="s">
        <v>3422</v>
      </c>
      <c r="I502" s="4" t="s">
        <v>507</v>
      </c>
      <c r="J502" s="4" t="s">
        <v>3423</v>
      </c>
      <c r="K502" s="4">
        <v>8369464157</v>
      </c>
      <c r="L502" s="4" t="s">
        <v>3424</v>
      </c>
      <c r="M502" s="4">
        <v>8369464157</v>
      </c>
      <c r="N502" s="4" t="s">
        <v>3057</v>
      </c>
      <c r="O502" s="4" t="s">
        <v>71</v>
      </c>
      <c r="P502" s="168" t="s">
        <v>2172</v>
      </c>
      <c r="Q502" s="4" t="s">
        <v>47</v>
      </c>
      <c r="R502" s="172"/>
      <c r="S502" s="172"/>
      <c r="T502" s="172"/>
      <c r="U502" s="172"/>
      <c r="V502" s="172"/>
      <c r="W502" s="172"/>
      <c r="X502" s="172"/>
      <c r="Y502" s="172"/>
      <c r="Z502" s="172"/>
    </row>
    <row r="503" spans="1:26" ht="13.8">
      <c r="A503" s="166">
        <v>202</v>
      </c>
      <c r="B503" s="4" t="s">
        <v>2188</v>
      </c>
      <c r="C503" s="4">
        <v>1200</v>
      </c>
      <c r="D503" s="4" t="s">
        <v>3425</v>
      </c>
      <c r="E503" s="4" t="s">
        <v>71</v>
      </c>
      <c r="F503" s="4" t="s">
        <v>2193</v>
      </c>
      <c r="G503" s="4" t="s">
        <v>2191</v>
      </c>
      <c r="H503" s="4" t="s">
        <v>2192</v>
      </c>
      <c r="I503" s="4" t="s">
        <v>1191</v>
      </c>
      <c r="J503" s="4" t="s">
        <v>71</v>
      </c>
      <c r="K503" s="4">
        <v>9830056475</v>
      </c>
      <c r="L503" s="4" t="s">
        <v>3426</v>
      </c>
      <c r="M503" s="4">
        <v>9830056475</v>
      </c>
      <c r="N503" s="4" t="s">
        <v>3427</v>
      </c>
      <c r="O503" s="4" t="s">
        <v>71</v>
      </c>
      <c r="P503" s="4" t="s">
        <v>71</v>
      </c>
      <c r="Q503" s="4" t="s">
        <v>47</v>
      </c>
      <c r="R503" s="172"/>
      <c r="S503" s="172"/>
      <c r="T503" s="172"/>
      <c r="U503" s="172"/>
      <c r="V503" s="172"/>
      <c r="W503" s="172"/>
      <c r="X503" s="172"/>
      <c r="Y503" s="172"/>
      <c r="Z503" s="172"/>
    </row>
    <row r="504" spans="1:26" ht="13.8">
      <c r="A504" s="166">
        <v>203</v>
      </c>
      <c r="B504" s="4" t="s">
        <v>2194</v>
      </c>
      <c r="C504" s="4">
        <v>1201</v>
      </c>
      <c r="D504" s="4" t="s">
        <v>3428</v>
      </c>
      <c r="E504" s="4" t="s">
        <v>71</v>
      </c>
      <c r="F504" s="4" t="s">
        <v>2202</v>
      </c>
      <c r="G504" s="4" t="s">
        <v>2197</v>
      </c>
      <c r="H504" s="4" t="s">
        <v>2198</v>
      </c>
      <c r="I504" s="4" t="s">
        <v>929</v>
      </c>
      <c r="J504" s="4" t="s">
        <v>2581</v>
      </c>
      <c r="K504" s="4">
        <v>9773304882</v>
      </c>
      <c r="L504" s="4" t="s">
        <v>3429</v>
      </c>
      <c r="M504" s="4">
        <v>9773304882</v>
      </c>
      <c r="N504" s="4" t="s">
        <v>71</v>
      </c>
      <c r="O504" s="4" t="s">
        <v>71</v>
      </c>
      <c r="P504" s="4" t="s">
        <v>71</v>
      </c>
      <c r="Q504" s="4" t="s">
        <v>47</v>
      </c>
      <c r="R504" s="172"/>
      <c r="S504" s="172"/>
      <c r="T504" s="172"/>
      <c r="U504" s="172"/>
      <c r="V504" s="172"/>
      <c r="W504" s="172"/>
      <c r="X504" s="172"/>
      <c r="Y504" s="172"/>
      <c r="Z504" s="172"/>
    </row>
    <row r="505" spans="1:26" ht="13.8">
      <c r="A505" s="166">
        <v>204</v>
      </c>
      <c r="B505" s="4" t="s">
        <v>2203</v>
      </c>
      <c r="C505" s="4">
        <v>1202</v>
      </c>
      <c r="D505" s="4" t="s">
        <v>3430</v>
      </c>
      <c r="E505" s="4" t="s">
        <v>71</v>
      </c>
      <c r="F505" s="4" t="s">
        <v>2202</v>
      </c>
      <c r="G505" s="4" t="s">
        <v>2197</v>
      </c>
      <c r="H505" s="4" t="s">
        <v>2206</v>
      </c>
      <c r="I505" s="4" t="s">
        <v>929</v>
      </c>
      <c r="J505" s="4" t="s">
        <v>2590</v>
      </c>
      <c r="K505" s="4">
        <v>9773304882</v>
      </c>
      <c r="L505" s="4" t="s">
        <v>3431</v>
      </c>
      <c r="M505" s="4">
        <v>9773304882</v>
      </c>
      <c r="N505" s="4" t="s">
        <v>71</v>
      </c>
      <c r="O505" s="4" t="s">
        <v>71</v>
      </c>
      <c r="P505" s="4" t="s">
        <v>71</v>
      </c>
      <c r="Q505" s="4" t="s">
        <v>47</v>
      </c>
      <c r="R505" s="172"/>
      <c r="S505" s="172"/>
      <c r="T505" s="172"/>
      <c r="U505" s="172"/>
      <c r="V505" s="172"/>
      <c r="W505" s="172"/>
      <c r="X505" s="172"/>
      <c r="Y505" s="172"/>
      <c r="Z505" s="172"/>
    </row>
    <row r="506" spans="1:26" ht="13.8">
      <c r="A506" s="166">
        <v>205</v>
      </c>
      <c r="B506" s="4" t="s">
        <v>2209</v>
      </c>
      <c r="C506" s="4">
        <v>1203</v>
      </c>
      <c r="D506" s="4" t="s">
        <v>3432</v>
      </c>
      <c r="E506" s="4" t="s">
        <v>71</v>
      </c>
      <c r="F506" s="4" t="s">
        <v>2218</v>
      </c>
      <c r="G506" s="4" t="s">
        <v>2212</v>
      </c>
      <c r="H506" s="4" t="s">
        <v>2213</v>
      </c>
      <c r="I506" s="4" t="s">
        <v>42</v>
      </c>
      <c r="J506" s="4" t="s">
        <v>2214</v>
      </c>
      <c r="K506" s="4">
        <v>9820065040</v>
      </c>
      <c r="L506" s="4" t="s">
        <v>3433</v>
      </c>
      <c r="M506" s="4">
        <v>9820065040</v>
      </c>
      <c r="N506" s="4" t="s">
        <v>2216</v>
      </c>
      <c r="O506" s="4" t="s">
        <v>71</v>
      </c>
      <c r="P506" s="168" t="s">
        <v>2215</v>
      </c>
      <c r="Q506" s="4" t="s">
        <v>47</v>
      </c>
      <c r="R506" s="172"/>
      <c r="S506" s="172"/>
      <c r="T506" s="172"/>
      <c r="U506" s="172"/>
      <c r="V506" s="172"/>
      <c r="W506" s="172"/>
      <c r="X506" s="172"/>
      <c r="Y506" s="172"/>
      <c r="Z506" s="172"/>
    </row>
    <row r="507" spans="1:26" ht="13.8">
      <c r="A507" s="166">
        <v>206</v>
      </c>
      <c r="B507" s="4" t="s">
        <v>2233</v>
      </c>
      <c r="C507" s="4">
        <v>1204</v>
      </c>
      <c r="D507" s="4" t="s">
        <v>3434</v>
      </c>
      <c r="E507" s="4" t="s">
        <v>71</v>
      </c>
      <c r="F507" s="4" t="s">
        <v>2218</v>
      </c>
      <c r="G507" s="4" t="s">
        <v>2212</v>
      </c>
      <c r="H507" s="4" t="s">
        <v>2236</v>
      </c>
      <c r="I507" s="4" t="s">
        <v>42</v>
      </c>
      <c r="J507" s="4" t="s">
        <v>2214</v>
      </c>
      <c r="K507" s="4">
        <v>9324285712</v>
      </c>
      <c r="L507" s="4" t="s">
        <v>3435</v>
      </c>
      <c r="M507" s="4">
        <v>9324285712</v>
      </c>
      <c r="N507" s="4" t="s">
        <v>2216</v>
      </c>
      <c r="O507" s="4" t="s">
        <v>71</v>
      </c>
      <c r="P507" s="168" t="s">
        <v>2215</v>
      </c>
      <c r="Q507" s="4" t="s">
        <v>47</v>
      </c>
      <c r="R507" s="172"/>
      <c r="S507" s="172"/>
      <c r="T507" s="172"/>
      <c r="U507" s="172"/>
      <c r="V507" s="172"/>
      <c r="W507" s="172"/>
      <c r="X507" s="172"/>
      <c r="Y507" s="172"/>
      <c r="Z507" s="172"/>
    </row>
    <row r="508" spans="1:26" ht="13.8">
      <c r="A508" s="166">
        <v>208</v>
      </c>
      <c r="B508" s="4" t="s">
        <v>2248</v>
      </c>
      <c r="C508" s="4">
        <v>1206</v>
      </c>
      <c r="D508" s="4" t="s">
        <v>71</v>
      </c>
      <c r="E508" s="4" t="s">
        <v>71</v>
      </c>
      <c r="F508" s="4" t="s">
        <v>2247</v>
      </c>
      <c r="G508" s="4" t="s">
        <v>2251</v>
      </c>
      <c r="H508" s="4" t="s">
        <v>2252</v>
      </c>
      <c r="I508" s="4" t="s">
        <v>191</v>
      </c>
      <c r="J508" s="4" t="s">
        <v>3436</v>
      </c>
      <c r="K508" s="4">
        <v>9820574070</v>
      </c>
      <c r="L508" s="4" t="s">
        <v>3437</v>
      </c>
      <c r="M508" s="4">
        <v>9820574070</v>
      </c>
      <c r="N508" s="4" t="s">
        <v>3438</v>
      </c>
      <c r="O508" s="4" t="s">
        <v>71</v>
      </c>
      <c r="P508" s="168" t="s">
        <v>2254</v>
      </c>
      <c r="Q508" s="4" t="s">
        <v>47</v>
      </c>
      <c r="R508" s="172"/>
      <c r="S508" s="172"/>
      <c r="T508" s="172"/>
      <c r="U508" s="172"/>
      <c r="V508" s="172"/>
      <c r="W508" s="172"/>
      <c r="X508" s="172"/>
      <c r="Y508" s="172"/>
      <c r="Z508" s="172"/>
    </row>
    <row r="509" spans="1:26" ht="13.8">
      <c r="A509" s="166">
        <v>209</v>
      </c>
      <c r="B509" s="4" t="s">
        <v>2269</v>
      </c>
      <c r="C509" s="4">
        <v>1207</v>
      </c>
      <c r="D509" s="4" t="s">
        <v>3439</v>
      </c>
      <c r="E509" s="4" t="s">
        <v>71</v>
      </c>
      <c r="F509" s="4" t="s">
        <v>2256</v>
      </c>
      <c r="G509" s="4" t="s">
        <v>2271</v>
      </c>
      <c r="H509" s="4" t="s">
        <v>2252</v>
      </c>
      <c r="I509" s="4" t="s">
        <v>71</v>
      </c>
      <c r="J509" s="4" t="s">
        <v>71</v>
      </c>
      <c r="K509" s="4">
        <v>9082084426</v>
      </c>
      <c r="L509" s="4" t="s">
        <v>3437</v>
      </c>
      <c r="M509" s="4">
        <v>9082084426</v>
      </c>
      <c r="N509" s="4" t="s">
        <v>71</v>
      </c>
      <c r="O509" s="4" t="s">
        <v>71</v>
      </c>
      <c r="P509" s="168" t="s">
        <v>2273</v>
      </c>
      <c r="Q509" s="4" t="s">
        <v>47</v>
      </c>
      <c r="R509" s="172"/>
      <c r="S509" s="172"/>
      <c r="T509" s="172"/>
      <c r="U509" s="172"/>
      <c r="V509" s="172"/>
      <c r="W509" s="172"/>
      <c r="X509" s="172"/>
      <c r="Y509" s="172"/>
      <c r="Z509" s="172"/>
    </row>
    <row r="510" spans="1:26" ht="13.8">
      <c r="A510" s="166">
        <v>210</v>
      </c>
      <c r="B510" s="4" t="s">
        <v>2281</v>
      </c>
      <c r="C510" s="4">
        <v>1208</v>
      </c>
      <c r="D510" s="4" t="s">
        <v>3440</v>
      </c>
      <c r="E510" s="4" t="s">
        <v>71</v>
      </c>
      <c r="F510" s="4" t="s">
        <v>71</v>
      </c>
      <c r="G510" s="4" t="s">
        <v>2284</v>
      </c>
      <c r="H510" s="4" t="s">
        <v>2285</v>
      </c>
      <c r="I510" s="4" t="s">
        <v>2286</v>
      </c>
      <c r="J510" s="4" t="s">
        <v>2287</v>
      </c>
      <c r="K510" s="4">
        <v>9930182255</v>
      </c>
      <c r="L510" s="4" t="s">
        <v>3441</v>
      </c>
      <c r="M510" s="4">
        <v>9930182255</v>
      </c>
      <c r="N510" s="4" t="s">
        <v>2953</v>
      </c>
      <c r="O510" s="4" t="s">
        <v>71</v>
      </c>
      <c r="P510" s="4" t="s">
        <v>71</v>
      </c>
      <c r="Q510" s="4" t="s">
        <v>47</v>
      </c>
      <c r="R510" s="172"/>
      <c r="S510" s="172"/>
      <c r="T510" s="172"/>
      <c r="U510" s="172"/>
      <c r="V510" s="172"/>
      <c r="W510" s="172"/>
      <c r="X510" s="172"/>
      <c r="Y510" s="172"/>
      <c r="Z510" s="172"/>
    </row>
    <row r="511" spans="1:26" ht="13.8">
      <c r="A511" s="166">
        <v>211</v>
      </c>
      <c r="B511" s="4" t="s">
        <v>2290</v>
      </c>
      <c r="C511" s="4">
        <v>1209</v>
      </c>
      <c r="D511" s="4" t="s">
        <v>3442</v>
      </c>
      <c r="E511" s="4" t="s">
        <v>71</v>
      </c>
      <c r="F511" s="4" t="s">
        <v>71</v>
      </c>
      <c r="G511" s="4" t="s">
        <v>2293</v>
      </c>
      <c r="H511" s="4" t="s">
        <v>2294</v>
      </c>
      <c r="I511" s="4" t="s">
        <v>507</v>
      </c>
      <c r="J511" s="4" t="s">
        <v>71</v>
      </c>
      <c r="K511" s="4">
        <v>9220778904</v>
      </c>
      <c r="L511" s="4" t="s">
        <v>3443</v>
      </c>
      <c r="M511" s="4">
        <v>9220778904</v>
      </c>
      <c r="N511" s="4" t="s">
        <v>2953</v>
      </c>
      <c r="O511" s="4" t="s">
        <v>71</v>
      </c>
      <c r="P511" s="4" t="s">
        <v>71</v>
      </c>
      <c r="Q511" s="4" t="s">
        <v>47</v>
      </c>
      <c r="R511" s="172"/>
      <c r="S511" s="172"/>
      <c r="T511" s="172"/>
      <c r="U511" s="172"/>
      <c r="V511" s="172"/>
      <c r="W511" s="172"/>
      <c r="X511" s="172"/>
      <c r="Y511" s="172"/>
      <c r="Z511" s="172"/>
    </row>
    <row r="512" spans="1:26" ht="13.8">
      <c r="A512" s="166">
        <v>212</v>
      </c>
      <c r="B512" s="4" t="s">
        <v>2296</v>
      </c>
      <c r="C512" s="4">
        <v>1210</v>
      </c>
      <c r="D512" s="4" t="s">
        <v>3444</v>
      </c>
      <c r="E512" s="4" t="s">
        <v>71</v>
      </c>
      <c r="F512" s="4" t="s">
        <v>2295</v>
      </c>
      <c r="G512" s="4" t="s">
        <v>2299</v>
      </c>
      <c r="H512" s="4" t="s">
        <v>2300</v>
      </c>
      <c r="I512" s="4" t="s">
        <v>2301</v>
      </c>
      <c r="J512" s="4" t="s">
        <v>2302</v>
      </c>
      <c r="K512" s="4">
        <v>9819201521</v>
      </c>
      <c r="L512" s="4" t="s">
        <v>3445</v>
      </c>
      <c r="M512" s="4">
        <v>9819201521</v>
      </c>
      <c r="N512" s="4" t="s">
        <v>3057</v>
      </c>
      <c r="O512" s="4" t="s">
        <v>71</v>
      </c>
      <c r="P512" s="168" t="s">
        <v>3446</v>
      </c>
      <c r="Q512" s="4" t="s">
        <v>47</v>
      </c>
      <c r="R512" s="172"/>
      <c r="S512" s="172"/>
      <c r="T512" s="172"/>
      <c r="U512" s="172"/>
      <c r="V512" s="172"/>
      <c r="W512" s="172"/>
      <c r="X512" s="172"/>
      <c r="Y512" s="172"/>
      <c r="Z512" s="172"/>
    </row>
    <row r="513" spans="1:26" ht="13.8">
      <c r="A513" s="166">
        <v>213</v>
      </c>
      <c r="B513" s="4" t="s">
        <v>3447</v>
      </c>
      <c r="C513" s="4">
        <v>1211</v>
      </c>
      <c r="D513" s="4" t="s">
        <v>3448</v>
      </c>
      <c r="E513" s="4" t="s">
        <v>2305</v>
      </c>
      <c r="F513" s="4" t="s">
        <v>2306</v>
      </c>
      <c r="G513" s="4" t="s">
        <v>2310</v>
      </c>
      <c r="H513" s="4" t="s">
        <v>2311</v>
      </c>
      <c r="I513" s="4" t="s">
        <v>534</v>
      </c>
      <c r="J513" s="4" t="s">
        <v>2312</v>
      </c>
      <c r="K513" s="4">
        <v>9819824233</v>
      </c>
      <c r="L513" s="4" t="s">
        <v>3449</v>
      </c>
      <c r="M513" s="4">
        <v>9819824233</v>
      </c>
      <c r="N513" s="4" t="s">
        <v>2953</v>
      </c>
      <c r="O513" s="4" t="s">
        <v>71</v>
      </c>
      <c r="P513" s="4" t="s">
        <v>71</v>
      </c>
      <c r="Q513" s="4" t="s">
        <v>47</v>
      </c>
      <c r="R513" s="172"/>
      <c r="S513" s="172"/>
      <c r="T513" s="172"/>
      <c r="U513" s="172"/>
      <c r="V513" s="172"/>
      <c r="W513" s="172"/>
      <c r="X513" s="172"/>
      <c r="Y513" s="172"/>
      <c r="Z513" s="172"/>
    </row>
    <row r="514" spans="1:26" ht="13.8">
      <c r="A514" s="166">
        <v>214</v>
      </c>
      <c r="B514" s="4" t="s">
        <v>2324</v>
      </c>
      <c r="C514" s="4">
        <v>1212</v>
      </c>
      <c r="D514" s="4" t="s">
        <v>71</v>
      </c>
      <c r="E514" s="4" t="s">
        <v>71</v>
      </c>
      <c r="F514" s="4" t="s">
        <v>71</v>
      </c>
      <c r="G514" s="4" t="s">
        <v>2327</v>
      </c>
      <c r="H514" s="4" t="s">
        <v>2328</v>
      </c>
      <c r="I514" s="4" t="s">
        <v>545</v>
      </c>
      <c r="J514" s="4" t="s">
        <v>71</v>
      </c>
      <c r="K514" s="4">
        <v>9323735972</v>
      </c>
      <c r="L514" s="4" t="s">
        <v>3450</v>
      </c>
      <c r="M514" s="4">
        <v>9323735972</v>
      </c>
      <c r="N514" s="4" t="s">
        <v>71</v>
      </c>
      <c r="O514" s="4" t="s">
        <v>71</v>
      </c>
      <c r="P514" s="4" t="s">
        <v>71</v>
      </c>
      <c r="Q514" s="4" t="s">
        <v>47</v>
      </c>
      <c r="R514" s="172"/>
      <c r="S514" s="172"/>
      <c r="T514" s="172"/>
      <c r="U514" s="172"/>
      <c r="V514" s="172"/>
      <c r="W514" s="172"/>
      <c r="X514" s="172"/>
      <c r="Y514" s="172"/>
      <c r="Z514" s="172"/>
    </row>
    <row r="515" spans="1:26" ht="13.8">
      <c r="A515" s="166">
        <v>215</v>
      </c>
      <c r="B515" s="4" t="s">
        <v>2330</v>
      </c>
      <c r="C515" s="4">
        <v>1214</v>
      </c>
      <c r="D515" s="4" t="s">
        <v>71</v>
      </c>
      <c r="E515" s="4" t="s">
        <v>71</v>
      </c>
      <c r="F515" s="4" t="s">
        <v>71</v>
      </c>
      <c r="G515" s="4" t="s">
        <v>2333</v>
      </c>
      <c r="H515" s="4" t="s">
        <v>2334</v>
      </c>
      <c r="I515" s="4" t="s">
        <v>2073</v>
      </c>
      <c r="J515" s="4" t="s">
        <v>71</v>
      </c>
      <c r="K515" s="4">
        <v>7219460020</v>
      </c>
      <c r="L515" s="4" t="s">
        <v>3451</v>
      </c>
      <c r="M515" s="4">
        <v>7219460020</v>
      </c>
      <c r="N515" s="4" t="s">
        <v>3452</v>
      </c>
      <c r="O515" s="4" t="s">
        <v>71</v>
      </c>
      <c r="P515" s="4" t="s">
        <v>71</v>
      </c>
      <c r="Q515" s="4" t="s">
        <v>47</v>
      </c>
      <c r="R515" s="172"/>
      <c r="S515" s="172"/>
      <c r="T515" s="172"/>
      <c r="U515" s="172"/>
      <c r="V515" s="172"/>
      <c r="W515" s="172"/>
      <c r="X515" s="172"/>
      <c r="Y515" s="172"/>
      <c r="Z515" s="172"/>
    </row>
    <row r="516" spans="1:26" ht="13.8">
      <c r="A516" s="166">
        <v>216</v>
      </c>
      <c r="B516" s="4" t="s">
        <v>2339</v>
      </c>
      <c r="C516" s="4">
        <v>1215</v>
      </c>
      <c r="D516" s="4" t="s">
        <v>3453</v>
      </c>
      <c r="E516" s="4" t="s">
        <v>71</v>
      </c>
      <c r="F516" s="4" t="s">
        <v>2338</v>
      </c>
      <c r="G516" s="4" t="s">
        <v>2342</v>
      </c>
      <c r="H516" s="4" t="s">
        <v>2343</v>
      </c>
      <c r="I516" s="4" t="s">
        <v>2344</v>
      </c>
      <c r="J516" s="4" t="s">
        <v>71</v>
      </c>
      <c r="K516" s="4">
        <v>7666286662</v>
      </c>
      <c r="L516" s="4" t="s">
        <v>3454</v>
      </c>
      <c r="M516" s="4">
        <v>7666286662</v>
      </c>
      <c r="N516" s="4" t="s">
        <v>2953</v>
      </c>
      <c r="O516" s="4" t="s">
        <v>71</v>
      </c>
      <c r="P516" s="4" t="s">
        <v>71</v>
      </c>
      <c r="Q516" s="4" t="s">
        <v>47</v>
      </c>
      <c r="R516" s="172"/>
      <c r="S516" s="172"/>
      <c r="T516" s="172"/>
      <c r="U516" s="172"/>
      <c r="V516" s="172"/>
      <c r="W516" s="172"/>
      <c r="X516" s="172"/>
      <c r="Y516" s="172"/>
      <c r="Z516" s="172"/>
    </row>
    <row r="517" spans="1:26" ht="13.8">
      <c r="A517" s="166">
        <v>217</v>
      </c>
      <c r="B517" s="4" t="s">
        <v>2347</v>
      </c>
      <c r="C517" s="4">
        <v>1217</v>
      </c>
      <c r="D517" s="4" t="s">
        <v>71</v>
      </c>
      <c r="E517" s="4" t="s">
        <v>71</v>
      </c>
      <c r="F517" s="4" t="s">
        <v>71</v>
      </c>
      <c r="G517" s="4" t="s">
        <v>71</v>
      </c>
      <c r="H517" s="4" t="s">
        <v>2350</v>
      </c>
      <c r="I517" s="4" t="s">
        <v>2351</v>
      </c>
      <c r="J517" s="4" t="s">
        <v>71</v>
      </c>
      <c r="K517" s="4">
        <v>9819879642</v>
      </c>
      <c r="L517" s="4" t="s">
        <v>3455</v>
      </c>
      <c r="M517" s="4">
        <v>9819879642</v>
      </c>
      <c r="N517" s="4" t="s">
        <v>71</v>
      </c>
      <c r="O517" s="4" t="s">
        <v>71</v>
      </c>
      <c r="P517" s="4" t="s">
        <v>71</v>
      </c>
      <c r="Q517" s="4" t="s">
        <v>47</v>
      </c>
      <c r="R517" s="172"/>
      <c r="S517" s="172"/>
      <c r="T517" s="172"/>
      <c r="U517" s="172"/>
      <c r="V517" s="172"/>
      <c r="W517" s="172"/>
      <c r="X517" s="172"/>
      <c r="Y517" s="172"/>
      <c r="Z517" s="172"/>
    </row>
    <row r="518" spans="1:26" ht="13.8">
      <c r="A518" s="166">
        <v>330</v>
      </c>
      <c r="B518" s="4" t="s">
        <v>3850</v>
      </c>
      <c r="C518" s="4">
        <v>1218</v>
      </c>
      <c r="D518" s="4" t="s">
        <v>3851</v>
      </c>
      <c r="E518" s="4" t="s">
        <v>71</v>
      </c>
      <c r="F518" s="4" t="s">
        <v>3547</v>
      </c>
      <c r="G518" s="4" t="s">
        <v>3852</v>
      </c>
      <c r="H518" s="4" t="s">
        <v>3853</v>
      </c>
      <c r="I518" s="4" t="s">
        <v>534</v>
      </c>
      <c r="J518" s="4" t="s">
        <v>71</v>
      </c>
      <c r="K518" s="4">
        <v>9903896480</v>
      </c>
      <c r="L518" s="4" t="s">
        <v>2780</v>
      </c>
      <c r="M518" s="4">
        <v>9903896480</v>
      </c>
      <c r="N518" s="4" t="s">
        <v>3301</v>
      </c>
      <c r="O518" s="4" t="s">
        <v>71</v>
      </c>
      <c r="P518" s="168" t="s">
        <v>2786</v>
      </c>
      <c r="Q518" s="4" t="s">
        <v>47</v>
      </c>
      <c r="R518" s="172"/>
      <c r="S518" s="172"/>
      <c r="T518" s="172"/>
      <c r="U518" s="172"/>
      <c r="V518" s="172"/>
      <c r="W518" s="172"/>
      <c r="X518" s="172"/>
      <c r="Y518" s="172"/>
      <c r="Z518" s="172"/>
    </row>
    <row r="519" spans="1:26" ht="13.8">
      <c r="A519" s="166">
        <v>331</v>
      </c>
      <c r="B519" s="4" t="s">
        <v>3854</v>
      </c>
      <c r="C519" s="4">
        <v>1219</v>
      </c>
      <c r="D519" s="4" t="s">
        <v>3855</v>
      </c>
      <c r="E519" s="4" t="s">
        <v>71</v>
      </c>
      <c r="F519" s="4" t="s">
        <v>3547</v>
      </c>
      <c r="G519" s="4" t="s">
        <v>3852</v>
      </c>
      <c r="H519" s="4" t="s">
        <v>3856</v>
      </c>
      <c r="I519" s="4" t="s">
        <v>534</v>
      </c>
      <c r="J519" s="4" t="s">
        <v>71</v>
      </c>
      <c r="K519" s="4">
        <v>9423681546</v>
      </c>
      <c r="L519" s="4" t="s">
        <v>2780</v>
      </c>
      <c r="M519" s="4">
        <v>9423681546</v>
      </c>
      <c r="N519" s="4" t="s">
        <v>3301</v>
      </c>
      <c r="O519" s="4" t="s">
        <v>71</v>
      </c>
      <c r="P519" s="168" t="s">
        <v>2786</v>
      </c>
      <c r="Q519" s="4" t="s">
        <v>47</v>
      </c>
      <c r="R519" s="172"/>
      <c r="S519" s="172"/>
      <c r="T519" s="172"/>
      <c r="U519" s="172"/>
      <c r="V519" s="172"/>
      <c r="W519" s="172"/>
      <c r="X519" s="172"/>
      <c r="Y519" s="172"/>
      <c r="Z519" s="172"/>
    </row>
    <row r="520" spans="1:26" ht="13.8">
      <c r="A520" s="166">
        <v>332</v>
      </c>
      <c r="B520" s="4" t="s">
        <v>3857</v>
      </c>
      <c r="C520" s="4">
        <v>1220</v>
      </c>
      <c r="D520" s="4" t="s">
        <v>3858</v>
      </c>
      <c r="E520" s="4" t="s">
        <v>71</v>
      </c>
      <c r="F520" s="4" t="s">
        <v>3547</v>
      </c>
      <c r="G520" s="4" t="s">
        <v>3859</v>
      </c>
      <c r="H520" s="4" t="s">
        <v>3860</v>
      </c>
      <c r="I520" s="4" t="s">
        <v>534</v>
      </c>
      <c r="J520" s="4" t="s">
        <v>71</v>
      </c>
      <c r="K520" s="4">
        <v>9825309838</v>
      </c>
      <c r="L520" s="4" t="s">
        <v>2780</v>
      </c>
      <c r="M520" s="4">
        <v>9825309838</v>
      </c>
      <c r="N520" s="4" t="s">
        <v>3301</v>
      </c>
      <c r="O520" s="4" t="s">
        <v>71</v>
      </c>
      <c r="P520" s="168" t="s">
        <v>2786</v>
      </c>
      <c r="Q520" s="4" t="s">
        <v>47</v>
      </c>
      <c r="R520" s="172"/>
      <c r="S520" s="172"/>
      <c r="T520" s="172"/>
      <c r="U520" s="172"/>
      <c r="V520" s="172"/>
      <c r="W520" s="172"/>
      <c r="X520" s="172"/>
      <c r="Y520" s="172"/>
      <c r="Z520" s="172"/>
    </row>
    <row r="521" spans="1:26" ht="13.8">
      <c r="A521" s="166">
        <v>218</v>
      </c>
      <c r="B521" s="4" t="s">
        <v>2355</v>
      </c>
      <c r="C521" s="4">
        <v>1221</v>
      </c>
      <c r="D521" s="4" t="s">
        <v>3456</v>
      </c>
      <c r="E521" s="4" t="s">
        <v>71</v>
      </c>
      <c r="F521" s="4" t="s">
        <v>2354</v>
      </c>
      <c r="G521" s="4" t="s">
        <v>2358</v>
      </c>
      <c r="H521" s="4" t="s">
        <v>2359</v>
      </c>
      <c r="I521" s="4" t="s">
        <v>191</v>
      </c>
      <c r="J521" s="4" t="s">
        <v>2360</v>
      </c>
      <c r="K521" s="4">
        <v>9821359662</v>
      </c>
      <c r="L521" s="4" t="s">
        <v>3457</v>
      </c>
      <c r="M521" s="4">
        <v>9821359662</v>
      </c>
      <c r="N521" s="4" t="s">
        <v>2953</v>
      </c>
      <c r="O521" s="4" t="s">
        <v>71</v>
      </c>
      <c r="P521" s="4" t="s">
        <v>71</v>
      </c>
      <c r="Q521" s="4" t="s">
        <v>47</v>
      </c>
      <c r="R521" s="172"/>
      <c r="S521" s="172"/>
      <c r="T521" s="172"/>
      <c r="U521" s="172"/>
      <c r="V521" s="172"/>
      <c r="W521" s="172"/>
      <c r="X521" s="172"/>
      <c r="Y521" s="172"/>
      <c r="Z521" s="172"/>
    </row>
    <row r="522" spans="1:26" ht="13.8">
      <c r="A522" s="166">
        <v>223</v>
      </c>
      <c r="B522" s="4" t="s">
        <v>2389</v>
      </c>
      <c r="C522" s="4">
        <v>1222</v>
      </c>
      <c r="D522" s="4" t="s">
        <v>71</v>
      </c>
      <c r="E522" s="4" t="s">
        <v>71</v>
      </c>
      <c r="F522" s="4" t="s">
        <v>2364</v>
      </c>
      <c r="G522" s="4" t="s">
        <v>2368</v>
      </c>
      <c r="H522" s="4" t="s">
        <v>2391</v>
      </c>
      <c r="I522" s="4" t="s">
        <v>2392</v>
      </c>
      <c r="J522" s="4" t="s">
        <v>71</v>
      </c>
      <c r="K522" s="4" t="s">
        <v>71</v>
      </c>
      <c r="L522" s="4" t="s">
        <v>3458</v>
      </c>
      <c r="M522" s="4" t="s">
        <v>71</v>
      </c>
      <c r="N522" s="4" t="s">
        <v>71</v>
      </c>
      <c r="O522" s="4" t="s">
        <v>71</v>
      </c>
      <c r="P522" s="4" t="s">
        <v>71</v>
      </c>
      <c r="Q522" s="4" t="s">
        <v>47</v>
      </c>
      <c r="R522" s="172"/>
      <c r="S522" s="172"/>
      <c r="T522" s="172"/>
      <c r="U522" s="172"/>
      <c r="V522" s="172"/>
      <c r="W522" s="172"/>
      <c r="X522" s="172"/>
      <c r="Y522" s="172"/>
      <c r="Z522" s="172"/>
    </row>
    <row r="523" spans="1:26" ht="13.8">
      <c r="A523" s="166">
        <v>222</v>
      </c>
      <c r="B523" s="4" t="s">
        <v>2384</v>
      </c>
      <c r="C523" s="4">
        <v>1223</v>
      </c>
      <c r="D523" s="4" t="s">
        <v>71</v>
      </c>
      <c r="E523" s="4" t="s">
        <v>71</v>
      </c>
      <c r="F523" s="4" t="s">
        <v>2364</v>
      </c>
      <c r="G523" s="4" t="s">
        <v>2368</v>
      </c>
      <c r="H523" s="4" t="s">
        <v>2386</v>
      </c>
      <c r="I523" s="4" t="s">
        <v>191</v>
      </c>
      <c r="J523" s="4" t="s">
        <v>71</v>
      </c>
      <c r="K523" s="4" t="s">
        <v>71</v>
      </c>
      <c r="L523" s="4" t="s">
        <v>3458</v>
      </c>
      <c r="M523" s="4" t="s">
        <v>71</v>
      </c>
      <c r="N523" s="4" t="s">
        <v>71</v>
      </c>
      <c r="O523" s="4" t="s">
        <v>71</v>
      </c>
      <c r="P523" s="4" t="s">
        <v>71</v>
      </c>
      <c r="Q523" s="4" t="s">
        <v>47</v>
      </c>
      <c r="R523" s="172"/>
      <c r="S523" s="172"/>
      <c r="T523" s="172"/>
      <c r="U523" s="172"/>
      <c r="V523" s="172"/>
      <c r="W523" s="172"/>
      <c r="X523" s="172"/>
      <c r="Y523" s="172"/>
      <c r="Z523" s="172"/>
    </row>
    <row r="524" spans="1:26" ht="13.8">
      <c r="A524" s="166">
        <v>221</v>
      </c>
      <c r="B524" s="4" t="s">
        <v>2379</v>
      </c>
      <c r="C524" s="4">
        <v>1224</v>
      </c>
      <c r="D524" s="4" t="s">
        <v>71</v>
      </c>
      <c r="E524" s="4" t="s">
        <v>71</v>
      </c>
      <c r="F524" s="4" t="s">
        <v>2364</v>
      </c>
      <c r="G524" s="4" t="s">
        <v>2368</v>
      </c>
      <c r="H524" s="4" t="s">
        <v>2381</v>
      </c>
      <c r="I524" s="4" t="s">
        <v>78</v>
      </c>
      <c r="J524" s="4" t="s">
        <v>71</v>
      </c>
      <c r="K524" s="4" t="s">
        <v>71</v>
      </c>
      <c r="L524" s="4" t="s">
        <v>3458</v>
      </c>
      <c r="M524" s="4" t="s">
        <v>71</v>
      </c>
      <c r="N524" s="4" t="s">
        <v>71</v>
      </c>
      <c r="O524" s="4" t="s">
        <v>71</v>
      </c>
      <c r="P524" s="4" t="s">
        <v>71</v>
      </c>
      <c r="Q524" s="4" t="s">
        <v>47</v>
      </c>
      <c r="R524" s="172"/>
      <c r="S524" s="172"/>
      <c r="T524" s="172"/>
      <c r="U524" s="172"/>
      <c r="V524" s="172"/>
      <c r="W524" s="172"/>
      <c r="X524" s="172"/>
      <c r="Y524" s="172"/>
      <c r="Z524" s="172"/>
    </row>
    <row r="525" spans="1:26" ht="13.8">
      <c r="A525" s="166">
        <v>220</v>
      </c>
      <c r="B525" s="4" t="s">
        <v>2374</v>
      </c>
      <c r="C525" s="4">
        <v>1225</v>
      </c>
      <c r="D525" s="4" t="s">
        <v>71</v>
      </c>
      <c r="E525" s="4" t="s">
        <v>71</v>
      </c>
      <c r="F525" s="4" t="s">
        <v>2364</v>
      </c>
      <c r="G525" s="4" t="s">
        <v>2368</v>
      </c>
      <c r="H525" s="4" t="s">
        <v>2376</v>
      </c>
      <c r="I525" s="4" t="s">
        <v>78</v>
      </c>
      <c r="J525" s="4" t="s">
        <v>71</v>
      </c>
      <c r="K525" s="4" t="s">
        <v>71</v>
      </c>
      <c r="L525" s="4" t="s">
        <v>3458</v>
      </c>
      <c r="M525" s="4" t="s">
        <v>71</v>
      </c>
      <c r="N525" s="4" t="s">
        <v>71</v>
      </c>
      <c r="O525" s="4" t="s">
        <v>71</v>
      </c>
      <c r="P525" s="4" t="s">
        <v>71</v>
      </c>
      <c r="Q525" s="4" t="s">
        <v>47</v>
      </c>
      <c r="R525" s="172"/>
      <c r="S525" s="172"/>
      <c r="T525" s="172"/>
      <c r="U525" s="172"/>
      <c r="V525" s="172"/>
      <c r="W525" s="172"/>
      <c r="X525" s="172"/>
      <c r="Y525" s="172"/>
      <c r="Z525" s="172"/>
    </row>
    <row r="526" spans="1:26" ht="13.8">
      <c r="A526" s="166">
        <v>219</v>
      </c>
      <c r="B526" s="4" t="s">
        <v>2365</v>
      </c>
      <c r="C526" s="4">
        <v>1226</v>
      </c>
      <c r="D526" s="4" t="s">
        <v>71</v>
      </c>
      <c r="E526" s="4" t="s">
        <v>71</v>
      </c>
      <c r="F526" s="4" t="s">
        <v>2364</v>
      </c>
      <c r="G526" s="4" t="s">
        <v>2368</v>
      </c>
      <c r="H526" s="4" t="s">
        <v>2369</v>
      </c>
      <c r="I526" s="4" t="s">
        <v>2370</v>
      </c>
      <c r="J526" s="4" t="s">
        <v>71</v>
      </c>
      <c r="K526" s="4" t="s">
        <v>71</v>
      </c>
      <c r="L526" s="4" t="s">
        <v>3458</v>
      </c>
      <c r="M526" s="4" t="s">
        <v>71</v>
      </c>
      <c r="N526" s="4" t="s">
        <v>71</v>
      </c>
      <c r="O526" s="4" t="s">
        <v>71</v>
      </c>
      <c r="P526" s="4" t="s">
        <v>71</v>
      </c>
      <c r="Q526" s="4" t="s">
        <v>47</v>
      </c>
      <c r="R526" s="172"/>
      <c r="S526" s="172"/>
      <c r="T526" s="172"/>
      <c r="U526" s="172"/>
      <c r="V526" s="172"/>
      <c r="W526" s="172"/>
      <c r="X526" s="172"/>
      <c r="Y526" s="172"/>
      <c r="Z526" s="172"/>
    </row>
    <row r="527" spans="1:26" ht="13.8">
      <c r="A527" s="166">
        <v>224</v>
      </c>
      <c r="B527" s="4" t="s">
        <v>2396</v>
      </c>
      <c r="C527" s="4">
        <v>1228</v>
      </c>
      <c r="D527" s="4" t="s">
        <v>3459</v>
      </c>
      <c r="E527" s="4" t="s">
        <v>71</v>
      </c>
      <c r="F527" s="4" t="s">
        <v>2395</v>
      </c>
      <c r="G527" s="4" t="s">
        <v>2399</v>
      </c>
      <c r="H527" s="4" t="s">
        <v>2400</v>
      </c>
      <c r="I527" s="4" t="s">
        <v>191</v>
      </c>
      <c r="J527" s="4" t="s">
        <v>71</v>
      </c>
      <c r="K527" s="4">
        <v>9820561214</v>
      </c>
      <c r="L527" s="4" t="s">
        <v>3460</v>
      </c>
      <c r="M527" s="4">
        <v>9820561214</v>
      </c>
      <c r="N527" s="4" t="s">
        <v>3057</v>
      </c>
      <c r="O527" s="4" t="s">
        <v>71</v>
      </c>
      <c r="P527" s="4" t="s">
        <v>71</v>
      </c>
      <c r="Q527" s="4" t="s">
        <v>47</v>
      </c>
      <c r="R527" s="172"/>
      <c r="S527" s="172"/>
      <c r="T527" s="172"/>
      <c r="U527" s="172"/>
      <c r="V527" s="172"/>
      <c r="W527" s="172"/>
      <c r="X527" s="172"/>
      <c r="Y527" s="172"/>
      <c r="Z527" s="172"/>
    </row>
    <row r="528" spans="1:26" ht="13.8">
      <c r="A528" s="166">
        <v>225</v>
      </c>
      <c r="B528" s="4" t="s">
        <v>2404</v>
      </c>
      <c r="C528" s="4">
        <v>1229</v>
      </c>
      <c r="D528" s="4" t="s">
        <v>3461</v>
      </c>
      <c r="E528" s="4" t="s">
        <v>71</v>
      </c>
      <c r="F528" s="4" t="s">
        <v>2403</v>
      </c>
      <c r="G528" s="4" t="s">
        <v>2407</v>
      </c>
      <c r="H528" s="4" t="s">
        <v>2408</v>
      </c>
      <c r="I528" s="4" t="s">
        <v>534</v>
      </c>
      <c r="J528" s="4" t="s">
        <v>71</v>
      </c>
      <c r="K528" s="4">
        <v>9821324699</v>
      </c>
      <c r="L528" s="4" t="s">
        <v>3462</v>
      </c>
      <c r="M528" s="4">
        <v>9821324699</v>
      </c>
      <c r="N528" s="4" t="s">
        <v>3463</v>
      </c>
      <c r="O528" s="4" t="s">
        <v>71</v>
      </c>
      <c r="P528" s="4" t="s">
        <v>71</v>
      </c>
      <c r="Q528" s="4" t="s">
        <v>47</v>
      </c>
      <c r="R528" s="172"/>
      <c r="S528" s="172"/>
      <c r="T528" s="172"/>
      <c r="U528" s="172"/>
      <c r="V528" s="172"/>
      <c r="W528" s="172"/>
      <c r="X528" s="172"/>
      <c r="Y528" s="172"/>
      <c r="Z528" s="172"/>
    </row>
    <row r="529" spans="1:26" ht="13.8">
      <c r="A529" s="166">
        <v>226</v>
      </c>
      <c r="B529" s="4" t="s">
        <v>2413</v>
      </c>
      <c r="C529" s="4">
        <v>1230</v>
      </c>
      <c r="D529" s="4" t="s">
        <v>3464</v>
      </c>
      <c r="E529" s="4" t="s">
        <v>71</v>
      </c>
      <c r="F529" s="4" t="s">
        <v>2412</v>
      </c>
      <c r="G529" s="4" t="s">
        <v>2416</v>
      </c>
      <c r="H529" s="4" t="s">
        <v>2417</v>
      </c>
      <c r="I529" s="4" t="s">
        <v>1693</v>
      </c>
      <c r="J529" s="4" t="s">
        <v>2418</v>
      </c>
      <c r="K529" s="4">
        <v>9820149620</v>
      </c>
      <c r="L529" s="4" t="s">
        <v>3465</v>
      </c>
      <c r="M529" s="4">
        <v>9820149620</v>
      </c>
      <c r="N529" s="4" t="s">
        <v>2953</v>
      </c>
      <c r="O529" s="4" t="s">
        <v>71</v>
      </c>
      <c r="P529" s="4" t="s">
        <v>71</v>
      </c>
      <c r="Q529" s="4" t="s">
        <v>47</v>
      </c>
      <c r="R529" s="172"/>
      <c r="S529" s="172"/>
      <c r="T529" s="172"/>
      <c r="U529" s="172"/>
      <c r="V529" s="172"/>
      <c r="W529" s="172"/>
      <c r="X529" s="172"/>
      <c r="Y529" s="172"/>
      <c r="Z529" s="172"/>
    </row>
    <row r="530" spans="1:26" ht="13.8">
      <c r="A530" s="166">
        <v>227</v>
      </c>
      <c r="B530" s="4" t="s">
        <v>2421</v>
      </c>
      <c r="C530" s="4">
        <v>1231</v>
      </c>
      <c r="D530" s="4" t="s">
        <v>3466</v>
      </c>
      <c r="E530" s="4" t="s">
        <v>71</v>
      </c>
      <c r="F530" s="4" t="s">
        <v>2420</v>
      </c>
      <c r="G530" s="4" t="s">
        <v>2424</v>
      </c>
      <c r="H530" s="4" t="s">
        <v>2425</v>
      </c>
      <c r="I530" s="4" t="s">
        <v>2426</v>
      </c>
      <c r="J530" s="4" t="s">
        <v>71</v>
      </c>
      <c r="K530" s="4">
        <v>9370795843</v>
      </c>
      <c r="L530" s="4" t="s">
        <v>3467</v>
      </c>
      <c r="M530" s="4">
        <v>9370795843</v>
      </c>
      <c r="N530" s="4" t="s">
        <v>2953</v>
      </c>
      <c r="O530" s="4" t="s">
        <v>71</v>
      </c>
      <c r="P530" s="4" t="s">
        <v>71</v>
      </c>
      <c r="Q530" s="4" t="s">
        <v>47</v>
      </c>
      <c r="R530" s="172"/>
      <c r="S530" s="172"/>
      <c r="T530" s="172"/>
      <c r="U530" s="172"/>
      <c r="V530" s="172"/>
      <c r="W530" s="172"/>
      <c r="X530" s="172"/>
      <c r="Y530" s="172"/>
      <c r="Z530" s="172"/>
    </row>
    <row r="531" spans="1:26" ht="13.8">
      <c r="A531" s="166">
        <v>228</v>
      </c>
      <c r="B531" s="4" t="s">
        <v>2429</v>
      </c>
      <c r="C531" s="4">
        <v>1232</v>
      </c>
      <c r="D531" s="4" t="s">
        <v>3468</v>
      </c>
      <c r="E531" s="4" t="s">
        <v>71</v>
      </c>
      <c r="F531" s="4" t="s">
        <v>2428</v>
      </c>
      <c r="G531" s="4" t="s">
        <v>2432</v>
      </c>
      <c r="H531" s="4" t="s">
        <v>2433</v>
      </c>
      <c r="I531" s="4" t="s">
        <v>534</v>
      </c>
      <c r="J531" s="4" t="s">
        <v>2434</v>
      </c>
      <c r="K531" s="4">
        <v>9321887125</v>
      </c>
      <c r="L531" s="4" t="s">
        <v>2430</v>
      </c>
      <c r="M531" s="4">
        <v>9321887125</v>
      </c>
      <c r="N531" s="4" t="s">
        <v>2953</v>
      </c>
      <c r="O531" s="4" t="s">
        <v>71</v>
      </c>
      <c r="P531" s="168" t="s">
        <v>2435</v>
      </c>
      <c r="Q531" s="4" t="s">
        <v>47</v>
      </c>
      <c r="R531" s="172"/>
      <c r="S531" s="172"/>
      <c r="T531" s="172"/>
      <c r="U531" s="172"/>
      <c r="V531" s="172"/>
      <c r="W531" s="172"/>
      <c r="X531" s="172"/>
      <c r="Y531" s="172"/>
      <c r="Z531" s="172"/>
    </row>
    <row r="532" spans="1:26" ht="13.8">
      <c r="A532" s="166">
        <v>229</v>
      </c>
      <c r="B532" s="4" t="s">
        <v>2438</v>
      </c>
      <c r="C532" s="4">
        <v>1233</v>
      </c>
      <c r="D532" s="4" t="s">
        <v>3469</v>
      </c>
      <c r="E532" s="4" t="s">
        <v>71</v>
      </c>
      <c r="F532" s="4" t="s">
        <v>2437</v>
      </c>
      <c r="G532" s="4" t="s">
        <v>2441</v>
      </c>
      <c r="H532" s="4" t="s">
        <v>2442</v>
      </c>
      <c r="I532" s="4" t="s">
        <v>116</v>
      </c>
      <c r="J532" s="4" t="s">
        <v>2443</v>
      </c>
      <c r="K532" s="4">
        <v>9930880788</v>
      </c>
      <c r="L532" s="4" t="s">
        <v>3470</v>
      </c>
      <c r="M532" s="4">
        <v>9930880788</v>
      </c>
      <c r="N532" s="4" t="s">
        <v>3471</v>
      </c>
      <c r="O532" s="4" t="s">
        <v>71</v>
      </c>
      <c r="P532" s="168" t="s">
        <v>2444</v>
      </c>
      <c r="Q532" s="4" t="s">
        <v>47</v>
      </c>
      <c r="R532" s="172"/>
      <c r="S532" s="172"/>
      <c r="T532" s="172"/>
      <c r="U532" s="172"/>
      <c r="V532" s="172"/>
      <c r="W532" s="172"/>
      <c r="X532" s="172"/>
      <c r="Y532" s="172"/>
      <c r="Z532" s="172"/>
    </row>
    <row r="533" spans="1:26" ht="13.8">
      <c r="A533" s="166">
        <v>230</v>
      </c>
      <c r="B533" s="4" t="s">
        <v>2448</v>
      </c>
      <c r="C533" s="4">
        <v>1234</v>
      </c>
      <c r="D533" s="4" t="s">
        <v>3472</v>
      </c>
      <c r="E533" s="4" t="s">
        <v>71</v>
      </c>
      <c r="F533" s="4" t="s">
        <v>2447</v>
      </c>
      <c r="G533" s="4" t="s">
        <v>2451</v>
      </c>
      <c r="H533" s="4" t="s">
        <v>2452</v>
      </c>
      <c r="I533" s="4" t="s">
        <v>507</v>
      </c>
      <c r="J533" s="4" t="s">
        <v>71</v>
      </c>
      <c r="K533" s="4">
        <v>8668290535</v>
      </c>
      <c r="L533" s="4" t="s">
        <v>3473</v>
      </c>
      <c r="M533" s="4">
        <v>8668290535</v>
      </c>
      <c r="N533" s="4" t="s">
        <v>3057</v>
      </c>
      <c r="O533" s="4" t="s">
        <v>71</v>
      </c>
      <c r="P533" s="4" t="s">
        <v>71</v>
      </c>
      <c r="Q533" s="4" t="s">
        <v>47</v>
      </c>
      <c r="R533" s="172"/>
      <c r="S533" s="172"/>
      <c r="T533" s="172"/>
      <c r="U533" s="172"/>
      <c r="V533" s="172"/>
      <c r="W533" s="172"/>
      <c r="X533" s="172"/>
      <c r="Y533" s="172"/>
      <c r="Z533" s="172"/>
    </row>
    <row r="534" spans="1:26" ht="13.8">
      <c r="A534" s="166">
        <v>231</v>
      </c>
      <c r="B534" s="4" t="s">
        <v>2455</v>
      </c>
      <c r="C534" s="4">
        <v>1235</v>
      </c>
      <c r="D534" s="4" t="s">
        <v>3474</v>
      </c>
      <c r="E534" s="4" t="s">
        <v>71</v>
      </c>
      <c r="F534" s="4" t="s">
        <v>2454</v>
      </c>
      <c r="G534" s="4" t="s">
        <v>2458</v>
      </c>
      <c r="H534" s="4" t="s">
        <v>2459</v>
      </c>
      <c r="I534" s="4" t="s">
        <v>2460</v>
      </c>
      <c r="J534" s="4" t="s">
        <v>2461</v>
      </c>
      <c r="K534" s="4">
        <v>8108055577</v>
      </c>
      <c r="L534" s="4" t="s">
        <v>3475</v>
      </c>
      <c r="M534" s="4">
        <v>8108055577</v>
      </c>
      <c r="N534" s="4" t="s">
        <v>3057</v>
      </c>
      <c r="O534" s="4" t="s">
        <v>71</v>
      </c>
      <c r="P534" s="4" t="s">
        <v>71</v>
      </c>
      <c r="Q534" s="4" t="s">
        <v>47</v>
      </c>
      <c r="R534" s="172"/>
      <c r="S534" s="172"/>
      <c r="T534" s="172"/>
      <c r="U534" s="172"/>
      <c r="V534" s="172"/>
      <c r="W534" s="172"/>
      <c r="X534" s="172"/>
      <c r="Y534" s="172"/>
      <c r="Z534" s="172"/>
    </row>
    <row r="535" spans="1:26" ht="13.8">
      <c r="A535" s="166">
        <v>232</v>
      </c>
      <c r="B535" s="4" t="s">
        <v>2463</v>
      </c>
      <c r="C535" s="4">
        <v>1236</v>
      </c>
      <c r="D535" s="4" t="s">
        <v>3476</v>
      </c>
      <c r="E535" s="4" t="s">
        <v>71</v>
      </c>
      <c r="F535" s="4" t="s">
        <v>2454</v>
      </c>
      <c r="G535" s="4" t="s">
        <v>2458</v>
      </c>
      <c r="H535" s="4" t="s">
        <v>2466</v>
      </c>
      <c r="I535" s="4" t="s">
        <v>2460</v>
      </c>
      <c r="J535" s="4" t="s">
        <v>2461</v>
      </c>
      <c r="K535" s="4">
        <v>9833110483</v>
      </c>
      <c r="L535" s="4" t="s">
        <v>3475</v>
      </c>
      <c r="M535" s="4">
        <v>9833110483</v>
      </c>
      <c r="N535" s="4" t="s">
        <v>2953</v>
      </c>
      <c r="O535" s="4" t="s">
        <v>71</v>
      </c>
      <c r="P535" s="4" t="s">
        <v>71</v>
      </c>
      <c r="Q535" s="4" t="s">
        <v>47</v>
      </c>
      <c r="R535" s="172"/>
      <c r="S535" s="172"/>
      <c r="T535" s="172"/>
      <c r="U535" s="172"/>
      <c r="V535" s="172"/>
      <c r="W535" s="172"/>
      <c r="X535" s="172"/>
      <c r="Y535" s="172"/>
      <c r="Z535" s="172"/>
    </row>
    <row r="536" spans="1:26" ht="13.8">
      <c r="A536" s="166">
        <v>233</v>
      </c>
      <c r="B536" s="4" t="s">
        <v>2468</v>
      </c>
      <c r="C536" s="4">
        <v>1237</v>
      </c>
      <c r="D536" s="4" t="s">
        <v>71</v>
      </c>
      <c r="E536" s="4" t="s">
        <v>71</v>
      </c>
      <c r="F536" s="4" t="s">
        <v>71</v>
      </c>
      <c r="G536" s="4" t="s">
        <v>2471</v>
      </c>
      <c r="H536" s="4" t="s">
        <v>2472</v>
      </c>
      <c r="I536" s="4" t="s">
        <v>2473</v>
      </c>
      <c r="J536" s="4" t="s">
        <v>71</v>
      </c>
      <c r="K536" s="4">
        <v>9323115729</v>
      </c>
      <c r="L536" s="4" t="s">
        <v>3477</v>
      </c>
      <c r="M536" s="4">
        <v>9323115729</v>
      </c>
      <c r="N536" s="4" t="s">
        <v>71</v>
      </c>
      <c r="O536" s="4" t="s">
        <v>71</v>
      </c>
      <c r="P536" s="4" t="s">
        <v>71</v>
      </c>
      <c r="Q536" s="4" t="s">
        <v>47</v>
      </c>
      <c r="R536" s="172"/>
      <c r="S536" s="172"/>
      <c r="T536" s="172"/>
      <c r="U536" s="172"/>
      <c r="V536" s="172"/>
      <c r="W536" s="172"/>
      <c r="X536" s="172"/>
      <c r="Y536" s="172"/>
      <c r="Z536" s="172"/>
    </row>
    <row r="537" spans="1:26" ht="13.8">
      <c r="A537" s="166">
        <v>234</v>
      </c>
      <c r="B537" s="4" t="s">
        <v>2476</v>
      </c>
      <c r="C537" s="4">
        <v>1238</v>
      </c>
      <c r="D537" s="4" t="s">
        <v>3478</v>
      </c>
      <c r="E537" s="4" t="s">
        <v>71</v>
      </c>
      <c r="F537" s="4" t="s">
        <v>2475</v>
      </c>
      <c r="G537" s="4" t="s">
        <v>2479</v>
      </c>
      <c r="H537" s="4" t="s">
        <v>2479</v>
      </c>
      <c r="I537" s="4" t="s">
        <v>534</v>
      </c>
      <c r="J537" s="4" t="s">
        <v>2480</v>
      </c>
      <c r="K537" s="4">
        <v>9870279593</v>
      </c>
      <c r="L537" s="4" t="s">
        <v>3479</v>
      </c>
      <c r="M537" s="4">
        <v>9870279593</v>
      </c>
      <c r="N537" s="4" t="s">
        <v>2953</v>
      </c>
      <c r="O537" s="4" t="s">
        <v>71</v>
      </c>
      <c r="P537" s="4" t="s">
        <v>71</v>
      </c>
      <c r="Q537" s="4" t="s">
        <v>47</v>
      </c>
      <c r="R537" s="172"/>
      <c r="S537" s="172"/>
      <c r="T537" s="172"/>
      <c r="U537" s="172"/>
      <c r="V537" s="172"/>
      <c r="W537" s="172"/>
      <c r="X537" s="172"/>
      <c r="Y537" s="172"/>
      <c r="Z537" s="172"/>
    </row>
    <row r="538" spans="1:26" ht="13.8">
      <c r="A538" s="166">
        <v>235</v>
      </c>
      <c r="B538" s="4" t="s">
        <v>2482</v>
      </c>
      <c r="C538" s="4">
        <v>1239</v>
      </c>
      <c r="D538" s="4" t="s">
        <v>3480</v>
      </c>
      <c r="E538" s="4" t="s">
        <v>71</v>
      </c>
      <c r="F538" s="4" t="s">
        <v>2481</v>
      </c>
      <c r="G538" s="4" t="s">
        <v>2485</v>
      </c>
      <c r="H538" s="4" t="s">
        <v>2486</v>
      </c>
      <c r="I538" s="4" t="s">
        <v>507</v>
      </c>
      <c r="J538" s="4" t="s">
        <v>71</v>
      </c>
      <c r="K538" s="4">
        <v>9324433535</v>
      </c>
      <c r="L538" s="4" t="s">
        <v>3481</v>
      </c>
      <c r="M538" s="4">
        <v>9324433535</v>
      </c>
      <c r="N538" s="4" t="s">
        <v>2953</v>
      </c>
      <c r="O538" s="4" t="s">
        <v>71</v>
      </c>
      <c r="P538" s="4" t="s">
        <v>71</v>
      </c>
      <c r="Q538" s="4" t="s">
        <v>47</v>
      </c>
      <c r="R538" s="172"/>
      <c r="S538" s="172"/>
      <c r="T538" s="172"/>
      <c r="U538" s="172"/>
      <c r="V538" s="172"/>
      <c r="W538" s="172"/>
      <c r="X538" s="172"/>
      <c r="Y538" s="172"/>
      <c r="Z538" s="172"/>
    </row>
    <row r="539" spans="1:26" ht="13.8">
      <c r="A539" s="166">
        <v>236</v>
      </c>
      <c r="B539" s="4" t="s">
        <v>2489</v>
      </c>
      <c r="C539" s="4">
        <v>1240</v>
      </c>
      <c r="D539" s="4" t="s">
        <v>3482</v>
      </c>
      <c r="E539" s="4" t="s">
        <v>71</v>
      </c>
      <c r="F539" s="4" t="s">
        <v>2488</v>
      </c>
      <c r="G539" s="4" t="s">
        <v>2492</v>
      </c>
      <c r="H539" s="4" t="s">
        <v>2493</v>
      </c>
      <c r="I539" s="4" t="s">
        <v>116</v>
      </c>
      <c r="J539" s="4" t="s">
        <v>71</v>
      </c>
      <c r="K539" s="4">
        <v>9920366493</v>
      </c>
      <c r="L539" s="4" t="s">
        <v>3483</v>
      </c>
      <c r="M539" s="4">
        <v>9920366493</v>
      </c>
      <c r="N539" s="4" t="s">
        <v>2953</v>
      </c>
      <c r="O539" s="4" t="s">
        <v>71</v>
      </c>
      <c r="P539" s="4" t="s">
        <v>71</v>
      </c>
      <c r="Q539" s="4" t="s">
        <v>47</v>
      </c>
      <c r="R539" s="172"/>
      <c r="S539" s="172"/>
      <c r="T539" s="172"/>
      <c r="U539" s="172"/>
      <c r="V539" s="172"/>
      <c r="W539" s="172"/>
      <c r="X539" s="172"/>
      <c r="Y539" s="172"/>
      <c r="Z539" s="172"/>
    </row>
    <row r="540" spans="1:26" ht="13.8">
      <c r="A540" s="166">
        <v>237</v>
      </c>
      <c r="B540" s="4" t="s">
        <v>2497</v>
      </c>
      <c r="C540" s="4">
        <v>1241</v>
      </c>
      <c r="D540" s="4" t="s">
        <v>3484</v>
      </c>
      <c r="E540" s="4" t="s">
        <v>71</v>
      </c>
      <c r="F540" s="4" t="s">
        <v>2496</v>
      </c>
      <c r="G540" s="4" t="s">
        <v>2500</v>
      </c>
      <c r="H540" s="4" t="s">
        <v>2501</v>
      </c>
      <c r="I540" s="4" t="s">
        <v>1009</v>
      </c>
      <c r="J540" s="4" t="s">
        <v>71</v>
      </c>
      <c r="K540" s="4">
        <v>7696719671</v>
      </c>
      <c r="L540" s="4" t="s">
        <v>3485</v>
      </c>
      <c r="M540" s="4">
        <v>7696719671</v>
      </c>
      <c r="N540" s="4" t="s">
        <v>2953</v>
      </c>
      <c r="O540" s="4" t="s">
        <v>71</v>
      </c>
      <c r="P540" s="4" t="s">
        <v>71</v>
      </c>
      <c r="Q540" s="4" t="s">
        <v>47</v>
      </c>
      <c r="R540" s="172"/>
      <c r="S540" s="172"/>
      <c r="T540" s="172"/>
      <c r="U540" s="172"/>
      <c r="V540" s="172"/>
      <c r="W540" s="172"/>
      <c r="X540" s="172"/>
      <c r="Y540" s="172"/>
      <c r="Z540" s="172"/>
    </row>
    <row r="541" spans="1:26" ht="13.8">
      <c r="A541" s="166">
        <v>238</v>
      </c>
      <c r="B541" s="4" t="s">
        <v>2506</v>
      </c>
      <c r="C541" s="4">
        <v>1248</v>
      </c>
      <c r="D541" s="4" t="s">
        <v>71</v>
      </c>
      <c r="E541" s="4" t="s">
        <v>71</v>
      </c>
      <c r="F541" s="4" t="s">
        <v>71</v>
      </c>
      <c r="G541" s="4" t="s">
        <v>71</v>
      </c>
      <c r="H541" s="4" t="s">
        <v>2509</v>
      </c>
      <c r="I541" s="4" t="s">
        <v>71</v>
      </c>
      <c r="J541" s="4" t="s">
        <v>71</v>
      </c>
      <c r="K541" s="4">
        <v>8291139581</v>
      </c>
      <c r="L541" s="4" t="s">
        <v>3486</v>
      </c>
      <c r="M541" s="4">
        <v>8291139581</v>
      </c>
      <c r="N541" s="4" t="s">
        <v>71</v>
      </c>
      <c r="O541" s="4" t="s">
        <v>71</v>
      </c>
      <c r="P541" s="4" t="s">
        <v>71</v>
      </c>
      <c r="Q541" s="4" t="s">
        <v>47</v>
      </c>
      <c r="R541" s="172"/>
      <c r="S541" s="172"/>
      <c r="T541" s="172"/>
      <c r="U541" s="172"/>
      <c r="V541" s="172"/>
      <c r="W541" s="172"/>
      <c r="X541" s="172"/>
      <c r="Y541" s="172"/>
      <c r="Z541" s="172"/>
    </row>
    <row r="542" spans="1:26" ht="13.8">
      <c r="A542" s="166">
        <v>239</v>
      </c>
      <c r="B542" s="4" t="s">
        <v>2510</v>
      </c>
      <c r="C542" s="4">
        <v>1249</v>
      </c>
      <c r="D542" s="4" t="s">
        <v>71</v>
      </c>
      <c r="E542" s="4" t="s">
        <v>71</v>
      </c>
      <c r="F542" s="4" t="s">
        <v>71</v>
      </c>
      <c r="G542" s="4" t="s">
        <v>2513</v>
      </c>
      <c r="H542" s="4" t="s">
        <v>2514</v>
      </c>
      <c r="I542" s="4" t="s">
        <v>2515</v>
      </c>
      <c r="J542" s="4" t="s">
        <v>71</v>
      </c>
      <c r="K542" s="4">
        <v>9769003397</v>
      </c>
      <c r="L542" s="4" t="s">
        <v>3486</v>
      </c>
      <c r="M542" s="4">
        <v>9769003397</v>
      </c>
      <c r="N542" s="4" t="s">
        <v>71</v>
      </c>
      <c r="O542" s="4" t="s">
        <v>71</v>
      </c>
      <c r="P542" s="4" t="s">
        <v>71</v>
      </c>
      <c r="Q542" s="4" t="s">
        <v>47</v>
      </c>
      <c r="R542" s="172"/>
      <c r="S542" s="172"/>
      <c r="T542" s="172"/>
      <c r="U542" s="172"/>
      <c r="V542" s="172"/>
      <c r="W542" s="172"/>
      <c r="X542" s="172"/>
      <c r="Y542" s="172"/>
      <c r="Z542" s="172"/>
    </row>
    <row r="543" spans="1:26" ht="13.8">
      <c r="A543" s="166">
        <v>240</v>
      </c>
      <c r="B543" s="4" t="s">
        <v>2517</v>
      </c>
      <c r="C543" s="4">
        <v>1250</v>
      </c>
      <c r="D543" s="4" t="s">
        <v>3487</v>
      </c>
      <c r="E543" s="4" t="s">
        <v>71</v>
      </c>
      <c r="F543" s="4" t="s">
        <v>2516</v>
      </c>
      <c r="G543" s="4" t="s">
        <v>2520</v>
      </c>
      <c r="H543" s="4" t="s">
        <v>2521</v>
      </c>
      <c r="I543" s="4" t="s">
        <v>2522</v>
      </c>
      <c r="J543" s="4" t="s">
        <v>3488</v>
      </c>
      <c r="K543" s="4">
        <v>9323881334</v>
      </c>
      <c r="L543" s="4" t="s">
        <v>3489</v>
      </c>
      <c r="M543" s="4">
        <v>9323881334</v>
      </c>
      <c r="N543" s="4" t="s">
        <v>2953</v>
      </c>
      <c r="O543" s="4" t="s">
        <v>71</v>
      </c>
      <c r="P543" s="168" t="s">
        <v>2524</v>
      </c>
      <c r="Q543" s="4" t="s">
        <v>47</v>
      </c>
      <c r="R543" s="172"/>
      <c r="S543" s="172"/>
      <c r="T543" s="172"/>
      <c r="U543" s="172"/>
      <c r="V543" s="172"/>
      <c r="W543" s="172"/>
      <c r="X543" s="172"/>
      <c r="Y543" s="172"/>
      <c r="Z543" s="172"/>
    </row>
    <row r="544" spans="1:26" ht="13.8">
      <c r="A544" s="166">
        <v>733</v>
      </c>
      <c r="B544" s="4" t="s">
        <v>2722</v>
      </c>
      <c r="C544" s="4">
        <v>1251</v>
      </c>
      <c r="D544" s="4" t="s">
        <v>5980</v>
      </c>
      <c r="E544" s="4" t="s">
        <v>71</v>
      </c>
      <c r="F544" s="4" t="s">
        <v>2730</v>
      </c>
      <c r="G544" s="4" t="s">
        <v>2725</v>
      </c>
      <c r="H544" s="4" t="s">
        <v>2726</v>
      </c>
      <c r="I544" s="4" t="s">
        <v>2727</v>
      </c>
      <c r="J544" s="4" t="s">
        <v>2728</v>
      </c>
      <c r="K544" s="4" t="s">
        <v>8279</v>
      </c>
      <c r="L544" s="4" t="s">
        <v>2723</v>
      </c>
      <c r="M544" s="4" t="s">
        <v>8279</v>
      </c>
      <c r="N544" s="4" t="s">
        <v>5981</v>
      </c>
      <c r="O544" s="4" t="s">
        <v>71</v>
      </c>
      <c r="P544" s="168" t="s">
        <v>2729</v>
      </c>
      <c r="Q544" s="4" t="s">
        <v>47</v>
      </c>
      <c r="R544" s="172"/>
      <c r="S544" s="172"/>
      <c r="T544" s="172"/>
      <c r="U544" s="172"/>
      <c r="V544" s="172"/>
      <c r="W544" s="172"/>
      <c r="X544" s="172"/>
      <c r="Y544" s="172"/>
      <c r="Z544" s="172"/>
    </row>
    <row r="545" spans="1:26" ht="13.8">
      <c r="A545" s="166">
        <v>242</v>
      </c>
      <c r="B545" s="4" t="s">
        <v>2525</v>
      </c>
      <c r="C545" s="4">
        <v>1252</v>
      </c>
      <c r="D545" s="4" t="s">
        <v>3494</v>
      </c>
      <c r="E545" s="4" t="s">
        <v>71</v>
      </c>
      <c r="F545" s="4" t="s">
        <v>3495</v>
      </c>
      <c r="G545" s="4" t="s">
        <v>1109</v>
      </c>
      <c r="H545" s="4" t="s">
        <v>2528</v>
      </c>
      <c r="I545" s="4" t="s">
        <v>42</v>
      </c>
      <c r="J545" s="4" t="s">
        <v>71</v>
      </c>
      <c r="K545" s="4">
        <v>9821073129</v>
      </c>
      <c r="L545" s="4" t="s">
        <v>3496</v>
      </c>
      <c r="M545" s="4">
        <v>9821073129</v>
      </c>
      <c r="N545" s="4" t="s">
        <v>2953</v>
      </c>
      <c r="O545" s="4" t="s">
        <v>71</v>
      </c>
      <c r="P545" s="4" t="s">
        <v>71</v>
      </c>
      <c r="Q545" s="4" t="s">
        <v>47</v>
      </c>
      <c r="R545" s="172"/>
      <c r="S545" s="172"/>
      <c r="T545" s="172"/>
      <c r="U545" s="172"/>
      <c r="V545" s="172"/>
      <c r="W545" s="172"/>
      <c r="X545" s="172"/>
      <c r="Y545" s="172"/>
      <c r="Z545" s="172"/>
    </row>
    <row r="546" spans="1:26" ht="13.8">
      <c r="A546" s="166">
        <v>243</v>
      </c>
      <c r="B546" s="4" t="s">
        <v>2531</v>
      </c>
      <c r="C546" s="4">
        <v>1253</v>
      </c>
      <c r="D546" s="4" t="s">
        <v>3497</v>
      </c>
      <c r="E546" s="4" t="s">
        <v>2529</v>
      </c>
      <c r="F546" s="4" t="s">
        <v>2530</v>
      </c>
      <c r="G546" s="4" t="s">
        <v>2534</v>
      </c>
      <c r="H546" s="4" t="s">
        <v>2533</v>
      </c>
      <c r="I546" s="4" t="s">
        <v>3498</v>
      </c>
      <c r="J546" s="4" t="s">
        <v>71</v>
      </c>
      <c r="K546" s="4">
        <v>9022122046</v>
      </c>
      <c r="L546" s="4" t="s">
        <v>3499</v>
      </c>
      <c r="M546" s="4">
        <v>9022122046</v>
      </c>
      <c r="N546" s="4" t="s">
        <v>3500</v>
      </c>
      <c r="O546" s="4" t="s">
        <v>71</v>
      </c>
      <c r="P546" s="4" t="s">
        <v>71</v>
      </c>
      <c r="Q546" s="4" t="s">
        <v>47</v>
      </c>
      <c r="R546" s="172"/>
      <c r="S546" s="172"/>
      <c r="T546" s="172"/>
      <c r="U546" s="172"/>
      <c r="V546" s="172"/>
      <c r="W546" s="172"/>
      <c r="X546" s="172"/>
      <c r="Y546" s="172"/>
      <c r="Z546" s="172"/>
    </row>
    <row r="547" spans="1:26" ht="13.8">
      <c r="A547" s="166">
        <v>244</v>
      </c>
      <c r="B547" s="4" t="s">
        <v>2546</v>
      </c>
      <c r="C547" s="4">
        <v>1254</v>
      </c>
      <c r="D547" s="4" t="s">
        <v>71</v>
      </c>
      <c r="E547" s="4" t="s">
        <v>71</v>
      </c>
      <c r="F547" s="4" t="s">
        <v>71</v>
      </c>
      <c r="G547" s="4" t="s">
        <v>2549</v>
      </c>
      <c r="H547" s="4" t="s">
        <v>2550</v>
      </c>
      <c r="I547" s="4" t="s">
        <v>71</v>
      </c>
      <c r="J547" s="4" t="s">
        <v>71</v>
      </c>
      <c r="K547" s="4">
        <v>8005912562</v>
      </c>
      <c r="L547" s="4" t="s">
        <v>3501</v>
      </c>
      <c r="M547" s="4">
        <v>8005912562</v>
      </c>
      <c r="N547" s="4" t="s">
        <v>71</v>
      </c>
      <c r="O547" s="4" t="s">
        <v>71</v>
      </c>
      <c r="P547" s="4" t="s">
        <v>71</v>
      </c>
      <c r="Q547" s="4" t="s">
        <v>47</v>
      </c>
      <c r="R547" s="172"/>
      <c r="S547" s="172"/>
      <c r="T547" s="172"/>
      <c r="U547" s="172"/>
      <c r="V547" s="172"/>
      <c r="W547" s="172"/>
      <c r="X547" s="172"/>
      <c r="Y547" s="172"/>
      <c r="Z547" s="172"/>
    </row>
    <row r="548" spans="1:26" ht="13.8">
      <c r="A548" s="166">
        <v>245</v>
      </c>
      <c r="B548" s="4" t="s">
        <v>2552</v>
      </c>
      <c r="C548" s="4">
        <v>1255</v>
      </c>
      <c r="D548" s="4" t="s">
        <v>3502</v>
      </c>
      <c r="E548" s="4" t="s">
        <v>2551</v>
      </c>
      <c r="F548" s="4" t="s">
        <v>467</v>
      </c>
      <c r="G548" s="4" t="s">
        <v>2555</v>
      </c>
      <c r="H548" s="4" t="s">
        <v>2556</v>
      </c>
      <c r="I548" s="4" t="s">
        <v>3503</v>
      </c>
      <c r="J548" s="4" t="s">
        <v>2919</v>
      </c>
      <c r="K548" s="4">
        <v>8591345050</v>
      </c>
      <c r="L548" s="4" t="s">
        <v>3504</v>
      </c>
      <c r="M548" s="4">
        <v>8591345050</v>
      </c>
      <c r="N548" s="4" t="s">
        <v>3191</v>
      </c>
      <c r="O548" s="168" t="s">
        <v>3192</v>
      </c>
      <c r="P548" s="168" t="s">
        <v>3193</v>
      </c>
      <c r="Q548" s="4" t="s">
        <v>47</v>
      </c>
      <c r="R548" s="172"/>
      <c r="S548" s="172"/>
      <c r="T548" s="172"/>
      <c r="U548" s="172"/>
      <c r="V548" s="172"/>
      <c r="W548" s="172"/>
      <c r="X548" s="172"/>
      <c r="Y548" s="172"/>
      <c r="Z548" s="172"/>
    </row>
    <row r="549" spans="1:26" ht="13.8">
      <c r="A549" s="166">
        <v>246</v>
      </c>
      <c r="B549" s="4" t="s">
        <v>2559</v>
      </c>
      <c r="C549" s="4">
        <v>1257</v>
      </c>
      <c r="D549" s="4" t="s">
        <v>3505</v>
      </c>
      <c r="E549" s="4" t="s">
        <v>71</v>
      </c>
      <c r="F549" s="4" t="s">
        <v>2558</v>
      </c>
      <c r="G549" s="4" t="s">
        <v>2562</v>
      </c>
      <c r="H549" s="4" t="s">
        <v>2563</v>
      </c>
      <c r="I549" s="4" t="s">
        <v>191</v>
      </c>
      <c r="J549" s="4" t="s">
        <v>2564</v>
      </c>
      <c r="K549" s="4">
        <v>9820726026</v>
      </c>
      <c r="L549" s="4" t="s">
        <v>3506</v>
      </c>
      <c r="M549" s="4">
        <v>9820726026</v>
      </c>
      <c r="N549" s="4" t="s">
        <v>2566</v>
      </c>
      <c r="O549" s="4" t="s">
        <v>71</v>
      </c>
      <c r="P549" s="168" t="s">
        <v>2565</v>
      </c>
      <c r="Q549" s="4" t="s">
        <v>47</v>
      </c>
      <c r="R549" s="172"/>
      <c r="S549" s="172"/>
      <c r="T549" s="172"/>
      <c r="U549" s="172"/>
      <c r="V549" s="172"/>
      <c r="W549" s="172"/>
      <c r="X549" s="172"/>
      <c r="Y549" s="172"/>
      <c r="Z549" s="172"/>
    </row>
    <row r="550" spans="1:26" ht="13.8">
      <c r="A550" s="166">
        <v>247</v>
      </c>
      <c r="B550" s="4" t="s">
        <v>2569</v>
      </c>
      <c r="C550" s="4">
        <v>1258</v>
      </c>
      <c r="D550" s="4" t="s">
        <v>3507</v>
      </c>
      <c r="E550" s="4" t="s">
        <v>71</v>
      </c>
      <c r="F550" s="4" t="s">
        <v>2558</v>
      </c>
      <c r="G550" s="4" t="s">
        <v>2562</v>
      </c>
      <c r="H550" s="4" t="s">
        <v>2572</v>
      </c>
      <c r="I550" s="4" t="s">
        <v>191</v>
      </c>
      <c r="J550" s="4" t="s">
        <v>71</v>
      </c>
      <c r="K550" s="4">
        <v>9893036888</v>
      </c>
      <c r="L550" s="4" t="s">
        <v>3506</v>
      </c>
      <c r="M550" s="4">
        <v>9893036888</v>
      </c>
      <c r="N550" s="4" t="s">
        <v>2566</v>
      </c>
      <c r="O550" s="4" t="s">
        <v>71</v>
      </c>
      <c r="P550" s="4" t="s">
        <v>71</v>
      </c>
      <c r="Q550" s="4" t="s">
        <v>47</v>
      </c>
      <c r="R550" s="172"/>
      <c r="S550" s="172"/>
      <c r="T550" s="172"/>
      <c r="U550" s="172"/>
      <c r="V550" s="172"/>
      <c r="W550" s="172"/>
      <c r="X550" s="172"/>
      <c r="Y550" s="172"/>
      <c r="Z550" s="172"/>
    </row>
    <row r="551" spans="1:26" ht="13.8">
      <c r="A551" s="166">
        <v>388</v>
      </c>
      <c r="B551" s="4" t="s">
        <v>4315</v>
      </c>
      <c r="C551" s="4">
        <v>1261</v>
      </c>
      <c r="D551" s="4" t="s">
        <v>4316</v>
      </c>
      <c r="E551" s="4" t="s">
        <v>4317</v>
      </c>
      <c r="F551" s="4" t="s">
        <v>4318</v>
      </c>
      <c r="G551" s="4" t="s">
        <v>4319</v>
      </c>
      <c r="H551" s="4" t="s">
        <v>4320</v>
      </c>
      <c r="I551" s="4" t="s">
        <v>4321</v>
      </c>
      <c r="J551" s="4" t="s">
        <v>4322</v>
      </c>
      <c r="K551" s="4">
        <v>8850230627</v>
      </c>
      <c r="L551" s="4" t="s">
        <v>4323</v>
      </c>
      <c r="M551" s="4">
        <v>8850230627</v>
      </c>
      <c r="N551" s="4" t="s">
        <v>4324</v>
      </c>
      <c r="O551" s="168" t="s">
        <v>4325</v>
      </c>
      <c r="P551" s="168" t="s">
        <v>4326</v>
      </c>
      <c r="Q551" s="4" t="s">
        <v>47</v>
      </c>
      <c r="R551" s="172"/>
      <c r="S551" s="172"/>
      <c r="T551" s="172"/>
      <c r="U551" s="172"/>
      <c r="V551" s="172"/>
      <c r="W551" s="172"/>
      <c r="X551" s="172"/>
      <c r="Y551" s="172"/>
      <c r="Z551" s="172"/>
    </row>
    <row r="552" spans="1:26" ht="13.8">
      <c r="A552" s="166">
        <v>333</v>
      </c>
      <c r="B552" s="4" t="s">
        <v>3861</v>
      </c>
      <c r="C552" s="4">
        <v>1263</v>
      </c>
      <c r="D552" s="4" t="s">
        <v>3862</v>
      </c>
      <c r="E552" s="4" t="s">
        <v>3863</v>
      </c>
      <c r="F552" s="4" t="s">
        <v>3864</v>
      </c>
      <c r="G552" s="4" t="s">
        <v>3865</v>
      </c>
      <c r="H552" s="4" t="s">
        <v>3866</v>
      </c>
      <c r="I552" s="4" t="s">
        <v>3867</v>
      </c>
      <c r="J552" s="4" t="s">
        <v>3868</v>
      </c>
      <c r="K552" s="4">
        <v>7977277626</v>
      </c>
      <c r="L552" s="4" t="s">
        <v>3869</v>
      </c>
      <c r="M552" s="4">
        <v>7977277626</v>
      </c>
      <c r="N552" s="4" t="s">
        <v>3870</v>
      </c>
      <c r="O552" s="4" t="s">
        <v>71</v>
      </c>
      <c r="P552" s="168" t="s">
        <v>3871</v>
      </c>
      <c r="Q552" s="4" t="s">
        <v>47</v>
      </c>
      <c r="R552" s="172"/>
      <c r="S552" s="172"/>
      <c r="T552" s="172"/>
      <c r="U552" s="172"/>
      <c r="V552" s="172"/>
      <c r="W552" s="172"/>
      <c r="X552" s="172"/>
      <c r="Y552" s="172"/>
      <c r="Z552" s="172"/>
    </row>
    <row r="553" spans="1:26" ht="13.8">
      <c r="A553" s="166">
        <v>248</v>
      </c>
      <c r="B553" s="4" t="s">
        <v>2576</v>
      </c>
      <c r="C553" s="4">
        <v>1266</v>
      </c>
      <c r="D553" s="4" t="s">
        <v>3508</v>
      </c>
      <c r="E553" s="4" t="s">
        <v>71</v>
      </c>
      <c r="F553" s="4" t="s">
        <v>2575</v>
      </c>
      <c r="G553" s="4" t="s">
        <v>2579</v>
      </c>
      <c r="H553" s="4" t="s">
        <v>2580</v>
      </c>
      <c r="I553" s="4" t="s">
        <v>260</v>
      </c>
      <c r="J553" s="4" t="s">
        <v>2581</v>
      </c>
      <c r="K553" s="4">
        <v>85291327736</v>
      </c>
      <c r="L553" s="4" t="s">
        <v>3509</v>
      </c>
      <c r="M553" s="4">
        <v>85291327736</v>
      </c>
      <c r="N553" s="4" t="s">
        <v>3510</v>
      </c>
      <c r="O553" s="4" t="s">
        <v>71</v>
      </c>
      <c r="P553" s="4" t="s">
        <v>71</v>
      </c>
      <c r="Q553" s="4" t="s">
        <v>47</v>
      </c>
      <c r="R553" s="172"/>
      <c r="S553" s="172"/>
      <c r="T553" s="172"/>
      <c r="U553" s="172"/>
      <c r="V553" s="172"/>
      <c r="W553" s="172"/>
      <c r="X553" s="172"/>
      <c r="Y553" s="172"/>
      <c r="Z553" s="172"/>
    </row>
    <row r="554" spans="1:26" ht="13.8">
      <c r="A554" s="166">
        <v>249</v>
      </c>
      <c r="B554" s="4" t="s">
        <v>2585</v>
      </c>
      <c r="C554" s="4">
        <v>1269</v>
      </c>
      <c r="D554" s="4" t="s">
        <v>3511</v>
      </c>
      <c r="E554" s="4" t="s">
        <v>71</v>
      </c>
      <c r="F554" s="4" t="s">
        <v>2584</v>
      </c>
      <c r="G554" s="4" t="s">
        <v>2588</v>
      </c>
      <c r="H554" s="4" t="s">
        <v>2589</v>
      </c>
      <c r="I554" s="4" t="s">
        <v>534</v>
      </c>
      <c r="J554" s="4" t="s">
        <v>2590</v>
      </c>
      <c r="K554" s="4">
        <v>9076399090</v>
      </c>
      <c r="L554" s="4" t="s">
        <v>3512</v>
      </c>
      <c r="M554" s="4">
        <v>9076399090</v>
      </c>
      <c r="N554" s="4" t="s">
        <v>2953</v>
      </c>
      <c r="O554" s="4" t="s">
        <v>71</v>
      </c>
      <c r="P554" s="4" t="s">
        <v>71</v>
      </c>
      <c r="Q554" s="4" t="s">
        <v>47</v>
      </c>
      <c r="R554" s="172"/>
      <c r="S554" s="172"/>
      <c r="T554" s="172"/>
      <c r="U554" s="172"/>
      <c r="V554" s="172"/>
      <c r="W554" s="172"/>
      <c r="X554" s="172"/>
      <c r="Y554" s="172"/>
      <c r="Z554" s="172"/>
    </row>
    <row r="555" spans="1:26" ht="13.8">
      <c r="A555" s="166">
        <v>250</v>
      </c>
      <c r="B555" s="4" t="s">
        <v>2592</v>
      </c>
      <c r="C555" s="4">
        <v>1271</v>
      </c>
      <c r="D555" s="4" t="s">
        <v>3513</v>
      </c>
      <c r="E555" s="4" t="s">
        <v>71</v>
      </c>
      <c r="F555" s="4" t="s">
        <v>2591</v>
      </c>
      <c r="G555" s="4" t="s">
        <v>2595</v>
      </c>
      <c r="H555" s="4" t="s">
        <v>2596</v>
      </c>
      <c r="I555" s="4" t="s">
        <v>2597</v>
      </c>
      <c r="J555" s="4" t="s">
        <v>2598</v>
      </c>
      <c r="K555" s="4">
        <v>9820400388</v>
      </c>
      <c r="L555" s="4" t="s">
        <v>3514</v>
      </c>
      <c r="M555" s="4">
        <v>9820400388</v>
      </c>
      <c r="N555" s="4" t="s">
        <v>2599</v>
      </c>
      <c r="O555" s="4" t="s">
        <v>71</v>
      </c>
      <c r="P555" s="4" t="s">
        <v>71</v>
      </c>
      <c r="Q555" s="4" t="s">
        <v>47</v>
      </c>
      <c r="R555" s="172"/>
      <c r="S555" s="172"/>
      <c r="T555" s="172"/>
      <c r="U555" s="172"/>
      <c r="V555" s="172"/>
      <c r="W555" s="172"/>
      <c r="X555" s="172"/>
      <c r="Y555" s="172"/>
      <c r="Z555" s="172"/>
    </row>
    <row r="556" spans="1:26" ht="13.8">
      <c r="A556" s="166">
        <v>334</v>
      </c>
      <c r="B556" s="4" t="s">
        <v>3872</v>
      </c>
      <c r="C556" s="4">
        <v>1272</v>
      </c>
      <c r="D556" s="4" t="s">
        <v>3873</v>
      </c>
      <c r="E556" s="4" t="s">
        <v>3874</v>
      </c>
      <c r="F556" s="4" t="s">
        <v>3875</v>
      </c>
      <c r="G556" s="4" t="s">
        <v>3876</v>
      </c>
      <c r="H556" s="4" t="s">
        <v>3877</v>
      </c>
      <c r="I556" s="4" t="s">
        <v>3878</v>
      </c>
      <c r="J556" s="4" t="s">
        <v>3879</v>
      </c>
      <c r="K556" s="4">
        <v>8691998984</v>
      </c>
      <c r="L556" s="4" t="s">
        <v>3869</v>
      </c>
      <c r="M556" s="4">
        <v>8691998984</v>
      </c>
      <c r="N556" s="4" t="s">
        <v>3880</v>
      </c>
      <c r="O556" s="4" t="s">
        <v>71</v>
      </c>
      <c r="P556" s="168" t="s">
        <v>3881</v>
      </c>
      <c r="Q556" s="4" t="s">
        <v>47</v>
      </c>
      <c r="R556" s="172"/>
      <c r="S556" s="172"/>
      <c r="T556" s="172"/>
      <c r="U556" s="172"/>
      <c r="V556" s="172"/>
      <c r="W556" s="172"/>
      <c r="X556" s="172"/>
      <c r="Y556" s="172"/>
      <c r="Z556" s="172"/>
    </row>
    <row r="557" spans="1:26" ht="13.8">
      <c r="A557" s="166">
        <v>335</v>
      </c>
      <c r="B557" s="4" t="s">
        <v>3882</v>
      </c>
      <c r="C557" s="4">
        <v>1274</v>
      </c>
      <c r="D557" s="4" t="s">
        <v>3883</v>
      </c>
      <c r="E557" s="4" t="s">
        <v>71</v>
      </c>
      <c r="F557" s="4" t="s">
        <v>3884</v>
      </c>
      <c r="G557" s="4" t="s">
        <v>3885</v>
      </c>
      <c r="H557" s="4" t="s">
        <v>3886</v>
      </c>
      <c r="I557" s="4" t="s">
        <v>3887</v>
      </c>
      <c r="J557" s="4" t="s">
        <v>3888</v>
      </c>
      <c r="K557" s="4">
        <v>9819530812</v>
      </c>
      <c r="L557" s="4" t="s">
        <v>3869</v>
      </c>
      <c r="M557" s="4">
        <v>9819530812</v>
      </c>
      <c r="N557" s="4" t="s">
        <v>3889</v>
      </c>
      <c r="O557" s="4" t="s">
        <v>71</v>
      </c>
      <c r="P557" s="168" t="s">
        <v>3890</v>
      </c>
      <c r="Q557" s="4" t="s">
        <v>47</v>
      </c>
      <c r="R557" s="172"/>
      <c r="S557" s="172"/>
      <c r="T557" s="172"/>
      <c r="U557" s="172"/>
      <c r="V557" s="172"/>
      <c r="W557" s="172"/>
      <c r="X557" s="172"/>
      <c r="Y557" s="172"/>
      <c r="Z557" s="172"/>
    </row>
    <row r="558" spans="1:26" ht="13.8">
      <c r="A558" s="166">
        <v>336</v>
      </c>
      <c r="B558" s="4" t="s">
        <v>3891</v>
      </c>
      <c r="C558" s="4">
        <v>1275</v>
      </c>
      <c r="D558" s="4" t="s">
        <v>3892</v>
      </c>
      <c r="E558" s="4" t="s">
        <v>3893</v>
      </c>
      <c r="F558" s="4" t="s">
        <v>3894</v>
      </c>
      <c r="G558" s="4" t="s">
        <v>3895</v>
      </c>
      <c r="H558" s="4" t="s">
        <v>3896</v>
      </c>
      <c r="I558" s="4" t="s">
        <v>3897</v>
      </c>
      <c r="J558" s="4" t="s">
        <v>3898</v>
      </c>
      <c r="K558" s="4">
        <v>8082750689</v>
      </c>
      <c r="L558" s="4" t="s">
        <v>3869</v>
      </c>
      <c r="M558" s="4">
        <v>8082750689</v>
      </c>
      <c r="N558" s="4" t="s">
        <v>3899</v>
      </c>
      <c r="O558" s="4" t="s">
        <v>71</v>
      </c>
      <c r="P558" s="168" t="s">
        <v>3900</v>
      </c>
      <c r="Q558" s="4" t="s">
        <v>47</v>
      </c>
      <c r="R558" s="172"/>
      <c r="S558" s="172"/>
      <c r="T558" s="172"/>
      <c r="U558" s="172"/>
      <c r="V558" s="172"/>
      <c r="W558" s="172"/>
      <c r="X558" s="172"/>
      <c r="Y558" s="172"/>
      <c r="Z558" s="172"/>
    </row>
    <row r="559" spans="1:26" ht="13.8">
      <c r="A559" s="166">
        <v>337</v>
      </c>
      <c r="B559" s="4" t="s">
        <v>3901</v>
      </c>
      <c r="C559" s="4">
        <v>1276</v>
      </c>
      <c r="D559" s="4" t="s">
        <v>3902</v>
      </c>
      <c r="E559" s="4" t="s">
        <v>3903</v>
      </c>
      <c r="F559" s="4" t="s">
        <v>3904</v>
      </c>
      <c r="G559" s="4" t="s">
        <v>3905</v>
      </c>
      <c r="H559" s="4" t="s">
        <v>3906</v>
      </c>
      <c r="I559" s="4" t="s">
        <v>3907</v>
      </c>
      <c r="J559" s="4" t="s">
        <v>3908</v>
      </c>
      <c r="K559" s="4">
        <v>821412900</v>
      </c>
      <c r="L559" s="4" t="s">
        <v>3869</v>
      </c>
      <c r="M559" s="4">
        <v>821412900</v>
      </c>
      <c r="N559" s="4" t="s">
        <v>3909</v>
      </c>
      <c r="O559" s="4" t="s">
        <v>71</v>
      </c>
      <c r="P559" s="168" t="s">
        <v>3910</v>
      </c>
      <c r="Q559" s="4" t="s">
        <v>47</v>
      </c>
      <c r="R559" s="172"/>
      <c r="S559" s="172"/>
      <c r="T559" s="172"/>
      <c r="U559" s="172"/>
      <c r="V559" s="172"/>
      <c r="W559" s="172"/>
      <c r="X559" s="172"/>
      <c r="Y559" s="172"/>
      <c r="Z559" s="172"/>
    </row>
    <row r="560" spans="1:26" ht="13.8">
      <c r="A560" s="166">
        <v>338</v>
      </c>
      <c r="B560" s="4" t="s">
        <v>3911</v>
      </c>
      <c r="C560" s="4">
        <v>1277</v>
      </c>
      <c r="D560" s="4" t="s">
        <v>3912</v>
      </c>
      <c r="E560" s="4" t="s">
        <v>3913</v>
      </c>
      <c r="F560" s="4" t="s">
        <v>3914</v>
      </c>
      <c r="G560" s="4" t="s">
        <v>3915</v>
      </c>
      <c r="H560" s="4" t="s">
        <v>3916</v>
      </c>
      <c r="I560" s="4" t="s">
        <v>3917</v>
      </c>
      <c r="J560" s="4" t="s">
        <v>3918</v>
      </c>
      <c r="K560" s="4">
        <v>9867362104</v>
      </c>
      <c r="L560" s="4" t="s">
        <v>3869</v>
      </c>
      <c r="M560" s="4">
        <v>9867362104</v>
      </c>
      <c r="N560" s="4" t="s">
        <v>3919</v>
      </c>
      <c r="O560" s="4" t="s">
        <v>71</v>
      </c>
      <c r="P560" s="168" t="s">
        <v>3920</v>
      </c>
      <c r="Q560" s="4" t="s">
        <v>47</v>
      </c>
      <c r="R560" s="172"/>
      <c r="S560" s="172"/>
      <c r="T560" s="172"/>
      <c r="U560" s="172"/>
      <c r="V560" s="172"/>
      <c r="W560" s="172"/>
      <c r="X560" s="172"/>
      <c r="Y560" s="172"/>
      <c r="Z560" s="172"/>
    </row>
    <row r="561" spans="1:26" ht="13.8">
      <c r="A561" s="166">
        <v>339</v>
      </c>
      <c r="B561" s="4" t="s">
        <v>3921</v>
      </c>
      <c r="C561" s="4">
        <v>1278</v>
      </c>
      <c r="D561" s="4" t="s">
        <v>3922</v>
      </c>
      <c r="E561" s="4" t="s">
        <v>3923</v>
      </c>
      <c r="F561" s="4" t="s">
        <v>3924</v>
      </c>
      <c r="G561" s="4" t="s">
        <v>3925</v>
      </c>
      <c r="H561" s="4" t="s">
        <v>3926</v>
      </c>
      <c r="I561" s="4" t="s">
        <v>3927</v>
      </c>
      <c r="J561" s="4" t="s">
        <v>3928</v>
      </c>
      <c r="K561" s="4">
        <v>8928988350</v>
      </c>
      <c r="L561" s="4" t="s">
        <v>3869</v>
      </c>
      <c r="M561" s="4">
        <v>8928988350</v>
      </c>
      <c r="N561" s="4" t="s">
        <v>3929</v>
      </c>
      <c r="O561" s="4" t="s">
        <v>71</v>
      </c>
      <c r="P561" s="168" t="s">
        <v>3930</v>
      </c>
      <c r="Q561" s="4" t="s">
        <v>47</v>
      </c>
      <c r="R561" s="172"/>
      <c r="S561" s="172"/>
      <c r="T561" s="172"/>
      <c r="U561" s="172"/>
      <c r="V561" s="172"/>
      <c r="W561" s="172"/>
      <c r="X561" s="172"/>
      <c r="Y561" s="172"/>
      <c r="Z561" s="172"/>
    </row>
    <row r="562" spans="1:26" ht="13.8">
      <c r="A562" s="166">
        <v>241</v>
      </c>
      <c r="B562" s="4" t="s">
        <v>3490</v>
      </c>
      <c r="C562" s="4">
        <v>1279</v>
      </c>
      <c r="D562" s="4" t="s">
        <v>71</v>
      </c>
      <c r="E562" s="4" t="s">
        <v>71</v>
      </c>
      <c r="F562" s="4" t="s">
        <v>71</v>
      </c>
      <c r="G562" s="4" t="s">
        <v>3491</v>
      </c>
      <c r="H562" s="4" t="s">
        <v>3492</v>
      </c>
      <c r="I562" s="4" t="s">
        <v>71</v>
      </c>
      <c r="J562" s="4" t="s">
        <v>71</v>
      </c>
      <c r="K562" s="4">
        <v>9869080076</v>
      </c>
      <c r="L562" s="4" t="s">
        <v>3493</v>
      </c>
      <c r="M562" s="4">
        <v>9869080076</v>
      </c>
      <c r="N562" s="4" t="s">
        <v>71</v>
      </c>
      <c r="O562" s="4" t="s">
        <v>71</v>
      </c>
      <c r="P562" s="4" t="s">
        <v>71</v>
      </c>
      <c r="Q562" s="4" t="s">
        <v>47</v>
      </c>
      <c r="R562" s="172"/>
      <c r="S562" s="172"/>
      <c r="T562" s="172"/>
      <c r="U562" s="172"/>
      <c r="V562" s="172"/>
      <c r="W562" s="172"/>
      <c r="X562" s="172"/>
      <c r="Y562" s="172"/>
      <c r="Z562" s="172"/>
    </row>
    <row r="563" spans="1:26" ht="13.8">
      <c r="A563" s="166">
        <v>340</v>
      </c>
      <c r="B563" s="4" t="s">
        <v>3490</v>
      </c>
      <c r="C563" s="4">
        <v>1279</v>
      </c>
      <c r="D563" s="4" t="s">
        <v>71</v>
      </c>
      <c r="E563" s="4" t="s">
        <v>71</v>
      </c>
      <c r="F563" s="4" t="s">
        <v>3931</v>
      </c>
      <c r="G563" s="4" t="s">
        <v>3491</v>
      </c>
      <c r="H563" s="4" t="s">
        <v>3932</v>
      </c>
      <c r="I563" s="4" t="s">
        <v>71</v>
      </c>
      <c r="J563" s="4" t="s">
        <v>71</v>
      </c>
      <c r="K563" s="4">
        <v>9819886266</v>
      </c>
      <c r="L563" s="4" t="s">
        <v>3869</v>
      </c>
      <c r="M563" s="4">
        <v>9819886266</v>
      </c>
      <c r="N563" s="4" t="s">
        <v>3933</v>
      </c>
      <c r="O563" s="4" t="s">
        <v>71</v>
      </c>
      <c r="P563" s="4" t="s">
        <v>71</v>
      </c>
      <c r="Q563" s="4" t="s">
        <v>47</v>
      </c>
      <c r="R563" s="172"/>
      <c r="S563" s="172"/>
      <c r="T563" s="172"/>
      <c r="U563" s="172"/>
      <c r="V563" s="172"/>
      <c r="W563" s="172"/>
      <c r="X563" s="172"/>
      <c r="Y563" s="172"/>
      <c r="Z563" s="172"/>
    </row>
    <row r="564" spans="1:26" ht="13.8">
      <c r="A564" s="166">
        <v>341</v>
      </c>
      <c r="B564" s="4" t="s">
        <v>3934</v>
      </c>
      <c r="C564" s="4">
        <v>1280</v>
      </c>
      <c r="D564" s="4" t="s">
        <v>3935</v>
      </c>
      <c r="E564" s="4" t="s">
        <v>3936</v>
      </c>
      <c r="F564" s="4" t="s">
        <v>3937</v>
      </c>
      <c r="G564" s="4" t="s">
        <v>3938</v>
      </c>
      <c r="H564" s="4" t="s">
        <v>3939</v>
      </c>
      <c r="I564" s="4" t="s">
        <v>3940</v>
      </c>
      <c r="J564" s="4" t="s">
        <v>3941</v>
      </c>
      <c r="K564" s="4" t="s">
        <v>3942</v>
      </c>
      <c r="L564" s="4" t="s">
        <v>3869</v>
      </c>
      <c r="M564" s="4" t="s">
        <v>3942</v>
      </c>
      <c r="N564" s="4" t="s">
        <v>3943</v>
      </c>
      <c r="O564" s="4" t="s">
        <v>71</v>
      </c>
      <c r="P564" s="168" t="s">
        <v>3944</v>
      </c>
      <c r="Q564" s="4" t="s">
        <v>47</v>
      </c>
      <c r="R564" s="172"/>
      <c r="S564" s="172"/>
      <c r="T564" s="172"/>
      <c r="U564" s="172"/>
      <c r="V564" s="172"/>
      <c r="W564" s="172"/>
      <c r="X564" s="172"/>
      <c r="Y564" s="172"/>
      <c r="Z564" s="172"/>
    </row>
    <row r="565" spans="1:26" ht="13.8">
      <c r="A565" s="166">
        <v>342</v>
      </c>
      <c r="B565" s="4" t="s">
        <v>3945</v>
      </c>
      <c r="C565" s="4">
        <v>1281</v>
      </c>
      <c r="D565" s="4" t="s">
        <v>3946</v>
      </c>
      <c r="E565" s="4" t="s">
        <v>3947</v>
      </c>
      <c r="F565" s="4" t="s">
        <v>3948</v>
      </c>
      <c r="G565" s="4" t="s">
        <v>3949</v>
      </c>
      <c r="H565" s="4" t="s">
        <v>3950</v>
      </c>
      <c r="I565" s="4" t="s">
        <v>3951</v>
      </c>
      <c r="J565" s="4" t="s">
        <v>3952</v>
      </c>
      <c r="K565" s="4">
        <v>7021580050</v>
      </c>
      <c r="L565" s="4" t="s">
        <v>3869</v>
      </c>
      <c r="M565" s="4">
        <v>7021580050</v>
      </c>
      <c r="N565" s="4" t="s">
        <v>3953</v>
      </c>
      <c r="O565" s="4" t="s">
        <v>71</v>
      </c>
      <c r="P565" s="4" t="s">
        <v>71</v>
      </c>
      <c r="Q565" s="4" t="s">
        <v>47</v>
      </c>
      <c r="R565" s="172"/>
      <c r="S565" s="172"/>
      <c r="T565" s="172"/>
      <c r="U565" s="172"/>
      <c r="V565" s="172"/>
      <c r="W565" s="172"/>
      <c r="X565" s="172"/>
      <c r="Y565" s="172"/>
      <c r="Z565" s="172"/>
    </row>
    <row r="566" spans="1:26" ht="13.8">
      <c r="A566" s="166">
        <v>343</v>
      </c>
      <c r="B566" s="4" t="s">
        <v>3954</v>
      </c>
      <c r="C566" s="4">
        <v>1282</v>
      </c>
      <c r="D566" s="4" t="s">
        <v>3955</v>
      </c>
      <c r="E566" s="4" t="s">
        <v>3956</v>
      </c>
      <c r="F566" s="4" t="s">
        <v>3957</v>
      </c>
      <c r="G566" s="4" t="s">
        <v>3958</v>
      </c>
      <c r="H566" s="4" t="s">
        <v>3959</v>
      </c>
      <c r="I566" s="4" t="s">
        <v>3960</v>
      </c>
      <c r="J566" s="4" t="s">
        <v>3961</v>
      </c>
      <c r="K566" s="4">
        <v>8928100149</v>
      </c>
      <c r="L566" s="4" t="s">
        <v>3869</v>
      </c>
      <c r="M566" s="4">
        <v>8928100149</v>
      </c>
      <c r="N566" s="4" t="s">
        <v>3962</v>
      </c>
      <c r="O566" s="4" t="s">
        <v>71</v>
      </c>
      <c r="P566" s="168" t="s">
        <v>3963</v>
      </c>
      <c r="Q566" s="4" t="s">
        <v>47</v>
      </c>
      <c r="R566" s="172"/>
      <c r="S566" s="172"/>
      <c r="T566" s="172"/>
      <c r="U566" s="172"/>
      <c r="V566" s="172"/>
      <c r="W566" s="172"/>
      <c r="X566" s="172"/>
      <c r="Y566" s="172"/>
      <c r="Z566" s="172"/>
    </row>
    <row r="567" spans="1:26" ht="13.8">
      <c r="A567" s="166">
        <v>344</v>
      </c>
      <c r="B567" s="4" t="s">
        <v>3964</v>
      </c>
      <c r="C567" s="4">
        <v>1283</v>
      </c>
      <c r="D567" s="4" t="s">
        <v>3965</v>
      </c>
      <c r="E567" s="4" t="s">
        <v>3966</v>
      </c>
      <c r="F567" s="4" t="s">
        <v>3967</v>
      </c>
      <c r="G567" s="4" t="s">
        <v>3968</v>
      </c>
      <c r="H567" s="4" t="s">
        <v>3969</v>
      </c>
      <c r="I567" s="4" t="s">
        <v>3970</v>
      </c>
      <c r="J567" s="4" t="s">
        <v>3971</v>
      </c>
      <c r="K567" s="4">
        <v>9820097619</v>
      </c>
      <c r="L567" s="4" t="s">
        <v>3869</v>
      </c>
      <c r="M567" s="4">
        <v>9820097619</v>
      </c>
      <c r="N567" s="4" t="s">
        <v>3972</v>
      </c>
      <c r="O567" s="4" t="s">
        <v>71</v>
      </c>
      <c r="P567" s="168" t="s">
        <v>3973</v>
      </c>
      <c r="Q567" s="4" t="s">
        <v>47</v>
      </c>
      <c r="R567" s="172"/>
      <c r="S567" s="172"/>
      <c r="T567" s="172"/>
      <c r="U567" s="172"/>
      <c r="V567" s="172"/>
      <c r="W567" s="172"/>
      <c r="X567" s="172"/>
      <c r="Y567" s="172"/>
      <c r="Z567" s="172"/>
    </row>
    <row r="568" spans="1:26" ht="13.8">
      <c r="A568" s="166">
        <v>345</v>
      </c>
      <c r="B568" s="4" t="s">
        <v>3974</v>
      </c>
      <c r="C568" s="4">
        <v>1284</v>
      </c>
      <c r="D568" s="4" t="s">
        <v>3975</v>
      </c>
      <c r="E568" s="4" t="s">
        <v>3976</v>
      </c>
      <c r="F568" s="4" t="s">
        <v>3977</v>
      </c>
      <c r="G568" s="4" t="s">
        <v>3978</v>
      </c>
      <c r="H568" s="4" t="s">
        <v>3979</v>
      </c>
      <c r="I568" s="4" t="s">
        <v>3980</v>
      </c>
      <c r="J568" s="4" t="s">
        <v>3981</v>
      </c>
      <c r="K568" s="4">
        <v>9819536373</v>
      </c>
      <c r="L568" s="4" t="s">
        <v>3869</v>
      </c>
      <c r="M568" s="4">
        <v>9819536373</v>
      </c>
      <c r="N568" s="4" t="s">
        <v>3982</v>
      </c>
      <c r="O568" s="4" t="s">
        <v>71</v>
      </c>
      <c r="P568" s="168" t="s">
        <v>3983</v>
      </c>
      <c r="Q568" s="4" t="s">
        <v>47</v>
      </c>
      <c r="R568" s="172"/>
      <c r="S568" s="172"/>
      <c r="T568" s="172"/>
      <c r="U568" s="172"/>
      <c r="V568" s="172"/>
      <c r="W568" s="172"/>
      <c r="X568" s="172"/>
      <c r="Y568" s="172"/>
      <c r="Z568" s="172"/>
    </row>
    <row r="569" spans="1:26" ht="13.8">
      <c r="A569" s="166">
        <v>346</v>
      </c>
      <c r="B569" s="4" t="s">
        <v>3984</v>
      </c>
      <c r="C569" s="4">
        <v>1285</v>
      </c>
      <c r="D569" s="4" t="s">
        <v>3985</v>
      </c>
      <c r="E569" s="4" t="s">
        <v>3986</v>
      </c>
      <c r="F569" s="4" t="s">
        <v>3987</v>
      </c>
      <c r="G569" s="4" t="s">
        <v>3988</v>
      </c>
      <c r="H569" s="4" t="s">
        <v>3989</v>
      </c>
      <c r="I569" s="4" t="s">
        <v>3990</v>
      </c>
      <c r="J569" s="4" t="s">
        <v>3991</v>
      </c>
      <c r="K569" s="4">
        <v>9619454049</v>
      </c>
      <c r="L569" s="4" t="s">
        <v>3869</v>
      </c>
      <c r="M569" s="4">
        <v>9619454049</v>
      </c>
      <c r="N569" s="4" t="s">
        <v>3992</v>
      </c>
      <c r="O569" s="4" t="s">
        <v>71</v>
      </c>
      <c r="P569" s="168" t="s">
        <v>3993</v>
      </c>
      <c r="Q569" s="4" t="s">
        <v>47</v>
      </c>
      <c r="R569" s="172"/>
      <c r="S569" s="172"/>
      <c r="T569" s="172"/>
      <c r="U569" s="172"/>
      <c r="V569" s="172"/>
      <c r="W569" s="172"/>
      <c r="X569" s="172"/>
      <c r="Y569" s="172"/>
      <c r="Z569" s="172"/>
    </row>
    <row r="570" spans="1:26" ht="13.8">
      <c r="A570" s="166">
        <v>347</v>
      </c>
      <c r="B570" s="4" t="s">
        <v>3994</v>
      </c>
      <c r="C570" s="4">
        <v>1286</v>
      </c>
      <c r="D570" s="4" t="s">
        <v>3995</v>
      </c>
      <c r="E570" s="4" t="s">
        <v>3996</v>
      </c>
      <c r="F570" s="4" t="s">
        <v>3997</v>
      </c>
      <c r="G570" s="4" t="s">
        <v>3998</v>
      </c>
      <c r="H570" s="4" t="s">
        <v>3999</v>
      </c>
      <c r="I570" s="4" t="s">
        <v>4000</v>
      </c>
      <c r="J570" s="4" t="s">
        <v>4001</v>
      </c>
      <c r="K570" s="4">
        <v>8369160229</v>
      </c>
      <c r="L570" s="4" t="s">
        <v>3869</v>
      </c>
      <c r="M570" s="4">
        <v>8369160229</v>
      </c>
      <c r="N570" s="4" t="s">
        <v>4002</v>
      </c>
      <c r="O570" s="4" t="s">
        <v>71</v>
      </c>
      <c r="P570" s="168" t="s">
        <v>4003</v>
      </c>
      <c r="Q570" s="4" t="s">
        <v>47</v>
      </c>
      <c r="R570" s="172"/>
      <c r="S570" s="172"/>
      <c r="T570" s="172"/>
      <c r="U570" s="172"/>
      <c r="V570" s="172"/>
      <c r="W570" s="172"/>
      <c r="X570" s="172"/>
      <c r="Y570" s="172"/>
      <c r="Z570" s="172"/>
    </row>
    <row r="571" spans="1:26" ht="13.8">
      <c r="A571" s="166">
        <v>348</v>
      </c>
      <c r="B571" s="4" t="s">
        <v>4004</v>
      </c>
      <c r="C571" s="4">
        <v>1287</v>
      </c>
      <c r="D571" s="4" t="s">
        <v>4005</v>
      </c>
      <c r="E571" s="4" t="s">
        <v>4006</v>
      </c>
      <c r="F571" s="4" t="s">
        <v>4007</v>
      </c>
      <c r="G571" s="4" t="s">
        <v>4008</v>
      </c>
      <c r="H571" s="4" t="s">
        <v>4009</v>
      </c>
      <c r="I571" s="4" t="s">
        <v>4010</v>
      </c>
      <c r="J571" s="4" t="s">
        <v>4011</v>
      </c>
      <c r="K571" s="4">
        <v>8655386188</v>
      </c>
      <c r="L571" s="4" t="s">
        <v>3869</v>
      </c>
      <c r="M571" s="4">
        <v>8655386188</v>
      </c>
      <c r="N571" s="4" t="s">
        <v>4012</v>
      </c>
      <c r="O571" s="4" t="s">
        <v>71</v>
      </c>
      <c r="P571" s="4" t="s">
        <v>71</v>
      </c>
      <c r="Q571" s="4" t="s">
        <v>47</v>
      </c>
      <c r="R571" s="172"/>
      <c r="S571" s="172"/>
      <c r="T571" s="172"/>
      <c r="U571" s="172"/>
      <c r="V571" s="172"/>
      <c r="W571" s="172"/>
      <c r="X571" s="172"/>
      <c r="Y571" s="172"/>
      <c r="Z571" s="172"/>
    </row>
    <row r="572" spans="1:26" ht="13.8">
      <c r="A572" s="166">
        <v>349</v>
      </c>
      <c r="B572" s="4" t="s">
        <v>4013</v>
      </c>
      <c r="C572" s="4">
        <v>1288</v>
      </c>
      <c r="D572" s="4" t="s">
        <v>4014</v>
      </c>
      <c r="E572" s="4" t="s">
        <v>4015</v>
      </c>
      <c r="F572" s="4" t="s">
        <v>4016</v>
      </c>
      <c r="G572" s="4" t="s">
        <v>4017</v>
      </c>
      <c r="H572" s="4" t="s">
        <v>4018</v>
      </c>
      <c r="I572" s="4" t="s">
        <v>4019</v>
      </c>
      <c r="J572" s="4" t="s">
        <v>4020</v>
      </c>
      <c r="K572" s="4">
        <v>9833815269</v>
      </c>
      <c r="L572" s="4" t="s">
        <v>3869</v>
      </c>
      <c r="M572" s="4">
        <v>9833815269</v>
      </c>
      <c r="N572" s="4" t="s">
        <v>4021</v>
      </c>
      <c r="O572" s="4" t="s">
        <v>71</v>
      </c>
      <c r="P572" s="168" t="s">
        <v>4022</v>
      </c>
      <c r="Q572" s="4" t="s">
        <v>47</v>
      </c>
      <c r="R572" s="172"/>
      <c r="S572" s="172"/>
      <c r="T572" s="172"/>
      <c r="U572" s="172"/>
      <c r="V572" s="172"/>
      <c r="W572" s="172"/>
      <c r="X572" s="172"/>
      <c r="Y572" s="172"/>
      <c r="Z572" s="172"/>
    </row>
    <row r="573" spans="1:26" ht="13.8">
      <c r="A573" s="166">
        <v>350</v>
      </c>
      <c r="B573" s="4" t="s">
        <v>4023</v>
      </c>
      <c r="C573" s="4">
        <v>1289</v>
      </c>
      <c r="D573" s="4" t="s">
        <v>4024</v>
      </c>
      <c r="E573" s="4" t="s">
        <v>4025</v>
      </c>
      <c r="F573" s="4" t="s">
        <v>4026</v>
      </c>
      <c r="G573" s="4" t="s">
        <v>4027</v>
      </c>
      <c r="H573" s="4" t="s">
        <v>4028</v>
      </c>
      <c r="I573" s="4" t="s">
        <v>4029</v>
      </c>
      <c r="J573" s="4" t="s">
        <v>4030</v>
      </c>
      <c r="K573" s="4">
        <v>9987006880</v>
      </c>
      <c r="L573" s="4" t="s">
        <v>3869</v>
      </c>
      <c r="M573" s="4">
        <v>9987006880</v>
      </c>
      <c r="N573" s="4" t="s">
        <v>4031</v>
      </c>
      <c r="O573" s="4" t="s">
        <v>71</v>
      </c>
      <c r="P573" s="4" t="s">
        <v>71</v>
      </c>
      <c r="Q573" s="4" t="s">
        <v>47</v>
      </c>
      <c r="R573" s="172"/>
      <c r="S573" s="172"/>
      <c r="T573" s="172"/>
      <c r="U573" s="172"/>
      <c r="V573" s="172"/>
      <c r="W573" s="172"/>
      <c r="X573" s="172"/>
      <c r="Y573" s="172"/>
      <c r="Z573" s="172"/>
    </row>
    <row r="574" spans="1:26" ht="13.8">
      <c r="A574" s="166">
        <v>351</v>
      </c>
      <c r="B574" s="4" t="s">
        <v>4032</v>
      </c>
      <c r="C574" s="4">
        <v>1290</v>
      </c>
      <c r="D574" s="4" t="s">
        <v>4033</v>
      </c>
      <c r="E574" s="4" t="s">
        <v>4034</v>
      </c>
      <c r="F574" s="4" t="s">
        <v>4035</v>
      </c>
      <c r="G574" s="4" t="s">
        <v>4036</v>
      </c>
      <c r="H574" s="4" t="s">
        <v>4037</v>
      </c>
      <c r="I574" s="4" t="s">
        <v>4038</v>
      </c>
      <c r="J574" s="4" t="s">
        <v>4039</v>
      </c>
      <c r="K574" s="4">
        <v>9869587327</v>
      </c>
      <c r="L574" s="4" t="s">
        <v>3869</v>
      </c>
      <c r="M574" s="4">
        <v>9869587327</v>
      </c>
      <c r="N574" s="4" t="s">
        <v>4040</v>
      </c>
      <c r="O574" s="4" t="s">
        <v>71</v>
      </c>
      <c r="P574" s="4" t="s">
        <v>71</v>
      </c>
      <c r="Q574" s="4" t="s">
        <v>47</v>
      </c>
      <c r="R574" s="172"/>
      <c r="S574" s="172"/>
      <c r="T574" s="172"/>
      <c r="U574" s="172"/>
      <c r="V574" s="172"/>
      <c r="W574" s="172"/>
      <c r="X574" s="172"/>
      <c r="Y574" s="172"/>
      <c r="Z574" s="172"/>
    </row>
    <row r="575" spans="1:26" ht="13.8">
      <c r="A575" s="166">
        <v>352</v>
      </c>
      <c r="B575" s="4" t="s">
        <v>4041</v>
      </c>
      <c r="C575" s="4">
        <v>1291</v>
      </c>
      <c r="D575" s="4" t="s">
        <v>4042</v>
      </c>
      <c r="E575" s="4" t="s">
        <v>4043</v>
      </c>
      <c r="F575" s="4" t="s">
        <v>4044</v>
      </c>
      <c r="G575" s="4" t="s">
        <v>4045</v>
      </c>
      <c r="H575" s="4" t="s">
        <v>4046</v>
      </c>
      <c r="I575" s="4" t="s">
        <v>4047</v>
      </c>
      <c r="J575" s="4" t="s">
        <v>4048</v>
      </c>
      <c r="K575" s="4">
        <v>9029074739</v>
      </c>
      <c r="L575" s="4" t="s">
        <v>3869</v>
      </c>
      <c r="M575" s="4">
        <v>9029074739</v>
      </c>
      <c r="N575" s="4" t="s">
        <v>4049</v>
      </c>
      <c r="O575" s="4" t="s">
        <v>71</v>
      </c>
      <c r="P575" s="4" t="s">
        <v>71</v>
      </c>
      <c r="Q575" s="4" t="s">
        <v>47</v>
      </c>
      <c r="R575" s="172"/>
      <c r="S575" s="172"/>
      <c r="T575" s="172"/>
      <c r="U575" s="172"/>
      <c r="V575" s="172"/>
      <c r="W575" s="172"/>
      <c r="X575" s="172"/>
      <c r="Y575" s="172"/>
      <c r="Z575" s="172"/>
    </row>
    <row r="576" spans="1:26" ht="13.8">
      <c r="A576" s="166">
        <v>353</v>
      </c>
      <c r="B576" s="4" t="s">
        <v>4050</v>
      </c>
      <c r="C576" s="4">
        <v>1292</v>
      </c>
      <c r="D576" s="4" t="s">
        <v>4051</v>
      </c>
      <c r="E576" s="4" t="s">
        <v>4052</v>
      </c>
      <c r="F576" s="4" t="s">
        <v>4053</v>
      </c>
      <c r="G576" s="4" t="s">
        <v>4054</v>
      </c>
      <c r="H576" s="4" t="s">
        <v>4055</v>
      </c>
      <c r="I576" s="4" t="s">
        <v>4056</v>
      </c>
      <c r="J576" s="4" t="s">
        <v>4057</v>
      </c>
      <c r="K576" s="4" t="s">
        <v>8279</v>
      </c>
      <c r="L576" s="4" t="s">
        <v>3869</v>
      </c>
      <c r="M576" s="4" t="s">
        <v>8279</v>
      </c>
      <c r="N576" s="4" t="s">
        <v>4058</v>
      </c>
      <c r="O576" s="4" t="s">
        <v>71</v>
      </c>
      <c r="P576" s="168" t="s">
        <v>4059</v>
      </c>
      <c r="Q576" s="4" t="s">
        <v>47</v>
      </c>
      <c r="R576" s="172"/>
      <c r="S576" s="172"/>
      <c r="T576" s="172"/>
      <c r="U576" s="172"/>
      <c r="V576" s="172"/>
      <c r="W576" s="172"/>
      <c r="X576" s="172"/>
      <c r="Y576" s="172"/>
      <c r="Z576" s="172"/>
    </row>
    <row r="577" spans="1:26" ht="13.8">
      <c r="A577" s="166">
        <v>354</v>
      </c>
      <c r="B577" s="4" t="s">
        <v>4060</v>
      </c>
      <c r="C577" s="4">
        <v>1293</v>
      </c>
      <c r="D577" s="4" t="s">
        <v>4061</v>
      </c>
      <c r="E577" s="4" t="s">
        <v>4062</v>
      </c>
      <c r="F577" s="4" t="s">
        <v>3957</v>
      </c>
      <c r="G577" s="4" t="s">
        <v>4063</v>
      </c>
      <c r="H577" s="4" t="s">
        <v>4064</v>
      </c>
      <c r="I577" s="4" t="s">
        <v>4065</v>
      </c>
      <c r="J577" s="4" t="s">
        <v>4066</v>
      </c>
      <c r="K577" s="4">
        <v>9820176230</v>
      </c>
      <c r="L577" s="4" t="s">
        <v>3869</v>
      </c>
      <c r="M577" s="4">
        <v>9820176230</v>
      </c>
      <c r="N577" s="4" t="s">
        <v>4067</v>
      </c>
      <c r="O577" s="4" t="s">
        <v>71</v>
      </c>
      <c r="P577" s="168" t="s">
        <v>3963</v>
      </c>
      <c r="Q577" s="4" t="s">
        <v>47</v>
      </c>
      <c r="R577" s="172"/>
      <c r="S577" s="172"/>
      <c r="T577" s="172"/>
      <c r="U577" s="172"/>
      <c r="V577" s="172"/>
      <c r="W577" s="172"/>
      <c r="X577" s="172"/>
      <c r="Y577" s="172"/>
      <c r="Z577" s="172"/>
    </row>
    <row r="578" spans="1:26" ht="13.8">
      <c r="A578" s="166">
        <v>355</v>
      </c>
      <c r="B578" s="4" t="s">
        <v>4068</v>
      </c>
      <c r="C578" s="4">
        <v>1294</v>
      </c>
      <c r="D578" s="4" t="s">
        <v>4069</v>
      </c>
      <c r="E578" s="4" t="s">
        <v>71</v>
      </c>
      <c r="F578" s="4" t="s">
        <v>4070</v>
      </c>
      <c r="G578" s="4" t="s">
        <v>4071</v>
      </c>
      <c r="H578" s="4" t="s">
        <v>4072</v>
      </c>
      <c r="I578" s="4" t="s">
        <v>4073</v>
      </c>
      <c r="J578" s="4" t="s">
        <v>71</v>
      </c>
      <c r="K578" s="4">
        <v>9821260586</v>
      </c>
      <c r="L578" s="4" t="s">
        <v>3869</v>
      </c>
      <c r="M578" s="4">
        <v>9821260586</v>
      </c>
      <c r="N578" s="4" t="s">
        <v>4074</v>
      </c>
      <c r="O578" s="4" t="s">
        <v>71</v>
      </c>
      <c r="P578" s="4" t="s">
        <v>71</v>
      </c>
      <c r="Q578" s="4" t="s">
        <v>47</v>
      </c>
      <c r="R578" s="172"/>
      <c r="S578" s="172"/>
      <c r="T578" s="172"/>
      <c r="U578" s="172"/>
      <c r="V578" s="172"/>
      <c r="W578" s="172"/>
      <c r="X578" s="172"/>
      <c r="Y578" s="172"/>
      <c r="Z578" s="172"/>
    </row>
    <row r="579" spans="1:26" ht="13.8">
      <c r="A579" s="166">
        <v>356</v>
      </c>
      <c r="B579" s="4" t="s">
        <v>4075</v>
      </c>
      <c r="C579" s="4">
        <v>1295</v>
      </c>
      <c r="D579" s="4" t="s">
        <v>4076</v>
      </c>
      <c r="E579" s="4" t="s">
        <v>71</v>
      </c>
      <c r="F579" s="4" t="s">
        <v>4077</v>
      </c>
      <c r="G579" s="4" t="s">
        <v>4078</v>
      </c>
      <c r="H579" s="4" t="s">
        <v>4079</v>
      </c>
      <c r="I579" s="4" t="s">
        <v>4080</v>
      </c>
      <c r="J579" s="4" t="s">
        <v>71</v>
      </c>
      <c r="K579" s="4">
        <v>9320053632</v>
      </c>
      <c r="L579" s="4" t="s">
        <v>3869</v>
      </c>
      <c r="M579" s="4">
        <v>9320053632</v>
      </c>
      <c r="N579" s="4" t="s">
        <v>4081</v>
      </c>
      <c r="O579" s="4" t="s">
        <v>71</v>
      </c>
      <c r="P579" s="4" t="s">
        <v>71</v>
      </c>
      <c r="Q579" s="4" t="s">
        <v>47</v>
      </c>
      <c r="R579" s="172"/>
      <c r="S579" s="172"/>
      <c r="T579" s="172"/>
      <c r="U579" s="172"/>
      <c r="V579" s="172"/>
      <c r="W579" s="172"/>
      <c r="X579" s="172"/>
      <c r="Y579" s="172"/>
      <c r="Z579" s="172"/>
    </row>
    <row r="580" spans="1:26" ht="13.8">
      <c r="A580" s="166">
        <v>357</v>
      </c>
      <c r="B580" s="4" t="s">
        <v>4082</v>
      </c>
      <c r="C580" s="4">
        <v>1296</v>
      </c>
      <c r="D580" s="4" t="s">
        <v>4083</v>
      </c>
      <c r="E580" s="4" t="s">
        <v>71</v>
      </c>
      <c r="F580" s="4" t="s">
        <v>4084</v>
      </c>
      <c r="G580" s="4" t="s">
        <v>4085</v>
      </c>
      <c r="H580" s="4" t="s">
        <v>4086</v>
      </c>
      <c r="I580" s="4" t="s">
        <v>4087</v>
      </c>
      <c r="J580" s="4" t="s">
        <v>71</v>
      </c>
      <c r="K580" s="4">
        <v>9322236151</v>
      </c>
      <c r="L580" s="4" t="s">
        <v>3869</v>
      </c>
      <c r="M580" s="4">
        <v>9322236151</v>
      </c>
      <c r="N580" s="4" t="s">
        <v>4088</v>
      </c>
      <c r="O580" s="4" t="s">
        <v>71</v>
      </c>
      <c r="P580" s="4" t="s">
        <v>71</v>
      </c>
      <c r="Q580" s="4" t="s">
        <v>47</v>
      </c>
      <c r="R580" s="172"/>
      <c r="S580" s="172"/>
      <c r="T580" s="172"/>
      <c r="U580" s="172"/>
      <c r="V580" s="172"/>
      <c r="W580" s="172"/>
      <c r="X580" s="172"/>
      <c r="Y580" s="172"/>
      <c r="Z580" s="172"/>
    </row>
    <row r="581" spans="1:26" ht="13.8">
      <c r="A581" s="166">
        <v>358</v>
      </c>
      <c r="B581" s="4" t="s">
        <v>4089</v>
      </c>
      <c r="C581" s="4">
        <v>1297</v>
      </c>
      <c r="D581" s="4" t="s">
        <v>4090</v>
      </c>
      <c r="E581" s="4" t="s">
        <v>71</v>
      </c>
      <c r="F581" s="4" t="s">
        <v>4091</v>
      </c>
      <c r="G581" s="4" t="s">
        <v>4092</v>
      </c>
      <c r="H581" s="4" t="s">
        <v>4093</v>
      </c>
      <c r="I581" s="4" t="s">
        <v>4094</v>
      </c>
      <c r="J581" s="4" t="s">
        <v>71</v>
      </c>
      <c r="K581" s="4">
        <v>9869061087</v>
      </c>
      <c r="L581" s="4" t="s">
        <v>3869</v>
      </c>
      <c r="M581" s="4">
        <v>9869061087</v>
      </c>
      <c r="N581" s="4" t="s">
        <v>71</v>
      </c>
      <c r="O581" s="4" t="s">
        <v>71</v>
      </c>
      <c r="P581" s="4" t="s">
        <v>71</v>
      </c>
      <c r="Q581" s="4" t="s">
        <v>47</v>
      </c>
      <c r="R581" s="172"/>
      <c r="S581" s="172"/>
      <c r="T581" s="172"/>
      <c r="U581" s="172"/>
      <c r="V581" s="172"/>
      <c r="W581" s="172"/>
      <c r="X581" s="172"/>
      <c r="Y581" s="172"/>
      <c r="Z581" s="172"/>
    </row>
    <row r="582" spans="1:26" ht="13.8">
      <c r="A582" s="166">
        <v>359</v>
      </c>
      <c r="B582" s="4" t="s">
        <v>4095</v>
      </c>
      <c r="C582" s="4">
        <v>1299</v>
      </c>
      <c r="D582" s="4" t="s">
        <v>4096</v>
      </c>
      <c r="E582" s="4" t="s">
        <v>71</v>
      </c>
      <c r="F582" s="4" t="s">
        <v>4097</v>
      </c>
      <c r="G582" s="4" t="s">
        <v>4098</v>
      </c>
      <c r="H582" s="4" t="s">
        <v>4099</v>
      </c>
      <c r="I582" s="4" t="s">
        <v>4100</v>
      </c>
      <c r="J582" s="4" t="s">
        <v>71</v>
      </c>
      <c r="K582" s="4">
        <v>9869305269</v>
      </c>
      <c r="L582" s="4" t="s">
        <v>3869</v>
      </c>
      <c r="M582" s="4">
        <v>9869305269</v>
      </c>
      <c r="N582" s="4" t="s">
        <v>4101</v>
      </c>
      <c r="O582" s="4" t="s">
        <v>71</v>
      </c>
      <c r="P582" s="4" t="s">
        <v>71</v>
      </c>
      <c r="Q582" s="4" t="s">
        <v>47</v>
      </c>
      <c r="R582" s="172"/>
      <c r="S582" s="172"/>
      <c r="T582" s="172"/>
      <c r="U582" s="172"/>
      <c r="V582" s="172"/>
      <c r="W582" s="172"/>
      <c r="X582" s="172"/>
      <c r="Y582" s="172"/>
      <c r="Z582" s="172"/>
    </row>
    <row r="583" spans="1:26" ht="13.8">
      <c r="A583" s="166">
        <v>360</v>
      </c>
      <c r="B583" s="4" t="s">
        <v>4102</v>
      </c>
      <c r="C583" s="4">
        <v>1300</v>
      </c>
      <c r="D583" s="4" t="s">
        <v>4103</v>
      </c>
      <c r="E583" s="4" t="s">
        <v>71</v>
      </c>
      <c r="F583" s="4" t="s">
        <v>4104</v>
      </c>
      <c r="G583" s="4" t="s">
        <v>4105</v>
      </c>
      <c r="H583" s="4" t="s">
        <v>4106</v>
      </c>
      <c r="I583" s="4" t="s">
        <v>4107</v>
      </c>
      <c r="J583" s="4" t="s">
        <v>71</v>
      </c>
      <c r="K583" s="4">
        <v>9892441818</v>
      </c>
      <c r="L583" s="4" t="s">
        <v>3869</v>
      </c>
      <c r="M583" s="4">
        <v>9892441818</v>
      </c>
      <c r="N583" s="4" t="s">
        <v>4108</v>
      </c>
      <c r="O583" s="4" t="s">
        <v>71</v>
      </c>
      <c r="P583" s="4" t="s">
        <v>71</v>
      </c>
      <c r="Q583" s="4" t="s">
        <v>47</v>
      </c>
      <c r="R583" s="172"/>
      <c r="S583" s="172"/>
      <c r="T583" s="172"/>
      <c r="U583" s="172"/>
      <c r="V583" s="172"/>
      <c r="W583" s="172"/>
      <c r="X583" s="172"/>
      <c r="Y583" s="172"/>
      <c r="Z583" s="172"/>
    </row>
    <row r="584" spans="1:26" ht="13.8">
      <c r="A584" s="166">
        <v>361</v>
      </c>
      <c r="B584" s="4" t="s">
        <v>4109</v>
      </c>
      <c r="C584" s="4">
        <v>1301</v>
      </c>
      <c r="D584" s="4" t="s">
        <v>4110</v>
      </c>
      <c r="E584" s="4" t="s">
        <v>71</v>
      </c>
      <c r="F584" s="4" t="s">
        <v>4111</v>
      </c>
      <c r="G584" s="4" t="s">
        <v>4112</v>
      </c>
      <c r="H584" s="4" t="s">
        <v>4113</v>
      </c>
      <c r="I584" s="4" t="s">
        <v>4114</v>
      </c>
      <c r="J584" s="4" t="s">
        <v>71</v>
      </c>
      <c r="K584" s="4">
        <v>8169780935</v>
      </c>
      <c r="L584" s="4" t="s">
        <v>3869</v>
      </c>
      <c r="M584" s="4">
        <v>8169780935</v>
      </c>
      <c r="N584" s="4" t="s">
        <v>4115</v>
      </c>
      <c r="O584" s="4" t="s">
        <v>71</v>
      </c>
      <c r="P584" s="4" t="s">
        <v>71</v>
      </c>
      <c r="Q584" s="4" t="s">
        <v>47</v>
      </c>
      <c r="R584" s="172"/>
      <c r="S584" s="172"/>
      <c r="T584" s="172"/>
      <c r="U584" s="172"/>
      <c r="V584" s="172"/>
      <c r="W584" s="172"/>
      <c r="X584" s="172"/>
      <c r="Y584" s="172"/>
      <c r="Z584" s="172"/>
    </row>
    <row r="585" spans="1:26" ht="13.8">
      <c r="A585" s="166">
        <v>362</v>
      </c>
      <c r="B585" s="4" t="s">
        <v>4116</v>
      </c>
      <c r="C585" s="4">
        <v>1302</v>
      </c>
      <c r="D585" s="4" t="s">
        <v>4117</v>
      </c>
      <c r="E585" s="4" t="s">
        <v>71</v>
      </c>
      <c r="F585" s="4" t="s">
        <v>4118</v>
      </c>
      <c r="G585" s="4" t="s">
        <v>4119</v>
      </c>
      <c r="H585" s="4" t="s">
        <v>4120</v>
      </c>
      <c r="I585" s="4" t="s">
        <v>4121</v>
      </c>
      <c r="J585" s="4" t="s">
        <v>71</v>
      </c>
      <c r="K585" s="4">
        <v>9987171736</v>
      </c>
      <c r="L585" s="4" t="s">
        <v>3869</v>
      </c>
      <c r="M585" s="4">
        <v>9987171736</v>
      </c>
      <c r="N585" s="4" t="s">
        <v>4122</v>
      </c>
      <c r="O585" s="4" t="s">
        <v>71</v>
      </c>
      <c r="P585" s="4" t="s">
        <v>71</v>
      </c>
      <c r="Q585" s="4" t="s">
        <v>47</v>
      </c>
      <c r="R585" s="172"/>
      <c r="S585" s="172"/>
      <c r="T585" s="172"/>
      <c r="U585" s="172"/>
      <c r="V585" s="172"/>
      <c r="W585" s="172"/>
      <c r="X585" s="172"/>
      <c r="Y585" s="172"/>
      <c r="Z585" s="172"/>
    </row>
    <row r="586" spans="1:26" ht="13.8">
      <c r="A586" s="166">
        <v>363</v>
      </c>
      <c r="B586" s="4" t="s">
        <v>4123</v>
      </c>
      <c r="C586" s="4">
        <v>1303</v>
      </c>
      <c r="D586" s="4" t="s">
        <v>4124</v>
      </c>
      <c r="E586" s="4" t="s">
        <v>71</v>
      </c>
      <c r="F586" s="4" t="s">
        <v>4125</v>
      </c>
      <c r="G586" s="4" t="s">
        <v>4126</v>
      </c>
      <c r="H586" s="4" t="s">
        <v>4127</v>
      </c>
      <c r="I586" s="4" t="s">
        <v>4128</v>
      </c>
      <c r="J586" s="4" t="s">
        <v>71</v>
      </c>
      <c r="K586" s="4">
        <v>9892988369</v>
      </c>
      <c r="L586" s="4" t="s">
        <v>3869</v>
      </c>
      <c r="M586" s="4">
        <v>9892988369</v>
      </c>
      <c r="N586" s="4" t="s">
        <v>4129</v>
      </c>
      <c r="O586" s="4" t="s">
        <v>71</v>
      </c>
      <c r="P586" s="4" t="s">
        <v>71</v>
      </c>
      <c r="Q586" s="4" t="s">
        <v>47</v>
      </c>
      <c r="R586" s="172"/>
      <c r="S586" s="172"/>
      <c r="T586" s="172"/>
      <c r="U586" s="172"/>
      <c r="V586" s="172"/>
      <c r="W586" s="172"/>
      <c r="X586" s="172"/>
      <c r="Y586" s="172"/>
      <c r="Z586" s="172"/>
    </row>
    <row r="587" spans="1:26" ht="13.8">
      <c r="A587" s="166">
        <v>364</v>
      </c>
      <c r="B587" s="4" t="s">
        <v>4130</v>
      </c>
      <c r="C587" s="4">
        <v>1304</v>
      </c>
      <c r="D587" s="4" t="s">
        <v>4131</v>
      </c>
      <c r="E587" s="4" t="s">
        <v>4132</v>
      </c>
      <c r="F587" s="4" t="s">
        <v>4133</v>
      </c>
      <c r="G587" s="4" t="s">
        <v>4134</v>
      </c>
      <c r="H587" s="4" t="s">
        <v>4135</v>
      </c>
      <c r="I587" s="4" t="s">
        <v>4136</v>
      </c>
      <c r="J587" s="4" t="s">
        <v>4137</v>
      </c>
      <c r="K587" s="4">
        <v>9913553605</v>
      </c>
      <c r="L587" s="4" t="s">
        <v>3869</v>
      </c>
      <c r="M587" s="4">
        <v>9913553605</v>
      </c>
      <c r="N587" s="4" t="s">
        <v>4138</v>
      </c>
      <c r="O587" s="4" t="s">
        <v>71</v>
      </c>
      <c r="P587" s="4" t="s">
        <v>71</v>
      </c>
      <c r="Q587" s="4" t="s">
        <v>47</v>
      </c>
      <c r="R587" s="172"/>
      <c r="S587" s="172"/>
      <c r="T587" s="172"/>
      <c r="U587" s="172"/>
      <c r="V587" s="172"/>
      <c r="W587" s="172"/>
      <c r="X587" s="172"/>
      <c r="Y587" s="172"/>
      <c r="Z587" s="172"/>
    </row>
    <row r="588" spans="1:26" ht="13.8">
      <c r="A588" s="166">
        <v>365</v>
      </c>
      <c r="B588" s="4" t="s">
        <v>4139</v>
      </c>
      <c r="C588" s="4">
        <v>1305</v>
      </c>
      <c r="D588" s="4" t="s">
        <v>4140</v>
      </c>
      <c r="E588" s="4" t="s">
        <v>71</v>
      </c>
      <c r="F588" s="4" t="s">
        <v>4141</v>
      </c>
      <c r="G588" s="4" t="s">
        <v>4142</v>
      </c>
      <c r="H588" s="4" t="s">
        <v>4143</v>
      </c>
      <c r="I588" s="4" t="s">
        <v>4144</v>
      </c>
      <c r="J588" s="4" t="s">
        <v>71</v>
      </c>
      <c r="K588" s="4">
        <v>9326065636</v>
      </c>
      <c r="L588" s="4" t="s">
        <v>3869</v>
      </c>
      <c r="M588" s="4">
        <v>9326065636</v>
      </c>
      <c r="N588" s="4" t="s">
        <v>4145</v>
      </c>
      <c r="O588" s="4" t="s">
        <v>71</v>
      </c>
      <c r="P588" s="4" t="s">
        <v>71</v>
      </c>
      <c r="Q588" s="4" t="s">
        <v>47</v>
      </c>
      <c r="R588" s="172"/>
      <c r="S588" s="172"/>
      <c r="T588" s="172"/>
      <c r="U588" s="172"/>
      <c r="V588" s="172"/>
      <c r="W588" s="172"/>
      <c r="X588" s="172"/>
      <c r="Y588" s="172"/>
      <c r="Z588" s="172"/>
    </row>
    <row r="589" spans="1:26" ht="13.8">
      <c r="A589" s="166">
        <v>366</v>
      </c>
      <c r="B589" s="4" t="s">
        <v>4146</v>
      </c>
      <c r="C589" s="4">
        <v>1306</v>
      </c>
      <c r="D589" s="4" t="s">
        <v>4147</v>
      </c>
      <c r="E589" s="4" t="s">
        <v>71</v>
      </c>
      <c r="F589" s="4" t="s">
        <v>4148</v>
      </c>
      <c r="G589" s="4" t="s">
        <v>4149</v>
      </c>
      <c r="H589" s="4" t="s">
        <v>4150</v>
      </c>
      <c r="I589" s="4" t="s">
        <v>4151</v>
      </c>
      <c r="J589" s="4" t="s">
        <v>71</v>
      </c>
      <c r="K589" s="4">
        <v>8928256074</v>
      </c>
      <c r="L589" s="4" t="s">
        <v>3869</v>
      </c>
      <c r="M589" s="4">
        <v>8928256074</v>
      </c>
      <c r="N589" s="4" t="s">
        <v>4152</v>
      </c>
      <c r="O589" s="4" t="s">
        <v>71</v>
      </c>
      <c r="P589" s="4" t="s">
        <v>71</v>
      </c>
      <c r="Q589" s="4" t="s">
        <v>47</v>
      </c>
      <c r="R589" s="172"/>
      <c r="S589" s="172"/>
      <c r="T589" s="172"/>
      <c r="U589" s="172"/>
      <c r="V589" s="172"/>
      <c r="W589" s="172"/>
      <c r="X589" s="172"/>
      <c r="Y589" s="172"/>
      <c r="Z589" s="172"/>
    </row>
    <row r="590" spans="1:26" ht="13.8">
      <c r="A590" s="166">
        <v>367</v>
      </c>
      <c r="B590" s="4" t="s">
        <v>4153</v>
      </c>
      <c r="C590" s="4">
        <v>1307</v>
      </c>
      <c r="D590" s="4" t="s">
        <v>4154</v>
      </c>
      <c r="E590" s="4" t="s">
        <v>71</v>
      </c>
      <c r="F590" s="4" t="s">
        <v>4155</v>
      </c>
      <c r="G590" s="4" t="s">
        <v>4156</v>
      </c>
      <c r="H590" s="4" t="s">
        <v>4157</v>
      </c>
      <c r="I590" s="4" t="s">
        <v>4158</v>
      </c>
      <c r="J590" s="4" t="s">
        <v>71</v>
      </c>
      <c r="K590" s="4">
        <v>8452825740</v>
      </c>
      <c r="L590" s="4" t="s">
        <v>3869</v>
      </c>
      <c r="M590" s="4">
        <v>8452825740</v>
      </c>
      <c r="N590" s="4" t="s">
        <v>4159</v>
      </c>
      <c r="O590" s="4" t="s">
        <v>71</v>
      </c>
      <c r="P590" s="4" t="s">
        <v>71</v>
      </c>
      <c r="Q590" s="4" t="s">
        <v>47</v>
      </c>
      <c r="R590" s="172"/>
      <c r="S590" s="172"/>
      <c r="T590" s="172"/>
      <c r="U590" s="172"/>
      <c r="V590" s="172"/>
      <c r="W590" s="172"/>
      <c r="X590" s="172"/>
      <c r="Y590" s="172"/>
      <c r="Z590" s="172"/>
    </row>
    <row r="591" spans="1:26" ht="13.8">
      <c r="A591" s="166">
        <v>368</v>
      </c>
      <c r="B591" s="4" t="s">
        <v>4160</v>
      </c>
      <c r="C591" s="4">
        <v>1308</v>
      </c>
      <c r="D591" s="4" t="s">
        <v>71</v>
      </c>
      <c r="E591" s="4" t="s">
        <v>71</v>
      </c>
      <c r="F591" s="4" t="s">
        <v>4161</v>
      </c>
      <c r="G591" s="4" t="s">
        <v>4162</v>
      </c>
      <c r="H591" s="4" t="s">
        <v>4163</v>
      </c>
      <c r="I591" s="4" t="s">
        <v>4164</v>
      </c>
      <c r="J591" s="4" t="s">
        <v>71</v>
      </c>
      <c r="K591" s="4">
        <v>9920520211</v>
      </c>
      <c r="L591" s="4" t="s">
        <v>3869</v>
      </c>
      <c r="M591" s="4">
        <v>9920520211</v>
      </c>
      <c r="N591" s="4" t="s">
        <v>4165</v>
      </c>
      <c r="O591" s="4" t="s">
        <v>71</v>
      </c>
      <c r="P591" s="4" t="s">
        <v>71</v>
      </c>
      <c r="Q591" s="4" t="s">
        <v>47</v>
      </c>
      <c r="R591" s="172"/>
      <c r="S591" s="172"/>
      <c r="T591" s="172"/>
      <c r="U591" s="172"/>
      <c r="V591" s="172"/>
      <c r="W591" s="172"/>
      <c r="X591" s="172"/>
      <c r="Y591" s="172"/>
      <c r="Z591" s="172"/>
    </row>
    <row r="592" spans="1:26" ht="13.8">
      <c r="A592" s="166">
        <v>369</v>
      </c>
      <c r="B592" s="4" t="s">
        <v>4166</v>
      </c>
      <c r="C592" s="4">
        <v>1309</v>
      </c>
      <c r="D592" s="4" t="s">
        <v>4167</v>
      </c>
      <c r="E592" s="4" t="s">
        <v>4168</v>
      </c>
      <c r="F592" s="4" t="s">
        <v>4169</v>
      </c>
      <c r="G592" s="4" t="s">
        <v>4170</v>
      </c>
      <c r="H592" s="4" t="s">
        <v>4171</v>
      </c>
      <c r="I592" s="4" t="s">
        <v>4172</v>
      </c>
      <c r="J592" s="4" t="s">
        <v>4173</v>
      </c>
      <c r="K592" s="4">
        <v>9987012368</v>
      </c>
      <c r="L592" s="4" t="s">
        <v>3869</v>
      </c>
      <c r="M592" s="4">
        <v>9987012368</v>
      </c>
      <c r="N592" s="4" t="s">
        <v>4174</v>
      </c>
      <c r="O592" s="4" t="s">
        <v>71</v>
      </c>
      <c r="P592" s="168" t="s">
        <v>4175</v>
      </c>
      <c r="Q592" s="4" t="s">
        <v>47</v>
      </c>
      <c r="R592" s="172"/>
      <c r="S592" s="172"/>
      <c r="T592" s="172"/>
      <c r="U592" s="172"/>
      <c r="V592" s="172"/>
      <c r="W592" s="172"/>
      <c r="X592" s="172"/>
      <c r="Y592" s="172"/>
      <c r="Z592" s="172"/>
    </row>
    <row r="593" spans="1:26" ht="13.8">
      <c r="A593" s="166">
        <v>370</v>
      </c>
      <c r="B593" s="4" t="s">
        <v>4176</v>
      </c>
      <c r="C593" s="4">
        <v>1310</v>
      </c>
      <c r="D593" s="4" t="s">
        <v>4177</v>
      </c>
      <c r="E593" s="4" t="s">
        <v>4178</v>
      </c>
      <c r="F593" s="4" t="s">
        <v>4179</v>
      </c>
      <c r="G593" s="4" t="s">
        <v>4180</v>
      </c>
      <c r="H593" s="4" t="s">
        <v>4181</v>
      </c>
      <c r="I593" s="4" t="s">
        <v>4182</v>
      </c>
      <c r="J593" s="4" t="s">
        <v>4183</v>
      </c>
      <c r="K593" s="4">
        <v>9829621721</v>
      </c>
      <c r="L593" s="4" t="s">
        <v>3869</v>
      </c>
      <c r="M593" s="4">
        <v>9829621721</v>
      </c>
      <c r="N593" s="4" t="s">
        <v>4184</v>
      </c>
      <c r="O593" s="4" t="s">
        <v>71</v>
      </c>
      <c r="P593" s="168" t="s">
        <v>4185</v>
      </c>
      <c r="Q593" s="4" t="s">
        <v>47</v>
      </c>
      <c r="R593" s="172"/>
      <c r="S593" s="172"/>
      <c r="T593" s="172"/>
      <c r="U593" s="172"/>
      <c r="V593" s="172"/>
      <c r="W593" s="172"/>
      <c r="X593" s="172"/>
      <c r="Y593" s="172"/>
      <c r="Z593" s="172"/>
    </row>
    <row r="594" spans="1:26" ht="13.8">
      <c r="A594" s="166">
        <v>371</v>
      </c>
      <c r="B594" s="4" t="s">
        <v>4186</v>
      </c>
      <c r="C594" s="4">
        <v>1311</v>
      </c>
      <c r="D594" s="4" t="s">
        <v>4187</v>
      </c>
      <c r="E594" s="4" t="s">
        <v>71</v>
      </c>
      <c r="F594" s="4" t="s">
        <v>4188</v>
      </c>
      <c r="G594" s="4" t="s">
        <v>4189</v>
      </c>
      <c r="H594" s="4" t="s">
        <v>4190</v>
      </c>
      <c r="I594" s="4" t="s">
        <v>4191</v>
      </c>
      <c r="J594" s="4" t="s">
        <v>71</v>
      </c>
      <c r="K594" s="4">
        <v>8169833371</v>
      </c>
      <c r="L594" s="4" t="s">
        <v>3869</v>
      </c>
      <c r="M594" s="4">
        <v>8169833371</v>
      </c>
      <c r="N594" s="4" t="s">
        <v>4192</v>
      </c>
      <c r="O594" s="4" t="s">
        <v>71</v>
      </c>
      <c r="P594" s="4" t="s">
        <v>71</v>
      </c>
      <c r="Q594" s="4" t="s">
        <v>47</v>
      </c>
      <c r="R594" s="172"/>
      <c r="S594" s="172"/>
      <c r="T594" s="172"/>
      <c r="U594" s="172"/>
      <c r="V594" s="172"/>
      <c r="W594" s="172"/>
      <c r="X594" s="172"/>
      <c r="Y594" s="172"/>
      <c r="Z594" s="172"/>
    </row>
    <row r="595" spans="1:26" ht="13.8">
      <c r="A595" s="166">
        <v>372</v>
      </c>
      <c r="B595" s="4" t="s">
        <v>4193</v>
      </c>
      <c r="C595" s="4">
        <v>1312</v>
      </c>
      <c r="D595" s="4" t="s">
        <v>4194</v>
      </c>
      <c r="E595" s="4" t="s">
        <v>71</v>
      </c>
      <c r="F595" s="4" t="s">
        <v>4195</v>
      </c>
      <c r="G595" s="4" t="s">
        <v>4196</v>
      </c>
      <c r="H595" s="4" t="s">
        <v>4197</v>
      </c>
      <c r="I595" s="4" t="s">
        <v>4198</v>
      </c>
      <c r="J595" s="4" t="s">
        <v>71</v>
      </c>
      <c r="K595" s="4">
        <v>7977409471</v>
      </c>
      <c r="L595" s="4" t="s">
        <v>3869</v>
      </c>
      <c r="M595" s="4">
        <v>7977409471</v>
      </c>
      <c r="N595" s="4" t="s">
        <v>71</v>
      </c>
      <c r="O595" s="4" t="s">
        <v>71</v>
      </c>
      <c r="P595" s="4" t="s">
        <v>71</v>
      </c>
      <c r="Q595" s="4" t="s">
        <v>47</v>
      </c>
      <c r="R595" s="172"/>
      <c r="S595" s="172"/>
      <c r="T595" s="172"/>
      <c r="U595" s="172"/>
      <c r="V595" s="172"/>
      <c r="W595" s="172"/>
      <c r="X595" s="172"/>
      <c r="Y595" s="172"/>
      <c r="Z595" s="172"/>
    </row>
    <row r="596" spans="1:26" ht="13.8">
      <c r="A596" s="166">
        <v>373</v>
      </c>
      <c r="B596" s="4" t="s">
        <v>4199</v>
      </c>
      <c r="C596" s="4">
        <v>1313</v>
      </c>
      <c r="D596" s="4" t="s">
        <v>4200</v>
      </c>
      <c r="E596" s="4" t="s">
        <v>71</v>
      </c>
      <c r="F596" s="4" t="s">
        <v>4201</v>
      </c>
      <c r="G596" s="4" t="s">
        <v>4202</v>
      </c>
      <c r="H596" s="4" t="s">
        <v>4203</v>
      </c>
      <c r="I596" s="4" t="s">
        <v>4204</v>
      </c>
      <c r="J596" s="4" t="s">
        <v>71</v>
      </c>
      <c r="K596" s="4">
        <v>8104322402</v>
      </c>
      <c r="L596" s="4" t="s">
        <v>3869</v>
      </c>
      <c r="M596" s="4">
        <v>8104322402</v>
      </c>
      <c r="N596" s="4" t="s">
        <v>71</v>
      </c>
      <c r="O596" s="4" t="s">
        <v>71</v>
      </c>
      <c r="P596" s="4" t="s">
        <v>71</v>
      </c>
      <c r="Q596" s="4" t="s">
        <v>47</v>
      </c>
      <c r="R596" s="172"/>
      <c r="S596" s="172"/>
      <c r="T596" s="172"/>
      <c r="U596" s="172"/>
      <c r="V596" s="172"/>
      <c r="W596" s="172"/>
      <c r="X596" s="172"/>
      <c r="Y596" s="172"/>
      <c r="Z596" s="172"/>
    </row>
    <row r="597" spans="1:26" ht="13.8">
      <c r="A597" s="166">
        <v>374</v>
      </c>
      <c r="B597" s="4" t="s">
        <v>4205</v>
      </c>
      <c r="C597" s="4">
        <v>1314</v>
      </c>
      <c r="D597" s="4" t="s">
        <v>4206</v>
      </c>
      <c r="E597" s="4" t="s">
        <v>71</v>
      </c>
      <c r="F597" s="4" t="s">
        <v>4207</v>
      </c>
      <c r="G597" s="4" t="s">
        <v>4208</v>
      </c>
      <c r="H597" s="4" t="s">
        <v>4209</v>
      </c>
      <c r="I597" s="4" t="s">
        <v>4210</v>
      </c>
      <c r="J597" s="4" t="s">
        <v>71</v>
      </c>
      <c r="K597" s="4">
        <v>9920053727</v>
      </c>
      <c r="L597" s="4" t="s">
        <v>3869</v>
      </c>
      <c r="M597" s="4">
        <v>9920053727</v>
      </c>
      <c r="N597" s="4" t="s">
        <v>4211</v>
      </c>
      <c r="O597" s="4" t="s">
        <v>71</v>
      </c>
      <c r="P597" s="4" t="s">
        <v>71</v>
      </c>
      <c r="Q597" s="4" t="s">
        <v>47</v>
      </c>
      <c r="R597" s="172"/>
      <c r="S597" s="172"/>
      <c r="T597" s="172"/>
      <c r="U597" s="172"/>
      <c r="V597" s="172"/>
      <c r="W597" s="172"/>
      <c r="X597" s="172"/>
      <c r="Y597" s="172"/>
      <c r="Z597" s="172"/>
    </row>
    <row r="598" spans="1:26" ht="13.8">
      <c r="A598" s="166">
        <v>375</v>
      </c>
      <c r="B598" s="4" t="s">
        <v>4212</v>
      </c>
      <c r="C598" s="4">
        <v>1315</v>
      </c>
      <c r="D598" s="4" t="s">
        <v>4213</v>
      </c>
      <c r="E598" s="4" t="s">
        <v>71</v>
      </c>
      <c r="F598" s="4" t="s">
        <v>4214</v>
      </c>
      <c r="G598" s="4" t="s">
        <v>4215</v>
      </c>
      <c r="H598" s="4" t="s">
        <v>4216</v>
      </c>
      <c r="I598" s="4" t="s">
        <v>4217</v>
      </c>
      <c r="J598" s="4" t="s">
        <v>71</v>
      </c>
      <c r="K598" s="4">
        <v>8928697921</v>
      </c>
      <c r="L598" s="4" t="s">
        <v>3869</v>
      </c>
      <c r="M598" s="4">
        <v>8928697921</v>
      </c>
      <c r="N598" s="4" t="s">
        <v>4218</v>
      </c>
      <c r="O598" s="4" t="s">
        <v>71</v>
      </c>
      <c r="P598" s="4" t="s">
        <v>71</v>
      </c>
      <c r="Q598" s="4" t="s">
        <v>47</v>
      </c>
      <c r="R598" s="172"/>
      <c r="S598" s="172"/>
      <c r="T598" s="172"/>
      <c r="U598" s="172"/>
      <c r="V598" s="172"/>
      <c r="W598" s="172"/>
      <c r="X598" s="172"/>
      <c r="Y598" s="172"/>
      <c r="Z598" s="172"/>
    </row>
    <row r="599" spans="1:26" ht="13.8">
      <c r="A599" s="166">
        <v>376</v>
      </c>
      <c r="B599" s="4" t="s">
        <v>4219</v>
      </c>
      <c r="C599" s="4">
        <v>1316</v>
      </c>
      <c r="D599" s="4" t="s">
        <v>4220</v>
      </c>
      <c r="E599" s="4" t="s">
        <v>71</v>
      </c>
      <c r="F599" s="4" t="s">
        <v>4221</v>
      </c>
      <c r="G599" s="4" t="s">
        <v>4222</v>
      </c>
      <c r="H599" s="4" t="s">
        <v>4223</v>
      </c>
      <c r="I599" s="4" t="s">
        <v>4224</v>
      </c>
      <c r="J599" s="4" t="s">
        <v>71</v>
      </c>
      <c r="K599" s="4">
        <v>9820673302</v>
      </c>
      <c r="L599" s="4" t="s">
        <v>3869</v>
      </c>
      <c r="M599" s="4">
        <v>9820673302</v>
      </c>
      <c r="N599" s="4" t="s">
        <v>4225</v>
      </c>
      <c r="O599" s="4" t="s">
        <v>71</v>
      </c>
      <c r="P599" s="4" t="s">
        <v>71</v>
      </c>
      <c r="Q599" s="4" t="s">
        <v>47</v>
      </c>
      <c r="R599" s="172"/>
      <c r="S599" s="172"/>
      <c r="T599" s="172"/>
      <c r="U599" s="172"/>
      <c r="V599" s="172"/>
      <c r="W599" s="172"/>
      <c r="X599" s="172"/>
      <c r="Y599" s="172"/>
      <c r="Z599" s="172"/>
    </row>
    <row r="600" spans="1:26" ht="13.8">
      <c r="A600" s="166">
        <v>377</v>
      </c>
      <c r="B600" s="4" t="s">
        <v>4226</v>
      </c>
      <c r="C600" s="4">
        <v>1317</v>
      </c>
      <c r="D600" s="4" t="s">
        <v>4227</v>
      </c>
      <c r="E600" s="4" t="s">
        <v>71</v>
      </c>
      <c r="F600" s="4" t="s">
        <v>4228</v>
      </c>
      <c r="G600" s="4" t="s">
        <v>4229</v>
      </c>
      <c r="H600" s="4" t="s">
        <v>4230</v>
      </c>
      <c r="I600" s="4" t="s">
        <v>4231</v>
      </c>
      <c r="J600" s="4" t="s">
        <v>71</v>
      </c>
      <c r="K600" s="4">
        <v>9769906048</v>
      </c>
      <c r="L600" s="4" t="s">
        <v>3869</v>
      </c>
      <c r="M600" s="4">
        <v>9769906048</v>
      </c>
      <c r="N600" s="4" t="s">
        <v>4232</v>
      </c>
      <c r="O600" s="4" t="s">
        <v>71</v>
      </c>
      <c r="P600" s="4" t="s">
        <v>71</v>
      </c>
      <c r="Q600" s="4" t="s">
        <v>47</v>
      </c>
      <c r="R600" s="172"/>
      <c r="S600" s="172"/>
      <c r="T600" s="172"/>
      <c r="U600" s="172"/>
      <c r="V600" s="172"/>
      <c r="W600" s="172"/>
      <c r="X600" s="172"/>
      <c r="Y600" s="172"/>
      <c r="Z600" s="172"/>
    </row>
    <row r="601" spans="1:26" ht="13.8">
      <c r="A601" s="166">
        <v>378</v>
      </c>
      <c r="B601" s="4" t="s">
        <v>4233</v>
      </c>
      <c r="C601" s="4">
        <v>1318</v>
      </c>
      <c r="D601" s="4" t="s">
        <v>71</v>
      </c>
      <c r="E601" s="4" t="s">
        <v>71</v>
      </c>
      <c r="F601" s="4" t="s">
        <v>4234</v>
      </c>
      <c r="G601" s="4" t="s">
        <v>4235</v>
      </c>
      <c r="H601" s="4" t="s">
        <v>4236</v>
      </c>
      <c r="I601" s="4" t="s">
        <v>4237</v>
      </c>
      <c r="J601" s="4" t="s">
        <v>71</v>
      </c>
      <c r="K601" s="4">
        <v>9224462625</v>
      </c>
      <c r="L601" s="4" t="s">
        <v>3869</v>
      </c>
      <c r="M601" s="4">
        <v>9224462625</v>
      </c>
      <c r="N601" s="4" t="s">
        <v>4238</v>
      </c>
      <c r="O601" s="4" t="s">
        <v>71</v>
      </c>
      <c r="P601" s="4" t="s">
        <v>71</v>
      </c>
      <c r="Q601" s="4" t="s">
        <v>47</v>
      </c>
      <c r="R601" s="172"/>
      <c r="S601" s="172"/>
      <c r="T601" s="172"/>
      <c r="U601" s="172"/>
      <c r="V601" s="172"/>
      <c r="W601" s="172"/>
      <c r="X601" s="172"/>
      <c r="Y601" s="172"/>
      <c r="Z601" s="172"/>
    </row>
    <row r="602" spans="1:26" ht="13.8">
      <c r="A602" s="166">
        <v>379</v>
      </c>
      <c r="B602" s="4" t="s">
        <v>4239</v>
      </c>
      <c r="C602" s="4">
        <v>1319</v>
      </c>
      <c r="D602" s="4" t="s">
        <v>4240</v>
      </c>
      <c r="E602" s="4" t="s">
        <v>71</v>
      </c>
      <c r="F602" s="4" t="s">
        <v>4241</v>
      </c>
      <c r="G602" s="4" t="s">
        <v>4242</v>
      </c>
      <c r="H602" s="4" t="s">
        <v>4243</v>
      </c>
      <c r="I602" s="4" t="s">
        <v>4244</v>
      </c>
      <c r="J602" s="4" t="s">
        <v>71</v>
      </c>
      <c r="K602" s="4">
        <v>9820074221</v>
      </c>
      <c r="L602" s="4" t="s">
        <v>3869</v>
      </c>
      <c r="M602" s="4">
        <v>9820074221</v>
      </c>
      <c r="N602" s="4" t="s">
        <v>4245</v>
      </c>
      <c r="O602" s="4" t="s">
        <v>71</v>
      </c>
      <c r="P602" s="4" t="s">
        <v>71</v>
      </c>
      <c r="Q602" s="4" t="s">
        <v>47</v>
      </c>
      <c r="R602" s="172"/>
      <c r="S602" s="172"/>
      <c r="T602" s="172"/>
      <c r="U602" s="172"/>
      <c r="V602" s="172"/>
      <c r="W602" s="172"/>
      <c r="X602" s="172"/>
      <c r="Y602" s="172"/>
      <c r="Z602" s="172"/>
    </row>
    <row r="603" spans="1:26" ht="13.8">
      <c r="A603" s="166">
        <v>380</v>
      </c>
      <c r="B603" s="4" t="s">
        <v>4246</v>
      </c>
      <c r="C603" s="4">
        <v>1320</v>
      </c>
      <c r="D603" s="4" t="s">
        <v>4247</v>
      </c>
      <c r="E603" s="4" t="s">
        <v>4248</v>
      </c>
      <c r="F603" s="4" t="s">
        <v>4249</v>
      </c>
      <c r="G603" s="4" t="s">
        <v>4250</v>
      </c>
      <c r="H603" s="4" t="s">
        <v>4251</v>
      </c>
      <c r="I603" s="4" t="s">
        <v>4252</v>
      </c>
      <c r="J603" s="4" t="s">
        <v>4253</v>
      </c>
      <c r="K603" s="4">
        <v>9820291104</v>
      </c>
      <c r="L603" s="4" t="s">
        <v>3869</v>
      </c>
      <c r="M603" s="4">
        <v>9820291104</v>
      </c>
      <c r="N603" s="4" t="s">
        <v>4254</v>
      </c>
      <c r="O603" s="4" t="s">
        <v>71</v>
      </c>
      <c r="P603" s="168" t="s">
        <v>4255</v>
      </c>
      <c r="Q603" s="4" t="s">
        <v>47</v>
      </c>
      <c r="R603" s="172"/>
      <c r="S603" s="172"/>
      <c r="T603" s="172"/>
      <c r="U603" s="172"/>
      <c r="V603" s="172"/>
      <c r="W603" s="172"/>
      <c r="X603" s="172"/>
      <c r="Y603" s="172"/>
      <c r="Z603" s="172"/>
    </row>
    <row r="604" spans="1:26" ht="13.8">
      <c r="A604" s="166">
        <v>381</v>
      </c>
      <c r="B604" s="4" t="s">
        <v>4256</v>
      </c>
      <c r="C604" s="4">
        <v>1321</v>
      </c>
      <c r="D604" s="4" t="s">
        <v>4257</v>
      </c>
      <c r="E604" s="4" t="s">
        <v>71</v>
      </c>
      <c r="F604" s="4" t="s">
        <v>4258</v>
      </c>
      <c r="G604" s="4" t="s">
        <v>4259</v>
      </c>
      <c r="H604" s="4" t="s">
        <v>4260</v>
      </c>
      <c r="I604" s="4" t="s">
        <v>4261</v>
      </c>
      <c r="J604" s="4" t="s">
        <v>4262</v>
      </c>
      <c r="K604" s="4">
        <v>9820222401</v>
      </c>
      <c r="L604" s="4" t="s">
        <v>3869</v>
      </c>
      <c r="M604" s="4">
        <v>9820222401</v>
      </c>
      <c r="N604" s="4" t="s">
        <v>4263</v>
      </c>
      <c r="O604" s="4" t="s">
        <v>71</v>
      </c>
      <c r="P604" s="4" t="s">
        <v>71</v>
      </c>
      <c r="Q604" s="4" t="s">
        <v>47</v>
      </c>
      <c r="R604" s="172"/>
      <c r="S604" s="172"/>
      <c r="T604" s="172"/>
      <c r="U604" s="172"/>
      <c r="V604" s="172"/>
      <c r="W604" s="172"/>
      <c r="X604" s="172"/>
      <c r="Y604" s="172"/>
      <c r="Z604" s="172"/>
    </row>
    <row r="605" spans="1:26" ht="13.8">
      <c r="A605" s="166">
        <v>382</v>
      </c>
      <c r="B605" s="4" t="s">
        <v>4264</v>
      </c>
      <c r="C605" s="4">
        <v>1322</v>
      </c>
      <c r="D605" s="4" t="s">
        <v>4265</v>
      </c>
      <c r="E605" s="4" t="s">
        <v>4266</v>
      </c>
      <c r="F605" s="4" t="s">
        <v>4267</v>
      </c>
      <c r="G605" s="4" t="s">
        <v>4268</v>
      </c>
      <c r="H605" s="4" t="s">
        <v>4269</v>
      </c>
      <c r="I605" s="4" t="s">
        <v>4019</v>
      </c>
      <c r="J605" s="4" t="s">
        <v>4270</v>
      </c>
      <c r="K605" s="4">
        <v>9930699995</v>
      </c>
      <c r="L605" s="4" t="s">
        <v>3869</v>
      </c>
      <c r="M605" s="4">
        <v>9930699995</v>
      </c>
      <c r="N605" s="4" t="s">
        <v>4271</v>
      </c>
      <c r="O605" s="4" t="s">
        <v>71</v>
      </c>
      <c r="P605" s="4" t="s">
        <v>71</v>
      </c>
      <c r="Q605" s="4" t="s">
        <v>47</v>
      </c>
      <c r="R605" s="172"/>
      <c r="S605" s="172"/>
      <c r="T605" s="172"/>
      <c r="U605" s="172"/>
      <c r="V605" s="172"/>
      <c r="W605" s="172"/>
      <c r="X605" s="172"/>
      <c r="Y605" s="172"/>
      <c r="Z605" s="172"/>
    </row>
    <row r="606" spans="1:26" ht="13.8">
      <c r="A606" s="166">
        <v>383</v>
      </c>
      <c r="B606" s="4" t="s">
        <v>4272</v>
      </c>
      <c r="C606" s="4">
        <v>1323</v>
      </c>
      <c r="D606" s="4" t="s">
        <v>4273</v>
      </c>
      <c r="E606" s="4" t="s">
        <v>71</v>
      </c>
      <c r="F606" s="4" t="s">
        <v>4274</v>
      </c>
      <c r="G606" s="4" t="s">
        <v>4275</v>
      </c>
      <c r="H606" s="4" t="s">
        <v>4276</v>
      </c>
      <c r="I606" s="4" t="s">
        <v>4277</v>
      </c>
      <c r="J606" s="4" t="s">
        <v>71</v>
      </c>
      <c r="K606" s="4">
        <v>9619911226</v>
      </c>
      <c r="L606" s="4" t="s">
        <v>3869</v>
      </c>
      <c r="M606" s="4">
        <v>9619911226</v>
      </c>
      <c r="N606" s="4" t="s">
        <v>4278</v>
      </c>
      <c r="O606" s="4" t="s">
        <v>71</v>
      </c>
      <c r="P606" s="4" t="s">
        <v>71</v>
      </c>
      <c r="Q606" s="4" t="s">
        <v>47</v>
      </c>
      <c r="R606" s="172"/>
      <c r="S606" s="172"/>
      <c r="T606" s="172"/>
      <c r="U606" s="172"/>
      <c r="V606" s="172"/>
      <c r="W606" s="172"/>
      <c r="X606" s="172"/>
      <c r="Y606" s="172"/>
      <c r="Z606" s="172"/>
    </row>
    <row r="607" spans="1:26" ht="13.8">
      <c r="A607" s="166">
        <v>384</v>
      </c>
      <c r="B607" s="4" t="s">
        <v>4279</v>
      </c>
      <c r="C607" s="4">
        <v>1324</v>
      </c>
      <c r="D607" s="4" t="s">
        <v>4280</v>
      </c>
      <c r="E607" s="4" t="s">
        <v>71</v>
      </c>
      <c r="F607" s="4" t="s">
        <v>4281</v>
      </c>
      <c r="G607" s="4" t="s">
        <v>4282</v>
      </c>
      <c r="H607" s="4" t="s">
        <v>4283</v>
      </c>
      <c r="I607" s="4" t="s">
        <v>4284</v>
      </c>
      <c r="J607" s="4" t="s">
        <v>71</v>
      </c>
      <c r="K607" s="4">
        <v>9833222872</v>
      </c>
      <c r="L607" s="4" t="s">
        <v>3869</v>
      </c>
      <c r="M607" s="4">
        <v>9833222872</v>
      </c>
      <c r="N607" s="4" t="s">
        <v>4285</v>
      </c>
      <c r="O607" s="4" t="s">
        <v>71</v>
      </c>
      <c r="P607" s="4" t="s">
        <v>71</v>
      </c>
      <c r="Q607" s="4" t="s">
        <v>47</v>
      </c>
      <c r="R607" s="172"/>
      <c r="S607" s="172"/>
      <c r="T607" s="172"/>
      <c r="U607" s="172"/>
      <c r="V607" s="172"/>
      <c r="W607" s="172"/>
      <c r="X607" s="172"/>
      <c r="Y607" s="172"/>
      <c r="Z607" s="172"/>
    </row>
    <row r="608" spans="1:26" ht="13.8">
      <c r="A608" s="166">
        <v>389</v>
      </c>
      <c r="B608" s="4" t="s">
        <v>4327</v>
      </c>
      <c r="C608" s="4">
        <v>1325</v>
      </c>
      <c r="D608" s="4" t="s">
        <v>4328</v>
      </c>
      <c r="E608" s="4" t="s">
        <v>4329</v>
      </c>
      <c r="F608" s="4" t="s">
        <v>4330</v>
      </c>
      <c r="G608" s="4" t="s">
        <v>4331</v>
      </c>
      <c r="H608" s="4" t="s">
        <v>4332</v>
      </c>
      <c r="I608" s="4" t="s">
        <v>4333</v>
      </c>
      <c r="J608" s="4" t="s">
        <v>4334</v>
      </c>
      <c r="K608" s="4">
        <v>9920470711</v>
      </c>
      <c r="L608" s="4" t="s">
        <v>4323</v>
      </c>
      <c r="M608" s="4">
        <v>9920470711</v>
      </c>
      <c r="N608" s="4" t="s">
        <v>4335</v>
      </c>
      <c r="O608" s="4" t="s">
        <v>71</v>
      </c>
      <c r="P608" s="168" t="s">
        <v>4336</v>
      </c>
      <c r="Q608" s="4" t="s">
        <v>47</v>
      </c>
      <c r="R608" s="172"/>
      <c r="S608" s="172"/>
      <c r="T608" s="172"/>
      <c r="U608" s="172"/>
      <c r="V608" s="172"/>
      <c r="W608" s="172"/>
      <c r="X608" s="172"/>
      <c r="Y608" s="172"/>
      <c r="Z608" s="172"/>
    </row>
    <row r="609" spans="1:26" ht="13.8">
      <c r="A609" s="166">
        <v>390</v>
      </c>
      <c r="B609" s="4" t="s">
        <v>4337</v>
      </c>
      <c r="C609" s="4">
        <v>1326</v>
      </c>
      <c r="D609" s="4" t="s">
        <v>4338</v>
      </c>
      <c r="E609" s="4" t="s">
        <v>4339</v>
      </c>
      <c r="F609" s="4" t="s">
        <v>4340</v>
      </c>
      <c r="G609" s="4" t="s">
        <v>4341</v>
      </c>
      <c r="H609" s="4" t="s">
        <v>4342</v>
      </c>
      <c r="I609" s="4" t="s">
        <v>4343</v>
      </c>
      <c r="J609" s="4" t="s">
        <v>4344</v>
      </c>
      <c r="K609" s="4">
        <v>9664433550</v>
      </c>
      <c r="L609" s="4" t="s">
        <v>4323</v>
      </c>
      <c r="M609" s="4">
        <v>9664433550</v>
      </c>
      <c r="N609" s="4" t="s">
        <v>4345</v>
      </c>
      <c r="O609" s="4" t="s">
        <v>71</v>
      </c>
      <c r="P609" s="168" t="s">
        <v>4346</v>
      </c>
      <c r="Q609" s="4" t="s">
        <v>47</v>
      </c>
      <c r="R609" s="172"/>
      <c r="S609" s="172"/>
      <c r="T609" s="172"/>
      <c r="U609" s="172"/>
      <c r="V609" s="172"/>
      <c r="W609" s="172"/>
      <c r="X609" s="172"/>
      <c r="Y609" s="172"/>
      <c r="Z609" s="172"/>
    </row>
    <row r="610" spans="1:26" ht="13.8">
      <c r="A610" s="166">
        <v>391</v>
      </c>
      <c r="B610" s="4" t="s">
        <v>4347</v>
      </c>
      <c r="C610" s="4">
        <v>1327</v>
      </c>
      <c r="D610" s="4" t="s">
        <v>4348</v>
      </c>
      <c r="E610" s="4" t="s">
        <v>71</v>
      </c>
      <c r="F610" s="4" t="s">
        <v>4349</v>
      </c>
      <c r="G610" s="4" t="s">
        <v>4350</v>
      </c>
      <c r="H610" s="4" t="s">
        <v>4351</v>
      </c>
      <c r="I610" s="4" t="s">
        <v>4352</v>
      </c>
      <c r="J610" s="4" t="s">
        <v>71</v>
      </c>
      <c r="K610" s="4">
        <v>8779659057</v>
      </c>
      <c r="L610" s="4" t="s">
        <v>4323</v>
      </c>
      <c r="M610" s="4">
        <v>8779659057</v>
      </c>
      <c r="N610" s="4" t="s">
        <v>4353</v>
      </c>
      <c r="O610" s="4" t="s">
        <v>71</v>
      </c>
      <c r="P610" s="4" t="s">
        <v>71</v>
      </c>
      <c r="Q610" s="4" t="s">
        <v>47</v>
      </c>
      <c r="R610" s="172"/>
      <c r="S610" s="172"/>
      <c r="T610" s="172"/>
      <c r="U610" s="172"/>
      <c r="V610" s="172"/>
      <c r="W610" s="172"/>
      <c r="X610" s="172"/>
      <c r="Y610" s="172"/>
      <c r="Z610" s="172"/>
    </row>
    <row r="611" spans="1:26" ht="13.8">
      <c r="A611" s="166">
        <v>392</v>
      </c>
      <c r="B611" s="4" t="s">
        <v>4354</v>
      </c>
      <c r="C611" s="4">
        <v>1328</v>
      </c>
      <c r="D611" s="4" t="s">
        <v>4355</v>
      </c>
      <c r="E611" s="4" t="s">
        <v>4356</v>
      </c>
      <c r="F611" s="4" t="s">
        <v>4357</v>
      </c>
      <c r="G611" s="4" t="s">
        <v>4358</v>
      </c>
      <c r="H611" s="4" t="s">
        <v>4359</v>
      </c>
      <c r="I611" s="4" t="s">
        <v>4360</v>
      </c>
      <c r="J611" s="4" t="s">
        <v>4361</v>
      </c>
      <c r="K611" s="4">
        <v>9892201507</v>
      </c>
      <c r="L611" s="4" t="s">
        <v>4323</v>
      </c>
      <c r="M611" s="4">
        <v>9892201507</v>
      </c>
      <c r="N611" s="4" t="s">
        <v>4362</v>
      </c>
      <c r="O611" s="4" t="s">
        <v>71</v>
      </c>
      <c r="P611" s="4" t="s">
        <v>71</v>
      </c>
      <c r="Q611" s="4" t="s">
        <v>47</v>
      </c>
      <c r="R611" s="172"/>
      <c r="S611" s="172"/>
      <c r="T611" s="172"/>
      <c r="U611" s="172"/>
      <c r="V611" s="172"/>
      <c r="W611" s="172"/>
      <c r="X611" s="172"/>
      <c r="Y611" s="172"/>
      <c r="Z611" s="172"/>
    </row>
    <row r="612" spans="1:26" ht="13.8">
      <c r="A612" s="166">
        <v>393</v>
      </c>
      <c r="B612" s="4" t="s">
        <v>4363</v>
      </c>
      <c r="C612" s="4">
        <v>1329</v>
      </c>
      <c r="D612" s="4" t="s">
        <v>4364</v>
      </c>
      <c r="E612" s="4" t="s">
        <v>71</v>
      </c>
      <c r="F612" s="4" t="s">
        <v>4365</v>
      </c>
      <c r="G612" s="4" t="s">
        <v>4366</v>
      </c>
      <c r="H612" s="4" t="s">
        <v>4367</v>
      </c>
      <c r="I612" s="4" t="s">
        <v>4368</v>
      </c>
      <c r="J612" s="4" t="s">
        <v>71</v>
      </c>
      <c r="K612" s="4">
        <v>9833725455</v>
      </c>
      <c r="L612" s="4" t="s">
        <v>4323</v>
      </c>
      <c r="M612" s="4">
        <v>9833725455</v>
      </c>
      <c r="N612" s="4" t="s">
        <v>4369</v>
      </c>
      <c r="O612" s="4" t="s">
        <v>71</v>
      </c>
      <c r="P612" s="4" t="s">
        <v>71</v>
      </c>
      <c r="Q612" s="4" t="s">
        <v>47</v>
      </c>
      <c r="R612" s="172"/>
      <c r="S612" s="172"/>
      <c r="T612" s="172"/>
      <c r="U612" s="172"/>
      <c r="V612" s="172"/>
      <c r="W612" s="172"/>
      <c r="X612" s="172"/>
      <c r="Y612" s="172"/>
      <c r="Z612" s="172"/>
    </row>
    <row r="613" spans="1:26" ht="13.8">
      <c r="A613" s="166">
        <v>394</v>
      </c>
      <c r="B613" s="4" t="s">
        <v>4370</v>
      </c>
      <c r="C613" s="4">
        <v>1330</v>
      </c>
      <c r="D613" s="4" t="s">
        <v>4371</v>
      </c>
      <c r="E613" s="4" t="s">
        <v>4372</v>
      </c>
      <c r="F613" s="4" t="s">
        <v>4373</v>
      </c>
      <c r="G613" s="4" t="s">
        <v>4374</v>
      </c>
      <c r="H613" s="4" t="s">
        <v>4375</v>
      </c>
      <c r="I613" s="4" t="s">
        <v>4376</v>
      </c>
      <c r="J613" s="4" t="s">
        <v>4377</v>
      </c>
      <c r="K613" s="4">
        <v>9833959607</v>
      </c>
      <c r="L613" s="4" t="s">
        <v>4323</v>
      </c>
      <c r="M613" s="4">
        <v>9833959607</v>
      </c>
      <c r="N613" s="4" t="s">
        <v>4378</v>
      </c>
      <c r="O613" s="4" t="s">
        <v>71</v>
      </c>
      <c r="P613" s="168" t="s">
        <v>4379</v>
      </c>
      <c r="Q613" s="4" t="s">
        <v>47</v>
      </c>
      <c r="R613" s="172"/>
      <c r="S613" s="172"/>
      <c r="T613" s="172"/>
      <c r="U613" s="172"/>
      <c r="V613" s="172"/>
      <c r="W613" s="172"/>
      <c r="X613" s="172"/>
      <c r="Y613" s="172"/>
      <c r="Z613" s="172"/>
    </row>
    <row r="614" spans="1:26" ht="13.8">
      <c r="A614" s="166">
        <v>395</v>
      </c>
      <c r="B614" s="4" t="s">
        <v>4380</v>
      </c>
      <c r="C614" s="4">
        <v>1331</v>
      </c>
      <c r="D614" s="4" t="s">
        <v>4381</v>
      </c>
      <c r="E614" s="4" t="s">
        <v>4382</v>
      </c>
      <c r="F614" s="4" t="s">
        <v>4383</v>
      </c>
      <c r="G614" s="4" t="s">
        <v>4384</v>
      </c>
      <c r="H614" s="4" t="s">
        <v>4385</v>
      </c>
      <c r="I614" s="4" t="s">
        <v>4386</v>
      </c>
      <c r="J614" s="4" t="s">
        <v>4387</v>
      </c>
      <c r="K614" s="4">
        <v>9987200510</v>
      </c>
      <c r="L614" s="4" t="s">
        <v>4323</v>
      </c>
      <c r="M614" s="4">
        <v>9987200510</v>
      </c>
      <c r="N614" s="4" t="s">
        <v>4388</v>
      </c>
      <c r="O614" s="4" t="s">
        <v>71</v>
      </c>
      <c r="P614" s="4" t="s">
        <v>71</v>
      </c>
      <c r="Q614" s="4" t="s">
        <v>47</v>
      </c>
      <c r="R614" s="172"/>
      <c r="S614" s="172"/>
      <c r="T614" s="172"/>
      <c r="U614" s="172"/>
      <c r="V614" s="172"/>
      <c r="W614" s="172"/>
      <c r="X614" s="172"/>
      <c r="Y614" s="172"/>
      <c r="Z614" s="172"/>
    </row>
    <row r="615" spans="1:26" ht="13.8">
      <c r="A615" s="166">
        <v>396</v>
      </c>
      <c r="B615" s="4" t="s">
        <v>4389</v>
      </c>
      <c r="C615" s="4">
        <v>1332</v>
      </c>
      <c r="D615" s="4" t="s">
        <v>4390</v>
      </c>
      <c r="E615" s="4" t="s">
        <v>4391</v>
      </c>
      <c r="F615" s="4" t="s">
        <v>4392</v>
      </c>
      <c r="G615" s="4" t="s">
        <v>4393</v>
      </c>
      <c r="H615" s="4" t="s">
        <v>4394</v>
      </c>
      <c r="I615" s="4" t="s">
        <v>4395</v>
      </c>
      <c r="J615" s="4" t="s">
        <v>4396</v>
      </c>
      <c r="K615" s="4">
        <v>9820189554</v>
      </c>
      <c r="L615" s="4" t="s">
        <v>4323</v>
      </c>
      <c r="M615" s="4">
        <v>9820189554</v>
      </c>
      <c r="N615" s="4" t="s">
        <v>4397</v>
      </c>
      <c r="O615" s="168" t="s">
        <v>4398</v>
      </c>
      <c r="P615" s="4" t="s">
        <v>4399</v>
      </c>
      <c r="Q615" s="4" t="s">
        <v>47</v>
      </c>
      <c r="R615" s="172"/>
      <c r="S615" s="172"/>
      <c r="T615" s="172"/>
      <c r="U615" s="172"/>
      <c r="V615" s="172"/>
      <c r="W615" s="172"/>
      <c r="X615" s="172"/>
      <c r="Y615" s="172"/>
      <c r="Z615" s="172"/>
    </row>
    <row r="616" spans="1:26" ht="13.8">
      <c r="A616" s="166">
        <v>397</v>
      </c>
      <c r="B616" s="4" t="s">
        <v>4400</v>
      </c>
      <c r="C616" s="4">
        <v>1333</v>
      </c>
      <c r="D616" s="4" t="s">
        <v>4401</v>
      </c>
      <c r="E616" s="4" t="s">
        <v>4402</v>
      </c>
      <c r="F616" s="4" t="s">
        <v>4403</v>
      </c>
      <c r="G616" s="4" t="s">
        <v>4404</v>
      </c>
      <c r="H616" s="4" t="s">
        <v>4405</v>
      </c>
      <c r="I616" s="4" t="s">
        <v>4406</v>
      </c>
      <c r="J616" s="4" t="s">
        <v>4407</v>
      </c>
      <c r="K616" s="4">
        <v>9702084679</v>
      </c>
      <c r="L616" s="4" t="s">
        <v>4323</v>
      </c>
      <c r="M616" s="4">
        <v>9702084679</v>
      </c>
      <c r="N616" s="4" t="s">
        <v>4408</v>
      </c>
      <c r="O616" s="4" t="s">
        <v>71</v>
      </c>
      <c r="P616" s="168" t="s">
        <v>4409</v>
      </c>
      <c r="Q616" s="4" t="s">
        <v>47</v>
      </c>
      <c r="R616" s="172"/>
      <c r="S616" s="172"/>
      <c r="T616" s="172"/>
      <c r="U616" s="172"/>
      <c r="V616" s="172"/>
      <c r="W616" s="172"/>
      <c r="X616" s="172"/>
      <c r="Y616" s="172"/>
      <c r="Z616" s="172"/>
    </row>
    <row r="617" spans="1:26" ht="13.8">
      <c r="A617" s="166">
        <v>398</v>
      </c>
      <c r="B617" s="4" t="s">
        <v>4410</v>
      </c>
      <c r="C617" s="4">
        <v>1334</v>
      </c>
      <c r="D617" s="4" t="s">
        <v>4411</v>
      </c>
      <c r="E617" s="4" t="s">
        <v>4412</v>
      </c>
      <c r="F617" s="4" t="s">
        <v>4413</v>
      </c>
      <c r="G617" s="4" t="s">
        <v>4414</v>
      </c>
      <c r="H617" s="4" t="s">
        <v>4415</v>
      </c>
      <c r="I617" s="4" t="s">
        <v>4416</v>
      </c>
      <c r="J617" s="4" t="s">
        <v>4417</v>
      </c>
      <c r="K617" s="4">
        <v>7506061751</v>
      </c>
      <c r="L617" s="4" t="s">
        <v>4323</v>
      </c>
      <c r="M617" s="4">
        <v>7506061751</v>
      </c>
      <c r="N617" s="4" t="s">
        <v>4418</v>
      </c>
      <c r="O617" s="168" t="s">
        <v>4419</v>
      </c>
      <c r="P617" s="168" t="s">
        <v>4420</v>
      </c>
      <c r="Q617" s="4" t="s">
        <v>47</v>
      </c>
      <c r="R617" s="172"/>
      <c r="S617" s="172"/>
      <c r="T617" s="172"/>
      <c r="U617" s="172"/>
      <c r="V617" s="172"/>
      <c r="W617" s="172"/>
      <c r="X617" s="172"/>
      <c r="Y617" s="172"/>
      <c r="Z617" s="172"/>
    </row>
    <row r="618" spans="1:26" ht="13.8">
      <c r="A618" s="166">
        <v>399</v>
      </c>
      <c r="B618" s="4" t="s">
        <v>4421</v>
      </c>
      <c r="C618" s="4">
        <v>1335</v>
      </c>
      <c r="D618" s="4" t="s">
        <v>4422</v>
      </c>
      <c r="E618" s="4" t="s">
        <v>71</v>
      </c>
      <c r="F618" s="4" t="s">
        <v>4423</v>
      </c>
      <c r="G618" s="4" t="s">
        <v>4424</v>
      </c>
      <c r="H618" s="4" t="s">
        <v>4425</v>
      </c>
      <c r="I618" s="4" t="s">
        <v>4426</v>
      </c>
      <c r="J618" s="4" t="s">
        <v>71</v>
      </c>
      <c r="K618" s="4">
        <v>9594430114</v>
      </c>
      <c r="L618" s="4" t="s">
        <v>4323</v>
      </c>
      <c r="M618" s="4">
        <v>9594430114</v>
      </c>
      <c r="N618" s="4" t="s">
        <v>4427</v>
      </c>
      <c r="O618" s="4" t="s">
        <v>71</v>
      </c>
      <c r="P618" s="4" t="s">
        <v>71</v>
      </c>
      <c r="Q618" s="4" t="s">
        <v>47</v>
      </c>
      <c r="R618" s="172"/>
      <c r="S618" s="172"/>
      <c r="T618" s="172"/>
      <c r="U618" s="172"/>
      <c r="V618" s="172"/>
      <c r="W618" s="172"/>
      <c r="X618" s="172"/>
      <c r="Y618" s="172"/>
      <c r="Z618" s="172"/>
    </row>
    <row r="619" spans="1:26" ht="13.8">
      <c r="A619" s="166">
        <v>400</v>
      </c>
      <c r="B619" s="4" t="s">
        <v>4428</v>
      </c>
      <c r="C619" s="4">
        <v>1336</v>
      </c>
      <c r="D619" s="4" t="s">
        <v>4429</v>
      </c>
      <c r="E619" s="4" t="s">
        <v>71</v>
      </c>
      <c r="F619" s="4" t="s">
        <v>4430</v>
      </c>
      <c r="G619" s="4" t="s">
        <v>4431</v>
      </c>
      <c r="H619" s="4" t="s">
        <v>4432</v>
      </c>
      <c r="I619" s="4" t="s">
        <v>4433</v>
      </c>
      <c r="J619" s="4" t="s">
        <v>71</v>
      </c>
      <c r="K619" s="4">
        <v>9819157943</v>
      </c>
      <c r="L619" s="4" t="s">
        <v>4323</v>
      </c>
      <c r="M619" s="4">
        <v>9819157943</v>
      </c>
      <c r="N619" s="4" t="s">
        <v>2953</v>
      </c>
      <c r="O619" s="4" t="s">
        <v>71</v>
      </c>
      <c r="P619" s="4" t="s">
        <v>71</v>
      </c>
      <c r="Q619" s="4" t="s">
        <v>47</v>
      </c>
      <c r="R619" s="172"/>
      <c r="S619" s="172"/>
      <c r="T619" s="172"/>
      <c r="U619" s="172"/>
      <c r="V619" s="172"/>
      <c r="W619" s="172"/>
      <c r="X619" s="172"/>
      <c r="Y619" s="172"/>
      <c r="Z619" s="172"/>
    </row>
    <row r="620" spans="1:26" ht="13.8">
      <c r="A620" s="166">
        <v>401</v>
      </c>
      <c r="B620" s="4" t="s">
        <v>4434</v>
      </c>
      <c r="C620" s="4">
        <v>1337</v>
      </c>
      <c r="D620" s="4" t="s">
        <v>4435</v>
      </c>
      <c r="E620" s="4" t="s">
        <v>4436</v>
      </c>
      <c r="F620" s="4" t="s">
        <v>4437</v>
      </c>
      <c r="G620" s="4" t="s">
        <v>4438</v>
      </c>
      <c r="H620" s="4" t="s">
        <v>4439</v>
      </c>
      <c r="I620" s="4" t="s">
        <v>3897</v>
      </c>
      <c r="J620" s="4" t="s">
        <v>4440</v>
      </c>
      <c r="K620" s="4">
        <v>8007193206</v>
      </c>
      <c r="L620" s="4" t="s">
        <v>4323</v>
      </c>
      <c r="M620" s="4">
        <v>8007193206</v>
      </c>
      <c r="N620" s="4" t="s">
        <v>71</v>
      </c>
      <c r="O620" s="4" t="s">
        <v>71</v>
      </c>
      <c r="P620" s="168" t="s">
        <v>4441</v>
      </c>
      <c r="Q620" s="4" t="s">
        <v>47</v>
      </c>
      <c r="R620" s="172"/>
      <c r="S620" s="172"/>
      <c r="T620" s="172"/>
      <c r="U620" s="172"/>
      <c r="V620" s="172"/>
      <c r="W620" s="172"/>
      <c r="X620" s="172"/>
      <c r="Y620" s="172"/>
      <c r="Z620" s="172"/>
    </row>
    <row r="621" spans="1:26" ht="13.8">
      <c r="A621" s="166">
        <v>402</v>
      </c>
      <c r="B621" s="4" t="s">
        <v>4442</v>
      </c>
      <c r="C621" s="4">
        <v>1338</v>
      </c>
      <c r="D621" s="4" t="s">
        <v>4443</v>
      </c>
      <c r="E621" s="4" t="s">
        <v>71</v>
      </c>
      <c r="F621" s="4" t="s">
        <v>4444</v>
      </c>
      <c r="G621" s="4" t="s">
        <v>4445</v>
      </c>
      <c r="H621" s="4" t="s">
        <v>4446</v>
      </c>
      <c r="I621" s="4" t="s">
        <v>4447</v>
      </c>
      <c r="J621" s="4" t="s">
        <v>4448</v>
      </c>
      <c r="K621" s="4">
        <v>9920077286</v>
      </c>
      <c r="L621" s="4" t="s">
        <v>4323</v>
      </c>
      <c r="M621" s="4">
        <v>9920077286</v>
      </c>
      <c r="N621" s="4" t="s">
        <v>4449</v>
      </c>
      <c r="O621" s="168" t="s">
        <v>4450</v>
      </c>
      <c r="P621" s="168" t="s">
        <v>4451</v>
      </c>
      <c r="Q621" s="4" t="s">
        <v>47</v>
      </c>
      <c r="R621" s="172"/>
      <c r="S621" s="172"/>
      <c r="T621" s="172"/>
      <c r="U621" s="172"/>
      <c r="V621" s="172"/>
      <c r="W621" s="172"/>
      <c r="X621" s="172"/>
      <c r="Y621" s="172"/>
      <c r="Z621" s="172"/>
    </row>
    <row r="622" spans="1:26" ht="13.8">
      <c r="A622" s="166">
        <v>403</v>
      </c>
      <c r="B622" s="4" t="s">
        <v>4452</v>
      </c>
      <c r="C622" s="4">
        <v>1340</v>
      </c>
      <c r="D622" s="4" t="s">
        <v>4453</v>
      </c>
      <c r="E622" s="4" t="s">
        <v>4454</v>
      </c>
      <c r="F622" s="4" t="s">
        <v>4455</v>
      </c>
      <c r="G622" s="4" t="s">
        <v>4456</v>
      </c>
      <c r="H622" s="4" t="s">
        <v>4457</v>
      </c>
      <c r="I622" s="4" t="s">
        <v>4458</v>
      </c>
      <c r="J622" s="4" t="s">
        <v>4459</v>
      </c>
      <c r="K622" s="4">
        <v>9892050530</v>
      </c>
      <c r="L622" s="4" t="s">
        <v>4323</v>
      </c>
      <c r="M622" s="4">
        <v>9892050530</v>
      </c>
      <c r="N622" s="4" t="s">
        <v>4460</v>
      </c>
      <c r="O622" s="4" t="s">
        <v>71</v>
      </c>
      <c r="P622" s="168" t="s">
        <v>4461</v>
      </c>
      <c r="Q622" s="4" t="s">
        <v>47</v>
      </c>
      <c r="R622" s="172"/>
      <c r="S622" s="172"/>
      <c r="T622" s="172"/>
      <c r="U622" s="172"/>
      <c r="V622" s="172"/>
      <c r="W622" s="172"/>
      <c r="X622" s="172"/>
      <c r="Y622" s="172"/>
      <c r="Z622" s="172"/>
    </row>
    <row r="623" spans="1:26" ht="13.8">
      <c r="A623" s="166">
        <v>404</v>
      </c>
      <c r="B623" s="4" t="s">
        <v>4462</v>
      </c>
      <c r="C623" s="4">
        <v>1341</v>
      </c>
      <c r="D623" s="4" t="s">
        <v>4463</v>
      </c>
      <c r="E623" s="4" t="s">
        <v>4464</v>
      </c>
      <c r="F623" s="4" t="s">
        <v>4465</v>
      </c>
      <c r="G623" s="4" t="s">
        <v>4466</v>
      </c>
      <c r="H623" s="4" t="s">
        <v>4467</v>
      </c>
      <c r="I623" s="4" t="s">
        <v>4468</v>
      </c>
      <c r="J623" s="4" t="s">
        <v>4469</v>
      </c>
      <c r="K623" s="4">
        <v>9820842723</v>
      </c>
      <c r="L623" s="4" t="s">
        <v>4323</v>
      </c>
      <c r="M623" s="4">
        <v>9820842723</v>
      </c>
      <c r="N623" s="4" t="s">
        <v>4470</v>
      </c>
      <c r="O623" s="4" t="s">
        <v>71</v>
      </c>
      <c r="P623" s="168" t="s">
        <v>4471</v>
      </c>
      <c r="Q623" s="4" t="s">
        <v>47</v>
      </c>
      <c r="R623" s="172"/>
      <c r="S623" s="172"/>
      <c r="T623" s="172"/>
      <c r="U623" s="172"/>
      <c r="V623" s="172"/>
      <c r="W623" s="172"/>
      <c r="X623" s="172"/>
      <c r="Y623" s="172"/>
      <c r="Z623" s="172"/>
    </row>
    <row r="624" spans="1:26" ht="13.8">
      <c r="A624" s="166">
        <v>405</v>
      </c>
      <c r="B624" s="4" t="s">
        <v>4472</v>
      </c>
      <c r="C624" s="4">
        <v>1342</v>
      </c>
      <c r="D624" s="4" t="s">
        <v>71</v>
      </c>
      <c r="E624" s="4" t="s">
        <v>71</v>
      </c>
      <c r="F624" s="4" t="s">
        <v>4473</v>
      </c>
      <c r="G624" s="4" t="s">
        <v>4474</v>
      </c>
      <c r="H624" s="4" t="s">
        <v>4475</v>
      </c>
      <c r="I624" s="4" t="s">
        <v>4476</v>
      </c>
      <c r="J624" s="4" t="s">
        <v>71</v>
      </c>
      <c r="K624" s="4">
        <v>7299999459</v>
      </c>
      <c r="L624" s="4" t="s">
        <v>4323</v>
      </c>
      <c r="M624" s="4">
        <v>7299999459</v>
      </c>
      <c r="N624" s="4" t="s">
        <v>2953</v>
      </c>
      <c r="O624" s="4" t="s">
        <v>71</v>
      </c>
      <c r="P624" s="4" t="s">
        <v>71</v>
      </c>
      <c r="Q624" s="4" t="s">
        <v>47</v>
      </c>
      <c r="R624" s="172"/>
      <c r="S624" s="172"/>
      <c r="T624" s="172"/>
      <c r="U624" s="172"/>
      <c r="V624" s="172"/>
      <c r="W624" s="172"/>
      <c r="X624" s="172"/>
      <c r="Y624" s="172"/>
      <c r="Z624" s="172"/>
    </row>
    <row r="625" spans="1:26" ht="13.8">
      <c r="A625" s="166">
        <v>406</v>
      </c>
      <c r="B625" s="4" t="s">
        <v>4477</v>
      </c>
      <c r="C625" s="4">
        <v>1343</v>
      </c>
      <c r="D625" s="4" t="s">
        <v>4478</v>
      </c>
      <c r="E625" s="4" t="s">
        <v>4479</v>
      </c>
      <c r="F625" s="4" t="s">
        <v>4480</v>
      </c>
      <c r="G625" s="4" t="s">
        <v>4481</v>
      </c>
      <c r="H625" s="4" t="s">
        <v>4482</v>
      </c>
      <c r="I625" s="4" t="s">
        <v>71</v>
      </c>
      <c r="J625" s="4" t="s">
        <v>4483</v>
      </c>
      <c r="K625" s="4">
        <v>9930767460</v>
      </c>
      <c r="L625" s="4" t="s">
        <v>4323</v>
      </c>
      <c r="M625" s="4">
        <v>9930767460</v>
      </c>
      <c r="N625" s="4" t="s">
        <v>4484</v>
      </c>
      <c r="O625" s="4" t="s">
        <v>71</v>
      </c>
      <c r="P625" s="4" t="s">
        <v>71</v>
      </c>
      <c r="Q625" s="4" t="s">
        <v>47</v>
      </c>
      <c r="R625" s="172"/>
      <c r="S625" s="172"/>
      <c r="T625" s="172"/>
      <c r="U625" s="172"/>
      <c r="V625" s="172"/>
      <c r="W625" s="172"/>
      <c r="X625" s="172"/>
      <c r="Y625" s="172"/>
      <c r="Z625" s="172"/>
    </row>
    <row r="626" spans="1:26" ht="13.8">
      <c r="A626" s="166">
        <v>407</v>
      </c>
      <c r="B626" s="4" t="s">
        <v>4485</v>
      </c>
      <c r="C626" s="4">
        <v>1344</v>
      </c>
      <c r="D626" s="4" t="s">
        <v>4486</v>
      </c>
      <c r="E626" s="4" t="s">
        <v>4487</v>
      </c>
      <c r="F626" s="4" t="s">
        <v>4488</v>
      </c>
      <c r="G626" s="4" t="s">
        <v>4489</v>
      </c>
      <c r="H626" s="4" t="s">
        <v>4490</v>
      </c>
      <c r="I626" s="4" t="s">
        <v>4491</v>
      </c>
      <c r="J626" s="4" t="s">
        <v>4492</v>
      </c>
      <c r="K626" s="4">
        <v>9920378708</v>
      </c>
      <c r="L626" s="4" t="s">
        <v>4323</v>
      </c>
      <c r="M626" s="4">
        <v>9920378708</v>
      </c>
      <c r="N626" s="4" t="s">
        <v>4493</v>
      </c>
      <c r="O626" s="168" t="s">
        <v>4494</v>
      </c>
      <c r="P626" s="4" t="s">
        <v>71</v>
      </c>
      <c r="Q626" s="4" t="s">
        <v>47</v>
      </c>
      <c r="R626" s="172"/>
      <c r="S626" s="172"/>
      <c r="T626" s="172"/>
      <c r="U626" s="172"/>
      <c r="V626" s="172"/>
      <c r="W626" s="172"/>
      <c r="X626" s="172"/>
      <c r="Y626" s="172"/>
      <c r="Z626" s="172"/>
    </row>
    <row r="627" spans="1:26" ht="13.8">
      <c r="A627" s="166">
        <v>408</v>
      </c>
      <c r="B627" s="4" t="s">
        <v>4495</v>
      </c>
      <c r="C627" s="4">
        <v>1345</v>
      </c>
      <c r="D627" s="4" t="s">
        <v>4496</v>
      </c>
      <c r="E627" s="4" t="s">
        <v>71</v>
      </c>
      <c r="F627" s="4" t="s">
        <v>4497</v>
      </c>
      <c r="G627" s="4" t="s">
        <v>4498</v>
      </c>
      <c r="H627" s="4" t="s">
        <v>4499</v>
      </c>
      <c r="I627" s="4" t="s">
        <v>3960</v>
      </c>
      <c r="J627" s="4" t="s">
        <v>71</v>
      </c>
      <c r="K627" s="4">
        <v>9320006365</v>
      </c>
      <c r="L627" s="4" t="s">
        <v>4323</v>
      </c>
      <c r="M627" s="4">
        <v>9320006365</v>
      </c>
      <c r="N627" s="4" t="s">
        <v>4500</v>
      </c>
      <c r="O627" s="4" t="s">
        <v>71</v>
      </c>
      <c r="P627" s="4" t="s">
        <v>71</v>
      </c>
      <c r="Q627" s="4" t="s">
        <v>47</v>
      </c>
      <c r="R627" s="172"/>
      <c r="S627" s="172"/>
      <c r="T627" s="172"/>
      <c r="U627" s="172"/>
      <c r="V627" s="172"/>
      <c r="W627" s="172"/>
      <c r="X627" s="172"/>
      <c r="Y627" s="172"/>
      <c r="Z627" s="172"/>
    </row>
    <row r="628" spans="1:26" ht="13.8">
      <c r="A628" s="166">
        <v>409</v>
      </c>
      <c r="B628" s="4" t="s">
        <v>4501</v>
      </c>
      <c r="C628" s="4">
        <v>1346</v>
      </c>
      <c r="D628" s="4" t="s">
        <v>4502</v>
      </c>
      <c r="E628" s="4" t="s">
        <v>4503</v>
      </c>
      <c r="F628" s="4" t="s">
        <v>4504</v>
      </c>
      <c r="G628" s="4" t="s">
        <v>4505</v>
      </c>
      <c r="H628" s="4" t="s">
        <v>4506</v>
      </c>
      <c r="I628" s="4" t="s">
        <v>4507</v>
      </c>
      <c r="J628" s="4" t="s">
        <v>4508</v>
      </c>
      <c r="K628" s="4">
        <v>9819711898</v>
      </c>
      <c r="L628" s="4" t="s">
        <v>4323</v>
      </c>
      <c r="M628" s="4">
        <v>9819711898</v>
      </c>
      <c r="N628" s="4" t="s">
        <v>4509</v>
      </c>
      <c r="O628" s="168" t="s">
        <v>4510</v>
      </c>
      <c r="P628" s="4" t="s">
        <v>71</v>
      </c>
      <c r="Q628" s="4" t="s">
        <v>47</v>
      </c>
      <c r="R628" s="172"/>
      <c r="S628" s="172"/>
      <c r="T628" s="172"/>
      <c r="U628" s="172"/>
      <c r="V628" s="172"/>
      <c r="W628" s="172"/>
      <c r="X628" s="172"/>
      <c r="Y628" s="172"/>
      <c r="Z628" s="172"/>
    </row>
    <row r="629" spans="1:26" ht="13.8">
      <c r="A629" s="166">
        <v>410</v>
      </c>
      <c r="B629" s="4" t="s">
        <v>4511</v>
      </c>
      <c r="C629" s="4">
        <v>1347</v>
      </c>
      <c r="D629" s="4" t="s">
        <v>4512</v>
      </c>
      <c r="E629" s="4" t="s">
        <v>71</v>
      </c>
      <c r="F629" s="4" t="s">
        <v>4513</v>
      </c>
      <c r="G629" s="4" t="s">
        <v>4514</v>
      </c>
      <c r="H629" s="4" t="s">
        <v>4515</v>
      </c>
      <c r="I629" s="4" t="s">
        <v>4516</v>
      </c>
      <c r="J629" s="4" t="s">
        <v>71</v>
      </c>
      <c r="K629" s="4">
        <v>7738744374</v>
      </c>
      <c r="L629" s="4" t="s">
        <v>4323</v>
      </c>
      <c r="M629" s="4">
        <v>7738744374</v>
      </c>
      <c r="N629" s="4" t="s">
        <v>2953</v>
      </c>
      <c r="O629" s="4" t="s">
        <v>71</v>
      </c>
      <c r="P629" s="4" t="s">
        <v>71</v>
      </c>
      <c r="Q629" s="4" t="s">
        <v>47</v>
      </c>
      <c r="R629" s="172"/>
      <c r="S629" s="172"/>
      <c r="T629" s="172"/>
      <c r="U629" s="172"/>
      <c r="V629" s="172"/>
      <c r="W629" s="172"/>
      <c r="X629" s="172"/>
      <c r="Y629" s="172"/>
      <c r="Z629" s="172"/>
    </row>
    <row r="630" spans="1:26" ht="13.8">
      <c r="A630" s="166">
        <v>411</v>
      </c>
      <c r="B630" s="4" t="s">
        <v>4517</v>
      </c>
      <c r="C630" s="4">
        <v>1348</v>
      </c>
      <c r="D630" s="4" t="s">
        <v>71</v>
      </c>
      <c r="E630" s="4" t="s">
        <v>71</v>
      </c>
      <c r="F630" s="4" t="s">
        <v>4518</v>
      </c>
      <c r="G630" s="4" t="s">
        <v>4519</v>
      </c>
      <c r="H630" s="4" t="s">
        <v>4520</v>
      </c>
      <c r="I630" s="4" t="s">
        <v>4521</v>
      </c>
      <c r="J630" s="4" t="s">
        <v>71</v>
      </c>
      <c r="K630" s="4">
        <v>9320537219</v>
      </c>
      <c r="L630" s="4" t="s">
        <v>4323</v>
      </c>
      <c r="M630" s="4">
        <v>9320537219</v>
      </c>
      <c r="N630" s="4" t="s">
        <v>4522</v>
      </c>
      <c r="O630" s="4" t="s">
        <v>71</v>
      </c>
      <c r="P630" s="4" t="s">
        <v>71</v>
      </c>
      <c r="Q630" s="4" t="s">
        <v>47</v>
      </c>
      <c r="R630" s="172"/>
      <c r="S630" s="172"/>
      <c r="T630" s="172"/>
      <c r="U630" s="172"/>
      <c r="V630" s="172"/>
      <c r="W630" s="172"/>
      <c r="X630" s="172"/>
      <c r="Y630" s="172"/>
      <c r="Z630" s="172"/>
    </row>
    <row r="631" spans="1:26" ht="13.8">
      <c r="A631" s="166">
        <v>412</v>
      </c>
      <c r="B631" s="4" t="s">
        <v>4523</v>
      </c>
      <c r="C631" s="4">
        <v>1349</v>
      </c>
      <c r="D631" s="4" t="s">
        <v>71</v>
      </c>
      <c r="E631" s="4" t="s">
        <v>71</v>
      </c>
      <c r="F631" s="4" t="s">
        <v>4524</v>
      </c>
      <c r="G631" s="4" t="s">
        <v>4525</v>
      </c>
      <c r="H631" s="4" t="s">
        <v>4526</v>
      </c>
      <c r="I631" s="4" t="s">
        <v>4527</v>
      </c>
      <c r="J631" s="4" t="s">
        <v>71</v>
      </c>
      <c r="K631" s="4">
        <v>9324559400</v>
      </c>
      <c r="L631" s="4" t="s">
        <v>4323</v>
      </c>
      <c r="M631" s="4">
        <v>9324559400</v>
      </c>
      <c r="N631" s="4" t="s">
        <v>4528</v>
      </c>
      <c r="O631" s="4" t="s">
        <v>71</v>
      </c>
      <c r="P631" s="4" t="s">
        <v>71</v>
      </c>
      <c r="Q631" s="4" t="s">
        <v>47</v>
      </c>
      <c r="R631" s="172"/>
      <c r="S631" s="172"/>
      <c r="T631" s="172"/>
      <c r="U631" s="172"/>
      <c r="V631" s="172"/>
      <c r="W631" s="172"/>
      <c r="X631" s="172"/>
      <c r="Y631" s="172"/>
      <c r="Z631" s="172"/>
    </row>
    <row r="632" spans="1:26" ht="13.8">
      <c r="A632" s="166">
        <v>413</v>
      </c>
      <c r="B632" s="4" t="s">
        <v>4529</v>
      </c>
      <c r="C632" s="4">
        <v>1350</v>
      </c>
      <c r="D632" s="4" t="s">
        <v>4530</v>
      </c>
      <c r="E632" s="4" t="s">
        <v>4531</v>
      </c>
      <c r="F632" s="4" t="s">
        <v>4532</v>
      </c>
      <c r="G632" s="4" t="s">
        <v>4533</v>
      </c>
      <c r="H632" s="4" t="s">
        <v>4534</v>
      </c>
      <c r="I632" s="4" t="s">
        <v>4535</v>
      </c>
      <c r="J632" s="4" t="s">
        <v>4536</v>
      </c>
      <c r="K632" s="4">
        <v>9322261279</v>
      </c>
      <c r="L632" s="4" t="s">
        <v>4323</v>
      </c>
      <c r="M632" s="4">
        <v>9322261279</v>
      </c>
      <c r="N632" s="4" t="s">
        <v>4537</v>
      </c>
      <c r="O632" s="168" t="s">
        <v>4538</v>
      </c>
      <c r="P632" s="168" t="s">
        <v>4539</v>
      </c>
      <c r="Q632" s="4" t="s">
        <v>47</v>
      </c>
      <c r="R632" s="172"/>
      <c r="S632" s="172"/>
      <c r="T632" s="172"/>
      <c r="U632" s="172"/>
      <c r="V632" s="172"/>
      <c r="W632" s="172"/>
      <c r="X632" s="172"/>
      <c r="Y632" s="172"/>
      <c r="Z632" s="172"/>
    </row>
    <row r="633" spans="1:26" ht="13.8">
      <c r="A633" s="166">
        <v>414</v>
      </c>
      <c r="B633" s="4" t="s">
        <v>4540</v>
      </c>
      <c r="C633" s="4">
        <v>1351</v>
      </c>
      <c r="D633" s="4" t="s">
        <v>71</v>
      </c>
      <c r="E633" s="4" t="s">
        <v>71</v>
      </c>
      <c r="F633" s="4" t="s">
        <v>71</v>
      </c>
      <c r="G633" s="4" t="s">
        <v>4541</v>
      </c>
      <c r="H633" s="4" t="s">
        <v>4542</v>
      </c>
      <c r="I633" s="4" t="s">
        <v>71</v>
      </c>
      <c r="J633" s="4" t="s">
        <v>4543</v>
      </c>
      <c r="K633" s="4">
        <v>9820359079</v>
      </c>
      <c r="L633" s="4" t="s">
        <v>4323</v>
      </c>
      <c r="M633" s="4">
        <v>9820359079</v>
      </c>
      <c r="N633" s="4" t="s">
        <v>4544</v>
      </c>
      <c r="O633" s="4" t="s">
        <v>71</v>
      </c>
      <c r="P633" s="4" t="s">
        <v>71</v>
      </c>
      <c r="Q633" s="4" t="s">
        <v>47</v>
      </c>
      <c r="R633" s="172"/>
      <c r="S633" s="172"/>
      <c r="T633" s="172"/>
      <c r="U633" s="172"/>
      <c r="V633" s="172"/>
      <c r="W633" s="172"/>
      <c r="X633" s="172"/>
      <c r="Y633" s="172"/>
      <c r="Z633" s="172"/>
    </row>
    <row r="634" spans="1:26" ht="13.8">
      <c r="A634" s="166">
        <v>415</v>
      </c>
      <c r="B634" s="4" t="s">
        <v>4545</v>
      </c>
      <c r="C634" s="4">
        <v>1352</v>
      </c>
      <c r="D634" s="4" t="s">
        <v>4546</v>
      </c>
      <c r="E634" s="4" t="s">
        <v>71</v>
      </c>
      <c r="F634" s="4" t="s">
        <v>4547</v>
      </c>
      <c r="G634" s="4" t="s">
        <v>4548</v>
      </c>
      <c r="H634" s="4" t="s">
        <v>4549</v>
      </c>
      <c r="I634" s="4" t="s">
        <v>4550</v>
      </c>
      <c r="J634" s="4" t="s">
        <v>71</v>
      </c>
      <c r="K634" s="4">
        <v>8824466187</v>
      </c>
      <c r="L634" s="4" t="s">
        <v>4323</v>
      </c>
      <c r="M634" s="4">
        <v>8824466187</v>
      </c>
      <c r="N634" s="4" t="s">
        <v>4551</v>
      </c>
      <c r="O634" s="4" t="s">
        <v>71</v>
      </c>
      <c r="P634" s="4" t="s">
        <v>71</v>
      </c>
      <c r="Q634" s="4" t="s">
        <v>47</v>
      </c>
      <c r="R634" s="172"/>
      <c r="S634" s="172"/>
      <c r="T634" s="172"/>
      <c r="U634" s="172"/>
      <c r="V634" s="172"/>
      <c r="W634" s="172"/>
      <c r="X634" s="172"/>
      <c r="Y634" s="172"/>
      <c r="Z634" s="172"/>
    </row>
    <row r="635" spans="1:26" ht="13.8">
      <c r="A635" s="166">
        <v>416</v>
      </c>
      <c r="B635" s="4" t="s">
        <v>4552</v>
      </c>
      <c r="C635" s="4">
        <v>1353</v>
      </c>
      <c r="D635" s="4" t="s">
        <v>71</v>
      </c>
      <c r="E635" s="4" t="s">
        <v>71</v>
      </c>
      <c r="F635" s="4" t="s">
        <v>4553</v>
      </c>
      <c r="G635" s="4" t="s">
        <v>4554</v>
      </c>
      <c r="H635" s="4" t="s">
        <v>4555</v>
      </c>
      <c r="I635" s="4" t="s">
        <v>4556</v>
      </c>
      <c r="J635" s="4" t="s">
        <v>71</v>
      </c>
      <c r="K635" s="4">
        <v>9920399723</v>
      </c>
      <c r="L635" s="4" t="s">
        <v>4323</v>
      </c>
      <c r="M635" s="4">
        <v>9920399723</v>
      </c>
      <c r="N635" s="4" t="s">
        <v>4557</v>
      </c>
      <c r="O635" s="4" t="s">
        <v>71</v>
      </c>
      <c r="P635" s="4" t="s">
        <v>71</v>
      </c>
      <c r="Q635" s="4" t="s">
        <v>47</v>
      </c>
      <c r="R635" s="172"/>
      <c r="S635" s="172"/>
      <c r="T635" s="172"/>
      <c r="U635" s="172"/>
      <c r="V635" s="172"/>
      <c r="W635" s="172"/>
      <c r="X635" s="172"/>
      <c r="Y635" s="172"/>
      <c r="Z635" s="172"/>
    </row>
    <row r="636" spans="1:26" ht="13.8">
      <c r="A636" s="166">
        <v>417</v>
      </c>
      <c r="B636" s="4" t="s">
        <v>4558</v>
      </c>
      <c r="C636" s="4">
        <v>1354</v>
      </c>
      <c r="D636" s="4" t="s">
        <v>4559</v>
      </c>
      <c r="E636" s="4" t="s">
        <v>71</v>
      </c>
      <c r="F636" s="4" t="s">
        <v>4560</v>
      </c>
      <c r="G636" s="4" t="s">
        <v>4561</v>
      </c>
      <c r="H636" s="4" t="s">
        <v>4562</v>
      </c>
      <c r="I636" s="4" t="s">
        <v>4563</v>
      </c>
      <c r="J636" s="4" t="s">
        <v>71</v>
      </c>
      <c r="K636" s="4">
        <v>7738106055</v>
      </c>
      <c r="L636" s="4" t="s">
        <v>4323</v>
      </c>
      <c r="M636" s="4">
        <v>7738106055</v>
      </c>
      <c r="N636" s="4" t="s">
        <v>4564</v>
      </c>
      <c r="O636" s="4" t="s">
        <v>71</v>
      </c>
      <c r="P636" s="4" t="s">
        <v>71</v>
      </c>
      <c r="Q636" s="4" t="s">
        <v>47</v>
      </c>
      <c r="R636" s="172"/>
      <c r="S636" s="172"/>
      <c r="T636" s="172"/>
      <c r="U636" s="172"/>
      <c r="V636" s="172"/>
      <c r="W636" s="172"/>
      <c r="X636" s="172"/>
      <c r="Y636" s="172"/>
      <c r="Z636" s="172"/>
    </row>
    <row r="637" spans="1:26" ht="13.8">
      <c r="A637" s="166">
        <v>418</v>
      </c>
      <c r="B637" s="4" t="s">
        <v>4565</v>
      </c>
      <c r="C637" s="4">
        <v>1355</v>
      </c>
      <c r="D637" s="4" t="s">
        <v>4566</v>
      </c>
      <c r="E637" s="4" t="s">
        <v>4567</v>
      </c>
      <c r="F637" s="4" t="s">
        <v>4568</v>
      </c>
      <c r="G637" s="4" t="s">
        <v>4569</v>
      </c>
      <c r="H637" s="4" t="s">
        <v>4570</v>
      </c>
      <c r="I637" s="4" t="s">
        <v>4571</v>
      </c>
      <c r="J637" s="4" t="s">
        <v>4572</v>
      </c>
      <c r="K637" s="4">
        <v>769956468</v>
      </c>
      <c r="L637" s="4" t="s">
        <v>4323</v>
      </c>
      <c r="M637" s="4">
        <v>769956468</v>
      </c>
      <c r="N637" s="4" t="s">
        <v>4573</v>
      </c>
      <c r="O637" s="4" t="s">
        <v>71</v>
      </c>
      <c r="P637" s="4" t="s">
        <v>71</v>
      </c>
      <c r="Q637" s="4" t="s">
        <v>47</v>
      </c>
      <c r="R637" s="172"/>
      <c r="S637" s="172"/>
      <c r="T637" s="172"/>
      <c r="U637" s="172"/>
      <c r="V637" s="172"/>
      <c r="W637" s="172"/>
      <c r="X637" s="172"/>
      <c r="Y637" s="172"/>
      <c r="Z637" s="172"/>
    </row>
    <row r="638" spans="1:26" ht="13.8">
      <c r="A638" s="166">
        <v>419</v>
      </c>
      <c r="B638" s="4" t="s">
        <v>4574</v>
      </c>
      <c r="C638" s="4">
        <v>1356</v>
      </c>
      <c r="D638" s="4" t="s">
        <v>4575</v>
      </c>
      <c r="E638" s="4" t="s">
        <v>4576</v>
      </c>
      <c r="F638" s="4" t="s">
        <v>4577</v>
      </c>
      <c r="G638" s="4" t="s">
        <v>4578</v>
      </c>
      <c r="H638" s="4" t="s">
        <v>4579</v>
      </c>
      <c r="I638" s="4" t="s">
        <v>4516</v>
      </c>
      <c r="J638" s="4" t="s">
        <v>4580</v>
      </c>
      <c r="K638" s="4">
        <f>917021749472</f>
        <v>917021749472</v>
      </c>
      <c r="L638" s="4" t="s">
        <v>4323</v>
      </c>
      <c r="M638" s="4">
        <f>917021749472</f>
        <v>917021749472</v>
      </c>
      <c r="N638" s="4" t="s">
        <v>4581</v>
      </c>
      <c r="O638" s="168" t="s">
        <v>4582</v>
      </c>
      <c r="P638" s="168" t="s">
        <v>4583</v>
      </c>
      <c r="Q638" s="4" t="s">
        <v>47</v>
      </c>
      <c r="R638" s="172"/>
      <c r="S638" s="172"/>
      <c r="T638" s="172"/>
      <c r="U638" s="172"/>
      <c r="V638" s="172"/>
      <c r="W638" s="172"/>
      <c r="X638" s="172"/>
      <c r="Y638" s="172"/>
      <c r="Z638" s="172"/>
    </row>
    <row r="639" spans="1:26" ht="13.8">
      <c r="A639" s="166">
        <v>420</v>
      </c>
      <c r="B639" s="4" t="s">
        <v>4584</v>
      </c>
      <c r="C639" s="4">
        <v>1357</v>
      </c>
      <c r="D639" s="4" t="s">
        <v>71</v>
      </c>
      <c r="E639" s="4" t="s">
        <v>71</v>
      </c>
      <c r="F639" s="4" t="s">
        <v>4585</v>
      </c>
      <c r="G639" s="4" t="s">
        <v>4586</v>
      </c>
      <c r="H639" s="4" t="s">
        <v>4587</v>
      </c>
      <c r="I639" s="4" t="s">
        <v>4588</v>
      </c>
      <c r="J639" s="4" t="s">
        <v>4589</v>
      </c>
      <c r="K639" s="4">
        <v>9082084426</v>
      </c>
      <c r="L639" s="4" t="s">
        <v>4323</v>
      </c>
      <c r="M639" s="4">
        <v>9820574070</v>
      </c>
      <c r="N639" s="4" t="s">
        <v>4590</v>
      </c>
      <c r="O639" s="4" t="s">
        <v>71</v>
      </c>
      <c r="P639" s="168" t="s">
        <v>4591</v>
      </c>
      <c r="Q639" s="4" t="s">
        <v>47</v>
      </c>
      <c r="R639" s="172"/>
      <c r="S639" s="172"/>
      <c r="T639" s="172"/>
      <c r="U639" s="172"/>
      <c r="V639" s="172"/>
      <c r="W639" s="172"/>
      <c r="X639" s="172"/>
      <c r="Y639" s="172"/>
      <c r="Z639" s="172"/>
    </row>
    <row r="640" spans="1:26" ht="13.8">
      <c r="A640" s="166">
        <v>421</v>
      </c>
      <c r="B640" s="4" t="s">
        <v>4592</v>
      </c>
      <c r="C640" s="4">
        <v>1358</v>
      </c>
      <c r="D640" s="4" t="s">
        <v>4593</v>
      </c>
      <c r="E640" s="4" t="s">
        <v>71</v>
      </c>
      <c r="F640" s="4" t="s">
        <v>4594</v>
      </c>
      <c r="G640" s="4" t="s">
        <v>4595</v>
      </c>
      <c r="H640" s="4" t="s">
        <v>4596</v>
      </c>
      <c r="I640" s="4" t="s">
        <v>4597</v>
      </c>
      <c r="J640" s="4" t="s">
        <v>71</v>
      </c>
      <c r="K640" s="4">
        <v>8828053118</v>
      </c>
      <c r="L640" s="4" t="s">
        <v>4323</v>
      </c>
      <c r="M640" s="4">
        <v>8828053118</v>
      </c>
      <c r="N640" s="4" t="s">
        <v>4598</v>
      </c>
      <c r="O640" s="4" t="s">
        <v>71</v>
      </c>
      <c r="P640" s="4" t="s">
        <v>71</v>
      </c>
      <c r="Q640" s="4" t="s">
        <v>47</v>
      </c>
      <c r="R640" s="172"/>
      <c r="S640" s="172"/>
      <c r="T640" s="172"/>
      <c r="U640" s="172"/>
      <c r="V640" s="172"/>
      <c r="W640" s="172"/>
      <c r="X640" s="172"/>
      <c r="Y640" s="172"/>
      <c r="Z640" s="172"/>
    </row>
    <row r="641" spans="1:26" ht="13.8">
      <c r="A641" s="166">
        <v>422</v>
      </c>
      <c r="B641" s="4" t="s">
        <v>4599</v>
      </c>
      <c r="C641" s="4">
        <v>1359</v>
      </c>
      <c r="D641" s="4" t="s">
        <v>71</v>
      </c>
      <c r="E641" s="4" t="s">
        <v>71</v>
      </c>
      <c r="F641" s="4" t="s">
        <v>71</v>
      </c>
      <c r="G641" s="4" t="s">
        <v>4600</v>
      </c>
      <c r="H641" s="4" t="s">
        <v>4601</v>
      </c>
      <c r="I641" s="4" t="s">
        <v>4602</v>
      </c>
      <c r="J641" s="4" t="s">
        <v>4603</v>
      </c>
      <c r="K641" s="4">
        <v>9820862583</v>
      </c>
      <c r="L641" s="4" t="s">
        <v>4323</v>
      </c>
      <c r="M641" s="4">
        <v>9820862583</v>
      </c>
      <c r="N641" s="4" t="s">
        <v>4604</v>
      </c>
      <c r="O641" s="4" t="s">
        <v>71</v>
      </c>
      <c r="P641" s="4" t="s">
        <v>71</v>
      </c>
      <c r="Q641" s="4" t="s">
        <v>47</v>
      </c>
      <c r="R641" s="172"/>
      <c r="S641" s="172"/>
      <c r="T641" s="172"/>
      <c r="U641" s="172"/>
      <c r="V641" s="172"/>
      <c r="W641" s="172"/>
      <c r="X641" s="172"/>
      <c r="Y641" s="172"/>
      <c r="Z641" s="172"/>
    </row>
    <row r="642" spans="1:26" ht="13.8">
      <c r="A642" s="166">
        <v>423</v>
      </c>
      <c r="B642" s="4" t="s">
        <v>4605</v>
      </c>
      <c r="C642" s="4">
        <v>1360</v>
      </c>
      <c r="D642" s="4" t="s">
        <v>71</v>
      </c>
      <c r="E642" s="4" t="s">
        <v>71</v>
      </c>
      <c r="F642" s="4" t="s">
        <v>4606</v>
      </c>
      <c r="G642" s="4" t="s">
        <v>4607</v>
      </c>
      <c r="H642" s="4" t="s">
        <v>4608</v>
      </c>
      <c r="I642" s="4" t="s">
        <v>4609</v>
      </c>
      <c r="J642" s="4" t="s">
        <v>71</v>
      </c>
      <c r="K642" s="4">
        <v>9619040158</v>
      </c>
      <c r="L642" s="4" t="s">
        <v>4323</v>
      </c>
      <c r="M642" s="4">
        <v>9619040158</v>
      </c>
      <c r="N642" s="4" t="s">
        <v>4610</v>
      </c>
      <c r="O642" s="4" t="s">
        <v>71</v>
      </c>
      <c r="P642" s="4" t="s">
        <v>71</v>
      </c>
      <c r="Q642" s="4" t="s">
        <v>47</v>
      </c>
      <c r="R642" s="172"/>
      <c r="S642" s="172"/>
      <c r="T642" s="172"/>
      <c r="U642" s="172"/>
      <c r="V642" s="172"/>
      <c r="W642" s="172"/>
      <c r="X642" s="172"/>
      <c r="Y642" s="172"/>
      <c r="Z642" s="172"/>
    </row>
    <row r="643" spans="1:26" ht="13.8">
      <c r="A643" s="166">
        <v>424</v>
      </c>
      <c r="B643" s="4" t="s">
        <v>4611</v>
      </c>
      <c r="C643" s="4">
        <v>1361</v>
      </c>
      <c r="D643" s="4" t="s">
        <v>71</v>
      </c>
      <c r="E643" s="4" t="s">
        <v>71</v>
      </c>
      <c r="F643" s="4" t="s">
        <v>4612</v>
      </c>
      <c r="G643" s="4" t="s">
        <v>4613</v>
      </c>
      <c r="H643" s="4" t="s">
        <v>4614</v>
      </c>
      <c r="I643" s="4" t="s">
        <v>787</v>
      </c>
      <c r="J643" s="4" t="s">
        <v>71</v>
      </c>
      <c r="K643" s="4">
        <v>9892841461</v>
      </c>
      <c r="L643" s="4" t="s">
        <v>4323</v>
      </c>
      <c r="M643" s="4">
        <v>9892841461</v>
      </c>
      <c r="N643" s="4" t="s">
        <v>4615</v>
      </c>
      <c r="O643" s="4" t="s">
        <v>71</v>
      </c>
      <c r="P643" s="4" t="s">
        <v>71</v>
      </c>
      <c r="Q643" s="4" t="s">
        <v>47</v>
      </c>
      <c r="R643" s="172"/>
      <c r="S643" s="172"/>
      <c r="T643" s="172"/>
      <c r="U643" s="172"/>
      <c r="V643" s="172"/>
      <c r="W643" s="172"/>
      <c r="X643" s="172"/>
      <c r="Y643" s="172"/>
      <c r="Z643" s="172"/>
    </row>
    <row r="644" spans="1:26" ht="13.8">
      <c r="A644" s="166">
        <v>425</v>
      </c>
      <c r="B644" s="4" t="s">
        <v>4616</v>
      </c>
      <c r="C644" s="4">
        <v>1362</v>
      </c>
      <c r="D644" s="4" t="s">
        <v>4617</v>
      </c>
      <c r="E644" s="4" t="s">
        <v>71</v>
      </c>
      <c r="F644" s="4" t="s">
        <v>4618</v>
      </c>
      <c r="G644" s="4" t="s">
        <v>4619</v>
      </c>
      <c r="H644" s="4" t="s">
        <v>4620</v>
      </c>
      <c r="I644" s="4" t="s">
        <v>4621</v>
      </c>
      <c r="J644" s="4" t="s">
        <v>71</v>
      </c>
      <c r="K644" s="4">
        <v>9920421202</v>
      </c>
      <c r="L644" s="4" t="s">
        <v>4323</v>
      </c>
      <c r="M644" s="4">
        <v>9920421202</v>
      </c>
      <c r="N644" s="4" t="s">
        <v>2953</v>
      </c>
      <c r="O644" s="4" t="s">
        <v>71</v>
      </c>
      <c r="P644" s="4" t="s">
        <v>71</v>
      </c>
      <c r="Q644" s="4" t="s">
        <v>47</v>
      </c>
      <c r="R644" s="172"/>
      <c r="S644" s="172"/>
      <c r="T644" s="172"/>
      <c r="U644" s="172"/>
      <c r="V644" s="172"/>
      <c r="W644" s="172"/>
      <c r="X644" s="172"/>
      <c r="Y644" s="172"/>
      <c r="Z644" s="172"/>
    </row>
    <row r="645" spans="1:26" ht="13.8">
      <c r="A645" s="166">
        <v>427</v>
      </c>
      <c r="B645" s="4" t="s">
        <v>4629</v>
      </c>
      <c r="C645" s="4">
        <v>1363</v>
      </c>
      <c r="D645" s="4" t="s">
        <v>4630</v>
      </c>
      <c r="E645" s="4" t="s">
        <v>4631</v>
      </c>
      <c r="F645" s="4" t="s">
        <v>4632</v>
      </c>
      <c r="G645" s="4" t="s">
        <v>4633</v>
      </c>
      <c r="H645" s="4" t="s">
        <v>4634</v>
      </c>
      <c r="I645" s="4" t="s">
        <v>4635</v>
      </c>
      <c r="J645" s="4" t="s">
        <v>4636</v>
      </c>
      <c r="K645" s="4">
        <v>9137509343</v>
      </c>
      <c r="L645" s="4" t="s">
        <v>4637</v>
      </c>
      <c r="M645" s="4">
        <v>9137509343</v>
      </c>
      <c r="N645" s="4" t="s">
        <v>4638</v>
      </c>
      <c r="O645" s="168" t="s">
        <v>4639</v>
      </c>
      <c r="P645" s="168" t="s">
        <v>4640</v>
      </c>
      <c r="Q645" s="4" t="s">
        <v>47</v>
      </c>
      <c r="R645" s="172"/>
      <c r="S645" s="172"/>
      <c r="T645" s="172"/>
      <c r="U645" s="172"/>
      <c r="V645" s="172"/>
      <c r="W645" s="172"/>
      <c r="X645" s="172"/>
      <c r="Y645" s="172"/>
      <c r="Z645" s="172"/>
    </row>
    <row r="646" spans="1:26" ht="13.8">
      <c r="A646" s="166">
        <v>788</v>
      </c>
      <c r="B646" s="4" t="s">
        <v>2909</v>
      </c>
      <c r="C646" s="4">
        <v>1364</v>
      </c>
      <c r="D646" s="4" t="s">
        <v>6056</v>
      </c>
      <c r="E646" s="4" t="s">
        <v>2907</v>
      </c>
      <c r="F646" s="4" t="s">
        <v>2908</v>
      </c>
      <c r="G646" s="4" t="s">
        <v>2902</v>
      </c>
      <c r="H646" s="4" t="s">
        <v>2903</v>
      </c>
      <c r="I646" s="4" t="s">
        <v>545</v>
      </c>
      <c r="J646" s="4" t="s">
        <v>2904</v>
      </c>
      <c r="K646" s="4">
        <v>9619035525</v>
      </c>
      <c r="L646" s="4" t="s">
        <v>6057</v>
      </c>
      <c r="M646" s="4">
        <v>9372286649</v>
      </c>
      <c r="N646" s="4" t="s">
        <v>3510</v>
      </c>
      <c r="O646" s="168" t="s">
        <v>6058</v>
      </c>
      <c r="P646" s="168" t="s">
        <v>2905</v>
      </c>
      <c r="Q646" s="4" t="s">
        <v>47</v>
      </c>
      <c r="R646" s="172"/>
      <c r="S646" s="172"/>
      <c r="T646" s="172"/>
      <c r="U646" s="172"/>
      <c r="V646" s="172"/>
      <c r="W646" s="172"/>
      <c r="X646" s="172"/>
      <c r="Y646" s="172"/>
      <c r="Z646" s="172"/>
    </row>
    <row r="647" spans="1:26" ht="13.8">
      <c r="A647" s="166">
        <v>251</v>
      </c>
      <c r="B647" s="4" t="s">
        <v>3515</v>
      </c>
      <c r="C647" s="4">
        <v>1366</v>
      </c>
      <c r="D647" s="4" t="s">
        <v>3516</v>
      </c>
      <c r="E647" s="4" t="s">
        <v>71</v>
      </c>
      <c r="F647" s="4" t="s">
        <v>2603</v>
      </c>
      <c r="G647" s="4" t="s">
        <v>2621</v>
      </c>
      <c r="H647" s="4" t="s">
        <v>2622</v>
      </c>
      <c r="I647" s="4" t="s">
        <v>71</v>
      </c>
      <c r="J647" s="4" t="s">
        <v>71</v>
      </c>
      <c r="K647" s="4">
        <v>7506045864</v>
      </c>
      <c r="L647" s="4" t="s">
        <v>3517</v>
      </c>
      <c r="M647" s="4">
        <v>7506045864</v>
      </c>
      <c r="N647" s="4" t="s">
        <v>2953</v>
      </c>
      <c r="O647" s="4" t="s">
        <v>71</v>
      </c>
      <c r="P647" s="4" t="s">
        <v>71</v>
      </c>
      <c r="Q647" s="4" t="s">
        <v>47</v>
      </c>
      <c r="R647" s="172"/>
      <c r="S647" s="172"/>
      <c r="T647" s="172"/>
      <c r="U647" s="172"/>
      <c r="V647" s="172"/>
      <c r="W647" s="172"/>
      <c r="X647" s="172"/>
      <c r="Y647" s="172"/>
      <c r="Z647" s="172"/>
    </row>
    <row r="648" spans="1:26" ht="13.8">
      <c r="A648" s="166">
        <v>252</v>
      </c>
      <c r="B648" s="4" t="s">
        <v>2626</v>
      </c>
      <c r="C648" s="4">
        <v>1367</v>
      </c>
      <c r="D648" s="4" t="s">
        <v>3518</v>
      </c>
      <c r="E648" s="174" t="s">
        <v>2624</v>
      </c>
      <c r="F648" s="4" t="s">
        <v>2625</v>
      </c>
      <c r="G648" s="4" t="s">
        <v>2629</v>
      </c>
      <c r="H648" s="4" t="s">
        <v>2630</v>
      </c>
      <c r="I648" s="4" t="s">
        <v>3519</v>
      </c>
      <c r="J648" s="4" t="s">
        <v>3520</v>
      </c>
      <c r="K648" s="4">
        <v>9172247382</v>
      </c>
      <c r="L648" s="4" t="s">
        <v>3521</v>
      </c>
      <c r="M648" s="4">
        <v>9172247382</v>
      </c>
      <c r="N648" s="4" t="s">
        <v>3522</v>
      </c>
      <c r="O648" s="168" t="s">
        <v>3523</v>
      </c>
      <c r="P648" s="168" t="s">
        <v>2631</v>
      </c>
      <c r="Q648" s="4" t="s">
        <v>47</v>
      </c>
      <c r="R648" s="172"/>
      <c r="S648" s="172"/>
      <c r="T648" s="172"/>
      <c r="U648" s="172"/>
      <c r="V648" s="172"/>
      <c r="W648" s="172"/>
      <c r="X648" s="172"/>
      <c r="Y648" s="172"/>
      <c r="Z648" s="172"/>
    </row>
    <row r="649" spans="1:26" ht="13.8">
      <c r="A649" s="166">
        <v>253</v>
      </c>
      <c r="B649" s="4" t="s">
        <v>3524</v>
      </c>
      <c r="C649" s="4">
        <v>1368</v>
      </c>
      <c r="D649" s="4" t="s">
        <v>3525</v>
      </c>
      <c r="E649" s="4" t="s">
        <v>71</v>
      </c>
      <c r="F649" s="4" t="s">
        <v>2354</v>
      </c>
      <c r="G649" s="4" t="s">
        <v>2358</v>
      </c>
      <c r="H649" s="4" t="s">
        <v>2637</v>
      </c>
      <c r="I649" s="4" t="s">
        <v>2638</v>
      </c>
      <c r="J649" s="4" t="s">
        <v>3526</v>
      </c>
      <c r="K649" s="4">
        <v>9662580912</v>
      </c>
      <c r="L649" s="4" t="s">
        <v>3457</v>
      </c>
      <c r="M649" s="4">
        <v>9662580912</v>
      </c>
      <c r="N649" s="4" t="s">
        <v>2953</v>
      </c>
      <c r="O649" s="4" t="s">
        <v>71</v>
      </c>
      <c r="P649" s="4" t="s">
        <v>71</v>
      </c>
      <c r="Q649" s="4" t="s">
        <v>47</v>
      </c>
      <c r="R649" s="172"/>
      <c r="S649" s="172"/>
      <c r="T649" s="172"/>
      <c r="U649" s="172"/>
      <c r="V649" s="172"/>
      <c r="W649" s="172"/>
      <c r="X649" s="172"/>
      <c r="Y649" s="172"/>
      <c r="Z649" s="172"/>
    </row>
    <row r="650" spans="1:26" ht="13.8">
      <c r="A650" s="166">
        <v>254</v>
      </c>
      <c r="B650" s="4" t="s">
        <v>2639</v>
      </c>
      <c r="C650" s="4">
        <v>1371</v>
      </c>
      <c r="D650" s="4" t="s">
        <v>71</v>
      </c>
      <c r="E650" s="4" t="s">
        <v>71</v>
      </c>
      <c r="F650" s="4" t="s">
        <v>71</v>
      </c>
      <c r="G650" s="4" t="s">
        <v>2642</v>
      </c>
      <c r="H650" s="4" t="s">
        <v>2643</v>
      </c>
      <c r="I650" s="4" t="s">
        <v>2644</v>
      </c>
      <c r="J650" s="4" t="s">
        <v>71</v>
      </c>
      <c r="K650" s="4">
        <v>9619406081</v>
      </c>
      <c r="L650" s="4" t="s">
        <v>3527</v>
      </c>
      <c r="M650" s="4">
        <v>9619406081</v>
      </c>
      <c r="N650" s="4" t="s">
        <v>71</v>
      </c>
      <c r="O650" s="4" t="s">
        <v>71</v>
      </c>
      <c r="P650" s="4" t="s">
        <v>71</v>
      </c>
      <c r="Q650" s="4" t="s">
        <v>47</v>
      </c>
      <c r="R650" s="172"/>
      <c r="S650" s="172"/>
      <c r="T650" s="172"/>
      <c r="U650" s="172"/>
      <c r="V650" s="172"/>
      <c r="W650" s="172"/>
      <c r="X650" s="172"/>
      <c r="Y650" s="172"/>
      <c r="Z650" s="172"/>
    </row>
    <row r="651" spans="1:26" ht="13.8">
      <c r="A651" s="166">
        <v>255</v>
      </c>
      <c r="B651" s="4" t="s">
        <v>2645</v>
      </c>
      <c r="C651" s="4">
        <v>1372</v>
      </c>
      <c r="D651" s="4" t="s">
        <v>71</v>
      </c>
      <c r="E651" s="4" t="s">
        <v>71</v>
      </c>
      <c r="F651" s="4" t="s">
        <v>71</v>
      </c>
      <c r="G651" s="4" t="s">
        <v>2648</v>
      </c>
      <c r="H651" s="4" t="s">
        <v>2649</v>
      </c>
      <c r="I651" s="4" t="s">
        <v>2644</v>
      </c>
      <c r="J651" s="4" t="s">
        <v>71</v>
      </c>
      <c r="K651" s="4">
        <v>9820384621</v>
      </c>
      <c r="L651" s="4" t="s">
        <v>3528</v>
      </c>
      <c r="M651" s="4">
        <v>9820384621</v>
      </c>
      <c r="N651" s="4" t="s">
        <v>71</v>
      </c>
      <c r="O651" s="4" t="s">
        <v>71</v>
      </c>
      <c r="P651" s="4" t="s">
        <v>71</v>
      </c>
      <c r="Q651" s="4" t="s">
        <v>47</v>
      </c>
      <c r="R651" s="172"/>
      <c r="S651" s="172"/>
      <c r="T651" s="172"/>
      <c r="U651" s="172"/>
      <c r="V651" s="172"/>
      <c r="W651" s="172"/>
      <c r="X651" s="172"/>
      <c r="Y651" s="172"/>
      <c r="Z651" s="172"/>
    </row>
    <row r="652" spans="1:26" ht="13.8">
      <c r="A652" s="166">
        <v>426</v>
      </c>
      <c r="B652" s="4" t="s">
        <v>4622</v>
      </c>
      <c r="C652" s="4">
        <v>1374</v>
      </c>
      <c r="D652" s="4" t="s">
        <v>4623</v>
      </c>
      <c r="E652" s="4" t="s">
        <v>4624</v>
      </c>
      <c r="F652" s="4" t="s">
        <v>4625</v>
      </c>
      <c r="G652" s="4" t="s">
        <v>4619</v>
      </c>
      <c r="H652" s="4" t="s">
        <v>4626</v>
      </c>
      <c r="I652" s="4" t="s">
        <v>4621</v>
      </c>
      <c r="J652" s="4" t="s">
        <v>4627</v>
      </c>
      <c r="K652" s="4">
        <v>9920421202</v>
      </c>
      <c r="L652" s="4" t="s">
        <v>4323</v>
      </c>
      <c r="M652" s="4">
        <v>9920421202</v>
      </c>
      <c r="N652" s="4" t="s">
        <v>4628</v>
      </c>
      <c r="O652" s="4" t="s">
        <v>71</v>
      </c>
      <c r="P652" s="4" t="s">
        <v>71</v>
      </c>
      <c r="Q652" s="4" t="s">
        <v>47</v>
      </c>
      <c r="R652" s="172"/>
      <c r="S652" s="172"/>
      <c r="T652" s="172"/>
      <c r="U652" s="172"/>
      <c r="V652" s="172"/>
      <c r="W652" s="172"/>
      <c r="X652" s="172"/>
      <c r="Y652" s="172"/>
      <c r="Z652" s="172"/>
    </row>
    <row r="653" spans="1:26" ht="13.8">
      <c r="A653" s="166">
        <v>256</v>
      </c>
      <c r="B653" s="4" t="s">
        <v>2651</v>
      </c>
      <c r="C653" s="4">
        <v>1376</v>
      </c>
      <c r="D653" s="4" t="s">
        <v>71</v>
      </c>
      <c r="E653" s="4" t="s">
        <v>71</v>
      </c>
      <c r="F653" s="4" t="s">
        <v>2650</v>
      </c>
      <c r="G653" s="4" t="s">
        <v>2654</v>
      </c>
      <c r="H653" s="4" t="s">
        <v>2655</v>
      </c>
      <c r="I653" s="4" t="s">
        <v>2656</v>
      </c>
      <c r="J653" s="4" t="s">
        <v>3529</v>
      </c>
      <c r="K653" s="4">
        <v>9167736388</v>
      </c>
      <c r="L653" s="4" t="s">
        <v>3530</v>
      </c>
      <c r="M653" s="4">
        <v>9167736388</v>
      </c>
      <c r="N653" s="4" t="s">
        <v>2953</v>
      </c>
      <c r="O653" s="4" t="s">
        <v>71</v>
      </c>
      <c r="P653" s="168" t="s">
        <v>3531</v>
      </c>
      <c r="Q653" s="4" t="s">
        <v>47</v>
      </c>
      <c r="R653" s="172"/>
      <c r="S653" s="172"/>
      <c r="T653" s="172"/>
      <c r="U653" s="172"/>
      <c r="V653" s="172"/>
      <c r="W653" s="172"/>
      <c r="X653" s="172"/>
      <c r="Y653" s="172"/>
      <c r="Z653" s="172"/>
    </row>
    <row r="654" spans="1:26" ht="13.8">
      <c r="A654" s="166">
        <v>257</v>
      </c>
      <c r="B654" s="4" t="s">
        <v>2659</v>
      </c>
      <c r="C654" s="4">
        <v>1379</v>
      </c>
      <c r="D654" s="4" t="s">
        <v>3532</v>
      </c>
      <c r="E654" s="4" t="s">
        <v>71</v>
      </c>
      <c r="F654" s="4" t="s">
        <v>2658</v>
      </c>
      <c r="G654" s="4" t="s">
        <v>2662</v>
      </c>
      <c r="H654" s="4" t="s">
        <v>2663</v>
      </c>
      <c r="I654" s="4" t="s">
        <v>2664</v>
      </c>
      <c r="J654" s="4" t="s">
        <v>3533</v>
      </c>
      <c r="K654" s="4">
        <v>9099073074</v>
      </c>
      <c r="L654" s="4" t="s">
        <v>3534</v>
      </c>
      <c r="M654" s="4">
        <v>9099073074</v>
      </c>
      <c r="N654" s="4" t="s">
        <v>3535</v>
      </c>
      <c r="O654" s="4" t="s">
        <v>71</v>
      </c>
      <c r="P654" s="168" t="s">
        <v>3536</v>
      </c>
      <c r="Q654" s="4" t="s">
        <v>47</v>
      </c>
      <c r="R654" s="172"/>
      <c r="S654" s="172"/>
      <c r="T654" s="172"/>
      <c r="U654" s="172"/>
      <c r="V654" s="172"/>
      <c r="W654" s="172"/>
      <c r="X654" s="172"/>
      <c r="Y654" s="172"/>
      <c r="Z654" s="172"/>
    </row>
    <row r="655" spans="1:26" ht="13.8">
      <c r="A655" s="166">
        <v>258</v>
      </c>
      <c r="B655" s="4" t="s">
        <v>3537</v>
      </c>
      <c r="C655" s="4">
        <v>1380</v>
      </c>
      <c r="D655" s="4" t="s">
        <v>3538</v>
      </c>
      <c r="E655" s="4" t="s">
        <v>71</v>
      </c>
      <c r="F655" s="4" t="s">
        <v>2666</v>
      </c>
      <c r="G655" s="4" t="s">
        <v>2676</v>
      </c>
      <c r="H655" s="4" t="s">
        <v>2677</v>
      </c>
      <c r="I655" s="4" t="s">
        <v>42</v>
      </c>
      <c r="J655" s="4" t="s">
        <v>2678</v>
      </c>
      <c r="K655" s="4">
        <v>9870465678</v>
      </c>
      <c r="L655" s="4" t="s">
        <v>3539</v>
      </c>
      <c r="M655" s="4">
        <v>9870465678</v>
      </c>
      <c r="N655" s="4" t="s">
        <v>2953</v>
      </c>
      <c r="O655" s="4" t="s">
        <v>71</v>
      </c>
      <c r="P655" s="168" t="s">
        <v>2679</v>
      </c>
      <c r="Q655" s="4" t="s">
        <v>47</v>
      </c>
      <c r="R655" s="172"/>
      <c r="S655" s="172"/>
      <c r="T655" s="172"/>
      <c r="U655" s="172"/>
      <c r="V655" s="172"/>
      <c r="W655" s="172"/>
      <c r="X655" s="172"/>
      <c r="Y655" s="172"/>
      <c r="Z655" s="172"/>
    </row>
    <row r="656" spans="1:26" ht="13.8">
      <c r="A656" s="166">
        <v>259</v>
      </c>
      <c r="B656" s="4" t="s">
        <v>3540</v>
      </c>
      <c r="C656" s="4">
        <v>1383</v>
      </c>
      <c r="D656" s="4" t="s">
        <v>71</v>
      </c>
      <c r="E656" s="4" t="s">
        <v>71</v>
      </c>
      <c r="F656" s="4" t="s">
        <v>71</v>
      </c>
      <c r="G656" s="4" t="s">
        <v>3541</v>
      </c>
      <c r="H656" s="4" t="s">
        <v>3542</v>
      </c>
      <c r="I656" s="4" t="s">
        <v>2656</v>
      </c>
      <c r="J656" s="4" t="s">
        <v>71</v>
      </c>
      <c r="K656" s="4">
        <v>8591016313</v>
      </c>
      <c r="L656" s="4" t="s">
        <v>3543</v>
      </c>
      <c r="M656" s="4">
        <v>8591016313</v>
      </c>
      <c r="N656" s="4" t="s">
        <v>71</v>
      </c>
      <c r="O656" s="4" t="s">
        <v>71</v>
      </c>
      <c r="P656" s="4" t="s">
        <v>71</v>
      </c>
      <c r="Q656" s="4" t="s">
        <v>47</v>
      </c>
      <c r="R656" s="172"/>
      <c r="S656" s="172"/>
      <c r="T656" s="172"/>
      <c r="U656" s="172"/>
      <c r="V656" s="172"/>
      <c r="W656" s="172"/>
      <c r="X656" s="172"/>
      <c r="Y656" s="172"/>
      <c r="Z656" s="172"/>
    </row>
    <row r="657" spans="1:26" ht="13.8">
      <c r="A657" s="166">
        <v>385</v>
      </c>
      <c r="B657" s="4" t="s">
        <v>4286</v>
      </c>
      <c r="C657" s="4">
        <v>1385</v>
      </c>
      <c r="D657" s="4" t="s">
        <v>4287</v>
      </c>
      <c r="E657" s="4" t="s">
        <v>4288</v>
      </c>
      <c r="F657" s="4" t="s">
        <v>4289</v>
      </c>
      <c r="G657" s="4" t="s">
        <v>4290</v>
      </c>
      <c r="H657" s="4" t="s">
        <v>4291</v>
      </c>
      <c r="I657" s="4" t="s">
        <v>4292</v>
      </c>
      <c r="J657" s="4" t="s">
        <v>4293</v>
      </c>
      <c r="K657" s="4">
        <v>9820089713</v>
      </c>
      <c r="L657" s="4" t="s">
        <v>3869</v>
      </c>
      <c r="M657" s="4">
        <v>9820089713</v>
      </c>
      <c r="N657" s="4" t="s">
        <v>4294</v>
      </c>
      <c r="O657" s="4" t="s">
        <v>71</v>
      </c>
      <c r="P657" s="168" t="s">
        <v>4295</v>
      </c>
      <c r="Q657" s="4" t="s">
        <v>47</v>
      </c>
      <c r="R657" s="172"/>
      <c r="S657" s="172"/>
      <c r="T657" s="172"/>
      <c r="U657" s="172"/>
      <c r="V657" s="172"/>
      <c r="W657" s="172"/>
      <c r="X657" s="172"/>
      <c r="Y657" s="172"/>
      <c r="Z657" s="172"/>
    </row>
    <row r="658" spans="1:26" ht="13.8">
      <c r="A658" s="166">
        <v>386</v>
      </c>
      <c r="B658" s="4" t="s">
        <v>4296</v>
      </c>
      <c r="C658" s="4">
        <v>1386</v>
      </c>
      <c r="D658" s="4" t="s">
        <v>4297</v>
      </c>
      <c r="E658" s="4" t="s">
        <v>4298</v>
      </c>
      <c r="F658" s="4" t="s">
        <v>4299</v>
      </c>
      <c r="G658" s="4" t="s">
        <v>4300</v>
      </c>
      <c r="H658" s="4" t="s">
        <v>4301</v>
      </c>
      <c r="I658" s="4" t="s">
        <v>4302</v>
      </c>
      <c r="J658" s="4" t="s">
        <v>4303</v>
      </c>
      <c r="K658" s="4">
        <v>9920307373</v>
      </c>
      <c r="L658" s="4" t="s">
        <v>3869</v>
      </c>
      <c r="M658" s="4">
        <v>9920307373</v>
      </c>
      <c r="N658" s="4" t="s">
        <v>4304</v>
      </c>
      <c r="O658" s="4" t="s">
        <v>71</v>
      </c>
      <c r="P658" s="4" t="s">
        <v>71</v>
      </c>
      <c r="Q658" s="4" t="s">
        <v>47</v>
      </c>
      <c r="R658" s="172"/>
      <c r="S658" s="172"/>
      <c r="T658" s="172"/>
      <c r="U658" s="172"/>
      <c r="V658" s="172"/>
      <c r="W658" s="172"/>
      <c r="X658" s="172"/>
      <c r="Y658" s="172"/>
      <c r="Z658" s="172"/>
    </row>
    <row r="659" spans="1:26" ht="13.8">
      <c r="A659" s="166">
        <v>387</v>
      </c>
      <c r="B659" s="4" t="s">
        <v>4305</v>
      </c>
      <c r="C659" s="4">
        <v>1387</v>
      </c>
      <c r="D659" s="4" t="s">
        <v>4306</v>
      </c>
      <c r="E659" s="4" t="s">
        <v>4307</v>
      </c>
      <c r="F659" s="4" t="s">
        <v>4308</v>
      </c>
      <c r="G659" s="4" t="s">
        <v>4309</v>
      </c>
      <c r="H659" s="4" t="s">
        <v>4310</v>
      </c>
      <c r="I659" s="4" t="s">
        <v>4311</v>
      </c>
      <c r="J659" s="4" t="s">
        <v>4312</v>
      </c>
      <c r="K659" s="4">
        <v>7710881457</v>
      </c>
      <c r="L659" s="4" t="s">
        <v>3869</v>
      </c>
      <c r="M659" s="4">
        <v>7710881457</v>
      </c>
      <c r="N659" s="4" t="s">
        <v>4313</v>
      </c>
      <c r="O659" s="4" t="s">
        <v>71</v>
      </c>
      <c r="P659" s="168" t="s">
        <v>4314</v>
      </c>
      <c r="Q659" s="4" t="s">
        <v>47</v>
      </c>
      <c r="R659" s="172"/>
      <c r="S659" s="172"/>
      <c r="T659" s="172"/>
      <c r="U659" s="172"/>
      <c r="V659" s="172"/>
      <c r="W659" s="172"/>
      <c r="X659" s="172"/>
      <c r="Y659" s="172"/>
      <c r="Z659" s="172"/>
    </row>
    <row r="660" spans="1:26" ht="13.8">
      <c r="A660" s="166">
        <v>458</v>
      </c>
      <c r="B660" s="4" t="s">
        <v>4910</v>
      </c>
      <c r="C660" s="4">
        <v>1388</v>
      </c>
      <c r="D660" s="4" t="s">
        <v>4911</v>
      </c>
      <c r="E660" s="4" t="s">
        <v>4912</v>
      </c>
      <c r="F660" s="4" t="s">
        <v>4912</v>
      </c>
      <c r="G660" s="4" t="s">
        <v>4913</v>
      </c>
      <c r="H660" s="4" t="s">
        <v>4914</v>
      </c>
      <c r="I660" s="4" t="s">
        <v>71</v>
      </c>
      <c r="J660" s="4" t="s">
        <v>4915</v>
      </c>
      <c r="K660" s="4">
        <v>9820353314</v>
      </c>
      <c r="L660" s="4" t="s">
        <v>4916</v>
      </c>
      <c r="M660" s="4">
        <v>9820353314</v>
      </c>
      <c r="N660" s="4" t="s">
        <v>4917</v>
      </c>
      <c r="O660" s="4" t="s">
        <v>71</v>
      </c>
      <c r="P660" s="168" t="s">
        <v>4918</v>
      </c>
      <c r="Q660" s="4" t="s">
        <v>47</v>
      </c>
      <c r="R660" s="172"/>
      <c r="S660" s="172"/>
      <c r="T660" s="172"/>
      <c r="U660" s="172"/>
      <c r="V660" s="172"/>
      <c r="W660" s="172"/>
      <c r="X660" s="172"/>
      <c r="Y660" s="172"/>
      <c r="Z660" s="172"/>
    </row>
    <row r="661" spans="1:26" ht="13.8">
      <c r="A661" s="166">
        <v>459</v>
      </c>
      <c r="B661" s="4" t="s">
        <v>4919</v>
      </c>
      <c r="C661" s="4">
        <v>1389</v>
      </c>
      <c r="D661" s="4" t="s">
        <v>4920</v>
      </c>
      <c r="E661" s="4" t="s">
        <v>4921</v>
      </c>
      <c r="F661" s="4" t="s">
        <v>4912</v>
      </c>
      <c r="G661" s="4" t="s">
        <v>4913</v>
      </c>
      <c r="H661" s="4" t="s">
        <v>4922</v>
      </c>
      <c r="I661" s="4" t="s">
        <v>71</v>
      </c>
      <c r="J661" s="4" t="s">
        <v>4543</v>
      </c>
      <c r="K661" s="4">
        <v>9167142325</v>
      </c>
      <c r="L661" s="4" t="s">
        <v>4916</v>
      </c>
      <c r="M661" s="4">
        <v>9167142325</v>
      </c>
      <c r="N661" s="4" t="s">
        <v>4923</v>
      </c>
      <c r="O661" s="4" t="s">
        <v>71</v>
      </c>
      <c r="P661" s="168" t="s">
        <v>4918</v>
      </c>
      <c r="Q661" s="4" t="s">
        <v>47</v>
      </c>
      <c r="R661" s="172"/>
      <c r="S661" s="172"/>
      <c r="T661" s="172"/>
      <c r="U661" s="172"/>
      <c r="V661" s="172"/>
      <c r="W661" s="172"/>
      <c r="X661" s="172"/>
      <c r="Y661" s="172"/>
      <c r="Z661" s="172"/>
    </row>
    <row r="662" spans="1:26" ht="13.8">
      <c r="A662" s="166">
        <v>460</v>
      </c>
      <c r="B662" s="4" t="s">
        <v>4924</v>
      </c>
      <c r="C662" s="4">
        <v>1390</v>
      </c>
      <c r="D662" s="4" t="s">
        <v>4925</v>
      </c>
      <c r="E662" s="4" t="s">
        <v>4926</v>
      </c>
      <c r="F662" s="4" t="s">
        <v>4912</v>
      </c>
      <c r="G662" s="4" t="s">
        <v>4913</v>
      </c>
      <c r="H662" s="4" t="s">
        <v>4927</v>
      </c>
      <c r="I662" s="4" t="s">
        <v>71</v>
      </c>
      <c r="J662" s="4" t="s">
        <v>4928</v>
      </c>
      <c r="K662" s="4">
        <v>9930874875</v>
      </c>
      <c r="L662" s="4" t="s">
        <v>4916</v>
      </c>
      <c r="M662" s="4">
        <v>9930874875</v>
      </c>
      <c r="N662" s="4" t="s">
        <v>4917</v>
      </c>
      <c r="O662" s="4" t="s">
        <v>71</v>
      </c>
      <c r="P662" s="168" t="s">
        <v>4918</v>
      </c>
      <c r="Q662" s="4" t="s">
        <v>47</v>
      </c>
      <c r="R662" s="172"/>
      <c r="S662" s="172"/>
      <c r="T662" s="172"/>
      <c r="U662" s="172"/>
      <c r="V662" s="172"/>
      <c r="W662" s="172"/>
      <c r="X662" s="172"/>
      <c r="Y662" s="172"/>
      <c r="Z662" s="172"/>
    </row>
    <row r="663" spans="1:26" ht="13.8">
      <c r="A663" s="166">
        <v>461</v>
      </c>
      <c r="B663" s="4" t="s">
        <v>4929</v>
      </c>
      <c r="C663" s="4">
        <v>1391</v>
      </c>
      <c r="D663" s="4" t="s">
        <v>4930</v>
      </c>
      <c r="E663" s="4" t="s">
        <v>4931</v>
      </c>
      <c r="F663" s="4" t="s">
        <v>4912</v>
      </c>
      <c r="G663" s="4" t="s">
        <v>4913</v>
      </c>
      <c r="H663" s="4" t="s">
        <v>4932</v>
      </c>
      <c r="I663" s="4" t="s">
        <v>71</v>
      </c>
      <c r="J663" s="4" t="s">
        <v>4933</v>
      </c>
      <c r="K663" s="4">
        <v>9925119995</v>
      </c>
      <c r="L663" s="4" t="s">
        <v>4916</v>
      </c>
      <c r="M663" s="4">
        <v>9925119995</v>
      </c>
      <c r="N663" s="4" t="s">
        <v>4934</v>
      </c>
      <c r="O663" s="4" t="s">
        <v>71</v>
      </c>
      <c r="P663" s="168" t="s">
        <v>4918</v>
      </c>
      <c r="Q663" s="4" t="s">
        <v>47</v>
      </c>
      <c r="R663" s="172"/>
      <c r="S663" s="172"/>
      <c r="T663" s="172"/>
      <c r="U663" s="172"/>
      <c r="V663" s="172"/>
      <c r="W663" s="172"/>
      <c r="X663" s="172"/>
      <c r="Y663" s="172"/>
      <c r="Z663" s="172"/>
    </row>
    <row r="664" spans="1:26" ht="13.8">
      <c r="A664" s="166">
        <v>462</v>
      </c>
      <c r="B664" s="4" t="s">
        <v>4935</v>
      </c>
      <c r="C664" s="4">
        <v>1392</v>
      </c>
      <c r="D664" s="4" t="s">
        <v>4936</v>
      </c>
      <c r="E664" s="4" t="s">
        <v>4937</v>
      </c>
      <c r="F664" s="4" t="s">
        <v>4912</v>
      </c>
      <c r="G664" s="4" t="s">
        <v>4913</v>
      </c>
      <c r="H664" s="4" t="s">
        <v>4938</v>
      </c>
      <c r="I664" s="4" t="s">
        <v>71</v>
      </c>
      <c r="J664" s="4" t="s">
        <v>4939</v>
      </c>
      <c r="K664" s="4">
        <v>9867104247</v>
      </c>
      <c r="L664" s="4" t="s">
        <v>4916</v>
      </c>
      <c r="M664" s="4">
        <v>9867104247</v>
      </c>
      <c r="N664" s="4" t="s">
        <v>4917</v>
      </c>
      <c r="O664" s="4" t="s">
        <v>71</v>
      </c>
      <c r="P664" s="168" t="s">
        <v>4918</v>
      </c>
      <c r="Q664" s="4" t="s">
        <v>47</v>
      </c>
      <c r="R664" s="172"/>
      <c r="S664" s="172"/>
      <c r="T664" s="172"/>
      <c r="U664" s="172"/>
      <c r="V664" s="172"/>
      <c r="W664" s="172"/>
      <c r="X664" s="172"/>
      <c r="Y664" s="172"/>
      <c r="Z664" s="172"/>
    </row>
    <row r="665" spans="1:26" ht="13.8">
      <c r="A665" s="166">
        <v>463</v>
      </c>
      <c r="B665" s="4" t="s">
        <v>4940</v>
      </c>
      <c r="C665" s="4">
        <v>1393</v>
      </c>
      <c r="D665" s="4" t="s">
        <v>4941</v>
      </c>
      <c r="E665" s="4" t="s">
        <v>4942</v>
      </c>
      <c r="F665" s="4" t="s">
        <v>4912</v>
      </c>
      <c r="G665" s="4" t="s">
        <v>4913</v>
      </c>
      <c r="H665" s="4" t="s">
        <v>4943</v>
      </c>
      <c r="I665" s="4" t="s">
        <v>71</v>
      </c>
      <c r="J665" s="4" t="s">
        <v>4944</v>
      </c>
      <c r="K665" s="4">
        <v>8884177414</v>
      </c>
      <c r="L665" s="4" t="s">
        <v>4916</v>
      </c>
      <c r="M665" s="4">
        <v>8884177414</v>
      </c>
      <c r="N665" s="4" t="s">
        <v>4945</v>
      </c>
      <c r="O665" s="4" t="s">
        <v>71</v>
      </c>
      <c r="P665" s="168" t="s">
        <v>4918</v>
      </c>
      <c r="Q665" s="4" t="s">
        <v>47</v>
      </c>
      <c r="R665" s="172"/>
      <c r="S665" s="172"/>
      <c r="T665" s="172"/>
      <c r="U665" s="172"/>
      <c r="V665" s="172"/>
      <c r="W665" s="172"/>
      <c r="X665" s="172"/>
      <c r="Y665" s="172"/>
      <c r="Z665" s="172"/>
    </row>
    <row r="666" spans="1:26" ht="13.8">
      <c r="A666" s="166">
        <v>464</v>
      </c>
      <c r="B666" s="4" t="s">
        <v>4946</v>
      </c>
      <c r="C666" s="4">
        <v>1394</v>
      </c>
      <c r="D666" s="4" t="s">
        <v>4947</v>
      </c>
      <c r="E666" s="4" t="s">
        <v>4948</v>
      </c>
      <c r="F666" s="4" t="s">
        <v>4912</v>
      </c>
      <c r="G666" s="4" t="s">
        <v>4913</v>
      </c>
      <c r="H666" s="4" t="s">
        <v>4949</v>
      </c>
      <c r="I666" s="4" t="s">
        <v>71</v>
      </c>
      <c r="J666" s="4" t="s">
        <v>4950</v>
      </c>
      <c r="K666" s="4">
        <v>9457057008</v>
      </c>
      <c r="L666" s="4" t="s">
        <v>4916</v>
      </c>
      <c r="M666" s="4">
        <v>9457057008</v>
      </c>
      <c r="N666" s="4" t="s">
        <v>4923</v>
      </c>
      <c r="O666" s="4" t="s">
        <v>71</v>
      </c>
      <c r="P666" s="168" t="s">
        <v>4918</v>
      </c>
      <c r="Q666" s="4" t="s">
        <v>47</v>
      </c>
      <c r="R666" s="172"/>
      <c r="S666" s="172"/>
      <c r="T666" s="172"/>
      <c r="U666" s="172"/>
      <c r="V666" s="172"/>
      <c r="W666" s="172"/>
      <c r="X666" s="172"/>
      <c r="Y666" s="172"/>
      <c r="Z666" s="172"/>
    </row>
    <row r="667" spans="1:26" ht="13.8">
      <c r="A667" s="166">
        <v>465</v>
      </c>
      <c r="B667" s="4" t="s">
        <v>4951</v>
      </c>
      <c r="C667" s="4">
        <v>1395</v>
      </c>
      <c r="D667" s="4" t="s">
        <v>4952</v>
      </c>
      <c r="E667" s="4" t="s">
        <v>4953</v>
      </c>
      <c r="F667" s="4" t="s">
        <v>4912</v>
      </c>
      <c r="G667" s="4" t="s">
        <v>4913</v>
      </c>
      <c r="H667" s="4" t="s">
        <v>4954</v>
      </c>
      <c r="I667" s="4" t="s">
        <v>71</v>
      </c>
      <c r="J667" s="4" t="s">
        <v>4955</v>
      </c>
      <c r="K667" s="4">
        <v>7289099961</v>
      </c>
      <c r="L667" s="4" t="s">
        <v>4916</v>
      </c>
      <c r="M667" s="4">
        <v>7289099961</v>
      </c>
      <c r="N667" s="4" t="s">
        <v>4923</v>
      </c>
      <c r="O667" s="4" t="s">
        <v>71</v>
      </c>
      <c r="P667" s="168" t="s">
        <v>4918</v>
      </c>
      <c r="Q667" s="4" t="s">
        <v>47</v>
      </c>
      <c r="R667" s="172"/>
      <c r="S667" s="172"/>
      <c r="T667" s="172"/>
      <c r="U667" s="172"/>
      <c r="V667" s="172"/>
      <c r="W667" s="172"/>
      <c r="X667" s="172"/>
      <c r="Y667" s="172"/>
      <c r="Z667" s="172"/>
    </row>
    <row r="668" spans="1:26" ht="13.8">
      <c r="A668" s="166">
        <v>466</v>
      </c>
      <c r="B668" s="4" t="s">
        <v>4956</v>
      </c>
      <c r="C668" s="4">
        <v>1396</v>
      </c>
      <c r="D668" s="4" t="s">
        <v>4957</v>
      </c>
      <c r="E668" s="4" t="s">
        <v>4958</v>
      </c>
      <c r="F668" s="4" t="s">
        <v>4912</v>
      </c>
      <c r="G668" s="4" t="s">
        <v>4913</v>
      </c>
      <c r="H668" s="4" t="s">
        <v>4959</v>
      </c>
      <c r="I668" s="4" t="s">
        <v>71</v>
      </c>
      <c r="J668" s="4" t="s">
        <v>4960</v>
      </c>
      <c r="K668" s="4">
        <v>9008461183</v>
      </c>
      <c r="L668" s="4" t="s">
        <v>4916</v>
      </c>
      <c r="M668" s="4">
        <v>9008461183</v>
      </c>
      <c r="N668" s="4" t="s">
        <v>4945</v>
      </c>
      <c r="O668" s="4" t="s">
        <v>71</v>
      </c>
      <c r="P668" s="168" t="s">
        <v>4918</v>
      </c>
      <c r="Q668" s="4" t="s">
        <v>47</v>
      </c>
      <c r="R668" s="172"/>
      <c r="S668" s="172"/>
      <c r="T668" s="172"/>
      <c r="U668" s="172"/>
      <c r="V668" s="172"/>
      <c r="W668" s="172"/>
      <c r="X668" s="172"/>
      <c r="Y668" s="172"/>
      <c r="Z668" s="172"/>
    </row>
    <row r="669" spans="1:26" ht="13.8">
      <c r="A669" s="166">
        <v>467</v>
      </c>
      <c r="B669" s="4" t="s">
        <v>4961</v>
      </c>
      <c r="C669" s="4">
        <v>1397</v>
      </c>
      <c r="D669" s="4" t="s">
        <v>4962</v>
      </c>
      <c r="E669" s="4" t="s">
        <v>4963</v>
      </c>
      <c r="F669" s="4" t="s">
        <v>4912</v>
      </c>
      <c r="G669" s="4" t="s">
        <v>4913</v>
      </c>
      <c r="H669" s="4" t="s">
        <v>4964</v>
      </c>
      <c r="I669" s="4" t="s">
        <v>71</v>
      </c>
      <c r="J669" s="4" t="s">
        <v>4603</v>
      </c>
      <c r="K669" s="4">
        <v>9930220525</v>
      </c>
      <c r="L669" s="4" t="s">
        <v>4916</v>
      </c>
      <c r="M669" s="4">
        <v>9930220525</v>
      </c>
      <c r="N669" s="4" t="s">
        <v>4965</v>
      </c>
      <c r="O669" s="4" t="s">
        <v>71</v>
      </c>
      <c r="P669" s="168" t="s">
        <v>4918</v>
      </c>
      <c r="Q669" s="4" t="s">
        <v>47</v>
      </c>
      <c r="R669" s="172"/>
      <c r="S669" s="172"/>
      <c r="T669" s="172"/>
      <c r="U669" s="172"/>
      <c r="V669" s="172"/>
      <c r="W669" s="172"/>
      <c r="X669" s="172"/>
      <c r="Y669" s="172"/>
      <c r="Z669" s="172"/>
    </row>
    <row r="670" spans="1:26" ht="13.8">
      <c r="A670" s="166">
        <v>468</v>
      </c>
      <c r="B670" s="4" t="s">
        <v>4966</v>
      </c>
      <c r="C670" s="4">
        <v>1398</v>
      </c>
      <c r="D670" s="4" t="s">
        <v>4967</v>
      </c>
      <c r="E670" s="4" t="s">
        <v>4968</v>
      </c>
      <c r="F670" s="4" t="s">
        <v>4912</v>
      </c>
      <c r="G670" s="4" t="s">
        <v>4913</v>
      </c>
      <c r="H670" s="4" t="s">
        <v>4969</v>
      </c>
      <c r="I670" s="4" t="s">
        <v>71</v>
      </c>
      <c r="J670" s="4" t="s">
        <v>4970</v>
      </c>
      <c r="K670" s="4">
        <v>9739555155</v>
      </c>
      <c r="L670" s="4" t="s">
        <v>4916</v>
      </c>
      <c r="M670" s="4">
        <v>9739555155</v>
      </c>
      <c r="N670" s="4" t="s">
        <v>4945</v>
      </c>
      <c r="O670" s="4" t="s">
        <v>71</v>
      </c>
      <c r="P670" s="168" t="s">
        <v>4918</v>
      </c>
      <c r="Q670" s="4" t="s">
        <v>47</v>
      </c>
      <c r="R670" s="172"/>
      <c r="S670" s="172"/>
      <c r="T670" s="172"/>
      <c r="U670" s="172"/>
      <c r="V670" s="172"/>
      <c r="W670" s="172"/>
      <c r="X670" s="172"/>
      <c r="Y670" s="172"/>
      <c r="Z670" s="172"/>
    </row>
    <row r="671" spans="1:26" ht="13.8">
      <c r="A671" s="166">
        <v>469</v>
      </c>
      <c r="B671" s="4" t="s">
        <v>4971</v>
      </c>
      <c r="C671" s="4">
        <v>1399</v>
      </c>
      <c r="D671" s="4" t="s">
        <v>4972</v>
      </c>
      <c r="E671" s="4" t="s">
        <v>4973</v>
      </c>
      <c r="F671" s="4" t="s">
        <v>4912</v>
      </c>
      <c r="G671" s="4" t="s">
        <v>4913</v>
      </c>
      <c r="H671" s="4" t="s">
        <v>4974</v>
      </c>
      <c r="I671" s="4" t="s">
        <v>71</v>
      </c>
      <c r="J671" s="4" t="s">
        <v>4975</v>
      </c>
      <c r="K671" s="4">
        <v>9831341166</v>
      </c>
      <c r="L671" s="4" t="s">
        <v>4916</v>
      </c>
      <c r="M671" s="4">
        <v>9831341166</v>
      </c>
      <c r="N671" s="4" t="s">
        <v>4976</v>
      </c>
      <c r="O671" s="4" t="s">
        <v>71</v>
      </c>
      <c r="P671" s="168" t="s">
        <v>4918</v>
      </c>
      <c r="Q671" s="4" t="s">
        <v>47</v>
      </c>
      <c r="R671" s="172"/>
      <c r="S671" s="172"/>
      <c r="T671" s="172"/>
      <c r="U671" s="172"/>
      <c r="V671" s="172"/>
      <c r="W671" s="172"/>
      <c r="X671" s="172"/>
      <c r="Y671" s="172"/>
      <c r="Z671" s="172"/>
    </row>
    <row r="672" spans="1:26" ht="13.8">
      <c r="A672" s="166">
        <v>470</v>
      </c>
      <c r="B672" s="4" t="s">
        <v>4977</v>
      </c>
      <c r="C672" s="4">
        <v>1400</v>
      </c>
      <c r="D672" s="4" t="s">
        <v>4978</v>
      </c>
      <c r="E672" s="4" t="s">
        <v>4979</v>
      </c>
      <c r="F672" s="4" t="s">
        <v>4912</v>
      </c>
      <c r="G672" s="4" t="s">
        <v>4913</v>
      </c>
      <c r="H672" s="4" t="s">
        <v>4980</v>
      </c>
      <c r="I672" s="4" t="s">
        <v>71</v>
      </c>
      <c r="J672" s="4" t="s">
        <v>4981</v>
      </c>
      <c r="K672" s="4">
        <v>9825328252</v>
      </c>
      <c r="L672" s="4" t="s">
        <v>4916</v>
      </c>
      <c r="M672" s="4">
        <v>9825328252</v>
      </c>
      <c r="N672" s="4" t="s">
        <v>4934</v>
      </c>
      <c r="O672" s="4" t="s">
        <v>71</v>
      </c>
      <c r="P672" s="168" t="s">
        <v>4918</v>
      </c>
      <c r="Q672" s="4" t="s">
        <v>47</v>
      </c>
      <c r="R672" s="172"/>
      <c r="S672" s="172"/>
      <c r="T672" s="172"/>
      <c r="U672" s="172"/>
      <c r="V672" s="172"/>
      <c r="W672" s="172"/>
      <c r="X672" s="172"/>
      <c r="Y672" s="172"/>
      <c r="Z672" s="172"/>
    </row>
    <row r="673" spans="1:26" ht="13.8">
      <c r="A673" s="166">
        <v>471</v>
      </c>
      <c r="B673" s="4" t="s">
        <v>4982</v>
      </c>
      <c r="C673" s="4">
        <v>1401</v>
      </c>
      <c r="D673" s="4" t="s">
        <v>4983</v>
      </c>
      <c r="E673" s="4" t="s">
        <v>4984</v>
      </c>
      <c r="F673" s="4" t="s">
        <v>4912</v>
      </c>
      <c r="G673" s="4" t="s">
        <v>4913</v>
      </c>
      <c r="H673" s="4" t="s">
        <v>4985</v>
      </c>
      <c r="I673" s="4" t="s">
        <v>71</v>
      </c>
      <c r="J673" s="4" t="s">
        <v>4986</v>
      </c>
      <c r="K673" s="4">
        <v>9810398781</v>
      </c>
      <c r="L673" s="4" t="s">
        <v>4916</v>
      </c>
      <c r="M673" s="4">
        <v>9810398781</v>
      </c>
      <c r="N673" s="4" t="s">
        <v>4923</v>
      </c>
      <c r="O673" s="4" t="s">
        <v>71</v>
      </c>
      <c r="P673" s="168" t="s">
        <v>4918</v>
      </c>
      <c r="Q673" s="4" t="s">
        <v>47</v>
      </c>
      <c r="R673" s="172"/>
      <c r="S673" s="172"/>
      <c r="T673" s="172"/>
      <c r="U673" s="172"/>
      <c r="V673" s="172"/>
      <c r="W673" s="172"/>
      <c r="X673" s="172"/>
      <c r="Y673" s="172"/>
      <c r="Z673" s="172"/>
    </row>
    <row r="674" spans="1:26" ht="13.8">
      <c r="A674" s="166">
        <v>472</v>
      </c>
      <c r="B674" s="4" t="s">
        <v>4987</v>
      </c>
      <c r="C674" s="4">
        <v>1402</v>
      </c>
      <c r="D674" s="4" t="s">
        <v>4988</v>
      </c>
      <c r="E674" s="4" t="s">
        <v>4989</v>
      </c>
      <c r="F674" s="4" t="s">
        <v>4912</v>
      </c>
      <c r="G674" s="4" t="s">
        <v>4913</v>
      </c>
      <c r="H674" s="4" t="s">
        <v>4990</v>
      </c>
      <c r="I674" s="4" t="s">
        <v>71</v>
      </c>
      <c r="J674" s="4" t="s">
        <v>4991</v>
      </c>
      <c r="K674" s="4">
        <v>9051296111</v>
      </c>
      <c r="L674" s="4" t="s">
        <v>4916</v>
      </c>
      <c r="M674" s="4">
        <v>9051296111</v>
      </c>
      <c r="N674" s="4" t="s">
        <v>4945</v>
      </c>
      <c r="O674" s="4" t="s">
        <v>71</v>
      </c>
      <c r="P674" s="168" t="s">
        <v>4918</v>
      </c>
      <c r="Q674" s="4" t="s">
        <v>47</v>
      </c>
      <c r="R674" s="172"/>
      <c r="S674" s="172"/>
      <c r="T674" s="172"/>
      <c r="U674" s="172"/>
      <c r="V674" s="172"/>
      <c r="W674" s="172"/>
      <c r="X674" s="172"/>
      <c r="Y674" s="172"/>
      <c r="Z674" s="172"/>
    </row>
    <row r="675" spans="1:26" ht="13.8">
      <c r="A675" s="166">
        <v>473</v>
      </c>
      <c r="B675" s="4" t="s">
        <v>4992</v>
      </c>
      <c r="C675" s="4">
        <v>1403</v>
      </c>
      <c r="D675" s="4" t="s">
        <v>4993</v>
      </c>
      <c r="E675" s="4" t="s">
        <v>4994</v>
      </c>
      <c r="F675" s="4" t="s">
        <v>4912</v>
      </c>
      <c r="G675" s="4" t="s">
        <v>4913</v>
      </c>
      <c r="H675" s="4" t="s">
        <v>4995</v>
      </c>
      <c r="I675" s="4" t="s">
        <v>71</v>
      </c>
      <c r="J675" s="4" t="s">
        <v>4996</v>
      </c>
      <c r="K675" s="4">
        <v>9967755818</v>
      </c>
      <c r="L675" s="4" t="s">
        <v>4916</v>
      </c>
      <c r="M675" s="4">
        <v>9967755818</v>
      </c>
      <c r="N675" s="4" t="s">
        <v>4917</v>
      </c>
      <c r="O675" s="4" t="s">
        <v>71</v>
      </c>
      <c r="P675" s="168" t="s">
        <v>4918</v>
      </c>
      <c r="Q675" s="4" t="s">
        <v>47</v>
      </c>
      <c r="R675" s="172"/>
      <c r="S675" s="172"/>
      <c r="T675" s="172"/>
      <c r="U675" s="172"/>
      <c r="V675" s="172"/>
      <c r="W675" s="172"/>
      <c r="X675" s="172"/>
      <c r="Y675" s="172"/>
      <c r="Z675" s="172"/>
    </row>
    <row r="676" spans="1:26" ht="13.8">
      <c r="A676" s="166">
        <v>474</v>
      </c>
      <c r="B676" s="4" t="s">
        <v>4997</v>
      </c>
      <c r="C676" s="4">
        <v>1404</v>
      </c>
      <c r="D676" s="4" t="s">
        <v>4998</v>
      </c>
      <c r="E676" s="4" t="s">
        <v>4999</v>
      </c>
      <c r="F676" s="4" t="s">
        <v>4912</v>
      </c>
      <c r="G676" s="4" t="s">
        <v>4913</v>
      </c>
      <c r="H676" s="4" t="s">
        <v>5000</v>
      </c>
      <c r="I676" s="4" t="s">
        <v>71</v>
      </c>
      <c r="J676" s="4" t="s">
        <v>5001</v>
      </c>
      <c r="K676" s="4">
        <v>9820689514</v>
      </c>
      <c r="L676" s="4" t="s">
        <v>4916</v>
      </c>
      <c r="M676" s="4">
        <v>9820689514</v>
      </c>
      <c r="N676" s="4" t="s">
        <v>4917</v>
      </c>
      <c r="O676" s="4" t="s">
        <v>71</v>
      </c>
      <c r="P676" s="168" t="s">
        <v>4918</v>
      </c>
      <c r="Q676" s="4" t="s">
        <v>47</v>
      </c>
      <c r="R676" s="172"/>
      <c r="S676" s="172"/>
      <c r="T676" s="172"/>
      <c r="U676" s="172"/>
      <c r="V676" s="172"/>
      <c r="W676" s="172"/>
      <c r="X676" s="172"/>
      <c r="Y676" s="172"/>
      <c r="Z676" s="172"/>
    </row>
    <row r="677" spans="1:26" ht="13.8">
      <c r="A677" s="166">
        <v>475</v>
      </c>
      <c r="B677" s="4" t="s">
        <v>5002</v>
      </c>
      <c r="C677" s="4">
        <v>1405</v>
      </c>
      <c r="D677" s="4" t="s">
        <v>71</v>
      </c>
      <c r="E677" s="4" t="s">
        <v>5003</v>
      </c>
      <c r="F677" s="4" t="s">
        <v>4912</v>
      </c>
      <c r="G677" s="4" t="s">
        <v>4913</v>
      </c>
      <c r="H677" s="4" t="s">
        <v>5004</v>
      </c>
      <c r="I677" s="4" t="s">
        <v>71</v>
      </c>
      <c r="J677" s="4" t="s">
        <v>5005</v>
      </c>
      <c r="K677" s="4">
        <v>9572393665</v>
      </c>
      <c r="L677" s="4" t="s">
        <v>4916</v>
      </c>
      <c r="M677" s="4">
        <v>9572393665</v>
      </c>
      <c r="N677" s="4" t="s">
        <v>4945</v>
      </c>
      <c r="O677" s="4" t="s">
        <v>71</v>
      </c>
      <c r="P677" s="168" t="s">
        <v>4918</v>
      </c>
      <c r="Q677" s="4" t="s">
        <v>47</v>
      </c>
      <c r="R677" s="172"/>
      <c r="S677" s="172"/>
      <c r="T677" s="172"/>
      <c r="U677" s="172"/>
      <c r="V677" s="172"/>
      <c r="W677" s="172"/>
      <c r="X677" s="172"/>
      <c r="Y677" s="172"/>
      <c r="Z677" s="172"/>
    </row>
    <row r="678" spans="1:26" ht="13.8">
      <c r="A678" s="166">
        <v>476</v>
      </c>
      <c r="B678" s="4" t="s">
        <v>5006</v>
      </c>
      <c r="C678" s="4">
        <v>1406</v>
      </c>
      <c r="D678" s="4" t="s">
        <v>5007</v>
      </c>
      <c r="E678" s="4" t="s">
        <v>5008</v>
      </c>
      <c r="F678" s="4" t="s">
        <v>4912</v>
      </c>
      <c r="G678" s="4" t="s">
        <v>4913</v>
      </c>
      <c r="H678" s="4" t="s">
        <v>5009</v>
      </c>
      <c r="I678" s="4" t="s">
        <v>71</v>
      </c>
      <c r="J678" s="4" t="s">
        <v>5010</v>
      </c>
      <c r="K678" s="4">
        <v>7021880274</v>
      </c>
      <c r="L678" s="4" t="s">
        <v>4916</v>
      </c>
      <c r="M678" s="4">
        <v>7021880274</v>
      </c>
      <c r="N678" s="4" t="s">
        <v>4917</v>
      </c>
      <c r="O678" s="4" t="s">
        <v>71</v>
      </c>
      <c r="P678" s="168" t="s">
        <v>4918</v>
      </c>
      <c r="Q678" s="4" t="s">
        <v>47</v>
      </c>
      <c r="R678" s="172"/>
      <c r="S678" s="172"/>
      <c r="T678" s="172"/>
      <c r="U678" s="172"/>
      <c r="V678" s="172"/>
      <c r="W678" s="172"/>
      <c r="X678" s="172"/>
      <c r="Y678" s="172"/>
      <c r="Z678" s="172"/>
    </row>
    <row r="679" spans="1:26" ht="13.8">
      <c r="A679" s="166">
        <v>477</v>
      </c>
      <c r="B679" s="4" t="s">
        <v>5011</v>
      </c>
      <c r="C679" s="4">
        <v>1407</v>
      </c>
      <c r="D679" s="4" t="s">
        <v>71</v>
      </c>
      <c r="E679" s="4" t="s">
        <v>5012</v>
      </c>
      <c r="F679" s="4" t="s">
        <v>4912</v>
      </c>
      <c r="G679" s="4" t="s">
        <v>4913</v>
      </c>
      <c r="H679" s="4" t="s">
        <v>5013</v>
      </c>
      <c r="I679" s="4" t="s">
        <v>71</v>
      </c>
      <c r="J679" s="4" t="s">
        <v>5014</v>
      </c>
      <c r="K679" s="4">
        <v>9880164681</v>
      </c>
      <c r="L679" s="4" t="s">
        <v>4916</v>
      </c>
      <c r="M679" s="4">
        <v>9880164681</v>
      </c>
      <c r="N679" s="4" t="s">
        <v>4945</v>
      </c>
      <c r="O679" s="4" t="s">
        <v>71</v>
      </c>
      <c r="P679" s="168" t="s">
        <v>4918</v>
      </c>
      <c r="Q679" s="4" t="s">
        <v>47</v>
      </c>
      <c r="R679" s="172"/>
      <c r="S679" s="172"/>
      <c r="T679" s="172"/>
      <c r="U679" s="172"/>
      <c r="V679" s="172"/>
      <c r="W679" s="172"/>
      <c r="X679" s="172"/>
      <c r="Y679" s="172"/>
      <c r="Z679" s="172"/>
    </row>
    <row r="680" spans="1:26" ht="13.8">
      <c r="A680" s="166">
        <v>478</v>
      </c>
      <c r="B680" s="4" t="s">
        <v>5015</v>
      </c>
      <c r="C680" s="4">
        <v>1408</v>
      </c>
      <c r="D680" s="4" t="s">
        <v>71</v>
      </c>
      <c r="E680" s="4" t="s">
        <v>5016</v>
      </c>
      <c r="F680" s="4" t="s">
        <v>4912</v>
      </c>
      <c r="G680" s="4" t="s">
        <v>4913</v>
      </c>
      <c r="H680" s="4" t="s">
        <v>5017</v>
      </c>
      <c r="I680" s="4" t="s">
        <v>71</v>
      </c>
      <c r="J680" s="4" t="s">
        <v>4696</v>
      </c>
      <c r="K680" s="4">
        <v>9724749331</v>
      </c>
      <c r="L680" s="4" t="s">
        <v>4916</v>
      </c>
      <c r="M680" s="4">
        <v>9724749331</v>
      </c>
      <c r="N680" s="4" t="s">
        <v>4934</v>
      </c>
      <c r="O680" s="4" t="s">
        <v>71</v>
      </c>
      <c r="P680" s="168" t="s">
        <v>4918</v>
      </c>
      <c r="Q680" s="4" t="s">
        <v>47</v>
      </c>
      <c r="R680" s="172"/>
      <c r="S680" s="172"/>
      <c r="T680" s="172"/>
      <c r="U680" s="172"/>
      <c r="V680" s="172"/>
      <c r="W680" s="172"/>
      <c r="X680" s="172"/>
      <c r="Y680" s="172"/>
      <c r="Z680" s="172"/>
    </row>
    <row r="681" spans="1:26" ht="13.8">
      <c r="A681" s="166">
        <v>479</v>
      </c>
      <c r="B681" s="4" t="s">
        <v>5018</v>
      </c>
      <c r="C681" s="4">
        <v>1409</v>
      </c>
      <c r="D681" s="4" t="s">
        <v>5019</v>
      </c>
      <c r="E681" s="4" t="s">
        <v>5020</v>
      </c>
      <c r="F681" s="4" t="s">
        <v>4912</v>
      </c>
      <c r="G681" s="4" t="s">
        <v>4913</v>
      </c>
      <c r="H681" s="4" t="s">
        <v>5021</v>
      </c>
      <c r="I681" s="4" t="s">
        <v>71</v>
      </c>
      <c r="J681" s="4" t="s">
        <v>5022</v>
      </c>
      <c r="K681" s="4">
        <v>9930071015</v>
      </c>
      <c r="L681" s="4" t="s">
        <v>4916</v>
      </c>
      <c r="M681" s="4">
        <v>9930071015</v>
      </c>
      <c r="N681" s="4" t="s">
        <v>4917</v>
      </c>
      <c r="O681" s="4" t="s">
        <v>71</v>
      </c>
      <c r="P681" s="168" t="s">
        <v>4918</v>
      </c>
      <c r="Q681" s="4" t="s">
        <v>47</v>
      </c>
      <c r="R681" s="172"/>
      <c r="S681" s="172"/>
      <c r="T681" s="172"/>
      <c r="U681" s="172"/>
      <c r="V681" s="172"/>
      <c r="W681" s="172"/>
      <c r="X681" s="172"/>
      <c r="Y681" s="172"/>
      <c r="Z681" s="172"/>
    </row>
    <row r="682" spans="1:26" ht="13.8">
      <c r="A682" s="166">
        <v>480</v>
      </c>
      <c r="B682" s="4" t="s">
        <v>5023</v>
      </c>
      <c r="C682" s="4">
        <v>1410</v>
      </c>
      <c r="D682" s="4" t="s">
        <v>5024</v>
      </c>
      <c r="E682" s="4" t="s">
        <v>5025</v>
      </c>
      <c r="F682" s="4" t="s">
        <v>4912</v>
      </c>
      <c r="G682" s="4" t="s">
        <v>4913</v>
      </c>
      <c r="H682" s="4" t="s">
        <v>5026</v>
      </c>
      <c r="I682" s="4" t="s">
        <v>71</v>
      </c>
      <c r="J682" s="4" t="s">
        <v>5027</v>
      </c>
      <c r="K682" s="4">
        <v>9606697222</v>
      </c>
      <c r="L682" s="4" t="s">
        <v>4916</v>
      </c>
      <c r="M682" s="4">
        <v>9606697222</v>
      </c>
      <c r="N682" s="4" t="s">
        <v>4945</v>
      </c>
      <c r="O682" s="4" t="s">
        <v>71</v>
      </c>
      <c r="P682" s="168" t="s">
        <v>4918</v>
      </c>
      <c r="Q682" s="4" t="s">
        <v>47</v>
      </c>
      <c r="R682" s="172"/>
      <c r="S682" s="172"/>
      <c r="T682" s="172"/>
      <c r="U682" s="172"/>
      <c r="V682" s="172"/>
      <c r="W682" s="172"/>
      <c r="X682" s="172"/>
      <c r="Y682" s="172"/>
      <c r="Z682" s="172"/>
    </row>
    <row r="683" spans="1:26" ht="13.8">
      <c r="A683" s="166">
        <v>481</v>
      </c>
      <c r="B683" s="4" t="s">
        <v>5028</v>
      </c>
      <c r="C683" s="4">
        <v>1411</v>
      </c>
      <c r="D683" s="4" t="s">
        <v>5029</v>
      </c>
      <c r="E683" s="4" t="s">
        <v>5030</v>
      </c>
      <c r="F683" s="4" t="s">
        <v>4912</v>
      </c>
      <c r="G683" s="4" t="s">
        <v>4913</v>
      </c>
      <c r="H683" s="4" t="s">
        <v>5031</v>
      </c>
      <c r="I683" s="4" t="s">
        <v>71</v>
      </c>
      <c r="J683" s="4" t="s">
        <v>5032</v>
      </c>
      <c r="K683" s="4">
        <v>9999227067</v>
      </c>
      <c r="L683" s="4" t="s">
        <v>4916</v>
      </c>
      <c r="M683" s="4">
        <v>9999227067</v>
      </c>
      <c r="N683" s="4" t="s">
        <v>4923</v>
      </c>
      <c r="O683" s="4" t="s">
        <v>71</v>
      </c>
      <c r="P683" s="168" t="s">
        <v>4918</v>
      </c>
      <c r="Q683" s="4" t="s">
        <v>47</v>
      </c>
      <c r="R683" s="172"/>
      <c r="S683" s="172"/>
      <c r="T683" s="172"/>
      <c r="U683" s="172"/>
      <c r="V683" s="172"/>
      <c r="W683" s="172"/>
      <c r="X683" s="172"/>
      <c r="Y683" s="172"/>
      <c r="Z683" s="172"/>
    </row>
    <row r="684" spans="1:26" ht="13.8">
      <c r="A684" s="166">
        <v>482</v>
      </c>
      <c r="B684" s="4" t="s">
        <v>5033</v>
      </c>
      <c r="C684" s="4">
        <v>1412</v>
      </c>
      <c r="D684" s="4" t="s">
        <v>71</v>
      </c>
      <c r="E684" s="4" t="s">
        <v>5034</v>
      </c>
      <c r="F684" s="4" t="s">
        <v>4912</v>
      </c>
      <c r="G684" s="4" t="s">
        <v>4913</v>
      </c>
      <c r="H684" s="4" t="s">
        <v>5035</v>
      </c>
      <c r="I684" s="4" t="s">
        <v>71</v>
      </c>
      <c r="J684" s="4" t="s">
        <v>5036</v>
      </c>
      <c r="K684" s="4">
        <v>9811881718</v>
      </c>
      <c r="L684" s="4" t="s">
        <v>4916</v>
      </c>
      <c r="M684" s="4">
        <v>9811881718</v>
      </c>
      <c r="N684" s="4" t="s">
        <v>5037</v>
      </c>
      <c r="O684" s="4" t="s">
        <v>71</v>
      </c>
      <c r="P684" s="168" t="s">
        <v>4918</v>
      </c>
      <c r="Q684" s="4" t="s">
        <v>47</v>
      </c>
      <c r="R684" s="172"/>
      <c r="S684" s="172"/>
      <c r="T684" s="172"/>
      <c r="U684" s="172"/>
      <c r="V684" s="172"/>
      <c r="W684" s="172"/>
      <c r="X684" s="172"/>
      <c r="Y684" s="172"/>
      <c r="Z684" s="172"/>
    </row>
    <row r="685" spans="1:26" ht="13.8">
      <c r="A685" s="166">
        <v>483</v>
      </c>
      <c r="B685" s="4" t="s">
        <v>5038</v>
      </c>
      <c r="C685" s="4">
        <v>1413</v>
      </c>
      <c r="D685" s="4" t="s">
        <v>5039</v>
      </c>
      <c r="E685" s="4" t="s">
        <v>5040</v>
      </c>
      <c r="F685" s="4" t="s">
        <v>4912</v>
      </c>
      <c r="G685" s="4" t="s">
        <v>4913</v>
      </c>
      <c r="H685" s="4" t="s">
        <v>5041</v>
      </c>
      <c r="I685" s="4" t="s">
        <v>71</v>
      </c>
      <c r="J685" s="4" t="s">
        <v>5042</v>
      </c>
      <c r="K685" s="4">
        <v>9811292067</v>
      </c>
      <c r="L685" s="4" t="s">
        <v>4916</v>
      </c>
      <c r="M685" s="4">
        <v>9811292067</v>
      </c>
      <c r="N685" s="4" t="s">
        <v>4923</v>
      </c>
      <c r="O685" s="4" t="s">
        <v>71</v>
      </c>
      <c r="P685" s="168" t="s">
        <v>4918</v>
      </c>
      <c r="Q685" s="4" t="s">
        <v>47</v>
      </c>
      <c r="R685" s="172"/>
      <c r="S685" s="172"/>
      <c r="T685" s="172"/>
      <c r="U685" s="172"/>
      <c r="V685" s="172"/>
      <c r="W685" s="172"/>
      <c r="X685" s="172"/>
      <c r="Y685" s="172"/>
      <c r="Z685" s="172"/>
    </row>
    <row r="686" spans="1:26" ht="13.8">
      <c r="A686" s="166">
        <v>484</v>
      </c>
      <c r="B686" s="4" t="s">
        <v>5043</v>
      </c>
      <c r="C686" s="4">
        <v>1414</v>
      </c>
      <c r="D686" s="4" t="s">
        <v>5044</v>
      </c>
      <c r="E686" s="4" t="s">
        <v>5045</v>
      </c>
      <c r="F686" s="4" t="s">
        <v>4912</v>
      </c>
      <c r="G686" s="4" t="s">
        <v>4913</v>
      </c>
      <c r="H686" s="4" t="s">
        <v>5046</v>
      </c>
      <c r="I686" s="4" t="s">
        <v>71</v>
      </c>
      <c r="J686" s="4" t="s">
        <v>5047</v>
      </c>
      <c r="K686" s="4">
        <v>9810100782</v>
      </c>
      <c r="L686" s="4" t="s">
        <v>4916</v>
      </c>
      <c r="M686" s="4">
        <v>9810100782</v>
      </c>
      <c r="N686" s="4" t="s">
        <v>4923</v>
      </c>
      <c r="O686" s="4" t="s">
        <v>71</v>
      </c>
      <c r="P686" s="168" t="s">
        <v>4918</v>
      </c>
      <c r="Q686" s="4" t="s">
        <v>47</v>
      </c>
      <c r="R686" s="172"/>
      <c r="S686" s="172"/>
      <c r="T686" s="172"/>
      <c r="U686" s="172"/>
      <c r="V686" s="172"/>
      <c r="W686" s="172"/>
      <c r="X686" s="172"/>
      <c r="Y686" s="172"/>
      <c r="Z686" s="172"/>
    </row>
    <row r="687" spans="1:26" ht="13.8">
      <c r="A687" s="166">
        <v>485</v>
      </c>
      <c r="B687" s="4" t="s">
        <v>5048</v>
      </c>
      <c r="C687" s="4">
        <v>1415</v>
      </c>
      <c r="D687" s="4" t="s">
        <v>5049</v>
      </c>
      <c r="E687" s="4" t="s">
        <v>5050</v>
      </c>
      <c r="F687" s="4" t="s">
        <v>4912</v>
      </c>
      <c r="G687" s="4" t="s">
        <v>4913</v>
      </c>
      <c r="H687" s="4" t="s">
        <v>5051</v>
      </c>
      <c r="I687" s="4" t="s">
        <v>71</v>
      </c>
      <c r="J687" s="4" t="s">
        <v>5052</v>
      </c>
      <c r="K687" s="4">
        <v>9376916607</v>
      </c>
      <c r="L687" s="4" t="s">
        <v>4916</v>
      </c>
      <c r="M687" s="4">
        <v>9376916607</v>
      </c>
      <c r="N687" s="4" t="s">
        <v>4965</v>
      </c>
      <c r="O687" s="4" t="s">
        <v>71</v>
      </c>
      <c r="P687" s="168" t="s">
        <v>4918</v>
      </c>
      <c r="Q687" s="4" t="s">
        <v>47</v>
      </c>
      <c r="R687" s="172"/>
      <c r="S687" s="172"/>
      <c r="T687" s="172"/>
      <c r="U687" s="172"/>
      <c r="V687" s="172"/>
      <c r="W687" s="172"/>
      <c r="X687" s="172"/>
      <c r="Y687" s="172"/>
      <c r="Z687" s="172"/>
    </row>
    <row r="688" spans="1:26" ht="13.8">
      <c r="A688" s="166">
        <v>486</v>
      </c>
      <c r="B688" s="4" t="s">
        <v>5053</v>
      </c>
      <c r="C688" s="4">
        <v>1416</v>
      </c>
      <c r="D688" s="4" t="s">
        <v>5054</v>
      </c>
      <c r="E688" s="4" t="s">
        <v>5055</v>
      </c>
      <c r="F688" s="4" t="s">
        <v>4912</v>
      </c>
      <c r="G688" s="4" t="s">
        <v>4913</v>
      </c>
      <c r="H688" s="4" t="s">
        <v>5056</v>
      </c>
      <c r="I688" s="4" t="s">
        <v>71</v>
      </c>
      <c r="J688" s="4" t="s">
        <v>5057</v>
      </c>
      <c r="K688" s="4">
        <v>7892027134</v>
      </c>
      <c r="L688" s="4" t="s">
        <v>4916</v>
      </c>
      <c r="M688" s="4">
        <v>7892027134</v>
      </c>
      <c r="N688" s="4" t="s">
        <v>4945</v>
      </c>
      <c r="O688" s="4" t="s">
        <v>71</v>
      </c>
      <c r="P688" s="168" t="s">
        <v>4918</v>
      </c>
      <c r="Q688" s="4" t="s">
        <v>47</v>
      </c>
      <c r="R688" s="172"/>
      <c r="S688" s="172"/>
      <c r="T688" s="172"/>
      <c r="U688" s="172"/>
      <c r="V688" s="172"/>
      <c r="W688" s="172"/>
      <c r="X688" s="172"/>
      <c r="Y688" s="172"/>
      <c r="Z688" s="172"/>
    </row>
    <row r="689" spans="1:26" ht="13.8">
      <c r="A689" s="166">
        <v>487</v>
      </c>
      <c r="B689" s="4" t="s">
        <v>5058</v>
      </c>
      <c r="C689" s="4">
        <v>1417</v>
      </c>
      <c r="D689" s="4" t="s">
        <v>5059</v>
      </c>
      <c r="E689" s="4" t="s">
        <v>5060</v>
      </c>
      <c r="F689" s="4" t="s">
        <v>4912</v>
      </c>
      <c r="G689" s="4" t="s">
        <v>4913</v>
      </c>
      <c r="H689" s="4" t="s">
        <v>5061</v>
      </c>
      <c r="I689" s="4" t="s">
        <v>71</v>
      </c>
      <c r="J689" s="4" t="s">
        <v>5062</v>
      </c>
      <c r="K689" s="4">
        <v>9918888807</v>
      </c>
      <c r="L689" s="4" t="s">
        <v>4916</v>
      </c>
      <c r="M689" s="4">
        <v>9918888807</v>
      </c>
      <c r="N689" s="4" t="s">
        <v>5063</v>
      </c>
      <c r="O689" s="4" t="s">
        <v>71</v>
      </c>
      <c r="P689" s="168" t="s">
        <v>4918</v>
      </c>
      <c r="Q689" s="4" t="s">
        <v>47</v>
      </c>
      <c r="R689" s="172"/>
      <c r="S689" s="172"/>
      <c r="T689" s="172"/>
      <c r="U689" s="172"/>
      <c r="V689" s="172"/>
      <c r="W689" s="172"/>
      <c r="X689" s="172"/>
      <c r="Y689" s="172"/>
      <c r="Z689" s="172"/>
    </row>
    <row r="690" spans="1:26" ht="13.8">
      <c r="A690" s="166">
        <v>488</v>
      </c>
      <c r="B690" s="4" t="s">
        <v>5064</v>
      </c>
      <c r="C690" s="4">
        <v>1418</v>
      </c>
      <c r="D690" s="4" t="s">
        <v>5065</v>
      </c>
      <c r="E690" s="4" t="s">
        <v>5066</v>
      </c>
      <c r="F690" s="4" t="s">
        <v>4912</v>
      </c>
      <c r="G690" s="4" t="s">
        <v>4913</v>
      </c>
      <c r="H690" s="4" t="s">
        <v>5067</v>
      </c>
      <c r="I690" s="4" t="s">
        <v>71</v>
      </c>
      <c r="J690" s="4" t="s">
        <v>5068</v>
      </c>
      <c r="K690" s="4">
        <v>9773885950</v>
      </c>
      <c r="L690" s="4" t="s">
        <v>4916</v>
      </c>
      <c r="M690" s="4">
        <v>9773885950</v>
      </c>
      <c r="N690" s="4" t="s">
        <v>4923</v>
      </c>
      <c r="O690" s="4" t="s">
        <v>71</v>
      </c>
      <c r="P690" s="168" t="s">
        <v>4918</v>
      </c>
      <c r="Q690" s="4" t="s">
        <v>47</v>
      </c>
      <c r="R690" s="172"/>
      <c r="S690" s="172"/>
      <c r="T690" s="172"/>
      <c r="U690" s="172"/>
      <c r="V690" s="172"/>
      <c r="W690" s="172"/>
      <c r="X690" s="172"/>
      <c r="Y690" s="172"/>
      <c r="Z690" s="172"/>
    </row>
    <row r="691" spans="1:26" ht="13.8">
      <c r="A691" s="166">
        <v>489</v>
      </c>
      <c r="B691" s="4" t="s">
        <v>5069</v>
      </c>
      <c r="C691" s="4">
        <v>1419</v>
      </c>
      <c r="D691" s="4" t="s">
        <v>5070</v>
      </c>
      <c r="E691" s="4" t="s">
        <v>5071</v>
      </c>
      <c r="F691" s="4" t="s">
        <v>4912</v>
      </c>
      <c r="G691" s="4" t="s">
        <v>4913</v>
      </c>
      <c r="H691" s="4" t="s">
        <v>5072</v>
      </c>
      <c r="I691" s="4" t="s">
        <v>71</v>
      </c>
      <c r="J691" s="4" t="s">
        <v>5073</v>
      </c>
      <c r="K691" s="4">
        <v>8884858585</v>
      </c>
      <c r="L691" s="4" t="s">
        <v>4916</v>
      </c>
      <c r="M691" s="4">
        <v>8884858585</v>
      </c>
      <c r="N691" s="4" t="s">
        <v>4945</v>
      </c>
      <c r="O691" s="4" t="s">
        <v>71</v>
      </c>
      <c r="P691" s="168" t="s">
        <v>4918</v>
      </c>
      <c r="Q691" s="4" t="s">
        <v>47</v>
      </c>
      <c r="R691" s="172"/>
      <c r="S691" s="172"/>
      <c r="T691" s="172"/>
      <c r="U691" s="172"/>
      <c r="V691" s="172"/>
      <c r="W691" s="172"/>
      <c r="X691" s="172"/>
      <c r="Y691" s="172"/>
      <c r="Z691" s="172"/>
    </row>
    <row r="692" spans="1:26" ht="13.8">
      <c r="A692" s="166">
        <v>490</v>
      </c>
      <c r="B692" s="4" t="s">
        <v>5074</v>
      </c>
      <c r="C692" s="4">
        <v>1420</v>
      </c>
      <c r="D692" s="4" t="s">
        <v>5075</v>
      </c>
      <c r="E692" s="4" t="s">
        <v>5076</v>
      </c>
      <c r="F692" s="4" t="s">
        <v>4912</v>
      </c>
      <c r="G692" s="4" t="s">
        <v>4913</v>
      </c>
      <c r="H692" s="4" t="s">
        <v>5077</v>
      </c>
      <c r="I692" s="4" t="s">
        <v>71</v>
      </c>
      <c r="J692" s="4" t="s">
        <v>5078</v>
      </c>
      <c r="K692" s="4">
        <v>7897420278</v>
      </c>
      <c r="L692" s="4" t="s">
        <v>4916</v>
      </c>
      <c r="M692" s="4">
        <v>7897420278</v>
      </c>
      <c r="N692" s="4" t="s">
        <v>5063</v>
      </c>
      <c r="O692" s="4" t="s">
        <v>71</v>
      </c>
      <c r="P692" s="168" t="s">
        <v>4918</v>
      </c>
      <c r="Q692" s="4" t="s">
        <v>47</v>
      </c>
      <c r="R692" s="172"/>
      <c r="S692" s="172"/>
      <c r="T692" s="172"/>
      <c r="U692" s="172"/>
      <c r="V692" s="172"/>
      <c r="W692" s="172"/>
      <c r="X692" s="172"/>
      <c r="Y692" s="172"/>
      <c r="Z692" s="172"/>
    </row>
    <row r="693" spans="1:26" ht="13.8">
      <c r="A693" s="166">
        <v>491</v>
      </c>
      <c r="B693" s="4" t="s">
        <v>5079</v>
      </c>
      <c r="C693" s="4">
        <v>1421</v>
      </c>
      <c r="D693" s="4" t="s">
        <v>5080</v>
      </c>
      <c r="E693" s="4" t="s">
        <v>5081</v>
      </c>
      <c r="F693" s="4" t="s">
        <v>4912</v>
      </c>
      <c r="G693" s="4" t="s">
        <v>4913</v>
      </c>
      <c r="H693" s="4" t="s">
        <v>5082</v>
      </c>
      <c r="I693" s="4" t="s">
        <v>71</v>
      </c>
      <c r="J693" s="4" t="s">
        <v>5083</v>
      </c>
      <c r="K693" s="4">
        <v>8861006799</v>
      </c>
      <c r="L693" s="4" t="s">
        <v>4916</v>
      </c>
      <c r="M693" s="4">
        <v>8861006799</v>
      </c>
      <c r="N693" s="4" t="s">
        <v>4945</v>
      </c>
      <c r="O693" s="4" t="s">
        <v>71</v>
      </c>
      <c r="P693" s="168" t="s">
        <v>4918</v>
      </c>
      <c r="Q693" s="4" t="s">
        <v>47</v>
      </c>
      <c r="R693" s="172"/>
      <c r="S693" s="172"/>
      <c r="T693" s="172"/>
      <c r="U693" s="172"/>
      <c r="V693" s="172"/>
      <c r="W693" s="172"/>
      <c r="X693" s="172"/>
      <c r="Y693" s="172"/>
      <c r="Z693" s="172"/>
    </row>
    <row r="694" spans="1:26" ht="13.8">
      <c r="A694" s="166">
        <v>492</v>
      </c>
      <c r="B694" s="4" t="s">
        <v>5084</v>
      </c>
      <c r="C694" s="4">
        <v>1422</v>
      </c>
      <c r="D694" s="4" t="s">
        <v>5085</v>
      </c>
      <c r="E694" s="4" t="s">
        <v>5086</v>
      </c>
      <c r="F694" s="4" t="s">
        <v>4912</v>
      </c>
      <c r="G694" s="4" t="s">
        <v>4913</v>
      </c>
      <c r="H694" s="4" t="s">
        <v>5087</v>
      </c>
      <c r="I694" s="4" t="s">
        <v>71</v>
      </c>
      <c r="J694" s="4" t="s">
        <v>5088</v>
      </c>
      <c r="K694" s="4">
        <v>9819860774</v>
      </c>
      <c r="L694" s="4" t="s">
        <v>4916</v>
      </c>
      <c r="M694" s="4">
        <v>9819860774</v>
      </c>
      <c r="N694" s="4" t="s">
        <v>4917</v>
      </c>
      <c r="O694" s="4" t="s">
        <v>71</v>
      </c>
      <c r="P694" s="168" t="s">
        <v>4918</v>
      </c>
      <c r="Q694" s="4" t="s">
        <v>47</v>
      </c>
      <c r="R694" s="172"/>
      <c r="S694" s="172"/>
      <c r="T694" s="172"/>
      <c r="U694" s="172"/>
      <c r="V694" s="172"/>
      <c r="W694" s="172"/>
      <c r="X694" s="172"/>
      <c r="Y694" s="172"/>
      <c r="Z694" s="172"/>
    </row>
    <row r="695" spans="1:26" ht="13.8">
      <c r="A695" s="166">
        <v>493</v>
      </c>
      <c r="B695" s="4" t="s">
        <v>5089</v>
      </c>
      <c r="C695" s="4">
        <v>1423</v>
      </c>
      <c r="D695" s="4" t="s">
        <v>5090</v>
      </c>
      <c r="E695" s="4" t="s">
        <v>5091</v>
      </c>
      <c r="F695" s="4" t="s">
        <v>4912</v>
      </c>
      <c r="G695" s="4" t="s">
        <v>4913</v>
      </c>
      <c r="H695" s="4" t="s">
        <v>5092</v>
      </c>
      <c r="I695" s="4" t="s">
        <v>71</v>
      </c>
      <c r="J695" s="4" t="s">
        <v>5093</v>
      </c>
      <c r="K695" s="4">
        <v>9910059930</v>
      </c>
      <c r="L695" s="4" t="s">
        <v>4916</v>
      </c>
      <c r="M695" s="4">
        <v>9910059930</v>
      </c>
      <c r="N695" s="4" t="s">
        <v>4923</v>
      </c>
      <c r="O695" s="4" t="s">
        <v>71</v>
      </c>
      <c r="P695" s="168" t="s">
        <v>4918</v>
      </c>
      <c r="Q695" s="4" t="s">
        <v>47</v>
      </c>
      <c r="R695" s="172"/>
      <c r="S695" s="172"/>
      <c r="T695" s="172"/>
      <c r="U695" s="172"/>
      <c r="V695" s="172"/>
      <c r="W695" s="172"/>
      <c r="X695" s="172"/>
      <c r="Y695" s="172"/>
      <c r="Z695" s="172"/>
    </row>
    <row r="696" spans="1:26" ht="13.8">
      <c r="A696" s="166">
        <v>428</v>
      </c>
      <c r="B696" s="4" t="s">
        <v>4641</v>
      </c>
      <c r="C696" s="4">
        <v>1424</v>
      </c>
      <c r="D696" s="4" t="s">
        <v>4642</v>
      </c>
      <c r="E696" s="4" t="s">
        <v>4643</v>
      </c>
      <c r="F696" s="4" t="s">
        <v>4644</v>
      </c>
      <c r="G696" s="4" t="s">
        <v>4645</v>
      </c>
      <c r="H696" s="4" t="s">
        <v>4646</v>
      </c>
      <c r="I696" s="4" t="s">
        <v>4647</v>
      </c>
      <c r="J696" s="4" t="s">
        <v>4648</v>
      </c>
      <c r="K696" s="4">
        <v>9768065722</v>
      </c>
      <c r="L696" s="4" t="s">
        <v>4637</v>
      </c>
      <c r="M696" s="4">
        <v>9768065722</v>
      </c>
      <c r="N696" s="4" t="s">
        <v>4649</v>
      </c>
      <c r="O696" s="168" t="s">
        <v>4650</v>
      </c>
      <c r="P696" s="168" t="s">
        <v>4651</v>
      </c>
      <c r="Q696" s="4" t="s">
        <v>47</v>
      </c>
      <c r="R696" s="172"/>
      <c r="S696" s="172"/>
      <c r="T696" s="172"/>
      <c r="U696" s="172"/>
      <c r="V696" s="172"/>
      <c r="W696" s="172"/>
      <c r="X696" s="172"/>
      <c r="Y696" s="172"/>
      <c r="Z696" s="172"/>
    </row>
    <row r="697" spans="1:26" ht="13.8">
      <c r="A697" s="166">
        <v>429</v>
      </c>
      <c r="B697" s="4" t="s">
        <v>4652</v>
      </c>
      <c r="C697" s="4">
        <v>1425</v>
      </c>
      <c r="D697" s="4" t="s">
        <v>4653</v>
      </c>
      <c r="E697" s="4" t="s">
        <v>4654</v>
      </c>
      <c r="F697" s="4" t="s">
        <v>4655</v>
      </c>
      <c r="G697" s="4" t="s">
        <v>4656</v>
      </c>
      <c r="H697" s="4" t="s">
        <v>4657</v>
      </c>
      <c r="I697" s="4" t="s">
        <v>4658</v>
      </c>
      <c r="J697" s="4" t="s">
        <v>4659</v>
      </c>
      <c r="K697" s="4">
        <v>9833384422</v>
      </c>
      <c r="L697" s="4" t="s">
        <v>4637</v>
      </c>
      <c r="M697" s="4">
        <v>9833384422</v>
      </c>
      <c r="N697" s="4" t="s">
        <v>4660</v>
      </c>
      <c r="O697" s="168" t="s">
        <v>4661</v>
      </c>
      <c r="P697" s="4" t="s">
        <v>71</v>
      </c>
      <c r="Q697" s="4" t="s">
        <v>47</v>
      </c>
      <c r="R697" s="172"/>
      <c r="S697" s="172"/>
      <c r="T697" s="172"/>
      <c r="U697" s="172"/>
      <c r="V697" s="172"/>
      <c r="W697" s="172"/>
      <c r="X697" s="172"/>
      <c r="Y697" s="172"/>
      <c r="Z697" s="172"/>
    </row>
    <row r="698" spans="1:26" ht="13.8">
      <c r="A698" s="166">
        <v>430</v>
      </c>
      <c r="B698" s="4" t="s">
        <v>4662</v>
      </c>
      <c r="C698" s="4">
        <v>1426</v>
      </c>
      <c r="D698" s="4" t="s">
        <v>4663</v>
      </c>
      <c r="E698" s="4" t="s">
        <v>4664</v>
      </c>
      <c r="F698" s="4" t="s">
        <v>4665</v>
      </c>
      <c r="G698" s="4" t="s">
        <v>1117</v>
      </c>
      <c r="H698" s="4" t="s">
        <v>4666</v>
      </c>
      <c r="I698" s="4" t="s">
        <v>4667</v>
      </c>
      <c r="J698" s="4" t="s">
        <v>3184</v>
      </c>
      <c r="K698" s="4">
        <v>9594443216</v>
      </c>
      <c r="L698" s="4" t="s">
        <v>4637</v>
      </c>
      <c r="M698" s="4">
        <v>9594443216</v>
      </c>
      <c r="N698" s="4" t="s">
        <v>4668</v>
      </c>
      <c r="O698" s="4" t="s">
        <v>71</v>
      </c>
      <c r="P698" s="168" t="s">
        <v>3187</v>
      </c>
      <c r="Q698" s="4" t="s">
        <v>47</v>
      </c>
      <c r="R698" s="172"/>
      <c r="S698" s="172"/>
      <c r="T698" s="172"/>
      <c r="U698" s="172"/>
      <c r="V698" s="172"/>
      <c r="W698" s="172"/>
      <c r="X698" s="172"/>
      <c r="Y698" s="172"/>
      <c r="Z698" s="172"/>
    </row>
    <row r="699" spans="1:26" ht="13.8">
      <c r="A699" s="166">
        <v>431</v>
      </c>
      <c r="B699" s="4" t="s">
        <v>4669</v>
      </c>
      <c r="C699" s="4">
        <v>1427</v>
      </c>
      <c r="D699" s="4" t="s">
        <v>4670</v>
      </c>
      <c r="E699" s="4" t="s">
        <v>4671</v>
      </c>
      <c r="F699" s="4" t="s">
        <v>4672</v>
      </c>
      <c r="G699" s="4" t="s">
        <v>4673</v>
      </c>
      <c r="H699" s="4" t="s">
        <v>4674</v>
      </c>
      <c r="I699" s="4" t="s">
        <v>4675</v>
      </c>
      <c r="J699" s="4" t="s">
        <v>4676</v>
      </c>
      <c r="K699" s="4">
        <v>9920112208</v>
      </c>
      <c r="L699" s="4" t="s">
        <v>4637</v>
      </c>
      <c r="M699" s="4">
        <v>9920112208</v>
      </c>
      <c r="N699" s="4" t="s">
        <v>4677</v>
      </c>
      <c r="O699" s="168" t="s">
        <v>4678</v>
      </c>
      <c r="P699" s="4" t="s">
        <v>71</v>
      </c>
      <c r="Q699" s="4" t="s">
        <v>47</v>
      </c>
      <c r="R699" s="172"/>
      <c r="S699" s="172"/>
      <c r="T699" s="172"/>
      <c r="U699" s="172"/>
      <c r="V699" s="172"/>
      <c r="W699" s="172"/>
      <c r="X699" s="172"/>
      <c r="Y699" s="172"/>
      <c r="Z699" s="172"/>
    </row>
    <row r="700" spans="1:26" ht="13.8">
      <c r="A700" s="166">
        <v>432</v>
      </c>
      <c r="B700" s="4" t="s">
        <v>4679</v>
      </c>
      <c r="C700" s="4">
        <v>1428</v>
      </c>
      <c r="D700" s="4" t="s">
        <v>4680</v>
      </c>
      <c r="E700" s="4" t="s">
        <v>4681</v>
      </c>
      <c r="F700" s="4" t="s">
        <v>4682</v>
      </c>
      <c r="G700" s="4" t="s">
        <v>4683</v>
      </c>
      <c r="H700" s="4" t="s">
        <v>4684</v>
      </c>
      <c r="I700" s="4" t="s">
        <v>4685</v>
      </c>
      <c r="J700" s="4" t="s">
        <v>4686</v>
      </c>
      <c r="K700" s="4">
        <v>7276787924</v>
      </c>
      <c r="L700" s="4" t="s">
        <v>4637</v>
      </c>
      <c r="M700" s="4">
        <v>7276787924</v>
      </c>
      <c r="N700" s="4" t="s">
        <v>4687</v>
      </c>
      <c r="O700" s="168" t="s">
        <v>4688</v>
      </c>
      <c r="P700" s="168" t="s">
        <v>4689</v>
      </c>
      <c r="Q700" s="4" t="s">
        <v>47</v>
      </c>
      <c r="R700" s="172"/>
      <c r="S700" s="172"/>
      <c r="T700" s="172"/>
      <c r="U700" s="172"/>
      <c r="V700" s="172"/>
      <c r="W700" s="172"/>
      <c r="X700" s="172"/>
      <c r="Y700" s="172"/>
      <c r="Z700" s="172"/>
    </row>
    <row r="701" spans="1:26" ht="13.8">
      <c r="A701" s="166">
        <v>433</v>
      </c>
      <c r="B701" s="4" t="s">
        <v>4690</v>
      </c>
      <c r="C701" s="4">
        <v>1429</v>
      </c>
      <c r="D701" s="4" t="s">
        <v>71</v>
      </c>
      <c r="E701" s="4" t="s">
        <v>4691</v>
      </c>
      <c r="F701" s="4" t="s">
        <v>4692</v>
      </c>
      <c r="G701" s="4" t="s">
        <v>4693</v>
      </c>
      <c r="H701" s="4" t="s">
        <v>4694</v>
      </c>
      <c r="I701" s="4" t="s">
        <v>4695</v>
      </c>
      <c r="J701" s="4" t="s">
        <v>4696</v>
      </c>
      <c r="K701" s="4">
        <v>9987655062</v>
      </c>
      <c r="L701" s="4" t="s">
        <v>4637</v>
      </c>
      <c r="M701" s="4">
        <v>9987655062</v>
      </c>
      <c r="N701" s="4" t="s">
        <v>71</v>
      </c>
      <c r="O701" s="4" t="s">
        <v>71</v>
      </c>
      <c r="P701" s="4" t="s">
        <v>71</v>
      </c>
      <c r="Q701" s="4" t="s">
        <v>47</v>
      </c>
      <c r="R701" s="172"/>
      <c r="S701" s="172"/>
      <c r="T701" s="172"/>
      <c r="U701" s="172"/>
      <c r="V701" s="172"/>
      <c r="W701" s="172"/>
      <c r="X701" s="172"/>
      <c r="Y701" s="172"/>
      <c r="Z701" s="172"/>
    </row>
    <row r="702" spans="1:26" ht="13.8">
      <c r="A702" s="166">
        <v>434</v>
      </c>
      <c r="B702" s="4" t="s">
        <v>4697</v>
      </c>
      <c r="C702" s="4">
        <v>1430</v>
      </c>
      <c r="D702" s="4" t="s">
        <v>4698</v>
      </c>
      <c r="E702" s="4" t="s">
        <v>4699</v>
      </c>
      <c r="F702" s="4" t="s">
        <v>4700</v>
      </c>
      <c r="G702" s="4" t="s">
        <v>4701</v>
      </c>
      <c r="H702" s="4" t="s">
        <v>4702</v>
      </c>
      <c r="I702" s="4" t="s">
        <v>4703</v>
      </c>
      <c r="J702" s="4" t="s">
        <v>4704</v>
      </c>
      <c r="K702" s="4">
        <v>9820735575</v>
      </c>
      <c r="L702" s="4" t="s">
        <v>4637</v>
      </c>
      <c r="M702" s="4">
        <v>9820735575</v>
      </c>
      <c r="N702" s="4" t="s">
        <v>4705</v>
      </c>
      <c r="O702" s="4" t="s">
        <v>71</v>
      </c>
      <c r="P702" s="4" t="s">
        <v>71</v>
      </c>
      <c r="Q702" s="4" t="s">
        <v>47</v>
      </c>
      <c r="R702" s="172"/>
      <c r="S702" s="172"/>
      <c r="T702" s="172"/>
      <c r="U702" s="172"/>
      <c r="V702" s="172"/>
      <c r="W702" s="172"/>
      <c r="X702" s="172"/>
      <c r="Y702" s="172"/>
      <c r="Z702" s="172"/>
    </row>
    <row r="703" spans="1:26" ht="13.8">
      <c r="A703" s="166">
        <v>435</v>
      </c>
      <c r="B703" s="4" t="s">
        <v>4706</v>
      </c>
      <c r="C703" s="4">
        <v>1431</v>
      </c>
      <c r="D703" s="4" t="s">
        <v>71</v>
      </c>
      <c r="E703" s="4" t="s">
        <v>4707</v>
      </c>
      <c r="F703" s="4" t="s">
        <v>4708</v>
      </c>
      <c r="G703" s="4" t="s">
        <v>4709</v>
      </c>
      <c r="H703" s="4" t="s">
        <v>4710</v>
      </c>
      <c r="I703" s="4" t="s">
        <v>4711</v>
      </c>
      <c r="J703" s="4" t="s">
        <v>4712</v>
      </c>
      <c r="K703" s="4">
        <v>9819115854</v>
      </c>
      <c r="L703" s="4" t="s">
        <v>4637</v>
      </c>
      <c r="M703" s="4">
        <v>9819115854</v>
      </c>
      <c r="N703" s="4" t="s">
        <v>2953</v>
      </c>
      <c r="O703" s="4" t="s">
        <v>71</v>
      </c>
      <c r="P703" s="4" t="s">
        <v>71</v>
      </c>
      <c r="Q703" s="4" t="s">
        <v>47</v>
      </c>
      <c r="R703" s="172"/>
      <c r="S703" s="172"/>
      <c r="T703" s="172"/>
      <c r="U703" s="172"/>
      <c r="V703" s="172"/>
      <c r="W703" s="172"/>
      <c r="X703" s="172"/>
      <c r="Y703" s="172"/>
      <c r="Z703" s="172"/>
    </row>
    <row r="704" spans="1:26" ht="13.8">
      <c r="A704" s="166">
        <v>436</v>
      </c>
      <c r="B704" s="4" t="s">
        <v>4713</v>
      </c>
      <c r="C704" s="4">
        <v>1432</v>
      </c>
      <c r="D704" s="4" t="s">
        <v>4714</v>
      </c>
      <c r="E704" s="4" t="s">
        <v>4715</v>
      </c>
      <c r="F704" s="4" t="s">
        <v>4716</v>
      </c>
      <c r="G704" s="4" t="s">
        <v>4717</v>
      </c>
      <c r="H704" s="4" t="s">
        <v>4718</v>
      </c>
      <c r="I704" s="4" t="s">
        <v>4719</v>
      </c>
      <c r="J704" s="4" t="s">
        <v>4720</v>
      </c>
      <c r="K704" s="4">
        <v>9819824233</v>
      </c>
      <c r="L704" s="4" t="s">
        <v>4637</v>
      </c>
      <c r="M704" s="4">
        <v>9819824233</v>
      </c>
      <c r="N704" s="4" t="s">
        <v>4721</v>
      </c>
      <c r="O704" s="4" t="s">
        <v>71</v>
      </c>
      <c r="P704" s="4" t="s">
        <v>71</v>
      </c>
      <c r="Q704" s="4" t="s">
        <v>47</v>
      </c>
      <c r="R704" s="172"/>
      <c r="S704" s="172"/>
      <c r="T704" s="172"/>
      <c r="U704" s="172"/>
      <c r="V704" s="172"/>
      <c r="W704" s="172"/>
      <c r="X704" s="172"/>
      <c r="Y704" s="172"/>
      <c r="Z704" s="172"/>
    </row>
    <row r="705" spans="1:26" ht="13.8">
      <c r="A705" s="166">
        <v>437</v>
      </c>
      <c r="B705" s="4" t="s">
        <v>4722</v>
      </c>
      <c r="C705" s="4">
        <v>1433</v>
      </c>
      <c r="D705" s="4" t="s">
        <v>4723</v>
      </c>
      <c r="E705" s="4" t="s">
        <v>4724</v>
      </c>
      <c r="F705" s="4" t="s">
        <v>4725</v>
      </c>
      <c r="G705" s="4" t="s">
        <v>4726</v>
      </c>
      <c r="H705" s="4" t="s">
        <v>4727</v>
      </c>
      <c r="I705" s="4" t="s">
        <v>4728</v>
      </c>
      <c r="J705" s="4" t="s">
        <v>4729</v>
      </c>
      <c r="K705" s="4">
        <v>9769108701</v>
      </c>
      <c r="L705" s="4" t="s">
        <v>4637</v>
      </c>
      <c r="M705" s="4">
        <v>9769108701</v>
      </c>
      <c r="N705" s="4" t="s">
        <v>4730</v>
      </c>
      <c r="O705" s="4" t="s">
        <v>4731</v>
      </c>
      <c r="P705" s="168" t="s">
        <v>4732</v>
      </c>
      <c r="Q705" s="4" t="s">
        <v>47</v>
      </c>
      <c r="R705" s="172"/>
      <c r="S705" s="172"/>
      <c r="T705" s="172"/>
      <c r="U705" s="172"/>
      <c r="V705" s="172"/>
      <c r="W705" s="172"/>
      <c r="X705" s="172"/>
      <c r="Y705" s="172"/>
      <c r="Z705" s="172"/>
    </row>
    <row r="706" spans="1:26" ht="13.8">
      <c r="A706" s="166">
        <v>438</v>
      </c>
      <c r="B706" s="4" t="s">
        <v>4733</v>
      </c>
      <c r="C706" s="4">
        <v>1435</v>
      </c>
      <c r="D706" s="4" t="s">
        <v>4734</v>
      </c>
      <c r="E706" s="4" t="s">
        <v>4735</v>
      </c>
      <c r="F706" s="4" t="s">
        <v>4437</v>
      </c>
      <c r="G706" s="4" t="s">
        <v>4736</v>
      </c>
      <c r="H706" s="4" t="s">
        <v>4737</v>
      </c>
      <c r="I706" s="4" t="s">
        <v>4738</v>
      </c>
      <c r="J706" s="4" t="s">
        <v>4739</v>
      </c>
      <c r="K706" s="4">
        <v>9820439012</v>
      </c>
      <c r="L706" s="4" t="s">
        <v>4637</v>
      </c>
      <c r="M706" s="4">
        <v>9820439012</v>
      </c>
      <c r="N706" s="4" t="s">
        <v>4740</v>
      </c>
      <c r="O706" s="4" t="s">
        <v>71</v>
      </c>
      <c r="P706" s="4" t="s">
        <v>71</v>
      </c>
      <c r="Q706" s="4" t="s">
        <v>47</v>
      </c>
      <c r="R706" s="172"/>
      <c r="S706" s="172"/>
      <c r="T706" s="172"/>
      <c r="U706" s="172"/>
      <c r="V706" s="172"/>
      <c r="W706" s="172"/>
      <c r="X706" s="172"/>
      <c r="Y706" s="172"/>
      <c r="Z706" s="172"/>
    </row>
    <row r="707" spans="1:26" ht="13.8">
      <c r="A707" s="166">
        <v>439</v>
      </c>
      <c r="B707" s="4" t="s">
        <v>4741</v>
      </c>
      <c r="C707" s="4">
        <v>1436</v>
      </c>
      <c r="D707" s="4" t="s">
        <v>4742</v>
      </c>
      <c r="E707" s="4" t="s">
        <v>4743</v>
      </c>
      <c r="F707" s="4" t="s">
        <v>4744</v>
      </c>
      <c r="G707" s="4" t="s">
        <v>4745</v>
      </c>
      <c r="H707" s="4" t="s">
        <v>4746</v>
      </c>
      <c r="I707" s="4" t="s">
        <v>4747</v>
      </c>
      <c r="J707" s="4" t="s">
        <v>1801</v>
      </c>
      <c r="K707" s="4">
        <v>9833409290</v>
      </c>
      <c r="L707" s="4" t="s">
        <v>4637</v>
      </c>
      <c r="M707" s="4">
        <v>9833409290</v>
      </c>
      <c r="N707" s="4" t="s">
        <v>4705</v>
      </c>
      <c r="O707" s="4" t="s">
        <v>71</v>
      </c>
      <c r="P707" s="4" t="s">
        <v>71</v>
      </c>
      <c r="Q707" s="4" t="s">
        <v>47</v>
      </c>
      <c r="R707" s="172"/>
      <c r="S707" s="172"/>
      <c r="T707" s="172"/>
      <c r="U707" s="172"/>
      <c r="V707" s="172"/>
      <c r="W707" s="172"/>
      <c r="X707" s="172"/>
      <c r="Y707" s="172"/>
      <c r="Z707" s="172"/>
    </row>
    <row r="708" spans="1:26" ht="13.8">
      <c r="A708" s="166">
        <v>440</v>
      </c>
      <c r="B708" s="4" t="s">
        <v>4748</v>
      </c>
      <c r="C708" s="4">
        <v>1437</v>
      </c>
      <c r="D708" s="4" t="s">
        <v>4749</v>
      </c>
      <c r="E708" s="4" t="s">
        <v>4750</v>
      </c>
      <c r="F708" s="4" t="s">
        <v>4751</v>
      </c>
      <c r="G708" s="4" t="s">
        <v>4752</v>
      </c>
      <c r="H708" s="4" t="s">
        <v>4753</v>
      </c>
      <c r="I708" s="4" t="s">
        <v>4754</v>
      </c>
      <c r="J708" s="4" t="s">
        <v>4755</v>
      </c>
      <c r="K708" s="4">
        <v>9321768154</v>
      </c>
      <c r="L708" s="4" t="s">
        <v>4637</v>
      </c>
      <c r="M708" s="4">
        <v>9321768154</v>
      </c>
      <c r="N708" s="4" t="s">
        <v>4756</v>
      </c>
      <c r="O708" s="4" t="s">
        <v>71</v>
      </c>
      <c r="P708" s="168" t="s">
        <v>4757</v>
      </c>
      <c r="Q708" s="4" t="s">
        <v>47</v>
      </c>
      <c r="R708" s="172"/>
      <c r="S708" s="172"/>
      <c r="T708" s="172"/>
      <c r="U708" s="172"/>
      <c r="V708" s="172"/>
      <c r="W708" s="172"/>
      <c r="X708" s="172"/>
      <c r="Y708" s="172"/>
      <c r="Z708" s="172"/>
    </row>
    <row r="709" spans="1:26" ht="13.8">
      <c r="A709" s="166">
        <v>441</v>
      </c>
      <c r="B709" s="4" t="s">
        <v>4758</v>
      </c>
      <c r="C709" s="4">
        <v>1438</v>
      </c>
      <c r="D709" s="4" t="s">
        <v>4759</v>
      </c>
      <c r="E709" s="4" t="s">
        <v>4760</v>
      </c>
      <c r="F709" s="4" t="s">
        <v>4761</v>
      </c>
      <c r="G709" s="4" t="s">
        <v>4762</v>
      </c>
      <c r="H709" s="4" t="s">
        <v>4763</v>
      </c>
      <c r="I709" s="4" t="s">
        <v>4764</v>
      </c>
      <c r="J709" s="4" t="s">
        <v>4765</v>
      </c>
      <c r="K709" s="4">
        <v>9819434975</v>
      </c>
      <c r="L709" s="4" t="s">
        <v>4637</v>
      </c>
      <c r="M709" s="4">
        <v>9819434975</v>
      </c>
      <c r="N709" s="4" t="s">
        <v>4766</v>
      </c>
      <c r="O709" s="4" t="s">
        <v>4767</v>
      </c>
      <c r="P709" s="4" t="s">
        <v>71</v>
      </c>
      <c r="Q709" s="4" t="s">
        <v>47</v>
      </c>
      <c r="R709" s="172"/>
      <c r="S709" s="172"/>
      <c r="T709" s="172"/>
      <c r="U709" s="172"/>
      <c r="V709" s="172"/>
      <c r="W709" s="172"/>
      <c r="X709" s="172"/>
      <c r="Y709" s="172"/>
      <c r="Z709" s="172"/>
    </row>
    <row r="710" spans="1:26" ht="13.8">
      <c r="A710" s="166">
        <v>442</v>
      </c>
      <c r="B710" s="4" t="s">
        <v>4768</v>
      </c>
      <c r="C710" s="4">
        <v>1439</v>
      </c>
      <c r="D710" s="4" t="s">
        <v>4769</v>
      </c>
      <c r="E710" s="4" t="s">
        <v>4770</v>
      </c>
      <c r="F710" s="4" t="s">
        <v>4771</v>
      </c>
      <c r="G710" s="4" t="s">
        <v>4772</v>
      </c>
      <c r="H710" s="4" t="s">
        <v>4773</v>
      </c>
      <c r="I710" s="4" t="s">
        <v>4774</v>
      </c>
      <c r="J710" s="4" t="s">
        <v>4775</v>
      </c>
      <c r="K710" s="4">
        <v>7666368119</v>
      </c>
      <c r="L710" s="4" t="s">
        <v>4637</v>
      </c>
      <c r="M710" s="4">
        <v>7666368119</v>
      </c>
      <c r="N710" s="4" t="s">
        <v>3033</v>
      </c>
      <c r="O710" s="168" t="s">
        <v>3034</v>
      </c>
      <c r="P710" s="168" t="s">
        <v>4776</v>
      </c>
      <c r="Q710" s="4" t="s">
        <v>47</v>
      </c>
      <c r="R710" s="172"/>
      <c r="S710" s="172"/>
      <c r="T710" s="172"/>
      <c r="U710" s="172"/>
      <c r="V710" s="172"/>
      <c r="W710" s="172"/>
      <c r="X710" s="172"/>
      <c r="Y710" s="172"/>
      <c r="Z710" s="172"/>
    </row>
    <row r="711" spans="1:26" ht="13.8">
      <c r="A711" s="166">
        <v>443</v>
      </c>
      <c r="B711" s="4" t="s">
        <v>4777</v>
      </c>
      <c r="C711" s="4">
        <v>1440</v>
      </c>
      <c r="D711" s="4" t="s">
        <v>71</v>
      </c>
      <c r="E711" s="4" t="s">
        <v>4778</v>
      </c>
      <c r="F711" s="4" t="s">
        <v>4779</v>
      </c>
      <c r="G711" s="4" t="s">
        <v>4780</v>
      </c>
      <c r="H711" s="4" t="s">
        <v>4781</v>
      </c>
      <c r="I711" s="4" t="s">
        <v>4780</v>
      </c>
      <c r="J711" s="4" t="s">
        <v>71</v>
      </c>
      <c r="K711" s="4">
        <v>9820692870</v>
      </c>
      <c r="L711" s="4" t="s">
        <v>4637</v>
      </c>
      <c r="M711" s="4">
        <v>9820692870</v>
      </c>
      <c r="N711" s="4" t="s">
        <v>71</v>
      </c>
      <c r="O711" s="4" t="s">
        <v>71</v>
      </c>
      <c r="P711" s="4" t="s">
        <v>71</v>
      </c>
      <c r="Q711" s="4" t="s">
        <v>47</v>
      </c>
      <c r="R711" s="172"/>
      <c r="S711" s="172"/>
      <c r="T711" s="172"/>
      <c r="U711" s="172"/>
      <c r="V711" s="172"/>
      <c r="W711" s="172"/>
      <c r="X711" s="172"/>
      <c r="Y711" s="172"/>
      <c r="Z711" s="172"/>
    </row>
    <row r="712" spans="1:26" ht="13.8">
      <c r="A712" s="166">
        <v>444</v>
      </c>
      <c r="B712" s="4" t="s">
        <v>4782</v>
      </c>
      <c r="C712" s="4">
        <v>1441</v>
      </c>
      <c r="D712" s="4" t="s">
        <v>4783</v>
      </c>
      <c r="E712" s="4" t="s">
        <v>4784</v>
      </c>
      <c r="F712" s="4" t="s">
        <v>4785</v>
      </c>
      <c r="G712" s="4" t="s">
        <v>4786</v>
      </c>
      <c r="H712" s="4" t="s">
        <v>4787</v>
      </c>
      <c r="I712" s="4" t="s">
        <v>4788</v>
      </c>
      <c r="J712" s="4" t="s">
        <v>4789</v>
      </c>
      <c r="K712" s="4">
        <v>9619296630</v>
      </c>
      <c r="L712" s="4" t="s">
        <v>4637</v>
      </c>
      <c r="M712" s="4">
        <v>9619296630</v>
      </c>
      <c r="N712" s="4" t="s">
        <v>4790</v>
      </c>
      <c r="O712" s="4" t="s">
        <v>71</v>
      </c>
      <c r="P712" s="168" t="s">
        <v>4791</v>
      </c>
      <c r="Q712" s="4" t="s">
        <v>47</v>
      </c>
      <c r="R712" s="172"/>
      <c r="S712" s="172"/>
      <c r="T712" s="172"/>
      <c r="U712" s="172"/>
      <c r="V712" s="172"/>
      <c r="W712" s="172"/>
      <c r="X712" s="172"/>
      <c r="Y712" s="172"/>
      <c r="Z712" s="172"/>
    </row>
    <row r="713" spans="1:26" ht="13.8">
      <c r="A713" s="166">
        <v>445</v>
      </c>
      <c r="B713" s="4" t="s">
        <v>4792</v>
      </c>
      <c r="C713" s="4">
        <v>1442</v>
      </c>
      <c r="D713" s="4" t="s">
        <v>4793</v>
      </c>
      <c r="E713" s="4" t="s">
        <v>4794</v>
      </c>
      <c r="F713" s="4" t="s">
        <v>4795</v>
      </c>
      <c r="G713" s="4" t="s">
        <v>4796</v>
      </c>
      <c r="H713" s="4" t="s">
        <v>4797</v>
      </c>
      <c r="I713" s="4" t="s">
        <v>4556</v>
      </c>
      <c r="J713" s="4" t="s">
        <v>4798</v>
      </c>
      <c r="K713" s="4">
        <v>7208353203</v>
      </c>
      <c r="L713" s="4" t="s">
        <v>4637</v>
      </c>
      <c r="M713" s="4">
        <v>7208353203</v>
      </c>
      <c r="N713" s="4" t="s">
        <v>4799</v>
      </c>
      <c r="O713" s="4" t="s">
        <v>4800</v>
      </c>
      <c r="P713" s="168" t="s">
        <v>4801</v>
      </c>
      <c r="Q713" s="4" t="s">
        <v>47</v>
      </c>
      <c r="R713" s="172"/>
      <c r="S713" s="172"/>
      <c r="T713" s="172"/>
      <c r="U713" s="172"/>
      <c r="V713" s="172"/>
      <c r="W713" s="172"/>
      <c r="X713" s="172"/>
      <c r="Y713" s="172"/>
      <c r="Z713" s="172"/>
    </row>
    <row r="714" spans="1:26" ht="13.8">
      <c r="A714" s="166">
        <v>446</v>
      </c>
      <c r="B714" s="4" t="s">
        <v>4802</v>
      </c>
      <c r="C714" s="4">
        <v>1443</v>
      </c>
      <c r="D714" s="4" t="s">
        <v>4803</v>
      </c>
      <c r="E714" s="4" t="s">
        <v>4804</v>
      </c>
      <c r="F714" s="4" t="s">
        <v>4805</v>
      </c>
      <c r="G714" s="4" t="s">
        <v>4806</v>
      </c>
      <c r="H714" s="4" t="s">
        <v>4807</v>
      </c>
      <c r="I714" s="4" t="s">
        <v>4808</v>
      </c>
      <c r="J714" s="4" t="s">
        <v>4809</v>
      </c>
      <c r="K714" s="4">
        <v>8898500703</v>
      </c>
      <c r="L714" s="4" t="s">
        <v>4637</v>
      </c>
      <c r="M714" s="4">
        <v>8898500703</v>
      </c>
      <c r="N714" s="4" t="s">
        <v>4810</v>
      </c>
      <c r="O714" s="168" t="s">
        <v>4811</v>
      </c>
      <c r="P714" s="168" t="s">
        <v>4812</v>
      </c>
      <c r="Q714" s="4" t="s">
        <v>47</v>
      </c>
      <c r="R714" s="172"/>
      <c r="S714" s="172"/>
      <c r="T714" s="172"/>
      <c r="U714" s="172"/>
      <c r="V714" s="172"/>
      <c r="W714" s="172"/>
      <c r="X714" s="172"/>
      <c r="Y714" s="172"/>
      <c r="Z714" s="172"/>
    </row>
    <row r="715" spans="1:26" ht="13.8">
      <c r="A715" s="166">
        <v>447</v>
      </c>
      <c r="B715" s="4" t="s">
        <v>4813</v>
      </c>
      <c r="C715" s="4">
        <v>1444</v>
      </c>
      <c r="D715" s="4" t="s">
        <v>4814</v>
      </c>
      <c r="E715" s="4" t="s">
        <v>4815</v>
      </c>
      <c r="F715" s="4" t="s">
        <v>4816</v>
      </c>
      <c r="G715" s="4" t="s">
        <v>4817</v>
      </c>
      <c r="H715" s="4" t="s">
        <v>4818</v>
      </c>
      <c r="I715" s="4" t="s">
        <v>4819</v>
      </c>
      <c r="J715" s="4" t="s">
        <v>4820</v>
      </c>
      <c r="K715" s="4">
        <v>9022122046</v>
      </c>
      <c r="L715" s="4" t="s">
        <v>4637</v>
      </c>
      <c r="M715" s="4">
        <v>9022122046</v>
      </c>
      <c r="N715" s="4" t="s">
        <v>3500</v>
      </c>
      <c r="O715" s="4" t="s">
        <v>71</v>
      </c>
      <c r="P715" s="4" t="s">
        <v>71</v>
      </c>
      <c r="Q715" s="4" t="s">
        <v>47</v>
      </c>
      <c r="R715" s="172"/>
      <c r="S715" s="172"/>
      <c r="T715" s="172"/>
      <c r="U715" s="172"/>
      <c r="V715" s="172"/>
      <c r="W715" s="172"/>
      <c r="X715" s="172"/>
      <c r="Y715" s="172"/>
      <c r="Z715" s="172"/>
    </row>
    <row r="716" spans="1:26" ht="13.8">
      <c r="A716" s="166">
        <v>448</v>
      </c>
      <c r="B716" s="4" t="s">
        <v>4821</v>
      </c>
      <c r="C716" s="4">
        <v>1446</v>
      </c>
      <c r="D716" s="4" t="s">
        <v>4822</v>
      </c>
      <c r="E716" s="4" t="s">
        <v>4823</v>
      </c>
      <c r="F716" s="4" t="s">
        <v>4795</v>
      </c>
      <c r="G716" s="4" t="s">
        <v>4824</v>
      </c>
      <c r="H716" s="4" t="s">
        <v>4825</v>
      </c>
      <c r="I716" s="4" t="s">
        <v>4609</v>
      </c>
      <c r="J716" s="4" t="s">
        <v>71</v>
      </c>
      <c r="K716" s="4">
        <v>9167574302</v>
      </c>
      <c r="L716" s="4" t="s">
        <v>4637</v>
      </c>
      <c r="M716" s="4">
        <v>9167574302</v>
      </c>
      <c r="N716" s="4" t="s">
        <v>4826</v>
      </c>
      <c r="O716" s="4" t="s">
        <v>71</v>
      </c>
      <c r="P716" s="4" t="s">
        <v>71</v>
      </c>
      <c r="Q716" s="4" t="s">
        <v>47</v>
      </c>
      <c r="R716" s="172"/>
      <c r="S716" s="172"/>
      <c r="T716" s="172"/>
      <c r="U716" s="172"/>
      <c r="V716" s="172"/>
      <c r="W716" s="172"/>
      <c r="X716" s="172"/>
      <c r="Y716" s="172"/>
      <c r="Z716" s="172"/>
    </row>
    <row r="717" spans="1:26" ht="13.8">
      <c r="A717" s="166">
        <v>761</v>
      </c>
      <c r="B717" s="4" t="s">
        <v>2816</v>
      </c>
      <c r="C717" s="4">
        <v>1447</v>
      </c>
      <c r="D717" s="4" t="s">
        <v>6018</v>
      </c>
      <c r="E717" s="4" t="s">
        <v>71</v>
      </c>
      <c r="F717" s="4" t="s">
        <v>2821</v>
      </c>
      <c r="G717" s="4" t="s">
        <v>2817</v>
      </c>
      <c r="H717" s="4" t="s">
        <v>2818</v>
      </c>
      <c r="I717" s="4" t="s">
        <v>78</v>
      </c>
      <c r="J717" s="4" t="s">
        <v>2819</v>
      </c>
      <c r="K717" s="4">
        <v>9967351920</v>
      </c>
      <c r="L717" s="4" t="s">
        <v>6019</v>
      </c>
      <c r="M717" s="4">
        <v>9967351920</v>
      </c>
      <c r="N717" s="4" t="s">
        <v>6020</v>
      </c>
      <c r="O717" s="4" t="s">
        <v>71</v>
      </c>
      <c r="P717" s="168" t="s">
        <v>2820</v>
      </c>
      <c r="Q717" s="4" t="s">
        <v>47</v>
      </c>
      <c r="R717" s="172"/>
      <c r="S717" s="172"/>
      <c r="T717" s="172"/>
      <c r="U717" s="172"/>
      <c r="V717" s="172"/>
      <c r="W717" s="172"/>
      <c r="X717" s="172"/>
      <c r="Y717" s="172"/>
      <c r="Z717" s="172"/>
    </row>
    <row r="718" spans="1:26" ht="13.8">
      <c r="A718" s="166">
        <v>762</v>
      </c>
      <c r="B718" s="4" t="s">
        <v>2822</v>
      </c>
      <c r="C718" s="4">
        <v>1448</v>
      </c>
      <c r="D718" s="4" t="s">
        <v>6021</v>
      </c>
      <c r="E718" s="4" t="s">
        <v>71</v>
      </c>
      <c r="F718" s="4" t="s">
        <v>2825</v>
      </c>
      <c r="G718" s="4" t="s">
        <v>2817</v>
      </c>
      <c r="H718" s="4" t="s">
        <v>2823</v>
      </c>
      <c r="I718" s="4" t="s">
        <v>2824</v>
      </c>
      <c r="J718" s="4" t="s">
        <v>2819</v>
      </c>
      <c r="K718" s="4">
        <v>9820023209</v>
      </c>
      <c r="L718" s="4" t="s">
        <v>6022</v>
      </c>
      <c r="M718" s="4">
        <v>9820023209</v>
      </c>
      <c r="N718" s="4" t="s">
        <v>6020</v>
      </c>
      <c r="O718" s="4" t="s">
        <v>71</v>
      </c>
      <c r="P718" s="168" t="s">
        <v>2820</v>
      </c>
      <c r="Q718" s="4" t="s">
        <v>47</v>
      </c>
      <c r="R718" s="172"/>
      <c r="S718" s="172"/>
      <c r="T718" s="172"/>
      <c r="U718" s="172"/>
      <c r="V718" s="172"/>
      <c r="W718" s="172"/>
      <c r="X718" s="172"/>
      <c r="Y718" s="172"/>
      <c r="Z718" s="172"/>
    </row>
    <row r="719" spans="1:26" ht="13.8">
      <c r="A719" s="166">
        <v>449</v>
      </c>
      <c r="B719" s="4" t="s">
        <v>4827</v>
      </c>
      <c r="C719" s="4">
        <v>1451</v>
      </c>
      <c r="D719" s="4" t="s">
        <v>4828</v>
      </c>
      <c r="E719" s="4" t="s">
        <v>4829</v>
      </c>
      <c r="F719" s="4" t="s">
        <v>4830</v>
      </c>
      <c r="G719" s="4" t="s">
        <v>4831</v>
      </c>
      <c r="H719" s="4" t="s">
        <v>4832</v>
      </c>
      <c r="I719" s="4" t="s">
        <v>4833</v>
      </c>
      <c r="J719" s="4" t="s">
        <v>4834</v>
      </c>
      <c r="K719" s="4">
        <v>9029452341</v>
      </c>
      <c r="L719" s="4" t="s">
        <v>4637</v>
      </c>
      <c r="M719" s="4">
        <v>9029452341</v>
      </c>
      <c r="N719" s="4" t="s">
        <v>4835</v>
      </c>
      <c r="O719" s="168" t="s">
        <v>4836</v>
      </c>
      <c r="P719" s="168" t="s">
        <v>4837</v>
      </c>
      <c r="Q719" s="4" t="s">
        <v>47</v>
      </c>
      <c r="R719" s="172"/>
      <c r="S719" s="172"/>
      <c r="T719" s="172"/>
      <c r="U719" s="172"/>
      <c r="V719" s="172"/>
      <c r="W719" s="172"/>
      <c r="X719" s="172"/>
      <c r="Y719" s="172"/>
      <c r="Z719" s="172"/>
    </row>
    <row r="720" spans="1:26" ht="13.8">
      <c r="A720" s="166">
        <v>450</v>
      </c>
      <c r="B720" s="4" t="s">
        <v>4838</v>
      </c>
      <c r="C720" s="4">
        <v>1452</v>
      </c>
      <c r="D720" s="4" t="s">
        <v>4839</v>
      </c>
      <c r="E720" s="4" t="s">
        <v>4840</v>
      </c>
      <c r="F720" s="4" t="s">
        <v>4841</v>
      </c>
      <c r="G720" s="4" t="s">
        <v>968</v>
      </c>
      <c r="H720" s="4" t="s">
        <v>4842</v>
      </c>
      <c r="I720" s="4" t="s">
        <v>3867</v>
      </c>
      <c r="J720" s="4" t="s">
        <v>4843</v>
      </c>
      <c r="K720" s="4">
        <v>9920248604</v>
      </c>
      <c r="L720" s="4" t="s">
        <v>4637</v>
      </c>
      <c r="M720" s="4">
        <v>9920248604</v>
      </c>
      <c r="N720" s="4" t="s">
        <v>4844</v>
      </c>
      <c r="O720" s="168" t="s">
        <v>4845</v>
      </c>
      <c r="P720" s="4" t="s">
        <v>4846</v>
      </c>
      <c r="Q720" s="4" t="s">
        <v>47</v>
      </c>
      <c r="R720" s="172"/>
      <c r="S720" s="172"/>
      <c r="T720" s="172"/>
      <c r="U720" s="172"/>
      <c r="V720" s="172"/>
      <c r="W720" s="172"/>
      <c r="X720" s="172"/>
      <c r="Y720" s="172"/>
      <c r="Z720" s="172"/>
    </row>
    <row r="721" spans="1:26" ht="13.8">
      <c r="A721" s="166">
        <v>451</v>
      </c>
      <c r="B721" s="4" t="s">
        <v>4847</v>
      </c>
      <c r="C721" s="4">
        <v>1454</v>
      </c>
      <c r="D721" s="4" t="s">
        <v>4848</v>
      </c>
      <c r="E721" s="4" t="s">
        <v>4849</v>
      </c>
      <c r="F721" s="4" t="s">
        <v>4850</v>
      </c>
      <c r="G721" s="4" t="s">
        <v>4851</v>
      </c>
      <c r="H721" s="4" t="s">
        <v>4852</v>
      </c>
      <c r="I721" s="4" t="s">
        <v>4853</v>
      </c>
      <c r="J721" s="4" t="s">
        <v>3204</v>
      </c>
      <c r="K721" s="4">
        <v>9820325251</v>
      </c>
      <c r="L721" s="4" t="s">
        <v>4637</v>
      </c>
      <c r="M721" s="4">
        <v>9820325251</v>
      </c>
      <c r="N721" s="4" t="s">
        <v>3206</v>
      </c>
      <c r="O721" s="4" t="s">
        <v>71</v>
      </c>
      <c r="P721" s="168" t="s">
        <v>1147</v>
      </c>
      <c r="Q721" s="4" t="s">
        <v>47</v>
      </c>
      <c r="R721" s="172"/>
      <c r="S721" s="172"/>
      <c r="T721" s="172"/>
      <c r="U721" s="172"/>
      <c r="V721" s="172"/>
      <c r="W721" s="172"/>
      <c r="X721" s="172"/>
      <c r="Y721" s="172"/>
      <c r="Z721" s="172"/>
    </row>
    <row r="722" spans="1:26" ht="13.8">
      <c r="A722" s="166">
        <v>452</v>
      </c>
      <c r="B722" s="4" t="s">
        <v>4854</v>
      </c>
      <c r="C722" s="4">
        <v>1455</v>
      </c>
      <c r="D722" s="4" t="s">
        <v>4855</v>
      </c>
      <c r="E722" s="4" t="s">
        <v>4856</v>
      </c>
      <c r="F722" s="4" t="s">
        <v>4857</v>
      </c>
      <c r="G722" s="4" t="s">
        <v>4858</v>
      </c>
      <c r="H722" s="4" t="s">
        <v>4859</v>
      </c>
      <c r="I722" s="4" t="s">
        <v>4860</v>
      </c>
      <c r="J722" s="4" t="s">
        <v>4861</v>
      </c>
      <c r="K722" s="4">
        <v>9619098408</v>
      </c>
      <c r="L722" s="4" t="s">
        <v>4637</v>
      </c>
      <c r="M722" s="4">
        <v>9619098408</v>
      </c>
      <c r="N722" s="4" t="s">
        <v>4862</v>
      </c>
      <c r="O722" s="4" t="s">
        <v>71</v>
      </c>
      <c r="P722" s="168" t="s">
        <v>4863</v>
      </c>
      <c r="Q722" s="4" t="s">
        <v>47</v>
      </c>
      <c r="R722" s="172"/>
      <c r="S722" s="172"/>
      <c r="T722" s="172"/>
      <c r="U722" s="172"/>
      <c r="V722" s="172"/>
      <c r="W722" s="172"/>
      <c r="X722" s="172"/>
      <c r="Y722" s="172"/>
      <c r="Z722" s="172"/>
    </row>
    <row r="723" spans="1:26" ht="13.8">
      <c r="A723" s="166">
        <v>453</v>
      </c>
      <c r="B723" s="4" t="s">
        <v>4864</v>
      </c>
      <c r="C723" s="4">
        <v>1457</v>
      </c>
      <c r="D723" s="4" t="s">
        <v>4865</v>
      </c>
      <c r="E723" s="4" t="s">
        <v>4866</v>
      </c>
      <c r="F723" s="4" t="s">
        <v>4867</v>
      </c>
      <c r="G723" s="4" t="s">
        <v>4868</v>
      </c>
      <c r="H723" s="4" t="s">
        <v>4869</v>
      </c>
      <c r="I723" s="4" t="s">
        <v>4870</v>
      </c>
      <c r="J723" s="4" t="s">
        <v>3070</v>
      </c>
      <c r="K723" s="4">
        <v>8108693840</v>
      </c>
      <c r="L723" s="4" t="s">
        <v>4637</v>
      </c>
      <c r="M723" s="4">
        <v>8108693840</v>
      </c>
      <c r="N723" s="4" t="s">
        <v>3072</v>
      </c>
      <c r="O723" s="4" t="s">
        <v>71</v>
      </c>
      <c r="P723" s="168" t="s">
        <v>3073</v>
      </c>
      <c r="Q723" s="4" t="s">
        <v>47</v>
      </c>
      <c r="R723" s="172"/>
      <c r="S723" s="172"/>
      <c r="T723" s="172"/>
      <c r="U723" s="172"/>
      <c r="V723" s="172"/>
      <c r="W723" s="172"/>
      <c r="X723" s="172"/>
      <c r="Y723" s="172"/>
      <c r="Z723" s="172"/>
    </row>
    <row r="724" spans="1:26" ht="13.8">
      <c r="A724" s="166">
        <v>454</v>
      </c>
      <c r="B724" s="4" t="s">
        <v>4871</v>
      </c>
      <c r="C724" s="4">
        <v>1460</v>
      </c>
      <c r="D724" s="4" t="s">
        <v>4872</v>
      </c>
      <c r="E724" s="4" t="s">
        <v>4873</v>
      </c>
      <c r="F724" s="4" t="s">
        <v>4874</v>
      </c>
      <c r="G724" s="4" t="s">
        <v>4875</v>
      </c>
      <c r="H724" s="4" t="s">
        <v>4876</v>
      </c>
      <c r="I724" s="4" t="s">
        <v>4877</v>
      </c>
      <c r="J724" s="4" t="s">
        <v>4878</v>
      </c>
      <c r="K724" s="4">
        <v>9833283756</v>
      </c>
      <c r="L724" s="4" t="s">
        <v>4637</v>
      </c>
      <c r="M724" s="4">
        <v>9833283756</v>
      </c>
      <c r="N724" s="4" t="s">
        <v>4879</v>
      </c>
      <c r="O724" s="168" t="s">
        <v>4880</v>
      </c>
      <c r="P724" s="4" t="s">
        <v>71</v>
      </c>
      <c r="Q724" s="4" t="s">
        <v>47</v>
      </c>
      <c r="R724" s="172"/>
      <c r="S724" s="172"/>
      <c r="T724" s="172"/>
      <c r="U724" s="172"/>
      <c r="V724" s="172"/>
      <c r="W724" s="172"/>
      <c r="X724" s="172"/>
      <c r="Y724" s="172"/>
      <c r="Z724" s="172"/>
    </row>
    <row r="725" spans="1:26" ht="13.8">
      <c r="A725" s="166">
        <v>455</v>
      </c>
      <c r="B725" s="4" t="s">
        <v>4881</v>
      </c>
      <c r="C725" s="4">
        <v>1461</v>
      </c>
      <c r="D725" s="4" t="s">
        <v>4882</v>
      </c>
      <c r="E725" s="4" t="s">
        <v>4883</v>
      </c>
      <c r="F725" s="4" t="s">
        <v>4884</v>
      </c>
      <c r="G725" s="4" t="s">
        <v>4885</v>
      </c>
      <c r="H725" s="4" t="s">
        <v>4886</v>
      </c>
      <c r="I725" s="4" t="s">
        <v>4887</v>
      </c>
      <c r="J725" s="4" t="s">
        <v>4888</v>
      </c>
      <c r="K725" s="4">
        <v>85291327736</v>
      </c>
      <c r="L725" s="4" t="s">
        <v>4637</v>
      </c>
      <c r="M725" s="4">
        <v>85291327736</v>
      </c>
      <c r="N725" s="4" t="s">
        <v>2953</v>
      </c>
      <c r="O725" s="4" t="s">
        <v>71</v>
      </c>
      <c r="P725" s="4" t="s">
        <v>71</v>
      </c>
      <c r="Q725" s="4" t="s">
        <v>47</v>
      </c>
      <c r="R725" s="172"/>
      <c r="S725" s="172"/>
      <c r="T725" s="172"/>
      <c r="U725" s="172"/>
      <c r="V725" s="172"/>
      <c r="W725" s="172"/>
      <c r="X725" s="172"/>
      <c r="Y725" s="172"/>
      <c r="Z725" s="172"/>
    </row>
    <row r="726" spans="1:26" ht="13.8">
      <c r="A726" s="166">
        <v>456</v>
      </c>
      <c r="B726" s="4" t="s">
        <v>4889</v>
      </c>
      <c r="C726" s="4">
        <v>1462</v>
      </c>
      <c r="D726" s="4" t="s">
        <v>4890</v>
      </c>
      <c r="E726" s="4" t="s">
        <v>4891</v>
      </c>
      <c r="F726" s="4" t="s">
        <v>4892</v>
      </c>
      <c r="G726" s="4" t="s">
        <v>4893</v>
      </c>
      <c r="H726" s="4" t="s">
        <v>4894</v>
      </c>
      <c r="I726" s="4" t="s">
        <v>4895</v>
      </c>
      <c r="J726" s="4" t="s">
        <v>4896</v>
      </c>
      <c r="K726" s="4">
        <v>8800290327</v>
      </c>
      <c r="L726" s="4" t="s">
        <v>4637</v>
      </c>
      <c r="M726" s="4">
        <v>8800290327</v>
      </c>
      <c r="N726" s="4" t="s">
        <v>4897</v>
      </c>
      <c r="O726" s="4" t="s">
        <v>71</v>
      </c>
      <c r="P726" s="168" t="s">
        <v>4898</v>
      </c>
      <c r="Q726" s="4" t="s">
        <v>47</v>
      </c>
      <c r="R726" s="172"/>
      <c r="S726" s="172"/>
      <c r="T726" s="172"/>
      <c r="U726" s="172"/>
      <c r="V726" s="172"/>
      <c r="W726" s="172"/>
      <c r="X726" s="172"/>
      <c r="Y726" s="172"/>
      <c r="Z726" s="172"/>
    </row>
    <row r="727" spans="1:26" ht="13.8">
      <c r="A727" s="166">
        <v>457</v>
      </c>
      <c r="B727" s="4" t="s">
        <v>4899</v>
      </c>
      <c r="C727" s="4">
        <v>1463</v>
      </c>
      <c r="D727" s="4" t="s">
        <v>4900</v>
      </c>
      <c r="E727" s="4" t="s">
        <v>4901</v>
      </c>
      <c r="F727" s="4" t="s">
        <v>4902</v>
      </c>
      <c r="G727" s="4" t="s">
        <v>4903</v>
      </c>
      <c r="H727" s="4" t="s">
        <v>4904</v>
      </c>
      <c r="I727" s="4" t="s">
        <v>4905</v>
      </c>
      <c r="J727" s="4" t="s">
        <v>4906</v>
      </c>
      <c r="K727" s="4">
        <v>9898881424</v>
      </c>
      <c r="L727" s="4" t="s">
        <v>4637</v>
      </c>
      <c r="M727" s="4">
        <v>9898881424</v>
      </c>
      <c r="N727" s="4" t="s">
        <v>4907</v>
      </c>
      <c r="O727" s="4" t="s">
        <v>4908</v>
      </c>
      <c r="P727" s="168" t="s">
        <v>4909</v>
      </c>
      <c r="Q727" s="4" t="s">
        <v>47</v>
      </c>
      <c r="R727" s="172"/>
      <c r="S727" s="172"/>
      <c r="T727" s="172"/>
      <c r="U727" s="172"/>
      <c r="V727" s="172"/>
      <c r="W727" s="172"/>
      <c r="X727" s="172"/>
      <c r="Y727" s="172"/>
      <c r="Z727" s="172"/>
    </row>
    <row r="728" spans="1:26" ht="13.8">
      <c r="A728" s="166">
        <v>736</v>
      </c>
      <c r="B728" s="4" t="s">
        <v>2745</v>
      </c>
      <c r="C728" s="4">
        <v>1475</v>
      </c>
      <c r="D728" s="4" t="s">
        <v>5984</v>
      </c>
      <c r="E728" s="4" t="s">
        <v>71</v>
      </c>
      <c r="F728" s="4" t="s">
        <v>2753</v>
      </c>
      <c r="G728" s="4" t="s">
        <v>2748</v>
      </c>
      <c r="H728" s="4" t="s">
        <v>2749</v>
      </c>
      <c r="I728" s="4" t="s">
        <v>2750</v>
      </c>
      <c r="J728" s="4" t="s">
        <v>2751</v>
      </c>
      <c r="K728" s="4">
        <v>90225381396</v>
      </c>
      <c r="L728" s="4" t="s">
        <v>2746</v>
      </c>
      <c r="M728" s="4">
        <v>90225381396</v>
      </c>
      <c r="N728" s="4" t="s">
        <v>3057</v>
      </c>
      <c r="O728" s="4" t="s">
        <v>71</v>
      </c>
      <c r="P728" s="168" t="s">
        <v>2752</v>
      </c>
      <c r="Q728" s="4" t="s">
        <v>47</v>
      </c>
      <c r="R728" s="172"/>
      <c r="S728" s="172"/>
      <c r="T728" s="172"/>
      <c r="U728" s="172"/>
      <c r="V728" s="172"/>
      <c r="W728" s="172"/>
      <c r="X728" s="172"/>
      <c r="Y728" s="172"/>
      <c r="Z728" s="172"/>
    </row>
    <row r="729" spans="1:26" ht="13.8">
      <c r="A729" s="166">
        <v>771</v>
      </c>
      <c r="B729" s="4" t="s">
        <v>2867</v>
      </c>
      <c r="C729" s="4">
        <v>1864</v>
      </c>
      <c r="D729" s="4" t="s">
        <v>6040</v>
      </c>
      <c r="E729" s="4" t="s">
        <v>2872</v>
      </c>
      <c r="F729" s="4" t="s">
        <v>2873</v>
      </c>
      <c r="G729" s="4" t="s">
        <v>2868</v>
      </c>
      <c r="H729" s="4" t="s">
        <v>2869</v>
      </c>
      <c r="I729" s="4" t="s">
        <v>507</v>
      </c>
      <c r="J729" s="4" t="s">
        <v>2870</v>
      </c>
      <c r="K729" s="4">
        <v>7715933230</v>
      </c>
      <c r="L729" s="4" t="s">
        <v>6041</v>
      </c>
      <c r="M729" s="4">
        <v>7715933230</v>
      </c>
      <c r="N729" s="4" t="s">
        <v>6042</v>
      </c>
      <c r="O729" s="168" t="s">
        <v>6043</v>
      </c>
      <c r="P729" s="4" t="s">
        <v>71</v>
      </c>
      <c r="Q729" s="4" t="s">
        <v>47</v>
      </c>
      <c r="R729" s="172"/>
      <c r="S729" s="172"/>
      <c r="T729" s="172"/>
      <c r="U729" s="172"/>
      <c r="V729" s="172"/>
      <c r="W729" s="172"/>
      <c r="X729" s="172"/>
      <c r="Y729" s="172"/>
      <c r="Z729" s="172"/>
    </row>
    <row r="730" spans="1:26" ht="13.8">
      <c r="A730" s="166">
        <v>769</v>
      </c>
      <c r="B730" s="4" t="s">
        <v>2858</v>
      </c>
      <c r="C730" s="4">
        <v>2306</v>
      </c>
      <c r="D730" s="4" t="s">
        <v>6036</v>
      </c>
      <c r="E730" s="4" t="s">
        <v>2865</v>
      </c>
      <c r="F730" s="4" t="s">
        <v>2866</v>
      </c>
      <c r="G730" s="4" t="s">
        <v>2859</v>
      </c>
      <c r="H730" s="4" t="s">
        <v>2860</v>
      </c>
      <c r="I730" s="4" t="s">
        <v>2861</v>
      </c>
      <c r="J730" s="4" t="s">
        <v>2862</v>
      </c>
      <c r="K730" s="4">
        <v>9833909686</v>
      </c>
      <c r="L730" s="4" t="s">
        <v>6037</v>
      </c>
      <c r="M730" s="4">
        <v>9833909686</v>
      </c>
      <c r="N730" s="4" t="s">
        <v>6038</v>
      </c>
      <c r="O730" s="168" t="s">
        <v>6039</v>
      </c>
      <c r="P730" s="168" t="s">
        <v>2863</v>
      </c>
      <c r="Q730" s="4" t="s">
        <v>47</v>
      </c>
      <c r="R730" s="172"/>
      <c r="S730" s="172"/>
      <c r="T730" s="172"/>
      <c r="U730" s="172"/>
      <c r="V730" s="172"/>
      <c r="W730" s="172"/>
      <c r="X730" s="172"/>
      <c r="Y730" s="172"/>
      <c r="Z730" s="172"/>
    </row>
    <row r="731" spans="1:26" ht="13.8">
      <c r="A731" s="166">
        <v>748</v>
      </c>
      <c r="B731" s="4" t="s">
        <v>2795</v>
      </c>
      <c r="C731" s="4">
        <v>3321</v>
      </c>
      <c r="D731" s="4" t="s">
        <v>5994</v>
      </c>
      <c r="E731" s="4" t="s">
        <v>5995</v>
      </c>
      <c r="F731" s="4" t="s">
        <v>5996</v>
      </c>
      <c r="G731" s="4" t="s">
        <v>3362</v>
      </c>
      <c r="H731" s="4" t="s">
        <v>5997</v>
      </c>
      <c r="I731" s="4" t="s">
        <v>1729</v>
      </c>
      <c r="J731" s="4" t="s">
        <v>71</v>
      </c>
      <c r="K731" s="4">
        <v>9819777308</v>
      </c>
      <c r="L731" s="4" t="s">
        <v>4637</v>
      </c>
      <c r="M731" s="4">
        <v>9819777308</v>
      </c>
      <c r="N731" s="4" t="s">
        <v>3057</v>
      </c>
      <c r="O731" s="4" t="s">
        <v>71</v>
      </c>
      <c r="P731" s="4" t="s">
        <v>71</v>
      </c>
      <c r="Q731" s="4" t="s">
        <v>47</v>
      </c>
      <c r="R731" s="172"/>
      <c r="S731" s="172"/>
      <c r="T731" s="172"/>
      <c r="U731" s="172"/>
      <c r="V731" s="172"/>
      <c r="W731" s="172"/>
      <c r="X731" s="172"/>
      <c r="Y731" s="172"/>
      <c r="Z731" s="172"/>
    </row>
    <row r="732" spans="1:26" ht="13.8">
      <c r="A732" s="166">
        <v>749</v>
      </c>
      <c r="B732" s="4" t="s">
        <v>2796</v>
      </c>
      <c r="C732" s="4">
        <v>1113</v>
      </c>
      <c r="D732" s="4" t="s">
        <v>5998</v>
      </c>
      <c r="E732" s="4" t="s">
        <v>5999</v>
      </c>
      <c r="F732" s="4" t="s">
        <v>6000</v>
      </c>
      <c r="G732" s="4" t="s">
        <v>6001</v>
      </c>
      <c r="H732" s="4" t="s">
        <v>6002</v>
      </c>
      <c r="I732" s="4" t="s">
        <v>116</v>
      </c>
      <c r="J732" s="4" t="s">
        <v>6003</v>
      </c>
      <c r="K732" s="4">
        <v>9324122211</v>
      </c>
      <c r="L732" s="4" t="s">
        <v>4637</v>
      </c>
      <c r="M732" s="4">
        <v>9324122211</v>
      </c>
      <c r="N732" s="4" t="s">
        <v>6004</v>
      </c>
      <c r="O732" s="4" t="s">
        <v>71</v>
      </c>
      <c r="P732" s="168" t="s">
        <v>6005</v>
      </c>
      <c r="Q732" s="4" t="s">
        <v>47</v>
      </c>
      <c r="R732" s="172"/>
      <c r="S732" s="172"/>
      <c r="T732" s="172"/>
      <c r="U732" s="172"/>
      <c r="V732" s="172"/>
      <c r="W732" s="172"/>
      <c r="X732" s="172"/>
      <c r="Y732" s="172"/>
      <c r="Z732" s="172"/>
    </row>
    <row r="733" spans="1:26" ht="13.8">
      <c r="A733" s="166">
        <v>750</v>
      </c>
      <c r="B733" s="4" t="s">
        <v>2797</v>
      </c>
      <c r="C733" s="4">
        <v>1007</v>
      </c>
      <c r="D733" s="4" t="s">
        <v>6006</v>
      </c>
      <c r="E733" s="4" t="s">
        <v>71</v>
      </c>
      <c r="F733" s="4" t="s">
        <v>6007</v>
      </c>
      <c r="G733" s="4" t="s">
        <v>6008</v>
      </c>
      <c r="H733" s="4" t="s">
        <v>6009</v>
      </c>
      <c r="I733" s="4" t="s">
        <v>507</v>
      </c>
      <c r="J733" s="4" t="s">
        <v>71</v>
      </c>
      <c r="K733" s="4" t="s">
        <v>71</v>
      </c>
      <c r="L733" s="4" t="s">
        <v>2780</v>
      </c>
      <c r="M733" s="4" t="s">
        <v>71</v>
      </c>
      <c r="N733" s="4" t="s">
        <v>71</v>
      </c>
      <c r="O733" s="4" t="s">
        <v>71</v>
      </c>
      <c r="P733" s="4" t="s">
        <v>71</v>
      </c>
      <c r="Q733" s="4" t="s">
        <v>47</v>
      </c>
      <c r="R733" s="172"/>
      <c r="S733" s="172"/>
      <c r="T733" s="172"/>
      <c r="U733" s="172"/>
      <c r="V733" s="172"/>
      <c r="W733" s="172"/>
      <c r="X733" s="172"/>
      <c r="Y733" s="172"/>
      <c r="Z733" s="172"/>
    </row>
    <row r="734" spans="1:26" ht="13.8">
      <c r="A734" s="166">
        <v>768</v>
      </c>
      <c r="B734" s="4" t="s">
        <v>2851</v>
      </c>
      <c r="C734" s="4">
        <v>2712</v>
      </c>
      <c r="D734" s="4" t="s">
        <v>6033</v>
      </c>
      <c r="E734" s="4" t="s">
        <v>2856</v>
      </c>
      <c r="F734" s="4" t="s">
        <v>2857</v>
      </c>
      <c r="G734" s="4" t="s">
        <v>2851</v>
      </c>
      <c r="H734" s="4" t="s">
        <v>2852</v>
      </c>
      <c r="I734" s="4" t="s">
        <v>2810</v>
      </c>
      <c r="J734" s="4" t="s">
        <v>2853</v>
      </c>
      <c r="K734" s="4">
        <v>9833529301</v>
      </c>
      <c r="L734" s="4" t="s">
        <v>6034</v>
      </c>
      <c r="M734" s="4">
        <v>9833529301</v>
      </c>
      <c r="N734" s="4" t="s">
        <v>6035</v>
      </c>
      <c r="O734" s="4" t="s">
        <v>71</v>
      </c>
      <c r="P734" s="168" t="s">
        <v>2854</v>
      </c>
      <c r="Q734" s="4" t="s">
        <v>47</v>
      </c>
      <c r="R734" s="172"/>
      <c r="S734" s="172"/>
      <c r="T734" s="172"/>
      <c r="U734" s="172"/>
      <c r="V734" s="172"/>
      <c r="W734" s="172"/>
      <c r="X734" s="172"/>
      <c r="Y734" s="172"/>
      <c r="Z734" s="172"/>
    </row>
    <row r="735" spans="1:26" ht="13.8">
      <c r="A735" s="166">
        <v>754</v>
      </c>
      <c r="B735" s="4" t="s">
        <v>2803</v>
      </c>
      <c r="C735" s="4">
        <v>7138</v>
      </c>
      <c r="D735" s="4" t="s">
        <v>6013</v>
      </c>
      <c r="E735" s="4" t="s">
        <v>2805</v>
      </c>
      <c r="F735" s="4" t="s">
        <v>2806</v>
      </c>
      <c r="G735" s="4" t="s">
        <v>89</v>
      </c>
      <c r="H735" s="4" t="s">
        <v>2804</v>
      </c>
      <c r="I735" s="4" t="s">
        <v>91</v>
      </c>
      <c r="J735" s="4" t="s">
        <v>71</v>
      </c>
      <c r="K735" s="4">
        <v>9769401691</v>
      </c>
      <c r="L735" s="4" t="s">
        <v>4637</v>
      </c>
      <c r="M735" s="4">
        <v>9769401691</v>
      </c>
      <c r="N735" s="4" t="s">
        <v>71</v>
      </c>
      <c r="O735" s="4" t="s">
        <v>71</v>
      </c>
      <c r="P735" s="4" t="s">
        <v>71</v>
      </c>
      <c r="Q735" s="4" t="s">
        <v>47</v>
      </c>
      <c r="R735" s="172"/>
      <c r="S735" s="172"/>
      <c r="T735" s="172"/>
      <c r="U735" s="172"/>
      <c r="V735" s="172"/>
      <c r="W735" s="172"/>
      <c r="X735" s="172"/>
      <c r="Y735" s="172"/>
      <c r="Z735" s="172"/>
    </row>
    <row r="736" spans="1:26" ht="13.8">
      <c r="A736" s="166">
        <v>755</v>
      </c>
      <c r="B736" s="4" t="s">
        <v>2807</v>
      </c>
      <c r="C736" s="4">
        <v>5738</v>
      </c>
      <c r="D736" s="4" t="s">
        <v>6014</v>
      </c>
      <c r="E736" s="4" t="s">
        <v>2812</v>
      </c>
      <c r="F736" s="4" t="s">
        <v>2813</v>
      </c>
      <c r="G736" s="4" t="s">
        <v>2808</v>
      </c>
      <c r="H736" s="4" t="s">
        <v>2809</v>
      </c>
      <c r="I736" s="4" t="s">
        <v>2810</v>
      </c>
      <c r="J736" s="4" t="s">
        <v>2811</v>
      </c>
      <c r="K736" s="4" t="s">
        <v>71</v>
      </c>
      <c r="L736" s="4" t="s">
        <v>4637</v>
      </c>
      <c r="M736" s="4" t="s">
        <v>71</v>
      </c>
      <c r="N736" s="4" t="s">
        <v>2953</v>
      </c>
      <c r="O736" s="4" t="s">
        <v>71</v>
      </c>
      <c r="P736" s="4" t="s">
        <v>71</v>
      </c>
      <c r="Q736" s="4" t="s">
        <v>47</v>
      </c>
      <c r="R736" s="172"/>
      <c r="S736" s="172"/>
      <c r="T736" s="172"/>
      <c r="U736" s="172"/>
      <c r="V736" s="172"/>
      <c r="W736" s="172"/>
      <c r="X736" s="172"/>
      <c r="Y736" s="172"/>
      <c r="Z736" s="172"/>
    </row>
    <row r="737" spans="1:26" ht="13.8">
      <c r="A737" s="166">
        <v>766</v>
      </c>
      <c r="B737" s="4" t="s">
        <v>2844</v>
      </c>
      <c r="C737" s="4">
        <v>2773</v>
      </c>
      <c r="D737" s="4" t="s">
        <v>6031</v>
      </c>
      <c r="E737" s="4" t="s">
        <v>2849</v>
      </c>
      <c r="F737" s="4" t="s">
        <v>2850</v>
      </c>
      <c r="G737" s="4" t="s">
        <v>2845</v>
      </c>
      <c r="H737" s="4" t="s">
        <v>2846</v>
      </c>
      <c r="I737" s="4" t="s">
        <v>2847</v>
      </c>
      <c r="J737" s="4" t="s">
        <v>71</v>
      </c>
      <c r="K737" s="4">
        <v>8291118926</v>
      </c>
      <c r="L737" s="4" t="s">
        <v>6032</v>
      </c>
      <c r="M737" s="4">
        <v>8591138926</v>
      </c>
      <c r="N737" s="4" t="s">
        <v>3510</v>
      </c>
      <c r="O737" s="4" t="s">
        <v>71</v>
      </c>
      <c r="P737" s="168" t="s">
        <v>80</v>
      </c>
      <c r="Q737" s="4" t="s">
        <v>47</v>
      </c>
      <c r="R737" s="172"/>
      <c r="S737" s="172"/>
      <c r="T737" s="172"/>
      <c r="U737" s="172"/>
      <c r="V737" s="172"/>
      <c r="W737" s="172"/>
      <c r="X737" s="172"/>
      <c r="Y737" s="172"/>
      <c r="Z737" s="172"/>
    </row>
    <row r="738" spans="1:26" ht="13.8">
      <c r="A738" s="166">
        <v>751</v>
      </c>
      <c r="B738" s="4" t="s">
        <v>2798</v>
      </c>
      <c r="C738" s="4">
        <v>3741</v>
      </c>
      <c r="D738" s="4" t="s">
        <v>6010</v>
      </c>
      <c r="E738" s="4" t="s">
        <v>2801</v>
      </c>
      <c r="F738" s="4" t="s">
        <v>2802</v>
      </c>
      <c r="G738" s="4" t="s">
        <v>2799</v>
      </c>
      <c r="H738" s="4" t="s">
        <v>2800</v>
      </c>
      <c r="I738" s="4" t="s">
        <v>2644</v>
      </c>
      <c r="J738" s="4" t="s">
        <v>71</v>
      </c>
      <c r="K738" s="4">
        <v>9833283756</v>
      </c>
      <c r="L738" s="4" t="s">
        <v>6011</v>
      </c>
      <c r="M738" s="4">
        <v>9833283756</v>
      </c>
      <c r="N738" s="4" t="s">
        <v>6012</v>
      </c>
      <c r="O738" s="4" t="s">
        <v>71</v>
      </c>
      <c r="P738" s="4" t="s">
        <v>71</v>
      </c>
      <c r="Q738" s="4" t="s">
        <v>47</v>
      </c>
      <c r="R738" s="172"/>
      <c r="S738" s="172"/>
      <c r="T738" s="172"/>
      <c r="U738" s="172"/>
      <c r="V738" s="172"/>
      <c r="W738" s="172"/>
      <c r="X738" s="172"/>
      <c r="Y738" s="172"/>
      <c r="Z738" s="172"/>
    </row>
    <row r="739" spans="1:26" ht="13.8">
      <c r="A739" s="166">
        <v>786</v>
      </c>
      <c r="B739" s="4" t="s">
        <v>2901</v>
      </c>
      <c r="C739" s="4">
        <v>4001</v>
      </c>
      <c r="D739" s="4" t="s">
        <v>6054</v>
      </c>
      <c r="E739" s="4" t="s">
        <v>71</v>
      </c>
      <c r="F739" s="4" t="s">
        <v>2900</v>
      </c>
      <c r="G739" s="4" t="s">
        <v>2895</v>
      </c>
      <c r="H739" s="4" t="s">
        <v>2896</v>
      </c>
      <c r="I739" s="4" t="s">
        <v>2897</v>
      </c>
      <c r="J739" s="4" t="s">
        <v>71</v>
      </c>
      <c r="K739" s="4">
        <v>9172881872</v>
      </c>
      <c r="L739" s="4" t="s">
        <v>6055</v>
      </c>
      <c r="M739" s="4">
        <v>9172881872</v>
      </c>
      <c r="N739" s="4" t="s">
        <v>71</v>
      </c>
      <c r="O739" s="4" t="s">
        <v>71</v>
      </c>
      <c r="P739" s="168" t="s">
        <v>2898</v>
      </c>
      <c r="Q739" s="4" t="s">
        <v>47</v>
      </c>
      <c r="R739" s="172"/>
      <c r="S739" s="172"/>
      <c r="T739" s="172"/>
      <c r="U739" s="172"/>
      <c r="V739" s="172"/>
      <c r="W739" s="172"/>
      <c r="X739" s="172"/>
      <c r="Y739" s="172"/>
      <c r="Z739" s="172"/>
    </row>
    <row r="740" spans="1:26" ht="13.8">
      <c r="A740" s="166">
        <v>745</v>
      </c>
      <c r="B740" s="4" t="s">
        <v>2772</v>
      </c>
      <c r="C740" s="4">
        <v>4491</v>
      </c>
      <c r="D740" s="4" t="s">
        <v>5989</v>
      </c>
      <c r="E740" s="4" t="s">
        <v>2777</v>
      </c>
      <c r="F740" s="4" t="s">
        <v>2778</v>
      </c>
      <c r="G740" s="4" t="s">
        <v>2765</v>
      </c>
      <c r="H740" s="4" t="s">
        <v>2774</v>
      </c>
      <c r="I740" s="4" t="s">
        <v>2767</v>
      </c>
      <c r="J740" s="4" t="s">
        <v>2775</v>
      </c>
      <c r="K740" s="4" t="s">
        <v>8279</v>
      </c>
      <c r="L740" s="4" t="s">
        <v>2763</v>
      </c>
      <c r="M740" s="4" t="s">
        <v>8279</v>
      </c>
      <c r="N740" s="4" t="s">
        <v>3510</v>
      </c>
      <c r="O740" s="168" t="s">
        <v>5990</v>
      </c>
      <c r="P740" s="168" t="s">
        <v>2776</v>
      </c>
      <c r="Q740" s="4" t="s">
        <v>47</v>
      </c>
      <c r="R740" s="172"/>
      <c r="S740" s="172"/>
      <c r="T740" s="172"/>
      <c r="U740" s="172"/>
      <c r="V740" s="172"/>
      <c r="W740" s="172"/>
      <c r="X740" s="172"/>
      <c r="Y740" s="172"/>
      <c r="Z740" s="172"/>
    </row>
    <row r="741" spans="1:26" ht="13.8">
      <c r="A741" s="166">
        <v>774</v>
      </c>
      <c r="B741" s="4" t="s">
        <v>2879</v>
      </c>
      <c r="C741" s="4">
        <v>5266</v>
      </c>
      <c r="D741" s="4" t="s">
        <v>6046</v>
      </c>
      <c r="E741" s="4" t="s">
        <v>71</v>
      </c>
      <c r="F741" s="4" t="s">
        <v>2883</v>
      </c>
      <c r="G741" s="4" t="s">
        <v>2880</v>
      </c>
      <c r="H741" s="4" t="s">
        <v>2881</v>
      </c>
      <c r="I741" s="4" t="s">
        <v>507</v>
      </c>
      <c r="J741" s="4" t="s">
        <v>71</v>
      </c>
      <c r="K741" s="4">
        <v>8779032265</v>
      </c>
      <c r="L741" s="4" t="s">
        <v>6047</v>
      </c>
      <c r="M741" s="4">
        <v>9892570847</v>
      </c>
      <c r="N741" s="4" t="s">
        <v>6048</v>
      </c>
      <c r="O741" s="168" t="s">
        <v>6049</v>
      </c>
      <c r="P741" s="4" t="s">
        <v>71</v>
      </c>
      <c r="Q741" s="4" t="s">
        <v>47</v>
      </c>
      <c r="R741" s="172"/>
      <c r="S741" s="172"/>
      <c r="T741" s="172"/>
      <c r="U741" s="172"/>
      <c r="V741" s="172"/>
      <c r="W741" s="172"/>
      <c r="X741" s="172"/>
      <c r="Y741" s="172"/>
      <c r="Z741" s="172"/>
    </row>
    <row r="742" spans="1:26" ht="13.8">
      <c r="A742" s="166">
        <v>735</v>
      </c>
      <c r="B742" s="4" t="s">
        <v>2738</v>
      </c>
      <c r="C742" s="4">
        <v>6292</v>
      </c>
      <c r="D742" s="4" t="s">
        <v>5983</v>
      </c>
      <c r="E742" s="4" t="s">
        <v>2743</v>
      </c>
      <c r="F742" s="4" t="s">
        <v>2744</v>
      </c>
      <c r="G742" s="4" t="s">
        <v>2725</v>
      </c>
      <c r="H742" s="4" t="s">
        <v>2741</v>
      </c>
      <c r="I742" s="4" t="s">
        <v>545</v>
      </c>
      <c r="J742" s="4" t="s">
        <v>2728</v>
      </c>
      <c r="K742" s="4" t="s">
        <v>8279</v>
      </c>
      <c r="L742" s="4" t="s">
        <v>2739</v>
      </c>
      <c r="M742" s="4" t="s">
        <v>8279</v>
      </c>
      <c r="N742" s="4" t="s">
        <v>5981</v>
      </c>
      <c r="O742" s="4" t="s">
        <v>71</v>
      </c>
      <c r="P742" s="168" t="s">
        <v>2742</v>
      </c>
      <c r="Q742" s="4" t="s">
        <v>47</v>
      </c>
      <c r="R742" s="172"/>
      <c r="S742" s="172"/>
      <c r="T742" s="172"/>
      <c r="U742" s="172"/>
      <c r="V742" s="172"/>
      <c r="W742" s="172"/>
      <c r="X742" s="172"/>
      <c r="Y742" s="172"/>
      <c r="Z742" s="172"/>
    </row>
    <row r="743" spans="1:26" ht="13.8">
      <c r="A743" s="166">
        <v>763</v>
      </c>
      <c r="B743" s="4" t="s">
        <v>2826</v>
      </c>
      <c r="C743" s="4">
        <v>6956</v>
      </c>
      <c r="D743" s="4" t="s">
        <v>6023</v>
      </c>
      <c r="E743" s="4" t="s">
        <v>2829</v>
      </c>
      <c r="F743" s="4" t="s">
        <v>71</v>
      </c>
      <c r="G743" s="4" t="s">
        <v>2827</v>
      </c>
      <c r="H743" s="4" t="s">
        <v>1704</v>
      </c>
      <c r="I743" s="4" t="s">
        <v>534</v>
      </c>
      <c r="J743" s="4" t="s">
        <v>71</v>
      </c>
      <c r="K743" s="4">
        <v>9022512767</v>
      </c>
      <c r="L743" s="4" t="s">
        <v>6024</v>
      </c>
      <c r="M743" s="4">
        <v>9022512767</v>
      </c>
      <c r="N743" s="4" t="s">
        <v>3510</v>
      </c>
      <c r="O743" s="4" t="s">
        <v>71</v>
      </c>
      <c r="P743" s="4" t="s">
        <v>71</v>
      </c>
      <c r="Q743" s="4" t="s">
        <v>47</v>
      </c>
      <c r="R743" s="172"/>
      <c r="S743" s="172"/>
      <c r="T743" s="172"/>
      <c r="U743" s="172"/>
      <c r="V743" s="172"/>
      <c r="W743" s="172"/>
      <c r="X743" s="172"/>
      <c r="Y743" s="172"/>
      <c r="Z743" s="172"/>
    </row>
    <row r="744" spans="1:26" ht="13.8">
      <c r="A744" s="166">
        <v>765</v>
      </c>
      <c r="B744" s="4" t="s">
        <v>2837</v>
      </c>
      <c r="C744" s="4">
        <v>7297</v>
      </c>
      <c r="D744" s="4" t="s">
        <v>6028</v>
      </c>
      <c r="E744" s="4" t="s">
        <v>2842</v>
      </c>
      <c r="F744" s="4" t="s">
        <v>2843</v>
      </c>
      <c r="G744" s="4" t="s">
        <v>2838</v>
      </c>
      <c r="H744" s="4" t="s">
        <v>2839</v>
      </c>
      <c r="I744" s="4" t="s">
        <v>534</v>
      </c>
      <c r="J744" s="4" t="s">
        <v>2840</v>
      </c>
      <c r="K744" s="4">
        <v>9892130129</v>
      </c>
      <c r="L744" s="4" t="s">
        <v>6029</v>
      </c>
      <c r="M744" s="4">
        <v>9892130129</v>
      </c>
      <c r="N744" s="4" t="s">
        <v>6030</v>
      </c>
      <c r="O744" s="4" t="s">
        <v>71</v>
      </c>
      <c r="P744" s="4" t="s">
        <v>71</v>
      </c>
      <c r="Q744" s="4" t="s">
        <v>47</v>
      </c>
      <c r="R744" s="172"/>
      <c r="S744" s="172"/>
      <c r="T744" s="172"/>
      <c r="U744" s="172"/>
      <c r="V744" s="172"/>
      <c r="W744" s="172"/>
      <c r="X744" s="172"/>
      <c r="Y744" s="172"/>
      <c r="Z744" s="172"/>
    </row>
    <row r="745" spans="1:26" ht="13.8">
      <c r="A745" s="166">
        <v>764</v>
      </c>
      <c r="B745" s="4" t="s">
        <v>2830</v>
      </c>
      <c r="C745" s="4">
        <v>7545</v>
      </c>
      <c r="D745" s="4" t="s">
        <v>6025</v>
      </c>
      <c r="E745" s="4" t="s">
        <v>2835</v>
      </c>
      <c r="F745" s="4" t="s">
        <v>2836</v>
      </c>
      <c r="G745" s="4" t="s">
        <v>2831</v>
      </c>
      <c r="H745" s="4" t="s">
        <v>2830</v>
      </c>
      <c r="I745" s="4" t="s">
        <v>2832</v>
      </c>
      <c r="J745" s="4" t="s">
        <v>2833</v>
      </c>
      <c r="K745" s="4">
        <v>9029934614</v>
      </c>
      <c r="L745" s="4" t="s">
        <v>6026</v>
      </c>
      <c r="M745" s="4">
        <v>9029934614</v>
      </c>
      <c r="N745" s="4" t="s">
        <v>6027</v>
      </c>
      <c r="O745" s="4" t="s">
        <v>71</v>
      </c>
      <c r="P745" s="4" t="s">
        <v>71</v>
      </c>
      <c r="Q745" s="4" t="s">
        <v>47</v>
      </c>
      <c r="R745" s="172"/>
      <c r="S745" s="172"/>
      <c r="T745" s="172"/>
      <c r="U745" s="172"/>
      <c r="V745" s="172"/>
      <c r="W745" s="172"/>
      <c r="X745" s="172"/>
      <c r="Y745" s="172"/>
      <c r="Z745" s="172"/>
    </row>
    <row r="746" spans="1:26" ht="13.8">
      <c r="A746" s="166">
        <v>758</v>
      </c>
      <c r="B746" s="4" t="s">
        <v>2814</v>
      </c>
      <c r="C746" s="4">
        <v>8876</v>
      </c>
      <c r="D746" s="4" t="s">
        <v>6015</v>
      </c>
      <c r="E746" s="4" t="s">
        <v>71</v>
      </c>
      <c r="F746" s="4" t="s">
        <v>71</v>
      </c>
      <c r="G746" s="4" t="s">
        <v>2815</v>
      </c>
      <c r="H746" s="4" t="s">
        <v>2814</v>
      </c>
      <c r="I746" s="4" t="s">
        <v>71</v>
      </c>
      <c r="J746" s="4" t="s">
        <v>71</v>
      </c>
      <c r="K746" s="4" t="s">
        <v>71</v>
      </c>
      <c r="L746" s="4" t="s">
        <v>6016</v>
      </c>
      <c r="M746" s="4" t="s">
        <v>71</v>
      </c>
      <c r="N746" s="4" t="s">
        <v>6017</v>
      </c>
      <c r="O746" s="4" t="s">
        <v>71</v>
      </c>
      <c r="P746" s="4" t="s">
        <v>71</v>
      </c>
      <c r="Q746" s="4" t="s">
        <v>47</v>
      </c>
      <c r="R746" s="172"/>
      <c r="S746" s="172"/>
      <c r="T746" s="172"/>
      <c r="U746" s="172"/>
      <c r="V746" s="172"/>
      <c r="W746" s="172"/>
      <c r="X746" s="172"/>
      <c r="Y746" s="172"/>
      <c r="Z746" s="172"/>
    </row>
    <row r="747" spans="1:26" ht="13.8">
      <c r="A747" s="166">
        <v>734</v>
      </c>
      <c r="B747" s="4" t="s">
        <v>2731</v>
      </c>
      <c r="C747" s="4">
        <v>8886</v>
      </c>
      <c r="D747" s="4" t="s">
        <v>5982</v>
      </c>
      <c r="E747" s="4" t="s">
        <v>71</v>
      </c>
      <c r="F747" s="4" t="s">
        <v>2737</v>
      </c>
      <c r="G747" s="4" t="s">
        <v>2725</v>
      </c>
      <c r="H747" s="4" t="s">
        <v>2734</v>
      </c>
      <c r="I747" s="4" t="s">
        <v>2735</v>
      </c>
      <c r="J747" s="4" t="s">
        <v>2728</v>
      </c>
      <c r="K747" s="4">
        <v>7021783598</v>
      </c>
      <c r="L747" s="4" t="s">
        <v>2732</v>
      </c>
      <c r="M747" s="4">
        <v>7021783598</v>
      </c>
      <c r="N747" s="4" t="s">
        <v>5981</v>
      </c>
      <c r="O747" s="4" t="s">
        <v>71</v>
      </c>
      <c r="P747" s="168" t="s">
        <v>2736</v>
      </c>
      <c r="Q747" s="4" t="s">
        <v>47</v>
      </c>
      <c r="R747" s="172"/>
      <c r="S747" s="172"/>
      <c r="T747" s="172"/>
      <c r="U747" s="172"/>
      <c r="V747" s="172"/>
      <c r="W747" s="172"/>
      <c r="X747" s="172"/>
      <c r="Y747" s="172"/>
      <c r="Z747" s="172"/>
    </row>
    <row r="748" spans="1:26" ht="13.8">
      <c r="A748" s="166">
        <v>743</v>
      </c>
      <c r="B748" s="4" t="s">
        <v>2762</v>
      </c>
      <c r="C748" s="4">
        <v>9539</v>
      </c>
      <c r="D748" s="4" t="s">
        <v>5987</v>
      </c>
      <c r="E748" s="4" t="s">
        <v>2770</v>
      </c>
      <c r="F748" s="4" t="s">
        <v>2771</v>
      </c>
      <c r="G748" s="4" t="s">
        <v>2765</v>
      </c>
      <c r="H748" s="4" t="s">
        <v>2766</v>
      </c>
      <c r="I748" s="4" t="s">
        <v>2767</v>
      </c>
      <c r="J748" s="4" t="s">
        <v>2768</v>
      </c>
      <c r="K748" s="4" t="s">
        <v>8279</v>
      </c>
      <c r="L748" s="4" t="s">
        <v>2763</v>
      </c>
      <c r="M748" s="4" t="s">
        <v>8279</v>
      </c>
      <c r="N748" s="4" t="s">
        <v>3510</v>
      </c>
      <c r="O748" s="168" t="s">
        <v>5988</v>
      </c>
      <c r="P748" s="168" t="s">
        <v>2769</v>
      </c>
      <c r="Q748" s="4" t="s">
        <v>47</v>
      </c>
      <c r="R748" s="172"/>
      <c r="S748" s="172"/>
      <c r="T748" s="172"/>
      <c r="U748" s="172"/>
      <c r="V748" s="172"/>
      <c r="W748" s="172"/>
      <c r="X748" s="172"/>
      <c r="Y748" s="172"/>
      <c r="Z748" s="172"/>
    </row>
    <row r="749" spans="1:26" ht="13.8">
      <c r="A749" s="166">
        <v>791</v>
      </c>
      <c r="B749" s="4" t="s">
        <v>2916</v>
      </c>
      <c r="C749" s="4">
        <v>9562</v>
      </c>
      <c r="D749" s="4" t="s">
        <v>6062</v>
      </c>
      <c r="E749" s="4" t="s">
        <v>71</v>
      </c>
      <c r="F749" s="4" t="s">
        <v>467</v>
      </c>
      <c r="G749" s="4" t="s">
        <v>2917</v>
      </c>
      <c r="H749" s="4" t="s">
        <v>2918</v>
      </c>
      <c r="I749" s="4" t="s">
        <v>2473</v>
      </c>
      <c r="J749" s="4" t="s">
        <v>2919</v>
      </c>
      <c r="K749" s="4">
        <v>919820320705</v>
      </c>
      <c r="L749" s="4" t="s">
        <v>6063</v>
      </c>
      <c r="M749" s="4">
        <v>919820320705</v>
      </c>
      <c r="N749" s="4" t="s">
        <v>6064</v>
      </c>
      <c r="O749" s="168" t="s">
        <v>3192</v>
      </c>
      <c r="P749" s="168" t="s">
        <v>2920</v>
      </c>
      <c r="Q749" s="4" t="s">
        <v>47</v>
      </c>
      <c r="R749" s="172"/>
      <c r="S749" s="172"/>
      <c r="T749" s="172"/>
      <c r="U749" s="172"/>
      <c r="V749" s="172"/>
      <c r="W749" s="172"/>
      <c r="X749" s="172"/>
      <c r="Y749" s="172"/>
      <c r="Z749" s="172"/>
    </row>
    <row r="750" spans="1:26" ht="13.8">
      <c r="A750" s="166">
        <v>780</v>
      </c>
      <c r="B750" s="4" t="s">
        <v>2889</v>
      </c>
      <c r="C750" s="4">
        <v>9737</v>
      </c>
      <c r="D750" s="4" t="s">
        <v>6050</v>
      </c>
      <c r="E750" s="4" t="s">
        <v>71</v>
      </c>
      <c r="F750" s="4" t="s">
        <v>71</v>
      </c>
      <c r="G750" s="4" t="s">
        <v>2885</v>
      </c>
      <c r="H750" s="4" t="s">
        <v>2886</v>
      </c>
      <c r="I750" s="4" t="s">
        <v>2887</v>
      </c>
      <c r="J750" s="4" t="s">
        <v>71</v>
      </c>
      <c r="K750" s="4">
        <v>8080833834</v>
      </c>
      <c r="L750" s="4" t="s">
        <v>6051</v>
      </c>
      <c r="M750" s="4" t="s">
        <v>71</v>
      </c>
      <c r="N750" s="4" t="s">
        <v>71</v>
      </c>
      <c r="O750" s="4" t="s">
        <v>71</v>
      </c>
      <c r="P750" s="4" t="s">
        <v>71</v>
      </c>
      <c r="Q750" s="4" t="s">
        <v>47</v>
      </c>
      <c r="R750" s="172"/>
      <c r="S750" s="172"/>
      <c r="T750" s="172"/>
      <c r="U750" s="172"/>
      <c r="V750" s="172"/>
      <c r="W750" s="172"/>
      <c r="X750" s="172"/>
      <c r="Y750" s="172"/>
      <c r="Z750" s="172"/>
    </row>
    <row r="751" spans="1:26" ht="13.8">
      <c r="A751" s="166">
        <v>741</v>
      </c>
      <c r="B751" s="4" t="s">
        <v>2754</v>
      </c>
      <c r="C751" s="4">
        <v>9861</v>
      </c>
      <c r="D751" s="4" t="s">
        <v>5985</v>
      </c>
      <c r="E751" s="4" t="s">
        <v>2760</v>
      </c>
      <c r="F751" s="4" t="s">
        <v>2761</v>
      </c>
      <c r="G751" s="4" t="s">
        <v>2757</v>
      </c>
      <c r="H751" s="4" t="s">
        <v>2758</v>
      </c>
      <c r="I751" s="4" t="s">
        <v>260</v>
      </c>
      <c r="J751" s="4" t="s">
        <v>2759</v>
      </c>
      <c r="K751" s="4">
        <v>9820692870</v>
      </c>
      <c r="L751" s="4" t="s">
        <v>2755</v>
      </c>
      <c r="M751" s="4">
        <v>9820692870</v>
      </c>
      <c r="N751" s="4" t="s">
        <v>5986</v>
      </c>
      <c r="O751" s="4" t="s">
        <v>71</v>
      </c>
      <c r="P751" s="4" t="s">
        <v>71</v>
      </c>
      <c r="Q751" s="4" t="s">
        <v>47</v>
      </c>
      <c r="R751" s="172"/>
      <c r="S751" s="172"/>
      <c r="T751" s="172"/>
      <c r="U751" s="172"/>
      <c r="V751" s="172"/>
      <c r="W751" s="172"/>
      <c r="X751" s="172"/>
      <c r="Y751" s="172"/>
      <c r="Z751" s="172"/>
    </row>
    <row r="752" spans="1:26" ht="13.8">
      <c r="A752" s="166">
        <v>747</v>
      </c>
      <c r="B752" s="4" t="s">
        <v>2788</v>
      </c>
      <c r="C752" s="4">
        <v>9997</v>
      </c>
      <c r="D752" s="4" t="s">
        <v>5992</v>
      </c>
      <c r="E752" s="4" t="s">
        <v>71</v>
      </c>
      <c r="F752" s="4" t="s">
        <v>2794</v>
      </c>
      <c r="G752" s="4" t="s">
        <v>1031</v>
      </c>
      <c r="H752" s="4" t="s">
        <v>2791</v>
      </c>
      <c r="I752" s="4" t="s">
        <v>2792</v>
      </c>
      <c r="J752" s="4" t="s">
        <v>1033</v>
      </c>
      <c r="K752" s="4">
        <v>9913252758</v>
      </c>
      <c r="L752" s="4" t="s">
        <v>2789</v>
      </c>
      <c r="M752" s="4">
        <v>9913252758</v>
      </c>
      <c r="N752" s="4" t="s">
        <v>2953</v>
      </c>
      <c r="O752" s="168" t="s">
        <v>5993</v>
      </c>
      <c r="P752" s="168" t="s">
        <v>2793</v>
      </c>
      <c r="Q752" s="4" t="s">
        <v>47</v>
      </c>
      <c r="R752" s="172"/>
      <c r="S752" s="172"/>
      <c r="T752" s="172"/>
      <c r="U752" s="172"/>
      <c r="V752" s="172"/>
      <c r="W752" s="172"/>
      <c r="X752" s="172"/>
      <c r="Y752" s="172"/>
      <c r="Z752" s="172"/>
    </row>
    <row r="753" spans="1:26" ht="13.8">
      <c r="A753" s="166">
        <v>789</v>
      </c>
      <c r="B753" s="4" t="s">
        <v>6059</v>
      </c>
      <c r="C753" s="4">
        <v>4182</v>
      </c>
      <c r="D753" s="4" t="s">
        <v>6060</v>
      </c>
      <c r="E753" s="4" t="s">
        <v>71</v>
      </c>
      <c r="F753" s="4" t="s">
        <v>71</v>
      </c>
      <c r="G753" s="4" t="s">
        <v>2910</v>
      </c>
      <c r="H753" s="4" t="s">
        <v>2911</v>
      </c>
      <c r="I753" s="4" t="s">
        <v>2912</v>
      </c>
      <c r="J753" s="4" t="s">
        <v>2913</v>
      </c>
      <c r="K753" s="4">
        <v>9603314626</v>
      </c>
      <c r="L753" s="4" t="s">
        <v>4323</v>
      </c>
      <c r="M753" s="4">
        <v>9603314626</v>
      </c>
      <c r="N753" s="4" t="s">
        <v>6061</v>
      </c>
      <c r="O753" s="4" t="s">
        <v>71</v>
      </c>
      <c r="P753" s="168" t="s">
        <v>2914</v>
      </c>
      <c r="Q753" s="4" t="s">
        <v>47</v>
      </c>
      <c r="R753" s="172"/>
      <c r="S753" s="172"/>
      <c r="T753" s="172"/>
      <c r="U753" s="172"/>
      <c r="V753" s="172"/>
      <c r="W753" s="172"/>
      <c r="X753" s="172"/>
      <c r="Y753" s="172"/>
      <c r="Z753" s="172"/>
    </row>
    <row r="754" spans="1:26" ht="13.8">
      <c r="A754" s="166">
        <v>133</v>
      </c>
      <c r="B754" s="168" t="s">
        <v>3281</v>
      </c>
      <c r="C754" s="4" t="s">
        <v>71</v>
      </c>
      <c r="D754" s="4" t="s">
        <v>3282</v>
      </c>
      <c r="E754" s="4" t="s">
        <v>71</v>
      </c>
      <c r="F754" s="4" t="s">
        <v>1410</v>
      </c>
      <c r="G754" s="4" t="s">
        <v>1401</v>
      </c>
      <c r="H754" s="4" t="s">
        <v>1463</v>
      </c>
      <c r="I754" s="4" t="s">
        <v>1464</v>
      </c>
      <c r="J754" s="4" t="s">
        <v>71</v>
      </c>
      <c r="K754" s="4">
        <v>8657913169</v>
      </c>
      <c r="L754" s="4" t="s">
        <v>3268</v>
      </c>
      <c r="M754" s="4">
        <v>8657913169</v>
      </c>
      <c r="N754" s="4" t="s">
        <v>71</v>
      </c>
      <c r="O754" s="4" t="s">
        <v>71</v>
      </c>
      <c r="P754" s="168" t="s">
        <v>1405</v>
      </c>
      <c r="Q754" s="4" t="s">
        <v>47</v>
      </c>
      <c r="R754" s="172"/>
      <c r="S754" s="172"/>
      <c r="T754" s="172"/>
      <c r="U754" s="172"/>
      <c r="V754" s="172"/>
      <c r="W754" s="172"/>
      <c r="X754" s="172"/>
      <c r="Y754" s="172"/>
      <c r="Z754" s="172"/>
    </row>
    <row r="755" spans="1:26" ht="13.8">
      <c r="A755" s="166"/>
      <c r="B755" s="4"/>
      <c r="C755" s="4"/>
      <c r="D755" s="4"/>
      <c r="E755" s="4"/>
      <c r="F755" s="4"/>
      <c r="G755" s="4"/>
      <c r="H755" s="4"/>
      <c r="I755" s="4"/>
      <c r="J755" s="4"/>
      <c r="K755" s="4"/>
      <c r="L755" s="4"/>
      <c r="M755" s="4"/>
      <c r="N755" s="4"/>
      <c r="O755" s="4"/>
      <c r="P755" s="4"/>
      <c r="Q755" s="4"/>
      <c r="R755" s="172"/>
      <c r="S755" s="172"/>
      <c r="T755" s="172"/>
      <c r="U755" s="172"/>
      <c r="V755" s="172"/>
      <c r="W755" s="172"/>
      <c r="X755" s="172"/>
      <c r="Y755" s="172"/>
      <c r="Z755" s="172"/>
    </row>
    <row r="756" spans="1:26" ht="13.8">
      <c r="A756" s="166"/>
      <c r="B756" s="4"/>
      <c r="C756" s="4"/>
      <c r="D756" s="4"/>
      <c r="E756" s="4"/>
      <c r="F756" s="4"/>
      <c r="G756" s="4"/>
      <c r="H756" s="4"/>
      <c r="I756" s="4"/>
      <c r="J756" s="4"/>
      <c r="K756" s="4"/>
      <c r="L756" s="4"/>
      <c r="M756" s="4"/>
      <c r="N756" s="4"/>
      <c r="O756" s="4"/>
      <c r="P756" s="4"/>
      <c r="Q756" s="4"/>
      <c r="R756" s="172"/>
      <c r="S756" s="172"/>
      <c r="T756" s="172"/>
      <c r="U756" s="172"/>
      <c r="V756" s="172"/>
      <c r="W756" s="172"/>
      <c r="X756" s="172"/>
      <c r="Y756" s="172"/>
      <c r="Z756" s="172"/>
    </row>
    <row r="757" spans="1:26" ht="13.8">
      <c r="A757" s="166"/>
      <c r="B757" s="4"/>
      <c r="C757" s="4"/>
      <c r="D757" s="4"/>
      <c r="E757" s="4"/>
      <c r="F757" s="4"/>
      <c r="G757" s="4"/>
      <c r="H757" s="4"/>
      <c r="I757" s="4"/>
      <c r="J757" s="4"/>
      <c r="K757" s="4"/>
      <c r="L757" s="4"/>
      <c r="M757" s="4"/>
      <c r="N757" s="4"/>
      <c r="O757" s="4"/>
      <c r="P757" s="4"/>
      <c r="Q757" s="4"/>
      <c r="R757" s="172"/>
      <c r="S757" s="172"/>
      <c r="T757" s="172"/>
      <c r="U757" s="172"/>
      <c r="V757" s="172"/>
      <c r="W757" s="172"/>
      <c r="X757" s="172"/>
      <c r="Y757" s="172"/>
      <c r="Z757" s="172"/>
    </row>
    <row r="758" spans="1:26" ht="13.8">
      <c r="A758" s="166"/>
      <c r="B758" s="4"/>
      <c r="C758" s="4"/>
      <c r="D758" s="4"/>
      <c r="E758" s="4"/>
      <c r="F758" s="4"/>
      <c r="G758" s="4"/>
      <c r="H758" s="4"/>
      <c r="I758" s="4"/>
      <c r="J758" s="4"/>
      <c r="K758" s="4"/>
      <c r="L758" s="4"/>
      <c r="M758" s="4"/>
      <c r="N758" s="4"/>
      <c r="O758" s="4"/>
      <c r="P758" s="4"/>
      <c r="Q758" s="4"/>
      <c r="R758" s="172"/>
      <c r="S758" s="172"/>
      <c r="T758" s="172"/>
      <c r="U758" s="172"/>
      <c r="V758" s="172"/>
      <c r="W758" s="172"/>
      <c r="X758" s="172"/>
      <c r="Y758" s="172"/>
      <c r="Z758" s="172"/>
    </row>
    <row r="759" spans="1:26" ht="13.8">
      <c r="A759" s="166"/>
      <c r="B759" s="4"/>
      <c r="C759" s="4"/>
      <c r="D759" s="4"/>
      <c r="E759" s="4"/>
      <c r="F759" s="4"/>
      <c r="G759" s="4"/>
      <c r="H759" s="4"/>
      <c r="I759" s="4"/>
      <c r="J759" s="4"/>
      <c r="K759" s="4"/>
      <c r="L759" s="4"/>
      <c r="M759" s="4"/>
      <c r="N759" s="4"/>
      <c r="O759" s="4"/>
      <c r="P759" s="4"/>
      <c r="Q759" s="4"/>
      <c r="R759" s="172"/>
      <c r="S759" s="172"/>
      <c r="T759" s="172"/>
      <c r="U759" s="172"/>
      <c r="V759" s="172"/>
      <c r="W759" s="172"/>
      <c r="X759" s="172"/>
      <c r="Y759" s="172"/>
      <c r="Z759" s="172"/>
    </row>
    <row r="760" spans="1:26" ht="13.2">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row>
    <row r="761" spans="1:26" ht="13.2">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row>
    <row r="762" spans="1:26" ht="13.2">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row>
    <row r="763" spans="1:26" ht="13.2">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row>
    <row r="764" spans="1:26" ht="13.2">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row>
    <row r="765" spans="1:26" ht="13.2">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row>
    <row r="766" spans="1:26" ht="13.2">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row>
    <row r="767" spans="1:26" ht="13.2">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row>
    <row r="768" spans="1:26" ht="13.2">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row>
    <row r="769" spans="1:26" ht="13.2">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row>
    <row r="770" spans="1:26" ht="13.2">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row>
    <row r="771" spans="1:26" ht="13.2">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row>
    <row r="772" spans="1:26" ht="13.8">
      <c r="A772" s="166"/>
      <c r="B772" s="4"/>
      <c r="C772" s="4"/>
      <c r="D772" s="4"/>
      <c r="E772" s="4"/>
      <c r="F772" s="4"/>
      <c r="G772" s="4"/>
      <c r="H772" s="4"/>
      <c r="I772" s="4"/>
      <c r="J772" s="4"/>
      <c r="K772" s="4"/>
      <c r="L772" s="4"/>
      <c r="M772" s="4"/>
      <c r="N772" s="4"/>
      <c r="O772" s="4"/>
      <c r="P772" s="4"/>
      <c r="Q772" s="4"/>
      <c r="R772" s="172"/>
      <c r="S772" s="172"/>
      <c r="T772" s="172"/>
      <c r="U772" s="172"/>
      <c r="V772" s="172"/>
      <c r="W772" s="172"/>
      <c r="X772" s="172"/>
      <c r="Y772" s="172"/>
      <c r="Z772" s="172"/>
    </row>
    <row r="773" spans="1:26" ht="13.2">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row>
    <row r="774" spans="1:26" ht="13.2">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row>
    <row r="775" spans="1:26" ht="13.2">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row>
    <row r="776" spans="1:26" ht="13.2">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row>
    <row r="777" spans="1:26" ht="13.2">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row>
    <row r="778" spans="1:26" ht="13.2">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row>
    <row r="779" spans="1:26" ht="13.2">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row>
    <row r="780" spans="1:26" ht="13.2">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row>
    <row r="781" spans="1:26" ht="13.2">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row>
    <row r="782" spans="1:26" ht="13.2">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row>
    <row r="783" spans="1:26" ht="13.2">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row>
    <row r="784" spans="1:26" ht="13.2">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row>
  </sheetData>
  <hyperlinks>
    <hyperlink ref="A1" r:id="rId1" xr:uid="{00000000-0004-0000-0800-000000000000}"/>
    <hyperlink ref="P2" r:id="rId2" xr:uid="{00000000-0004-0000-0800-000001000000}"/>
    <hyperlink ref="P3" r:id="rId3" xr:uid="{00000000-0004-0000-0800-000002000000}"/>
    <hyperlink ref="P5" r:id="rId4" xr:uid="{00000000-0004-0000-0800-000003000000}"/>
    <hyperlink ref="P7" r:id="rId5" xr:uid="{00000000-0004-0000-0800-000004000000}"/>
    <hyperlink ref="P11" r:id="rId6" xr:uid="{00000000-0004-0000-0800-000005000000}"/>
    <hyperlink ref="P12" r:id="rId7" xr:uid="{00000000-0004-0000-0800-000006000000}"/>
    <hyperlink ref="P14" r:id="rId8" xr:uid="{00000000-0004-0000-0800-000007000000}"/>
    <hyperlink ref="P15" r:id="rId9" xr:uid="{00000000-0004-0000-0800-000008000000}"/>
    <hyperlink ref="P16" r:id="rId10" xr:uid="{00000000-0004-0000-0800-000009000000}"/>
    <hyperlink ref="P17" r:id="rId11" xr:uid="{00000000-0004-0000-0800-00000A000000}"/>
    <hyperlink ref="P18" r:id="rId12" xr:uid="{00000000-0004-0000-0800-00000B000000}"/>
    <hyperlink ref="P22" r:id="rId13" xr:uid="{00000000-0004-0000-0800-00000C000000}"/>
    <hyperlink ref="P23" r:id="rId14" xr:uid="{00000000-0004-0000-0800-00000D000000}"/>
    <hyperlink ref="P24" r:id="rId15" xr:uid="{00000000-0004-0000-0800-00000E000000}"/>
    <hyperlink ref="P25" r:id="rId16" xr:uid="{00000000-0004-0000-0800-00000F000000}"/>
    <hyperlink ref="P232" r:id="rId17" xr:uid="{00000000-0004-0000-0800-000010000000}"/>
    <hyperlink ref="P235" r:id="rId18" xr:uid="{00000000-0004-0000-0800-000011000000}"/>
    <hyperlink ref="P239" r:id="rId19" xr:uid="{00000000-0004-0000-0800-000012000000}"/>
    <hyperlink ref="P240" r:id="rId20" xr:uid="{00000000-0004-0000-0800-000013000000}"/>
    <hyperlink ref="O241" r:id="rId21" xr:uid="{00000000-0004-0000-0800-000014000000}"/>
    <hyperlink ref="P241" r:id="rId22" xr:uid="{00000000-0004-0000-0800-000015000000}"/>
    <hyperlink ref="P242" r:id="rId23" xr:uid="{00000000-0004-0000-0800-000016000000}"/>
    <hyperlink ref="P245" r:id="rId24" xr:uid="{00000000-0004-0000-0800-000017000000}"/>
    <hyperlink ref="P246" r:id="rId25" xr:uid="{00000000-0004-0000-0800-000018000000}"/>
    <hyperlink ref="P248" r:id="rId26" xr:uid="{00000000-0004-0000-0800-000019000000}"/>
    <hyperlink ref="P252" r:id="rId27" xr:uid="{00000000-0004-0000-0800-00001A000000}"/>
    <hyperlink ref="P253" r:id="rId28" xr:uid="{00000000-0004-0000-0800-00001B000000}"/>
    <hyperlink ref="P256" r:id="rId29" xr:uid="{00000000-0004-0000-0800-00001C000000}"/>
    <hyperlink ref="P258" r:id="rId30" xr:uid="{00000000-0004-0000-0800-00001D000000}"/>
    <hyperlink ref="P259" r:id="rId31" xr:uid="{00000000-0004-0000-0800-00001E000000}"/>
    <hyperlink ref="P266" r:id="rId32" xr:uid="{00000000-0004-0000-0800-00001F000000}"/>
    <hyperlink ref="P267" r:id="rId33" xr:uid="{00000000-0004-0000-0800-000020000000}"/>
    <hyperlink ref="P289" r:id="rId34" xr:uid="{00000000-0004-0000-0800-000021000000}"/>
    <hyperlink ref="P290" r:id="rId35" xr:uid="{00000000-0004-0000-0800-000022000000}"/>
    <hyperlink ref="P291" r:id="rId36" xr:uid="{00000000-0004-0000-0800-000023000000}"/>
    <hyperlink ref="P293" r:id="rId37" xr:uid="{00000000-0004-0000-0800-000024000000}"/>
    <hyperlink ref="P296" r:id="rId38" xr:uid="{00000000-0004-0000-0800-000025000000}"/>
    <hyperlink ref="P297" r:id="rId39" xr:uid="{00000000-0004-0000-0800-000026000000}"/>
    <hyperlink ref="P299" r:id="rId40" xr:uid="{00000000-0004-0000-0800-000027000000}"/>
    <hyperlink ref="P300" r:id="rId41" xr:uid="{00000000-0004-0000-0800-000028000000}"/>
    <hyperlink ref="P303" r:id="rId42" xr:uid="{00000000-0004-0000-0800-000029000000}"/>
    <hyperlink ref="P305" r:id="rId43" xr:uid="{00000000-0004-0000-0800-00002A000000}"/>
    <hyperlink ref="P306" r:id="rId44" xr:uid="{00000000-0004-0000-0800-00002B000000}"/>
    <hyperlink ref="P309" r:id="rId45" xr:uid="{00000000-0004-0000-0800-00002C000000}"/>
    <hyperlink ref="P310" r:id="rId46" xr:uid="{00000000-0004-0000-0800-00002D000000}"/>
    <hyperlink ref="P311" r:id="rId47" xr:uid="{00000000-0004-0000-0800-00002E000000}"/>
    <hyperlink ref="P326" r:id="rId48" xr:uid="{00000000-0004-0000-0800-00002F000000}"/>
    <hyperlink ref="O327" r:id="rId49" xr:uid="{00000000-0004-0000-0800-000030000000}"/>
    <hyperlink ref="P327" r:id="rId50" xr:uid="{00000000-0004-0000-0800-000031000000}"/>
    <hyperlink ref="P329" r:id="rId51" xr:uid="{00000000-0004-0000-0800-000032000000}"/>
    <hyperlink ref="P330" r:id="rId52" xr:uid="{00000000-0004-0000-0800-000033000000}"/>
    <hyperlink ref="P332" r:id="rId53" xr:uid="{00000000-0004-0000-0800-000034000000}"/>
    <hyperlink ref="P331" r:id="rId54" xr:uid="{00000000-0004-0000-0800-000035000000}"/>
    <hyperlink ref="P333" r:id="rId55" xr:uid="{00000000-0004-0000-0800-000036000000}"/>
    <hyperlink ref="P334" r:id="rId56" xr:uid="{00000000-0004-0000-0800-000037000000}"/>
    <hyperlink ref="P335" r:id="rId57" xr:uid="{00000000-0004-0000-0800-000038000000}"/>
    <hyperlink ref="P336" r:id="rId58" xr:uid="{00000000-0004-0000-0800-000039000000}"/>
    <hyperlink ref="P337" r:id="rId59" xr:uid="{00000000-0004-0000-0800-00003A000000}"/>
    <hyperlink ref="P340" r:id="rId60" xr:uid="{00000000-0004-0000-0800-00003B000000}"/>
    <hyperlink ref="P341" r:id="rId61" xr:uid="{00000000-0004-0000-0800-00003C000000}"/>
    <hyperlink ref="P342" r:id="rId62" xr:uid="{00000000-0004-0000-0800-00003D000000}"/>
    <hyperlink ref="P343" r:id="rId63" xr:uid="{00000000-0004-0000-0800-00003E000000}"/>
    <hyperlink ref="P344" r:id="rId64" xr:uid="{00000000-0004-0000-0800-00003F000000}"/>
    <hyperlink ref="P345" r:id="rId65" xr:uid="{00000000-0004-0000-0800-000040000000}"/>
    <hyperlink ref="P346" r:id="rId66" xr:uid="{00000000-0004-0000-0800-000041000000}"/>
    <hyperlink ref="P347" r:id="rId67" xr:uid="{00000000-0004-0000-0800-000042000000}"/>
    <hyperlink ref="P348" r:id="rId68" xr:uid="{00000000-0004-0000-0800-000043000000}"/>
    <hyperlink ref="P386" r:id="rId69" xr:uid="{00000000-0004-0000-0800-000044000000}"/>
    <hyperlink ref="P393" r:id="rId70" xr:uid="{00000000-0004-0000-0800-000045000000}"/>
    <hyperlink ref="P394" r:id="rId71" xr:uid="{00000000-0004-0000-0800-000046000000}"/>
    <hyperlink ref="P395" r:id="rId72" xr:uid="{00000000-0004-0000-0800-000047000000}"/>
    <hyperlink ref="P396" r:id="rId73" xr:uid="{00000000-0004-0000-0800-000048000000}"/>
    <hyperlink ref="P397" r:id="rId74" xr:uid="{00000000-0004-0000-0800-000049000000}"/>
    <hyperlink ref="P398" r:id="rId75" xr:uid="{00000000-0004-0000-0800-00004A000000}"/>
    <hyperlink ref="P399" r:id="rId76" xr:uid="{00000000-0004-0000-0800-00004B000000}"/>
    <hyperlink ref="B754" r:id="rId77" xr:uid="{00000000-0004-0000-0800-00004C000000}"/>
    <hyperlink ref="P754" r:id="rId78" xr:uid="{00000000-0004-0000-0800-00004D000000}"/>
    <hyperlink ref="P400" r:id="rId79" xr:uid="{00000000-0004-0000-0800-00004E000000}"/>
    <hyperlink ref="P401" r:id="rId80" xr:uid="{00000000-0004-0000-0800-00004F000000}"/>
    <hyperlink ref="P402" r:id="rId81" xr:uid="{00000000-0004-0000-0800-000050000000}"/>
    <hyperlink ref="P403" r:id="rId82" xr:uid="{00000000-0004-0000-0800-000051000000}"/>
    <hyperlink ref="P404" r:id="rId83" xr:uid="{00000000-0004-0000-0800-000052000000}"/>
    <hyperlink ref="P405" r:id="rId84" xr:uid="{00000000-0004-0000-0800-000053000000}"/>
    <hyperlink ref="P447" r:id="rId85" xr:uid="{00000000-0004-0000-0800-000054000000}"/>
    <hyperlink ref="P406" r:id="rId86" xr:uid="{00000000-0004-0000-0800-000055000000}"/>
    <hyperlink ref="P387" r:id="rId87" xr:uid="{00000000-0004-0000-0800-000056000000}"/>
    <hyperlink ref="P388" r:id="rId88" xr:uid="{00000000-0004-0000-0800-000057000000}"/>
    <hyperlink ref="P389" r:id="rId89" xr:uid="{00000000-0004-0000-0800-000058000000}"/>
    <hyperlink ref="P390" r:id="rId90" xr:uid="{00000000-0004-0000-0800-000059000000}"/>
    <hyperlink ref="P391" r:id="rId91" xr:uid="{00000000-0004-0000-0800-00005A000000}"/>
    <hyperlink ref="P417" r:id="rId92" xr:uid="{00000000-0004-0000-0800-00005B000000}"/>
    <hyperlink ref="P418" r:id="rId93" xr:uid="{00000000-0004-0000-0800-00005C000000}"/>
    <hyperlink ref="P448" r:id="rId94" xr:uid="{00000000-0004-0000-0800-00005D000000}"/>
    <hyperlink ref="P449" r:id="rId95" xr:uid="{00000000-0004-0000-0800-00005E000000}"/>
    <hyperlink ref="P450" r:id="rId96" xr:uid="{00000000-0004-0000-0800-00005F000000}"/>
    <hyperlink ref="P451" r:id="rId97" xr:uid="{00000000-0004-0000-0800-000060000000}"/>
    <hyperlink ref="P452" r:id="rId98" xr:uid="{00000000-0004-0000-0800-000061000000}"/>
    <hyperlink ref="P453" r:id="rId99" xr:uid="{00000000-0004-0000-0800-000062000000}"/>
    <hyperlink ref="P454" r:id="rId100" xr:uid="{00000000-0004-0000-0800-000063000000}"/>
    <hyperlink ref="P455" r:id="rId101" xr:uid="{00000000-0004-0000-0800-000064000000}"/>
    <hyperlink ref="P456" r:id="rId102" xr:uid="{00000000-0004-0000-0800-000065000000}"/>
    <hyperlink ref="P461" r:id="rId103" xr:uid="{00000000-0004-0000-0800-000066000000}"/>
    <hyperlink ref="P462" r:id="rId104" xr:uid="{00000000-0004-0000-0800-000067000000}"/>
    <hyperlink ref="P467" r:id="rId105" xr:uid="{00000000-0004-0000-0800-000068000000}"/>
    <hyperlink ref="P475" r:id="rId106" xr:uid="{00000000-0004-0000-0800-000069000000}"/>
    <hyperlink ref="P484" r:id="rId107" xr:uid="{00000000-0004-0000-0800-00006A000000}"/>
    <hyperlink ref="P487" r:id="rId108" xr:uid="{00000000-0004-0000-0800-00006B000000}"/>
    <hyperlink ref="P490" r:id="rId109" xr:uid="{00000000-0004-0000-0800-00006C000000}"/>
    <hyperlink ref="P495" r:id="rId110" xr:uid="{00000000-0004-0000-0800-00006D000000}"/>
    <hyperlink ref="P498" r:id="rId111" xr:uid="{00000000-0004-0000-0800-00006E000000}"/>
    <hyperlink ref="P500" r:id="rId112" xr:uid="{00000000-0004-0000-0800-00006F000000}"/>
    <hyperlink ref="P502" r:id="rId113" xr:uid="{00000000-0004-0000-0800-000070000000}"/>
    <hyperlink ref="P506" r:id="rId114" xr:uid="{00000000-0004-0000-0800-000071000000}"/>
    <hyperlink ref="P507" r:id="rId115" xr:uid="{00000000-0004-0000-0800-000072000000}"/>
    <hyperlink ref="P508" r:id="rId116" xr:uid="{00000000-0004-0000-0800-000073000000}"/>
    <hyperlink ref="P509" r:id="rId117" xr:uid="{00000000-0004-0000-0800-000074000000}"/>
    <hyperlink ref="P512" r:id="rId118" xr:uid="{00000000-0004-0000-0800-000075000000}"/>
    <hyperlink ref="P531" r:id="rId119" xr:uid="{00000000-0004-0000-0800-000076000000}"/>
    <hyperlink ref="P532" r:id="rId120" xr:uid="{00000000-0004-0000-0800-000077000000}"/>
    <hyperlink ref="P543" r:id="rId121" xr:uid="{00000000-0004-0000-0800-000078000000}"/>
    <hyperlink ref="O548" r:id="rId122" xr:uid="{00000000-0004-0000-0800-000079000000}"/>
    <hyperlink ref="P548" r:id="rId123" xr:uid="{00000000-0004-0000-0800-00007A000000}"/>
    <hyperlink ref="P549" r:id="rId124" xr:uid="{00000000-0004-0000-0800-00007B000000}"/>
    <hyperlink ref="O648" r:id="rId125" xr:uid="{00000000-0004-0000-0800-00007C000000}"/>
    <hyperlink ref="P648" r:id="rId126" xr:uid="{00000000-0004-0000-0800-00007D000000}"/>
    <hyperlink ref="P653" r:id="rId127" xr:uid="{00000000-0004-0000-0800-00007E000000}"/>
    <hyperlink ref="P654" r:id="rId128" xr:uid="{00000000-0004-0000-0800-00007F000000}"/>
    <hyperlink ref="P655" r:id="rId129" xr:uid="{00000000-0004-0000-0800-000080000000}"/>
    <hyperlink ref="P257" r:id="rId130" xr:uid="{00000000-0004-0000-0800-000081000000}"/>
    <hyperlink ref="P268" r:id="rId131" xr:uid="{00000000-0004-0000-0800-000082000000}"/>
    <hyperlink ref="P269" r:id="rId132" xr:uid="{00000000-0004-0000-0800-000083000000}"/>
    <hyperlink ref="P270" r:id="rId133" xr:uid="{00000000-0004-0000-0800-000084000000}"/>
    <hyperlink ref="P271" r:id="rId134" xr:uid="{00000000-0004-0000-0800-000085000000}"/>
    <hyperlink ref="P272" r:id="rId135" xr:uid="{00000000-0004-0000-0800-000086000000}"/>
    <hyperlink ref="P273" r:id="rId136" xr:uid="{00000000-0004-0000-0800-000087000000}"/>
    <hyperlink ref="P274" r:id="rId137" xr:uid="{00000000-0004-0000-0800-000088000000}"/>
    <hyperlink ref="P275" r:id="rId138" xr:uid="{00000000-0004-0000-0800-000089000000}"/>
    <hyperlink ref="P276" r:id="rId139" xr:uid="{00000000-0004-0000-0800-00008A000000}"/>
    <hyperlink ref="P277" r:id="rId140" xr:uid="{00000000-0004-0000-0800-00008B000000}"/>
    <hyperlink ref="P278" r:id="rId141" xr:uid="{00000000-0004-0000-0800-00008C000000}"/>
    <hyperlink ref="P279" r:id="rId142" xr:uid="{00000000-0004-0000-0800-00008D000000}"/>
    <hyperlink ref="P280" r:id="rId143" xr:uid="{00000000-0004-0000-0800-00008E000000}"/>
    <hyperlink ref="P281" r:id="rId144" xr:uid="{00000000-0004-0000-0800-00008F000000}"/>
    <hyperlink ref="P282" r:id="rId145" xr:uid="{00000000-0004-0000-0800-000090000000}"/>
    <hyperlink ref="P283" r:id="rId146" xr:uid="{00000000-0004-0000-0800-000091000000}"/>
    <hyperlink ref="P284" r:id="rId147" xr:uid="{00000000-0004-0000-0800-000092000000}"/>
    <hyperlink ref="P285" r:id="rId148" xr:uid="{00000000-0004-0000-0800-000093000000}"/>
    <hyperlink ref="P286" r:id="rId149" xr:uid="{00000000-0004-0000-0800-000094000000}"/>
    <hyperlink ref="P287" r:id="rId150" xr:uid="{00000000-0004-0000-0800-000095000000}"/>
    <hyperlink ref="P350" r:id="rId151" xr:uid="{00000000-0004-0000-0800-000096000000}"/>
    <hyperlink ref="P351" r:id="rId152" xr:uid="{00000000-0004-0000-0800-000097000000}"/>
    <hyperlink ref="P352" r:id="rId153" xr:uid="{00000000-0004-0000-0800-000098000000}"/>
    <hyperlink ref="P353" r:id="rId154" xr:uid="{00000000-0004-0000-0800-000099000000}"/>
    <hyperlink ref="P354" r:id="rId155" xr:uid="{00000000-0004-0000-0800-00009A000000}"/>
    <hyperlink ref="P355" r:id="rId156" xr:uid="{00000000-0004-0000-0800-00009B000000}"/>
    <hyperlink ref="P356" r:id="rId157" xr:uid="{00000000-0004-0000-0800-00009C000000}"/>
    <hyperlink ref="P357" r:id="rId158" xr:uid="{00000000-0004-0000-0800-00009D000000}"/>
    <hyperlink ref="P358" r:id="rId159" xr:uid="{00000000-0004-0000-0800-00009E000000}"/>
    <hyperlink ref="P359" r:id="rId160" xr:uid="{00000000-0004-0000-0800-00009F000000}"/>
    <hyperlink ref="P360" r:id="rId161" xr:uid="{00000000-0004-0000-0800-0000A0000000}"/>
    <hyperlink ref="P361" r:id="rId162" xr:uid="{00000000-0004-0000-0800-0000A1000000}"/>
    <hyperlink ref="P362" r:id="rId163" xr:uid="{00000000-0004-0000-0800-0000A2000000}"/>
    <hyperlink ref="P365" r:id="rId164" xr:uid="{00000000-0004-0000-0800-0000A3000000}"/>
    <hyperlink ref="P349" r:id="rId165" xr:uid="{00000000-0004-0000-0800-0000A4000000}"/>
    <hyperlink ref="P366" r:id="rId166" xr:uid="{00000000-0004-0000-0800-0000A5000000}"/>
    <hyperlink ref="P367" r:id="rId167" xr:uid="{00000000-0004-0000-0800-0000A6000000}"/>
    <hyperlink ref="P369" r:id="rId168" xr:uid="{00000000-0004-0000-0800-0000A7000000}"/>
    <hyperlink ref="P370" r:id="rId169" xr:uid="{00000000-0004-0000-0800-0000A8000000}"/>
    <hyperlink ref="P371" r:id="rId170" xr:uid="{00000000-0004-0000-0800-0000A9000000}"/>
    <hyperlink ref="P372" r:id="rId171" xr:uid="{00000000-0004-0000-0800-0000AA000000}"/>
    <hyperlink ref="P373" r:id="rId172" xr:uid="{00000000-0004-0000-0800-0000AB000000}"/>
    <hyperlink ref="P374" r:id="rId173" xr:uid="{00000000-0004-0000-0800-0000AC000000}"/>
    <hyperlink ref="P375" r:id="rId174" xr:uid="{00000000-0004-0000-0800-0000AD000000}"/>
    <hyperlink ref="P376" r:id="rId175" xr:uid="{00000000-0004-0000-0800-0000AE000000}"/>
    <hyperlink ref="P377" r:id="rId176" xr:uid="{00000000-0004-0000-0800-0000AF000000}"/>
    <hyperlink ref="P378" r:id="rId177" xr:uid="{00000000-0004-0000-0800-0000B0000000}"/>
    <hyperlink ref="P379" r:id="rId178" xr:uid="{00000000-0004-0000-0800-0000B1000000}"/>
    <hyperlink ref="P380" r:id="rId179" xr:uid="{00000000-0004-0000-0800-0000B2000000}"/>
    <hyperlink ref="P381" r:id="rId180" xr:uid="{00000000-0004-0000-0800-0000B3000000}"/>
    <hyperlink ref="P384" r:id="rId181" xr:uid="{00000000-0004-0000-0800-0000B4000000}"/>
    <hyperlink ref="P382" r:id="rId182" xr:uid="{00000000-0004-0000-0800-0000B5000000}"/>
    <hyperlink ref="P383" r:id="rId183" xr:uid="{00000000-0004-0000-0800-0000B6000000}"/>
    <hyperlink ref="P407" r:id="rId184" xr:uid="{00000000-0004-0000-0800-0000B7000000}"/>
    <hyperlink ref="P408" r:id="rId185" xr:uid="{00000000-0004-0000-0800-0000B8000000}"/>
    <hyperlink ref="P409" r:id="rId186" xr:uid="{00000000-0004-0000-0800-0000B9000000}"/>
    <hyperlink ref="P410" r:id="rId187" xr:uid="{00000000-0004-0000-0800-0000BA000000}"/>
    <hyperlink ref="P411" r:id="rId188" xr:uid="{00000000-0004-0000-0800-0000BB000000}"/>
    <hyperlink ref="P412" r:id="rId189" xr:uid="{00000000-0004-0000-0800-0000BC000000}"/>
    <hyperlink ref="P413" r:id="rId190" xr:uid="{00000000-0004-0000-0800-0000BD000000}"/>
    <hyperlink ref="P414" r:id="rId191" xr:uid="{00000000-0004-0000-0800-0000BE000000}"/>
    <hyperlink ref="P415" r:id="rId192" xr:uid="{00000000-0004-0000-0800-0000BF000000}"/>
    <hyperlink ref="P416" r:id="rId193" xr:uid="{00000000-0004-0000-0800-0000C0000000}"/>
    <hyperlink ref="P463" r:id="rId194" xr:uid="{00000000-0004-0000-0800-0000C1000000}"/>
    <hyperlink ref="P464" r:id="rId195" xr:uid="{00000000-0004-0000-0800-0000C2000000}"/>
    <hyperlink ref="P476" r:id="rId196" xr:uid="{00000000-0004-0000-0800-0000C3000000}"/>
    <hyperlink ref="P497" r:id="rId197" xr:uid="{00000000-0004-0000-0800-0000C4000000}"/>
    <hyperlink ref="P518" r:id="rId198" xr:uid="{00000000-0004-0000-0800-0000C5000000}"/>
    <hyperlink ref="P519" r:id="rId199" xr:uid="{00000000-0004-0000-0800-0000C6000000}"/>
    <hyperlink ref="P520" r:id="rId200" xr:uid="{00000000-0004-0000-0800-0000C7000000}"/>
    <hyperlink ref="P552" r:id="rId201" xr:uid="{00000000-0004-0000-0800-0000C8000000}"/>
    <hyperlink ref="P556" r:id="rId202" xr:uid="{00000000-0004-0000-0800-0000C9000000}"/>
    <hyperlink ref="P557" r:id="rId203" xr:uid="{00000000-0004-0000-0800-0000CA000000}"/>
    <hyperlink ref="P558" r:id="rId204" xr:uid="{00000000-0004-0000-0800-0000CB000000}"/>
    <hyperlink ref="P559" r:id="rId205" xr:uid="{00000000-0004-0000-0800-0000CC000000}"/>
    <hyperlink ref="P560" r:id="rId206" xr:uid="{00000000-0004-0000-0800-0000CD000000}"/>
    <hyperlink ref="P561" r:id="rId207" xr:uid="{00000000-0004-0000-0800-0000CE000000}"/>
    <hyperlink ref="P564" r:id="rId208" xr:uid="{00000000-0004-0000-0800-0000CF000000}"/>
    <hyperlink ref="P566" r:id="rId209" xr:uid="{00000000-0004-0000-0800-0000D0000000}"/>
    <hyperlink ref="P567" r:id="rId210" xr:uid="{00000000-0004-0000-0800-0000D1000000}"/>
    <hyperlink ref="P568" r:id="rId211" xr:uid="{00000000-0004-0000-0800-0000D2000000}"/>
    <hyperlink ref="P569" r:id="rId212" xr:uid="{00000000-0004-0000-0800-0000D3000000}"/>
    <hyperlink ref="P570" r:id="rId213" xr:uid="{00000000-0004-0000-0800-0000D4000000}"/>
    <hyperlink ref="P572" r:id="rId214" xr:uid="{00000000-0004-0000-0800-0000D5000000}"/>
    <hyperlink ref="P576" r:id="rId215" xr:uid="{00000000-0004-0000-0800-0000D6000000}"/>
    <hyperlink ref="P577" r:id="rId216" xr:uid="{00000000-0004-0000-0800-0000D7000000}"/>
    <hyperlink ref="P592" r:id="rId217" xr:uid="{00000000-0004-0000-0800-0000D8000000}"/>
    <hyperlink ref="P593" r:id="rId218" xr:uid="{00000000-0004-0000-0800-0000D9000000}"/>
    <hyperlink ref="P603" r:id="rId219" xr:uid="{00000000-0004-0000-0800-0000DA000000}"/>
    <hyperlink ref="P657" r:id="rId220" xr:uid="{00000000-0004-0000-0800-0000DB000000}"/>
    <hyperlink ref="P659" r:id="rId221" xr:uid="{00000000-0004-0000-0800-0000DC000000}"/>
    <hyperlink ref="O551" r:id="rId222" xr:uid="{00000000-0004-0000-0800-0000DD000000}"/>
    <hyperlink ref="P551" r:id="rId223" xr:uid="{00000000-0004-0000-0800-0000DE000000}"/>
    <hyperlink ref="P608" r:id="rId224" xr:uid="{00000000-0004-0000-0800-0000DF000000}"/>
    <hyperlink ref="P609" r:id="rId225" xr:uid="{00000000-0004-0000-0800-0000E0000000}"/>
    <hyperlink ref="P613" r:id="rId226" xr:uid="{00000000-0004-0000-0800-0000E1000000}"/>
    <hyperlink ref="O615" r:id="rId227" xr:uid="{00000000-0004-0000-0800-0000E2000000}"/>
    <hyperlink ref="P616" r:id="rId228" xr:uid="{00000000-0004-0000-0800-0000E3000000}"/>
    <hyperlink ref="O617" r:id="rId229" xr:uid="{00000000-0004-0000-0800-0000E4000000}"/>
    <hyperlink ref="P617" r:id="rId230" xr:uid="{00000000-0004-0000-0800-0000E5000000}"/>
    <hyperlink ref="P620" r:id="rId231" xr:uid="{00000000-0004-0000-0800-0000E6000000}"/>
    <hyperlink ref="O621" r:id="rId232" xr:uid="{00000000-0004-0000-0800-0000E7000000}"/>
    <hyperlink ref="P621" r:id="rId233" xr:uid="{00000000-0004-0000-0800-0000E8000000}"/>
    <hyperlink ref="P622" r:id="rId234" xr:uid="{00000000-0004-0000-0800-0000E9000000}"/>
    <hyperlink ref="P623" r:id="rId235" xr:uid="{00000000-0004-0000-0800-0000EA000000}"/>
    <hyperlink ref="O626" r:id="rId236" xr:uid="{00000000-0004-0000-0800-0000EB000000}"/>
    <hyperlink ref="O628" r:id="rId237" xr:uid="{00000000-0004-0000-0800-0000EC000000}"/>
    <hyperlink ref="O632" r:id="rId238" xr:uid="{00000000-0004-0000-0800-0000ED000000}"/>
    <hyperlink ref="P632" r:id="rId239" xr:uid="{00000000-0004-0000-0800-0000EE000000}"/>
    <hyperlink ref="O638" r:id="rId240" xr:uid="{00000000-0004-0000-0800-0000EF000000}"/>
    <hyperlink ref="P638" r:id="rId241" xr:uid="{00000000-0004-0000-0800-0000F0000000}"/>
    <hyperlink ref="P639" r:id="rId242" xr:uid="{00000000-0004-0000-0800-0000F1000000}"/>
    <hyperlink ref="O645" r:id="rId243" xr:uid="{00000000-0004-0000-0800-0000F2000000}"/>
    <hyperlink ref="P645" r:id="rId244" xr:uid="{00000000-0004-0000-0800-0000F3000000}"/>
    <hyperlink ref="O696" r:id="rId245" xr:uid="{00000000-0004-0000-0800-0000F4000000}"/>
    <hyperlink ref="P696" r:id="rId246" xr:uid="{00000000-0004-0000-0800-0000F5000000}"/>
    <hyperlink ref="O697" r:id="rId247" xr:uid="{00000000-0004-0000-0800-0000F6000000}"/>
    <hyperlink ref="P698" r:id="rId248" xr:uid="{00000000-0004-0000-0800-0000F7000000}"/>
    <hyperlink ref="O699" r:id="rId249" xr:uid="{00000000-0004-0000-0800-0000F8000000}"/>
    <hyperlink ref="O700" r:id="rId250" xr:uid="{00000000-0004-0000-0800-0000F9000000}"/>
    <hyperlink ref="P700" r:id="rId251" xr:uid="{00000000-0004-0000-0800-0000FA000000}"/>
    <hyperlink ref="P705" r:id="rId252" xr:uid="{00000000-0004-0000-0800-0000FB000000}"/>
    <hyperlink ref="P708" r:id="rId253" xr:uid="{00000000-0004-0000-0800-0000FC000000}"/>
    <hyperlink ref="O710" r:id="rId254" xr:uid="{00000000-0004-0000-0800-0000FD000000}"/>
    <hyperlink ref="P710" r:id="rId255" xr:uid="{00000000-0004-0000-0800-0000FE000000}"/>
    <hyperlink ref="P712" r:id="rId256" xr:uid="{00000000-0004-0000-0800-0000FF000000}"/>
    <hyperlink ref="P713" r:id="rId257" xr:uid="{00000000-0004-0000-0800-000000010000}"/>
    <hyperlink ref="O714" r:id="rId258" xr:uid="{00000000-0004-0000-0800-000001010000}"/>
    <hyperlink ref="P714" r:id="rId259" xr:uid="{00000000-0004-0000-0800-000002010000}"/>
    <hyperlink ref="O719" r:id="rId260" xr:uid="{00000000-0004-0000-0800-000003010000}"/>
    <hyperlink ref="P719" r:id="rId261" xr:uid="{00000000-0004-0000-0800-000004010000}"/>
    <hyperlink ref="O720" r:id="rId262" xr:uid="{00000000-0004-0000-0800-000005010000}"/>
    <hyperlink ref="P721" r:id="rId263" xr:uid="{00000000-0004-0000-0800-000006010000}"/>
    <hyperlink ref="P722" r:id="rId264" xr:uid="{00000000-0004-0000-0800-000007010000}"/>
    <hyperlink ref="P723" r:id="rId265" xr:uid="{00000000-0004-0000-0800-000008010000}"/>
    <hyperlink ref="O724" r:id="rId266" xr:uid="{00000000-0004-0000-0800-000009010000}"/>
    <hyperlink ref="P726" r:id="rId267" xr:uid="{00000000-0004-0000-0800-00000A010000}"/>
    <hyperlink ref="P727" r:id="rId268" xr:uid="{00000000-0004-0000-0800-00000B010000}"/>
    <hyperlink ref="P660" r:id="rId269" xr:uid="{00000000-0004-0000-0800-00000C010000}"/>
    <hyperlink ref="P661" r:id="rId270" xr:uid="{00000000-0004-0000-0800-00000D010000}"/>
    <hyperlink ref="P662" r:id="rId271" xr:uid="{00000000-0004-0000-0800-00000E010000}"/>
    <hyperlink ref="P663" r:id="rId272" xr:uid="{00000000-0004-0000-0800-00000F010000}"/>
    <hyperlink ref="P664" r:id="rId273" xr:uid="{00000000-0004-0000-0800-000010010000}"/>
    <hyperlink ref="P665" r:id="rId274" xr:uid="{00000000-0004-0000-0800-000011010000}"/>
    <hyperlink ref="P666" r:id="rId275" xr:uid="{00000000-0004-0000-0800-000012010000}"/>
    <hyperlink ref="P667" r:id="rId276" xr:uid="{00000000-0004-0000-0800-000013010000}"/>
    <hyperlink ref="P668" r:id="rId277" xr:uid="{00000000-0004-0000-0800-000014010000}"/>
    <hyperlink ref="P669" r:id="rId278" xr:uid="{00000000-0004-0000-0800-000015010000}"/>
    <hyperlink ref="P670" r:id="rId279" xr:uid="{00000000-0004-0000-0800-000016010000}"/>
    <hyperlink ref="P671" r:id="rId280" xr:uid="{00000000-0004-0000-0800-000017010000}"/>
    <hyperlink ref="P672" r:id="rId281" xr:uid="{00000000-0004-0000-0800-000018010000}"/>
    <hyperlink ref="P673" r:id="rId282" xr:uid="{00000000-0004-0000-0800-000019010000}"/>
    <hyperlink ref="P674" r:id="rId283" xr:uid="{00000000-0004-0000-0800-00001A010000}"/>
    <hyperlink ref="P675" r:id="rId284" xr:uid="{00000000-0004-0000-0800-00001B010000}"/>
    <hyperlink ref="P676" r:id="rId285" xr:uid="{00000000-0004-0000-0800-00001C010000}"/>
    <hyperlink ref="P677" r:id="rId286" xr:uid="{00000000-0004-0000-0800-00001D010000}"/>
    <hyperlink ref="P678" r:id="rId287" xr:uid="{00000000-0004-0000-0800-00001E010000}"/>
    <hyperlink ref="P679" r:id="rId288" xr:uid="{00000000-0004-0000-0800-00001F010000}"/>
    <hyperlink ref="P680" r:id="rId289" xr:uid="{00000000-0004-0000-0800-000020010000}"/>
    <hyperlink ref="P681" r:id="rId290" xr:uid="{00000000-0004-0000-0800-000021010000}"/>
    <hyperlink ref="P682" r:id="rId291" xr:uid="{00000000-0004-0000-0800-000022010000}"/>
    <hyperlink ref="P683" r:id="rId292" xr:uid="{00000000-0004-0000-0800-000023010000}"/>
    <hyperlink ref="P684" r:id="rId293" xr:uid="{00000000-0004-0000-0800-000024010000}"/>
    <hyperlink ref="P685" r:id="rId294" xr:uid="{00000000-0004-0000-0800-000025010000}"/>
    <hyperlink ref="P686" r:id="rId295" xr:uid="{00000000-0004-0000-0800-000026010000}"/>
    <hyperlink ref="P687" r:id="rId296" xr:uid="{00000000-0004-0000-0800-000027010000}"/>
    <hyperlink ref="P688" r:id="rId297" xr:uid="{00000000-0004-0000-0800-000028010000}"/>
    <hyperlink ref="P689" r:id="rId298" xr:uid="{00000000-0004-0000-0800-000029010000}"/>
    <hyperlink ref="P690" r:id="rId299" xr:uid="{00000000-0004-0000-0800-00002A010000}"/>
    <hyperlink ref="P691" r:id="rId300" xr:uid="{00000000-0004-0000-0800-00002B010000}"/>
    <hyperlink ref="P692" r:id="rId301" xr:uid="{00000000-0004-0000-0800-00002C010000}"/>
    <hyperlink ref="P693" r:id="rId302" xr:uid="{00000000-0004-0000-0800-00002D010000}"/>
    <hyperlink ref="P694" r:id="rId303" xr:uid="{00000000-0004-0000-0800-00002E010000}"/>
    <hyperlink ref="P695" r:id="rId304" xr:uid="{00000000-0004-0000-0800-00002F010000}"/>
    <hyperlink ref="P36" r:id="rId305" xr:uid="{00000000-0004-0000-0800-000030010000}"/>
    <hyperlink ref="P37" r:id="rId306" xr:uid="{00000000-0004-0000-0800-000031010000}"/>
    <hyperlink ref="P38" r:id="rId307" xr:uid="{00000000-0004-0000-0800-000032010000}"/>
    <hyperlink ref="P39" r:id="rId308" xr:uid="{00000000-0004-0000-0800-000033010000}"/>
    <hyperlink ref="P41" r:id="rId309" xr:uid="{00000000-0004-0000-0800-000034010000}"/>
    <hyperlink ref="P42" r:id="rId310" xr:uid="{00000000-0004-0000-0800-000035010000}"/>
    <hyperlink ref="P43" r:id="rId311" xr:uid="{00000000-0004-0000-0800-000036010000}"/>
    <hyperlink ref="P44" r:id="rId312" xr:uid="{00000000-0004-0000-0800-000037010000}"/>
    <hyperlink ref="P45" r:id="rId313" xr:uid="{00000000-0004-0000-0800-000038010000}"/>
    <hyperlink ref="P46" r:id="rId314" xr:uid="{00000000-0004-0000-0800-000039010000}"/>
    <hyperlink ref="P47" r:id="rId315" xr:uid="{00000000-0004-0000-0800-00003A010000}"/>
    <hyperlink ref="P48" r:id="rId316" xr:uid="{00000000-0004-0000-0800-00003B010000}"/>
    <hyperlink ref="P50" r:id="rId317" xr:uid="{00000000-0004-0000-0800-00003C010000}"/>
    <hyperlink ref="P51" r:id="rId318" xr:uid="{00000000-0004-0000-0800-00003D010000}"/>
    <hyperlink ref="P52" r:id="rId319" xr:uid="{00000000-0004-0000-0800-00003E010000}"/>
    <hyperlink ref="P53" r:id="rId320" xr:uid="{00000000-0004-0000-0800-00003F010000}"/>
    <hyperlink ref="P55" r:id="rId321" xr:uid="{00000000-0004-0000-0800-000040010000}"/>
    <hyperlink ref="P56" r:id="rId322" xr:uid="{00000000-0004-0000-0800-000041010000}"/>
    <hyperlink ref="P58" r:id="rId323" xr:uid="{00000000-0004-0000-0800-000042010000}"/>
    <hyperlink ref="P59" r:id="rId324" xr:uid="{00000000-0004-0000-0800-000043010000}"/>
    <hyperlink ref="P62" r:id="rId325" xr:uid="{00000000-0004-0000-0800-000044010000}"/>
    <hyperlink ref="P63" r:id="rId326" xr:uid="{00000000-0004-0000-0800-000045010000}"/>
    <hyperlink ref="P65" r:id="rId327" xr:uid="{00000000-0004-0000-0800-000046010000}"/>
    <hyperlink ref="P66" r:id="rId328" xr:uid="{00000000-0004-0000-0800-000047010000}"/>
    <hyperlink ref="P67" r:id="rId329" xr:uid="{00000000-0004-0000-0800-000048010000}"/>
    <hyperlink ref="P68" r:id="rId330" xr:uid="{00000000-0004-0000-0800-000049010000}"/>
    <hyperlink ref="P69" r:id="rId331" xr:uid="{00000000-0004-0000-0800-00004A010000}"/>
    <hyperlink ref="P72" r:id="rId332" xr:uid="{00000000-0004-0000-0800-00004B010000}"/>
    <hyperlink ref="P73" r:id="rId333" xr:uid="{00000000-0004-0000-0800-00004C010000}"/>
    <hyperlink ref="P74" r:id="rId334" xr:uid="{00000000-0004-0000-0800-00004D010000}"/>
    <hyperlink ref="P75" r:id="rId335" xr:uid="{00000000-0004-0000-0800-00004E010000}"/>
    <hyperlink ref="P76" r:id="rId336" xr:uid="{00000000-0004-0000-0800-00004F010000}"/>
    <hyperlink ref="P77" r:id="rId337" xr:uid="{00000000-0004-0000-0800-000050010000}"/>
    <hyperlink ref="P78" r:id="rId338" xr:uid="{00000000-0004-0000-0800-000051010000}"/>
    <hyperlink ref="P84" r:id="rId339" xr:uid="{00000000-0004-0000-0800-000052010000}"/>
    <hyperlink ref="P85" r:id="rId340" xr:uid="{00000000-0004-0000-0800-000053010000}"/>
    <hyperlink ref="P86" r:id="rId341" xr:uid="{00000000-0004-0000-0800-000054010000}"/>
    <hyperlink ref="P88" r:id="rId342" xr:uid="{00000000-0004-0000-0800-000055010000}"/>
    <hyperlink ref="P89" r:id="rId343" xr:uid="{00000000-0004-0000-0800-000056010000}"/>
    <hyperlink ref="P93" r:id="rId344" xr:uid="{00000000-0004-0000-0800-000057010000}"/>
    <hyperlink ref="P94" r:id="rId345" xr:uid="{00000000-0004-0000-0800-000058010000}"/>
    <hyperlink ref="P95" r:id="rId346" xr:uid="{00000000-0004-0000-0800-000059010000}"/>
    <hyperlink ref="P96" r:id="rId347" xr:uid="{00000000-0004-0000-0800-00005A010000}"/>
    <hyperlink ref="P97" r:id="rId348" xr:uid="{00000000-0004-0000-0800-00005B010000}"/>
    <hyperlink ref="P99" r:id="rId349" xr:uid="{00000000-0004-0000-0800-00005C010000}"/>
    <hyperlink ref="P100" r:id="rId350" xr:uid="{00000000-0004-0000-0800-00005D010000}"/>
    <hyperlink ref="P101" r:id="rId351" xr:uid="{00000000-0004-0000-0800-00005E010000}"/>
    <hyperlink ref="P102" r:id="rId352" xr:uid="{00000000-0004-0000-0800-00005F010000}"/>
    <hyperlink ref="P105" r:id="rId353" xr:uid="{00000000-0004-0000-0800-000060010000}"/>
    <hyperlink ref="P106" r:id="rId354" xr:uid="{00000000-0004-0000-0800-000061010000}"/>
    <hyperlink ref="P107" r:id="rId355" xr:uid="{00000000-0004-0000-0800-000062010000}"/>
    <hyperlink ref="P108" r:id="rId356" xr:uid="{00000000-0004-0000-0800-000063010000}"/>
    <hyperlink ref="P109" r:id="rId357" xr:uid="{00000000-0004-0000-0800-000064010000}"/>
    <hyperlink ref="P110" r:id="rId358" xr:uid="{00000000-0004-0000-0800-000065010000}"/>
    <hyperlink ref="P113" r:id="rId359" xr:uid="{00000000-0004-0000-0800-000066010000}"/>
    <hyperlink ref="P114" r:id="rId360" xr:uid="{00000000-0004-0000-0800-000067010000}"/>
    <hyperlink ref="P115" r:id="rId361" xr:uid="{00000000-0004-0000-0800-000068010000}"/>
    <hyperlink ref="P116" r:id="rId362" xr:uid="{00000000-0004-0000-0800-000069010000}"/>
    <hyperlink ref="P117" r:id="rId363" xr:uid="{00000000-0004-0000-0800-00006A010000}"/>
    <hyperlink ref="P118" r:id="rId364" xr:uid="{00000000-0004-0000-0800-00006B010000}"/>
    <hyperlink ref="P119" r:id="rId365" xr:uid="{00000000-0004-0000-0800-00006C010000}"/>
    <hyperlink ref="P120" r:id="rId366" xr:uid="{00000000-0004-0000-0800-00006D010000}"/>
    <hyperlink ref="P121" r:id="rId367" xr:uid="{00000000-0004-0000-0800-00006E010000}"/>
    <hyperlink ref="P122" r:id="rId368" xr:uid="{00000000-0004-0000-0800-00006F010000}"/>
    <hyperlink ref="P123" r:id="rId369" xr:uid="{00000000-0004-0000-0800-000070010000}"/>
    <hyperlink ref="P124" r:id="rId370" xr:uid="{00000000-0004-0000-0800-000071010000}"/>
    <hyperlink ref="P125" r:id="rId371" xr:uid="{00000000-0004-0000-0800-000072010000}"/>
    <hyperlink ref="P126" r:id="rId372" xr:uid="{00000000-0004-0000-0800-000073010000}"/>
    <hyperlink ref="P127" r:id="rId373" xr:uid="{00000000-0004-0000-0800-000074010000}"/>
    <hyperlink ref="P128" r:id="rId374" xr:uid="{00000000-0004-0000-0800-000075010000}"/>
    <hyperlink ref="P129" r:id="rId375" xr:uid="{00000000-0004-0000-0800-000076010000}"/>
    <hyperlink ref="P130" r:id="rId376" xr:uid="{00000000-0004-0000-0800-000077010000}"/>
    <hyperlink ref="P131" r:id="rId377" xr:uid="{00000000-0004-0000-0800-000078010000}"/>
    <hyperlink ref="P132" r:id="rId378" xr:uid="{00000000-0004-0000-0800-000079010000}"/>
    <hyperlink ref="P133" r:id="rId379" xr:uid="{00000000-0004-0000-0800-00007A010000}"/>
    <hyperlink ref="P134" r:id="rId380" xr:uid="{00000000-0004-0000-0800-00007B010000}"/>
    <hyperlink ref="P135" r:id="rId381" xr:uid="{00000000-0004-0000-0800-00007C010000}"/>
    <hyperlink ref="P136" r:id="rId382" xr:uid="{00000000-0004-0000-0800-00007D010000}"/>
    <hyperlink ref="P137" r:id="rId383" xr:uid="{00000000-0004-0000-0800-00007E010000}"/>
    <hyperlink ref="P138" r:id="rId384" xr:uid="{00000000-0004-0000-0800-00007F010000}"/>
    <hyperlink ref="P139" r:id="rId385" xr:uid="{00000000-0004-0000-0800-000080010000}"/>
    <hyperlink ref="P140" r:id="rId386" xr:uid="{00000000-0004-0000-0800-000081010000}"/>
    <hyperlink ref="P141" r:id="rId387" xr:uid="{00000000-0004-0000-0800-000082010000}"/>
    <hyperlink ref="P142" r:id="rId388" xr:uid="{00000000-0004-0000-0800-000083010000}"/>
    <hyperlink ref="P148" r:id="rId389" xr:uid="{00000000-0004-0000-0800-000084010000}"/>
    <hyperlink ref="P149" r:id="rId390" xr:uid="{00000000-0004-0000-0800-000085010000}"/>
    <hyperlink ref="P150" r:id="rId391" xr:uid="{00000000-0004-0000-0800-000086010000}"/>
    <hyperlink ref="P151" r:id="rId392" xr:uid="{00000000-0004-0000-0800-000087010000}"/>
    <hyperlink ref="P152" r:id="rId393" xr:uid="{00000000-0004-0000-0800-000088010000}"/>
    <hyperlink ref="P153" r:id="rId394" xr:uid="{00000000-0004-0000-0800-000089010000}"/>
    <hyperlink ref="P154" r:id="rId395" xr:uid="{00000000-0004-0000-0800-00008A010000}"/>
    <hyperlink ref="P155" r:id="rId396" xr:uid="{00000000-0004-0000-0800-00008B010000}"/>
    <hyperlink ref="P157" r:id="rId397" xr:uid="{00000000-0004-0000-0800-00008C010000}"/>
    <hyperlink ref="P158" r:id="rId398" xr:uid="{00000000-0004-0000-0800-00008D010000}"/>
    <hyperlink ref="P159" r:id="rId399" xr:uid="{00000000-0004-0000-0800-00008E010000}"/>
    <hyperlink ref="P160" r:id="rId400" xr:uid="{00000000-0004-0000-0800-00008F010000}"/>
    <hyperlink ref="P161" r:id="rId401" xr:uid="{00000000-0004-0000-0800-000090010000}"/>
    <hyperlink ref="P162" r:id="rId402" xr:uid="{00000000-0004-0000-0800-000091010000}"/>
    <hyperlink ref="P167" r:id="rId403" xr:uid="{00000000-0004-0000-0800-000092010000}"/>
    <hyperlink ref="P168" r:id="rId404" xr:uid="{00000000-0004-0000-0800-000093010000}"/>
    <hyperlink ref="P169" r:id="rId405" xr:uid="{00000000-0004-0000-0800-000094010000}"/>
    <hyperlink ref="P170" r:id="rId406" xr:uid="{00000000-0004-0000-0800-000095010000}"/>
    <hyperlink ref="P171" r:id="rId407" xr:uid="{00000000-0004-0000-0800-000096010000}"/>
    <hyperlink ref="P172" r:id="rId408" xr:uid="{00000000-0004-0000-0800-000097010000}"/>
    <hyperlink ref="P173" r:id="rId409" xr:uid="{00000000-0004-0000-0800-000098010000}"/>
    <hyperlink ref="P174" r:id="rId410" xr:uid="{00000000-0004-0000-0800-000099010000}"/>
    <hyperlink ref="P175" r:id="rId411" xr:uid="{00000000-0004-0000-0800-00009A010000}"/>
    <hyperlink ref="P177" r:id="rId412" xr:uid="{00000000-0004-0000-0800-00009B010000}"/>
    <hyperlink ref="P178" r:id="rId413" xr:uid="{00000000-0004-0000-0800-00009C010000}"/>
    <hyperlink ref="P179" r:id="rId414" xr:uid="{00000000-0004-0000-0800-00009D010000}"/>
    <hyperlink ref="P180" r:id="rId415" xr:uid="{00000000-0004-0000-0800-00009E010000}"/>
    <hyperlink ref="P181" r:id="rId416" xr:uid="{00000000-0004-0000-0800-00009F010000}"/>
    <hyperlink ref="P182" r:id="rId417" xr:uid="{00000000-0004-0000-0800-0000A0010000}"/>
    <hyperlink ref="P183" r:id="rId418" xr:uid="{00000000-0004-0000-0800-0000A1010000}"/>
    <hyperlink ref="P185" r:id="rId419" xr:uid="{00000000-0004-0000-0800-0000A2010000}"/>
    <hyperlink ref="P186" r:id="rId420" xr:uid="{00000000-0004-0000-0800-0000A3010000}"/>
    <hyperlink ref="P187" r:id="rId421" xr:uid="{00000000-0004-0000-0800-0000A4010000}"/>
    <hyperlink ref="P188" r:id="rId422" xr:uid="{00000000-0004-0000-0800-0000A5010000}"/>
    <hyperlink ref="P189" r:id="rId423" xr:uid="{00000000-0004-0000-0800-0000A6010000}"/>
    <hyperlink ref="P190" r:id="rId424" xr:uid="{00000000-0004-0000-0800-0000A7010000}"/>
    <hyperlink ref="P196" r:id="rId425" xr:uid="{00000000-0004-0000-0800-0000A8010000}"/>
    <hyperlink ref="P197" r:id="rId426" xr:uid="{00000000-0004-0000-0800-0000A9010000}"/>
    <hyperlink ref="P198" r:id="rId427" xr:uid="{00000000-0004-0000-0800-0000AA010000}"/>
    <hyperlink ref="P199" r:id="rId428" xr:uid="{00000000-0004-0000-0800-0000AB010000}"/>
    <hyperlink ref="P201" r:id="rId429" xr:uid="{00000000-0004-0000-0800-0000AC010000}"/>
    <hyperlink ref="P202" r:id="rId430" xr:uid="{00000000-0004-0000-0800-0000AD010000}"/>
    <hyperlink ref="P204" r:id="rId431" xr:uid="{00000000-0004-0000-0800-0000AE010000}"/>
    <hyperlink ref="P203" r:id="rId432" xr:uid="{00000000-0004-0000-0800-0000AF010000}"/>
    <hyperlink ref="P206" r:id="rId433" xr:uid="{00000000-0004-0000-0800-0000B0010000}"/>
    <hyperlink ref="P207" r:id="rId434" xr:uid="{00000000-0004-0000-0800-0000B1010000}"/>
    <hyperlink ref="P544" r:id="rId435" xr:uid="{00000000-0004-0000-0800-0000B2010000}"/>
    <hyperlink ref="P747" r:id="rId436" xr:uid="{00000000-0004-0000-0800-0000B3010000}"/>
    <hyperlink ref="P742" r:id="rId437" xr:uid="{00000000-0004-0000-0800-0000B4010000}"/>
    <hyperlink ref="P728" r:id="rId438" xr:uid="{00000000-0004-0000-0800-0000B5010000}"/>
    <hyperlink ref="O748" r:id="rId439" xr:uid="{00000000-0004-0000-0800-0000B6010000}"/>
    <hyperlink ref="P748" r:id="rId440" xr:uid="{00000000-0004-0000-0800-0000B7010000}"/>
    <hyperlink ref="O740" r:id="rId441" xr:uid="{00000000-0004-0000-0800-0000B8010000}"/>
    <hyperlink ref="P740" r:id="rId442" xr:uid="{00000000-0004-0000-0800-0000B9010000}"/>
    <hyperlink ref="P294" r:id="rId443" xr:uid="{00000000-0004-0000-0800-0000BA010000}"/>
    <hyperlink ref="O752" r:id="rId444" xr:uid="{00000000-0004-0000-0800-0000BB010000}"/>
    <hyperlink ref="P752" r:id="rId445" xr:uid="{00000000-0004-0000-0800-0000BC010000}"/>
    <hyperlink ref="P732" r:id="rId446" xr:uid="{00000000-0004-0000-0800-0000BD010000}"/>
    <hyperlink ref="P717" r:id="rId447" xr:uid="{00000000-0004-0000-0800-0000BE010000}"/>
    <hyperlink ref="P718" r:id="rId448" xr:uid="{00000000-0004-0000-0800-0000BF010000}"/>
    <hyperlink ref="P737" r:id="rId449" xr:uid="{00000000-0004-0000-0800-0000C0010000}"/>
    <hyperlink ref="P734" r:id="rId450" xr:uid="{00000000-0004-0000-0800-0000C1010000}"/>
    <hyperlink ref="O730" r:id="rId451" xr:uid="{00000000-0004-0000-0800-0000C2010000}"/>
    <hyperlink ref="P730" r:id="rId452" xr:uid="{00000000-0004-0000-0800-0000C3010000}"/>
    <hyperlink ref="O729" r:id="rId453" xr:uid="{00000000-0004-0000-0800-0000C4010000}"/>
    <hyperlink ref="P13" r:id="rId454" xr:uid="{00000000-0004-0000-0800-0000C5010000}"/>
    <hyperlink ref="O741" r:id="rId455" xr:uid="{00000000-0004-0000-0800-0000C6010000}"/>
    <hyperlink ref="P739" r:id="rId456" xr:uid="{00000000-0004-0000-0800-0000C7010000}"/>
    <hyperlink ref="O646" r:id="rId457" xr:uid="{00000000-0004-0000-0800-0000C8010000}"/>
    <hyperlink ref="P646" r:id="rId458" xr:uid="{00000000-0004-0000-0800-0000C9010000}"/>
    <hyperlink ref="P753" r:id="rId459" xr:uid="{00000000-0004-0000-0800-0000CA010000}"/>
    <hyperlink ref="O749" r:id="rId460" xr:uid="{00000000-0004-0000-0800-0000CB010000}"/>
    <hyperlink ref="P749" r:id="rId461" xr:uid="{00000000-0004-0000-0800-0000CC010000}"/>
  </hyperlinks>
  <pageMargins left="0.7" right="0.7" top="0.75" bottom="0.75" header="0.3" footer="0.3"/>
  <tableParts count="1">
    <tablePart r:id="rId46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848"/>
  <sheetViews>
    <sheetView topLeftCell="A17" workbookViewId="0">
      <selection sqref="A1:A1048576"/>
    </sheetView>
  </sheetViews>
  <sheetFormatPr defaultColWidth="12.6640625" defaultRowHeight="15.75" customHeight="1"/>
  <cols>
    <col min="1" max="1" width="5.44140625" bestFit="1" customWidth="1"/>
    <col min="2" max="2" width="9.21875" bestFit="1" customWidth="1"/>
    <col min="3" max="3" width="13.6640625" bestFit="1" customWidth="1"/>
    <col min="4" max="4" width="8.6640625" bestFit="1" customWidth="1"/>
    <col min="5" max="5" width="59.44140625" bestFit="1" customWidth="1"/>
    <col min="6" max="6" width="41.5546875" bestFit="1" customWidth="1"/>
    <col min="9" max="9" width="13.6640625" bestFit="1" customWidth="1"/>
    <col min="10" max="10" width="13.109375" bestFit="1" customWidth="1"/>
  </cols>
  <sheetData>
    <row r="1" spans="1:26">
      <c r="A1" s="220" t="s">
        <v>2931</v>
      </c>
      <c r="B1" s="103" t="s">
        <v>6117</v>
      </c>
      <c r="C1" s="103" t="s">
        <v>6118</v>
      </c>
      <c r="D1" s="103" t="s">
        <v>6119</v>
      </c>
      <c r="E1" s="103" t="s">
        <v>6120</v>
      </c>
      <c r="F1" s="103" t="s">
        <v>6121</v>
      </c>
      <c r="I1" s="103" t="s">
        <v>21</v>
      </c>
      <c r="J1" s="103" t="s">
        <v>22</v>
      </c>
    </row>
    <row r="2" spans="1:26">
      <c r="A2" s="221">
        <v>1</v>
      </c>
      <c r="B2" s="177" t="s">
        <v>6122</v>
      </c>
      <c r="C2" s="177" t="s">
        <v>6123</v>
      </c>
      <c r="D2" s="177" t="s">
        <v>6124</v>
      </c>
      <c r="E2" s="177" t="s">
        <v>6125</v>
      </c>
      <c r="F2" s="177" t="s">
        <v>6126</v>
      </c>
      <c r="G2" s="176"/>
      <c r="H2" s="176"/>
      <c r="I2" s="176"/>
      <c r="J2" s="176"/>
      <c r="K2" s="176"/>
      <c r="L2" s="176"/>
      <c r="M2" s="176"/>
      <c r="N2" s="176"/>
      <c r="O2" s="176"/>
      <c r="P2" s="176"/>
      <c r="Q2" s="176"/>
      <c r="R2" s="176"/>
      <c r="S2" s="176"/>
      <c r="T2" s="176"/>
      <c r="U2" s="176"/>
      <c r="V2" s="176"/>
      <c r="W2" s="176"/>
      <c r="X2" s="176"/>
      <c r="Y2" s="176"/>
      <c r="Z2" s="176"/>
    </row>
    <row r="3" spans="1:26">
      <c r="A3" s="221">
        <v>2</v>
      </c>
      <c r="B3" s="177" t="s">
        <v>6122</v>
      </c>
      <c r="C3" s="177" t="s">
        <v>6123</v>
      </c>
      <c r="D3" s="177" t="s">
        <v>6124</v>
      </c>
      <c r="E3" s="177" t="s">
        <v>6127</v>
      </c>
      <c r="F3" s="177" t="s">
        <v>6128</v>
      </c>
      <c r="G3" s="176"/>
      <c r="H3" s="176"/>
      <c r="I3" s="176"/>
      <c r="J3" s="176"/>
      <c r="K3" s="176"/>
      <c r="L3" s="176"/>
      <c r="M3" s="176"/>
      <c r="N3" s="176"/>
      <c r="O3" s="176"/>
      <c r="P3" s="176"/>
      <c r="Q3" s="176"/>
      <c r="R3" s="176"/>
      <c r="S3" s="176"/>
      <c r="T3" s="176"/>
      <c r="U3" s="176"/>
      <c r="V3" s="176"/>
      <c r="W3" s="176"/>
      <c r="X3" s="176"/>
      <c r="Y3" s="176"/>
      <c r="Z3" s="176"/>
    </row>
    <row r="4" spans="1:26">
      <c r="A4" s="221">
        <v>3</v>
      </c>
      <c r="B4" s="177" t="s">
        <v>6122</v>
      </c>
      <c r="C4" s="177" t="s">
        <v>6123</v>
      </c>
      <c r="D4" s="177" t="s">
        <v>6124</v>
      </c>
      <c r="E4" s="177" t="s">
        <v>6129</v>
      </c>
      <c r="F4" s="177" t="s">
        <v>6130</v>
      </c>
      <c r="G4" s="176"/>
      <c r="H4" s="176"/>
      <c r="I4" s="176"/>
      <c r="J4" s="176"/>
      <c r="K4" s="176"/>
      <c r="L4" s="176"/>
      <c r="M4" s="176"/>
      <c r="N4" s="176"/>
      <c r="O4" s="176"/>
      <c r="P4" s="176"/>
      <c r="Q4" s="176"/>
      <c r="R4" s="176"/>
      <c r="S4" s="176"/>
      <c r="T4" s="176"/>
      <c r="U4" s="176"/>
      <c r="V4" s="176"/>
      <c r="W4" s="176"/>
      <c r="X4" s="176"/>
      <c r="Y4" s="176"/>
      <c r="Z4" s="176"/>
    </row>
    <row r="5" spans="1:26">
      <c r="A5" s="221">
        <v>4</v>
      </c>
      <c r="B5" s="177" t="s">
        <v>6122</v>
      </c>
      <c r="C5" s="177" t="s">
        <v>6131</v>
      </c>
      <c r="D5" s="177" t="s">
        <v>6124</v>
      </c>
      <c r="E5" s="177" t="s">
        <v>6125</v>
      </c>
      <c r="F5" s="177" t="s">
        <v>6132</v>
      </c>
      <c r="G5" s="176"/>
      <c r="H5" s="176"/>
      <c r="I5" s="176"/>
      <c r="J5" s="176"/>
      <c r="K5" s="176"/>
      <c r="L5" s="176"/>
      <c r="M5" s="176"/>
      <c r="N5" s="176"/>
      <c r="O5" s="176"/>
      <c r="P5" s="176"/>
      <c r="Q5" s="176"/>
      <c r="R5" s="176"/>
      <c r="S5" s="176"/>
      <c r="T5" s="176"/>
      <c r="U5" s="176"/>
      <c r="V5" s="176"/>
      <c r="W5" s="176"/>
      <c r="X5" s="176"/>
      <c r="Y5" s="176"/>
      <c r="Z5" s="176"/>
    </row>
    <row r="6" spans="1:26">
      <c r="A6" s="221">
        <v>5</v>
      </c>
      <c r="B6" s="177" t="s">
        <v>6122</v>
      </c>
      <c r="C6" s="177" t="s">
        <v>6131</v>
      </c>
      <c r="D6" s="177" t="s">
        <v>6124</v>
      </c>
      <c r="E6" s="177" t="s">
        <v>6127</v>
      </c>
      <c r="F6" s="177" t="s">
        <v>6133</v>
      </c>
      <c r="G6" s="176"/>
      <c r="H6" s="176"/>
      <c r="I6" s="176"/>
      <c r="J6" s="176"/>
      <c r="K6" s="176"/>
      <c r="L6" s="176"/>
      <c r="M6" s="176"/>
      <c r="N6" s="176"/>
      <c r="O6" s="176"/>
      <c r="P6" s="176"/>
      <c r="Q6" s="176"/>
      <c r="R6" s="176"/>
      <c r="S6" s="176"/>
      <c r="T6" s="176"/>
      <c r="U6" s="176"/>
      <c r="V6" s="176"/>
      <c r="W6" s="176"/>
      <c r="X6" s="176"/>
      <c r="Y6" s="176"/>
      <c r="Z6" s="176"/>
    </row>
    <row r="7" spans="1:26">
      <c r="A7" s="221">
        <v>6</v>
      </c>
      <c r="B7" s="177" t="s">
        <v>6122</v>
      </c>
      <c r="C7" s="177" t="s">
        <v>6131</v>
      </c>
      <c r="D7" s="177" t="s">
        <v>6124</v>
      </c>
      <c r="E7" s="177" t="s">
        <v>6129</v>
      </c>
      <c r="F7" s="177" t="s">
        <v>6134</v>
      </c>
      <c r="G7" s="176"/>
      <c r="H7" s="176"/>
      <c r="I7" s="176"/>
      <c r="J7" s="176"/>
      <c r="K7" s="176"/>
      <c r="L7" s="176"/>
      <c r="M7" s="176"/>
      <c r="N7" s="176"/>
      <c r="O7" s="176"/>
      <c r="P7" s="176"/>
      <c r="Q7" s="176"/>
      <c r="R7" s="176"/>
      <c r="S7" s="176"/>
      <c r="T7" s="176"/>
      <c r="U7" s="176"/>
      <c r="V7" s="176"/>
      <c r="W7" s="176"/>
      <c r="X7" s="176"/>
      <c r="Y7" s="176"/>
      <c r="Z7" s="176"/>
    </row>
    <row r="8" spans="1:26">
      <c r="A8" s="221">
        <v>7</v>
      </c>
      <c r="B8" s="177" t="s">
        <v>6122</v>
      </c>
      <c r="C8" s="177" t="s">
        <v>6135</v>
      </c>
      <c r="D8" s="177" t="s">
        <v>6124</v>
      </c>
      <c r="E8" s="177" t="s">
        <v>6125</v>
      </c>
      <c r="F8" s="177" t="s">
        <v>6136</v>
      </c>
      <c r="G8" s="176"/>
      <c r="H8" s="176"/>
      <c r="I8" s="176"/>
      <c r="J8" s="176"/>
      <c r="K8" s="176"/>
      <c r="L8" s="176"/>
      <c r="M8" s="176"/>
      <c r="N8" s="176"/>
      <c r="O8" s="176"/>
      <c r="P8" s="176"/>
      <c r="Q8" s="176"/>
      <c r="R8" s="176"/>
      <c r="S8" s="176"/>
      <c r="T8" s="176"/>
      <c r="U8" s="176"/>
      <c r="V8" s="176"/>
      <c r="W8" s="176"/>
      <c r="X8" s="176"/>
      <c r="Y8" s="176"/>
      <c r="Z8" s="176"/>
    </row>
    <row r="9" spans="1:26">
      <c r="A9" s="221">
        <v>8</v>
      </c>
      <c r="B9" s="177" t="s">
        <v>6122</v>
      </c>
      <c r="C9" s="177" t="s">
        <v>6135</v>
      </c>
      <c r="D9" s="177" t="s">
        <v>6124</v>
      </c>
      <c r="E9" s="177" t="s">
        <v>6137</v>
      </c>
      <c r="F9" s="177" t="s">
        <v>6138</v>
      </c>
      <c r="G9" s="176"/>
      <c r="H9" s="176"/>
      <c r="I9" s="176"/>
      <c r="J9" s="176"/>
      <c r="K9" s="176"/>
      <c r="L9" s="176"/>
      <c r="M9" s="176"/>
      <c r="N9" s="176"/>
      <c r="O9" s="176"/>
      <c r="P9" s="176"/>
      <c r="Q9" s="176"/>
      <c r="R9" s="176"/>
      <c r="S9" s="176"/>
      <c r="T9" s="176"/>
      <c r="U9" s="176"/>
      <c r="V9" s="176"/>
      <c r="W9" s="176"/>
      <c r="X9" s="176"/>
      <c r="Y9" s="176"/>
      <c r="Z9" s="176"/>
    </row>
    <row r="10" spans="1:26">
      <c r="A10" s="221">
        <v>9</v>
      </c>
      <c r="B10" s="177" t="s">
        <v>6122</v>
      </c>
      <c r="C10" s="177" t="s">
        <v>6135</v>
      </c>
      <c r="D10" s="177" t="s">
        <v>6124</v>
      </c>
      <c r="E10" s="177" t="s">
        <v>6129</v>
      </c>
      <c r="F10" s="177" t="s">
        <v>6139</v>
      </c>
      <c r="G10" s="176"/>
      <c r="H10" s="176"/>
      <c r="I10" s="176"/>
      <c r="J10" s="176"/>
      <c r="K10" s="176"/>
      <c r="L10" s="176"/>
      <c r="M10" s="176"/>
      <c r="N10" s="176"/>
      <c r="O10" s="176"/>
      <c r="P10" s="176"/>
      <c r="Q10" s="176"/>
      <c r="R10" s="176"/>
      <c r="S10" s="176"/>
      <c r="T10" s="176"/>
      <c r="U10" s="176"/>
      <c r="V10" s="176"/>
      <c r="W10" s="176"/>
      <c r="X10" s="176"/>
      <c r="Y10" s="176"/>
      <c r="Z10" s="176"/>
    </row>
    <row r="11" spans="1:26">
      <c r="A11" s="221">
        <v>10</v>
      </c>
      <c r="B11" s="177" t="s">
        <v>6122</v>
      </c>
      <c r="C11" s="177" t="s">
        <v>6140</v>
      </c>
      <c r="D11" s="177" t="s">
        <v>6124</v>
      </c>
      <c r="E11" s="177" t="s">
        <v>6125</v>
      </c>
      <c r="F11" s="177" t="s">
        <v>6141</v>
      </c>
      <c r="G11" s="176"/>
      <c r="H11" s="176"/>
      <c r="I11" s="176"/>
      <c r="J11" s="176"/>
      <c r="K11" s="176"/>
      <c r="L11" s="176"/>
      <c r="M11" s="176"/>
      <c r="N11" s="176"/>
      <c r="O11" s="176"/>
      <c r="P11" s="176"/>
      <c r="Q11" s="176"/>
      <c r="R11" s="176"/>
      <c r="S11" s="176"/>
      <c r="T11" s="176"/>
      <c r="U11" s="176"/>
      <c r="V11" s="176"/>
      <c r="W11" s="176"/>
      <c r="X11" s="176"/>
      <c r="Y11" s="176"/>
      <c r="Z11" s="176"/>
    </row>
    <row r="12" spans="1:26">
      <c r="A12" s="221">
        <v>11</v>
      </c>
      <c r="B12" s="177" t="s">
        <v>6122</v>
      </c>
      <c r="C12" s="177" t="s">
        <v>6140</v>
      </c>
      <c r="D12" s="177" t="s">
        <v>6124</v>
      </c>
      <c r="E12" s="177" t="s">
        <v>6137</v>
      </c>
      <c r="F12" s="177" t="s">
        <v>6142</v>
      </c>
      <c r="G12" s="176"/>
      <c r="H12" s="176"/>
      <c r="I12" s="176"/>
      <c r="J12" s="176"/>
      <c r="K12" s="176"/>
      <c r="L12" s="176"/>
      <c r="M12" s="176"/>
      <c r="N12" s="176"/>
      <c r="O12" s="176"/>
      <c r="P12" s="176"/>
      <c r="Q12" s="176"/>
      <c r="R12" s="176"/>
      <c r="S12" s="176"/>
      <c r="T12" s="176"/>
      <c r="U12" s="176"/>
      <c r="V12" s="176"/>
      <c r="W12" s="176"/>
      <c r="X12" s="176"/>
      <c r="Y12" s="176"/>
      <c r="Z12" s="176"/>
    </row>
    <row r="13" spans="1:26">
      <c r="A13" s="221">
        <v>12</v>
      </c>
      <c r="B13" s="177" t="s">
        <v>6122</v>
      </c>
      <c r="C13" s="177" t="s">
        <v>6140</v>
      </c>
      <c r="D13" s="177" t="s">
        <v>6124</v>
      </c>
      <c r="E13" s="177" t="s">
        <v>6129</v>
      </c>
      <c r="F13" s="177" t="s">
        <v>6143</v>
      </c>
      <c r="G13" s="176"/>
      <c r="H13" s="176"/>
      <c r="I13" s="176"/>
      <c r="J13" s="176"/>
      <c r="K13" s="176"/>
      <c r="L13" s="176"/>
      <c r="M13" s="176"/>
      <c r="N13" s="176"/>
      <c r="O13" s="176"/>
      <c r="P13" s="176"/>
      <c r="Q13" s="176"/>
      <c r="R13" s="176"/>
      <c r="S13" s="176"/>
      <c r="T13" s="176"/>
      <c r="U13" s="176"/>
      <c r="V13" s="176"/>
      <c r="W13" s="176"/>
      <c r="X13" s="176"/>
      <c r="Y13" s="176"/>
      <c r="Z13" s="176"/>
    </row>
    <row r="14" spans="1:26">
      <c r="A14" s="221">
        <v>13</v>
      </c>
      <c r="B14" s="177" t="s">
        <v>6122</v>
      </c>
      <c r="C14" s="177" t="s">
        <v>6144</v>
      </c>
      <c r="D14" s="177" t="s">
        <v>6124</v>
      </c>
      <c r="E14" s="177" t="s">
        <v>6137</v>
      </c>
      <c r="F14" s="177" t="s">
        <v>6145</v>
      </c>
      <c r="G14" s="176"/>
      <c r="H14" s="176"/>
      <c r="I14" s="176"/>
      <c r="J14" s="176"/>
      <c r="K14" s="176"/>
      <c r="L14" s="176"/>
      <c r="M14" s="176"/>
      <c r="N14" s="176"/>
      <c r="O14" s="176"/>
      <c r="P14" s="176"/>
      <c r="Q14" s="176"/>
      <c r="R14" s="176"/>
      <c r="S14" s="176"/>
      <c r="T14" s="176"/>
      <c r="U14" s="176"/>
      <c r="V14" s="176"/>
      <c r="W14" s="176"/>
      <c r="X14" s="176"/>
      <c r="Y14" s="176"/>
      <c r="Z14" s="176"/>
    </row>
    <row r="15" spans="1:26">
      <c r="A15" s="221">
        <v>14</v>
      </c>
      <c r="B15" s="177" t="s">
        <v>6122</v>
      </c>
      <c r="C15" s="177" t="s">
        <v>6144</v>
      </c>
      <c r="D15" s="177" t="s">
        <v>6124</v>
      </c>
      <c r="E15" s="177" t="s">
        <v>6125</v>
      </c>
      <c r="F15" s="177" t="s">
        <v>6146</v>
      </c>
      <c r="G15" s="176"/>
      <c r="H15" s="176"/>
      <c r="I15" s="176"/>
      <c r="J15" s="176"/>
      <c r="K15" s="176"/>
      <c r="L15" s="176"/>
      <c r="M15" s="176"/>
      <c r="N15" s="176"/>
      <c r="O15" s="176"/>
      <c r="P15" s="176"/>
      <c r="Q15" s="176"/>
      <c r="R15" s="176"/>
      <c r="S15" s="176"/>
      <c r="T15" s="176"/>
      <c r="U15" s="176"/>
      <c r="V15" s="176"/>
      <c r="W15" s="176"/>
      <c r="X15" s="176"/>
      <c r="Y15" s="176"/>
      <c r="Z15" s="176"/>
    </row>
    <row r="16" spans="1:26">
      <c r="A16" s="221">
        <v>15</v>
      </c>
      <c r="B16" s="177" t="s">
        <v>6122</v>
      </c>
      <c r="C16" s="177" t="s">
        <v>6144</v>
      </c>
      <c r="D16" s="177" t="s">
        <v>6124</v>
      </c>
      <c r="E16" s="177" t="s">
        <v>6129</v>
      </c>
      <c r="F16" s="177" t="s">
        <v>6147</v>
      </c>
      <c r="G16" s="176"/>
      <c r="H16" s="176"/>
      <c r="I16" s="176"/>
      <c r="J16" s="176"/>
      <c r="K16" s="176"/>
      <c r="L16" s="176"/>
      <c r="M16" s="176"/>
      <c r="N16" s="176"/>
      <c r="O16" s="176"/>
      <c r="P16" s="176"/>
      <c r="Q16" s="176"/>
      <c r="R16" s="176"/>
      <c r="S16" s="176"/>
      <c r="T16" s="176"/>
      <c r="U16" s="176"/>
      <c r="V16" s="176"/>
      <c r="W16" s="176"/>
      <c r="X16" s="176"/>
      <c r="Y16" s="176"/>
      <c r="Z16" s="176"/>
    </row>
    <row r="17" spans="1:26">
      <c r="A17" s="221">
        <v>16</v>
      </c>
      <c r="B17" s="177" t="s">
        <v>6122</v>
      </c>
      <c r="C17" s="177" t="s">
        <v>6148</v>
      </c>
      <c r="D17" s="177" t="s">
        <v>6124</v>
      </c>
      <c r="E17" s="177" t="s">
        <v>6125</v>
      </c>
      <c r="F17" s="177" t="s">
        <v>6149</v>
      </c>
      <c r="G17" s="176"/>
      <c r="H17" s="176"/>
      <c r="I17" s="176"/>
      <c r="J17" s="176"/>
      <c r="K17" s="176"/>
      <c r="L17" s="176"/>
      <c r="M17" s="176"/>
      <c r="N17" s="176"/>
      <c r="O17" s="176"/>
      <c r="P17" s="176"/>
      <c r="Q17" s="176"/>
      <c r="R17" s="176"/>
      <c r="S17" s="176"/>
      <c r="T17" s="176"/>
      <c r="U17" s="176"/>
      <c r="V17" s="176"/>
      <c r="W17" s="176"/>
      <c r="X17" s="176"/>
      <c r="Y17" s="176"/>
      <c r="Z17" s="176"/>
    </row>
    <row r="18" spans="1:26">
      <c r="A18" s="221">
        <v>17</v>
      </c>
      <c r="B18" s="177" t="s">
        <v>6122</v>
      </c>
      <c r="C18" s="177" t="s">
        <v>6148</v>
      </c>
      <c r="D18" s="177" t="s">
        <v>6124</v>
      </c>
      <c r="E18" s="177" t="s">
        <v>6137</v>
      </c>
      <c r="F18" s="177" t="s">
        <v>6150</v>
      </c>
      <c r="G18" s="176"/>
      <c r="H18" s="176"/>
      <c r="I18" s="176"/>
      <c r="J18" s="176"/>
      <c r="K18" s="176"/>
      <c r="L18" s="176"/>
      <c r="M18" s="176"/>
      <c r="N18" s="176"/>
      <c r="O18" s="176"/>
      <c r="P18" s="176"/>
      <c r="Q18" s="176"/>
      <c r="R18" s="176"/>
      <c r="S18" s="176"/>
      <c r="T18" s="176"/>
      <c r="U18" s="176"/>
      <c r="V18" s="176"/>
      <c r="W18" s="176"/>
      <c r="X18" s="176"/>
      <c r="Y18" s="176"/>
      <c r="Z18" s="176"/>
    </row>
    <row r="19" spans="1:26">
      <c r="A19" s="221">
        <v>18</v>
      </c>
      <c r="B19" s="177" t="s">
        <v>6122</v>
      </c>
      <c r="C19" s="177" t="s">
        <v>6148</v>
      </c>
      <c r="D19" s="177" t="s">
        <v>6124</v>
      </c>
      <c r="E19" s="177" t="s">
        <v>6129</v>
      </c>
      <c r="F19" s="177" t="s">
        <v>6151</v>
      </c>
      <c r="G19" s="176"/>
      <c r="H19" s="176"/>
      <c r="I19" s="176"/>
      <c r="J19" s="176"/>
      <c r="K19" s="176"/>
      <c r="L19" s="176"/>
      <c r="M19" s="176"/>
      <c r="N19" s="176"/>
      <c r="O19" s="176"/>
      <c r="P19" s="176"/>
      <c r="Q19" s="176"/>
      <c r="R19" s="176"/>
      <c r="S19" s="176"/>
      <c r="T19" s="176"/>
      <c r="U19" s="176"/>
      <c r="V19" s="176"/>
      <c r="W19" s="176"/>
      <c r="X19" s="176"/>
      <c r="Y19" s="176"/>
      <c r="Z19" s="176"/>
    </row>
    <row r="20" spans="1:26">
      <c r="A20" s="221">
        <v>19</v>
      </c>
      <c r="B20" s="177" t="s">
        <v>6122</v>
      </c>
      <c r="C20" s="177" t="s">
        <v>6152</v>
      </c>
      <c r="D20" s="177" t="s">
        <v>6124</v>
      </c>
      <c r="E20" s="177" t="s">
        <v>6125</v>
      </c>
      <c r="F20" s="177" t="s">
        <v>6153</v>
      </c>
      <c r="G20" s="176"/>
      <c r="H20" s="176"/>
      <c r="I20" s="176"/>
      <c r="J20" s="176"/>
      <c r="K20" s="176"/>
      <c r="L20" s="176"/>
      <c r="M20" s="176"/>
      <c r="N20" s="176"/>
      <c r="O20" s="176"/>
      <c r="P20" s="176"/>
      <c r="Q20" s="176"/>
      <c r="R20" s="176"/>
      <c r="S20" s="176"/>
      <c r="T20" s="176"/>
      <c r="U20" s="176"/>
      <c r="V20" s="176"/>
      <c r="W20" s="176"/>
      <c r="X20" s="176"/>
      <c r="Y20" s="176"/>
      <c r="Z20" s="176"/>
    </row>
    <row r="21" spans="1:26">
      <c r="A21" s="221">
        <v>20</v>
      </c>
      <c r="B21" s="177" t="s">
        <v>6122</v>
      </c>
      <c r="C21" s="177" t="s">
        <v>6152</v>
      </c>
      <c r="D21" s="177" t="s">
        <v>6124</v>
      </c>
      <c r="E21" s="177" t="s">
        <v>6137</v>
      </c>
      <c r="F21" s="177" t="s">
        <v>6154</v>
      </c>
      <c r="G21" s="176"/>
      <c r="H21" s="176"/>
      <c r="I21" s="176"/>
      <c r="J21" s="176"/>
      <c r="K21" s="176"/>
      <c r="L21" s="176"/>
      <c r="M21" s="176"/>
      <c r="N21" s="176"/>
      <c r="O21" s="176"/>
      <c r="P21" s="176"/>
      <c r="Q21" s="176"/>
      <c r="R21" s="176"/>
      <c r="S21" s="176"/>
      <c r="T21" s="176"/>
      <c r="U21" s="176"/>
      <c r="V21" s="176"/>
      <c r="W21" s="176"/>
      <c r="X21" s="176"/>
      <c r="Y21" s="176"/>
      <c r="Z21" s="176"/>
    </row>
    <row r="22" spans="1:26">
      <c r="A22" s="221">
        <v>21</v>
      </c>
      <c r="B22" s="177" t="s">
        <v>6122</v>
      </c>
      <c r="C22" s="177" t="s">
        <v>6152</v>
      </c>
      <c r="D22" s="177" t="s">
        <v>6124</v>
      </c>
      <c r="E22" s="177" t="s">
        <v>6129</v>
      </c>
      <c r="F22" s="177" t="s">
        <v>6155</v>
      </c>
      <c r="G22" s="176"/>
      <c r="H22" s="176"/>
      <c r="I22" s="176"/>
      <c r="J22" s="176"/>
      <c r="K22" s="176"/>
      <c r="L22" s="176"/>
      <c r="M22" s="176"/>
      <c r="N22" s="176"/>
      <c r="O22" s="176"/>
      <c r="P22" s="176"/>
      <c r="Q22" s="176"/>
      <c r="R22" s="176"/>
      <c r="S22" s="176"/>
      <c r="T22" s="176"/>
      <c r="U22" s="176"/>
      <c r="V22" s="176"/>
      <c r="W22" s="176"/>
      <c r="X22" s="176"/>
      <c r="Y22" s="176"/>
      <c r="Z22" s="176"/>
    </row>
    <row r="23" spans="1:26">
      <c r="A23" s="221">
        <v>22</v>
      </c>
      <c r="B23" s="177" t="s">
        <v>6122</v>
      </c>
      <c r="C23" s="177" t="s">
        <v>6156</v>
      </c>
      <c r="D23" s="177" t="s">
        <v>6124</v>
      </c>
      <c r="E23" s="177" t="s">
        <v>6125</v>
      </c>
      <c r="F23" s="177" t="s">
        <v>6157</v>
      </c>
      <c r="G23" s="176"/>
      <c r="H23" s="176"/>
      <c r="I23" s="176"/>
      <c r="J23" s="176"/>
      <c r="K23" s="176"/>
      <c r="L23" s="176"/>
      <c r="M23" s="176"/>
      <c r="N23" s="176"/>
      <c r="O23" s="176"/>
      <c r="P23" s="176"/>
      <c r="Q23" s="176"/>
      <c r="R23" s="176"/>
      <c r="S23" s="176"/>
      <c r="T23" s="176"/>
      <c r="U23" s="176"/>
      <c r="V23" s="176"/>
      <c r="W23" s="176"/>
      <c r="X23" s="176"/>
      <c r="Y23" s="176"/>
      <c r="Z23" s="176"/>
    </row>
    <row r="24" spans="1:26">
      <c r="A24" s="221">
        <v>23</v>
      </c>
      <c r="B24" s="177" t="s">
        <v>6122</v>
      </c>
      <c r="C24" s="177" t="s">
        <v>6156</v>
      </c>
      <c r="D24" s="177" t="s">
        <v>6124</v>
      </c>
      <c r="E24" s="177" t="s">
        <v>6137</v>
      </c>
      <c r="F24" s="177" t="s">
        <v>6158</v>
      </c>
      <c r="G24" s="176"/>
      <c r="H24" s="176"/>
      <c r="I24" s="176"/>
      <c r="J24" s="176"/>
      <c r="K24" s="176"/>
      <c r="L24" s="176"/>
      <c r="M24" s="176"/>
      <c r="N24" s="176"/>
      <c r="O24" s="176"/>
      <c r="P24" s="176"/>
      <c r="Q24" s="176"/>
      <c r="R24" s="176"/>
      <c r="S24" s="176"/>
      <c r="T24" s="176"/>
      <c r="U24" s="176"/>
      <c r="V24" s="176"/>
      <c r="W24" s="176"/>
      <c r="X24" s="176"/>
      <c r="Y24" s="176"/>
      <c r="Z24" s="176"/>
    </row>
    <row r="25" spans="1:26">
      <c r="A25" s="221">
        <v>24</v>
      </c>
      <c r="B25" s="177" t="s">
        <v>6122</v>
      </c>
      <c r="C25" s="177" t="s">
        <v>6156</v>
      </c>
      <c r="D25" s="177" t="s">
        <v>6124</v>
      </c>
      <c r="E25" s="177" t="s">
        <v>6129</v>
      </c>
      <c r="F25" s="177" t="s">
        <v>6159</v>
      </c>
      <c r="G25" s="176"/>
      <c r="H25" s="176"/>
      <c r="I25" s="176"/>
      <c r="J25" s="176"/>
      <c r="K25" s="176"/>
      <c r="L25" s="176"/>
      <c r="M25" s="176"/>
      <c r="N25" s="176"/>
      <c r="O25" s="176"/>
      <c r="P25" s="176"/>
      <c r="Q25" s="176"/>
      <c r="R25" s="176"/>
      <c r="S25" s="176"/>
      <c r="T25" s="176"/>
      <c r="U25" s="176"/>
      <c r="V25" s="176"/>
      <c r="W25" s="176"/>
      <c r="X25" s="176"/>
      <c r="Y25" s="176"/>
      <c r="Z25" s="176"/>
    </row>
    <row r="26" spans="1:26">
      <c r="A26" s="221">
        <v>25</v>
      </c>
      <c r="B26" s="177" t="s">
        <v>6122</v>
      </c>
      <c r="C26" s="177" t="s">
        <v>6160</v>
      </c>
      <c r="D26" s="177" t="s">
        <v>6124</v>
      </c>
      <c r="E26" s="177" t="s">
        <v>6125</v>
      </c>
      <c r="F26" s="177" t="s">
        <v>6161</v>
      </c>
      <c r="G26" s="176"/>
      <c r="H26" s="176"/>
      <c r="I26" s="176"/>
      <c r="J26" s="176"/>
      <c r="K26" s="176"/>
      <c r="L26" s="176"/>
      <c r="M26" s="176"/>
      <c r="N26" s="176"/>
      <c r="O26" s="176"/>
      <c r="P26" s="176"/>
      <c r="Q26" s="176"/>
      <c r="R26" s="176"/>
      <c r="S26" s="176"/>
      <c r="T26" s="176"/>
      <c r="U26" s="176"/>
      <c r="V26" s="176"/>
      <c r="W26" s="176"/>
      <c r="X26" s="176"/>
      <c r="Y26" s="176"/>
      <c r="Z26" s="176"/>
    </row>
    <row r="27" spans="1:26">
      <c r="A27" s="221">
        <v>26</v>
      </c>
      <c r="B27" s="177" t="s">
        <v>6122</v>
      </c>
      <c r="C27" s="177" t="s">
        <v>6160</v>
      </c>
      <c r="D27" s="177" t="s">
        <v>6124</v>
      </c>
      <c r="E27" s="177" t="s">
        <v>6137</v>
      </c>
      <c r="F27" s="177" t="s">
        <v>6162</v>
      </c>
      <c r="G27" s="176"/>
      <c r="H27" s="176"/>
      <c r="I27" s="176"/>
      <c r="J27" s="176"/>
      <c r="K27" s="176"/>
      <c r="L27" s="176"/>
      <c r="M27" s="176"/>
      <c r="N27" s="176"/>
      <c r="O27" s="176"/>
      <c r="P27" s="176"/>
      <c r="Q27" s="176"/>
      <c r="R27" s="176"/>
      <c r="S27" s="176"/>
      <c r="T27" s="176"/>
      <c r="U27" s="176"/>
      <c r="V27" s="176"/>
      <c r="W27" s="176"/>
      <c r="X27" s="176"/>
      <c r="Y27" s="176"/>
      <c r="Z27" s="176"/>
    </row>
    <row r="28" spans="1:26">
      <c r="A28" s="221">
        <v>27</v>
      </c>
      <c r="B28" s="177" t="s">
        <v>6122</v>
      </c>
      <c r="C28" s="177" t="s">
        <v>6160</v>
      </c>
      <c r="D28" s="177" t="s">
        <v>6124</v>
      </c>
      <c r="E28" s="177" t="s">
        <v>6129</v>
      </c>
      <c r="F28" s="177" t="s">
        <v>6163</v>
      </c>
      <c r="G28" s="176"/>
      <c r="H28" s="176"/>
      <c r="I28" s="176"/>
      <c r="J28" s="176"/>
      <c r="K28" s="176"/>
      <c r="L28" s="176"/>
      <c r="M28" s="176"/>
      <c r="N28" s="176"/>
      <c r="O28" s="176"/>
      <c r="P28" s="176"/>
      <c r="Q28" s="176"/>
      <c r="R28" s="176"/>
      <c r="S28" s="176"/>
      <c r="T28" s="176"/>
      <c r="U28" s="176"/>
      <c r="V28" s="176"/>
      <c r="W28" s="176"/>
      <c r="X28" s="176"/>
      <c r="Y28" s="176"/>
      <c r="Z28" s="176"/>
    </row>
    <row r="29" spans="1:26">
      <c r="A29" s="221">
        <v>28</v>
      </c>
      <c r="B29" s="177" t="s">
        <v>6122</v>
      </c>
      <c r="C29" s="177" t="s">
        <v>6164</v>
      </c>
      <c r="D29" s="177" t="s">
        <v>6124</v>
      </c>
      <c r="E29" s="177" t="s">
        <v>6125</v>
      </c>
      <c r="F29" s="177" t="s">
        <v>6165</v>
      </c>
      <c r="G29" s="176"/>
      <c r="H29" s="176"/>
      <c r="I29" s="176"/>
      <c r="J29" s="176"/>
      <c r="K29" s="176"/>
      <c r="L29" s="176"/>
      <c r="M29" s="176"/>
      <c r="N29" s="176"/>
      <c r="O29" s="176"/>
      <c r="P29" s="176"/>
      <c r="Q29" s="176"/>
      <c r="R29" s="176"/>
      <c r="S29" s="176"/>
      <c r="T29" s="176"/>
      <c r="U29" s="176"/>
      <c r="V29" s="176"/>
      <c r="W29" s="176"/>
      <c r="X29" s="176"/>
      <c r="Y29" s="176"/>
      <c r="Z29" s="176"/>
    </row>
    <row r="30" spans="1:26">
      <c r="A30" s="221">
        <v>29</v>
      </c>
      <c r="B30" s="177" t="s">
        <v>6122</v>
      </c>
      <c r="C30" s="177" t="s">
        <v>6164</v>
      </c>
      <c r="D30" s="177" t="s">
        <v>6124</v>
      </c>
      <c r="E30" s="177" t="s">
        <v>6137</v>
      </c>
      <c r="F30" s="177" t="s">
        <v>6166</v>
      </c>
      <c r="G30" s="176"/>
      <c r="H30" s="176"/>
      <c r="I30" s="176"/>
      <c r="J30" s="176"/>
      <c r="K30" s="176"/>
      <c r="L30" s="176"/>
      <c r="M30" s="176"/>
      <c r="N30" s="176"/>
      <c r="O30" s="176"/>
      <c r="P30" s="176"/>
      <c r="Q30" s="176"/>
      <c r="R30" s="176"/>
      <c r="S30" s="176"/>
      <c r="T30" s="176"/>
      <c r="U30" s="176"/>
      <c r="V30" s="176"/>
      <c r="W30" s="176"/>
      <c r="X30" s="176"/>
      <c r="Y30" s="176"/>
      <c r="Z30" s="176"/>
    </row>
    <row r="31" spans="1:26">
      <c r="A31" s="221">
        <v>30</v>
      </c>
      <c r="B31" s="177" t="s">
        <v>6122</v>
      </c>
      <c r="C31" s="177" t="s">
        <v>6164</v>
      </c>
      <c r="D31" s="177" t="s">
        <v>6124</v>
      </c>
      <c r="E31" s="177" t="s">
        <v>6129</v>
      </c>
      <c r="F31" s="177" t="s">
        <v>6167</v>
      </c>
      <c r="G31" s="176"/>
      <c r="H31" s="176"/>
      <c r="I31" s="176"/>
      <c r="J31" s="176"/>
      <c r="K31" s="176"/>
      <c r="L31" s="176"/>
      <c r="M31" s="176"/>
      <c r="N31" s="176"/>
      <c r="O31" s="176"/>
      <c r="P31" s="176"/>
      <c r="Q31" s="176"/>
      <c r="R31" s="176"/>
      <c r="S31" s="176"/>
      <c r="T31" s="176"/>
      <c r="U31" s="176"/>
      <c r="V31" s="176"/>
      <c r="W31" s="176"/>
      <c r="X31" s="176"/>
      <c r="Y31" s="176"/>
      <c r="Z31" s="176"/>
    </row>
    <row r="32" spans="1:26">
      <c r="A32" s="221">
        <v>31</v>
      </c>
      <c r="B32" s="177" t="s">
        <v>6122</v>
      </c>
      <c r="C32" s="177" t="s">
        <v>6168</v>
      </c>
      <c r="D32" s="177" t="s">
        <v>6124</v>
      </c>
      <c r="E32" s="177" t="s">
        <v>6125</v>
      </c>
      <c r="F32" s="177" t="s">
        <v>6169</v>
      </c>
      <c r="G32" s="176"/>
      <c r="H32" s="176"/>
      <c r="I32" s="176"/>
      <c r="J32" s="176"/>
      <c r="K32" s="176"/>
      <c r="L32" s="176"/>
      <c r="M32" s="176"/>
      <c r="N32" s="176"/>
      <c r="O32" s="176"/>
      <c r="P32" s="176"/>
      <c r="Q32" s="176"/>
      <c r="R32" s="176"/>
      <c r="S32" s="176"/>
      <c r="T32" s="176"/>
      <c r="U32" s="176"/>
      <c r="V32" s="176"/>
      <c r="W32" s="176"/>
      <c r="X32" s="176"/>
      <c r="Y32" s="176"/>
      <c r="Z32" s="176"/>
    </row>
    <row r="33" spans="1:26">
      <c r="A33" s="221">
        <v>32</v>
      </c>
      <c r="B33" s="177" t="s">
        <v>6122</v>
      </c>
      <c r="C33" s="177" t="s">
        <v>6168</v>
      </c>
      <c r="D33" s="177" t="s">
        <v>6124</v>
      </c>
      <c r="E33" s="177" t="s">
        <v>6137</v>
      </c>
      <c r="F33" s="177" t="s">
        <v>6170</v>
      </c>
      <c r="G33" s="176"/>
      <c r="H33" s="176"/>
      <c r="I33" s="176"/>
      <c r="J33" s="176"/>
      <c r="K33" s="176"/>
      <c r="L33" s="176"/>
      <c r="M33" s="176"/>
      <c r="N33" s="176"/>
      <c r="O33" s="176"/>
      <c r="P33" s="176"/>
      <c r="Q33" s="176"/>
      <c r="R33" s="176"/>
      <c r="S33" s="176"/>
      <c r="T33" s="176"/>
      <c r="U33" s="176"/>
      <c r="V33" s="176"/>
      <c r="W33" s="176"/>
      <c r="X33" s="176"/>
      <c r="Y33" s="176"/>
      <c r="Z33" s="176"/>
    </row>
    <row r="34" spans="1:26">
      <c r="A34" s="221">
        <v>33</v>
      </c>
      <c r="B34" s="177" t="s">
        <v>6122</v>
      </c>
      <c r="C34" s="177" t="s">
        <v>6168</v>
      </c>
      <c r="D34" s="177" t="s">
        <v>6124</v>
      </c>
      <c r="E34" s="177" t="s">
        <v>6129</v>
      </c>
      <c r="F34" s="177" t="s">
        <v>6171</v>
      </c>
      <c r="G34" s="176"/>
      <c r="H34" s="176"/>
      <c r="I34" s="176"/>
      <c r="J34" s="176"/>
      <c r="K34" s="176"/>
      <c r="L34" s="176"/>
      <c r="M34" s="176"/>
      <c r="N34" s="176"/>
      <c r="O34" s="176"/>
      <c r="P34" s="176"/>
      <c r="Q34" s="176"/>
      <c r="R34" s="176"/>
      <c r="S34" s="176"/>
      <c r="T34" s="176"/>
      <c r="U34" s="176"/>
      <c r="V34" s="176"/>
      <c r="W34" s="176"/>
      <c r="X34" s="176"/>
      <c r="Y34" s="176"/>
      <c r="Z34" s="176"/>
    </row>
    <row r="35" spans="1:26">
      <c r="A35" s="221">
        <v>34</v>
      </c>
      <c r="B35" s="177" t="s">
        <v>6122</v>
      </c>
      <c r="C35" s="177" t="s">
        <v>6172</v>
      </c>
      <c r="D35" s="177" t="s">
        <v>6124</v>
      </c>
      <c r="E35" s="177" t="s">
        <v>6125</v>
      </c>
      <c r="F35" s="177" t="s">
        <v>6173</v>
      </c>
      <c r="G35" s="176"/>
      <c r="H35" s="176"/>
      <c r="I35" s="176"/>
      <c r="J35" s="176"/>
      <c r="K35" s="176"/>
      <c r="L35" s="176"/>
      <c r="M35" s="176"/>
      <c r="N35" s="176"/>
      <c r="O35" s="176"/>
      <c r="P35" s="176"/>
      <c r="Q35" s="176"/>
      <c r="R35" s="176"/>
      <c r="S35" s="176"/>
      <c r="T35" s="176"/>
      <c r="U35" s="176"/>
      <c r="V35" s="176"/>
      <c r="W35" s="176"/>
      <c r="X35" s="176"/>
      <c r="Y35" s="176"/>
      <c r="Z35" s="176"/>
    </row>
    <row r="36" spans="1:26">
      <c r="A36" s="221">
        <v>35</v>
      </c>
      <c r="B36" s="177" t="s">
        <v>6122</v>
      </c>
      <c r="C36" s="177" t="s">
        <v>6172</v>
      </c>
      <c r="D36" s="177" t="s">
        <v>6124</v>
      </c>
      <c r="E36" s="177" t="s">
        <v>6137</v>
      </c>
      <c r="F36" s="177" t="s">
        <v>6174</v>
      </c>
      <c r="G36" s="176"/>
      <c r="H36" s="176"/>
      <c r="I36" s="176"/>
      <c r="J36" s="176"/>
      <c r="K36" s="176"/>
      <c r="L36" s="176"/>
      <c r="M36" s="176"/>
      <c r="N36" s="176"/>
      <c r="O36" s="176"/>
      <c r="P36" s="176"/>
      <c r="Q36" s="176"/>
      <c r="R36" s="176"/>
      <c r="S36" s="176"/>
      <c r="T36" s="176"/>
      <c r="U36" s="176"/>
      <c r="V36" s="176"/>
      <c r="W36" s="176"/>
      <c r="X36" s="176"/>
      <c r="Y36" s="176"/>
      <c r="Z36" s="176"/>
    </row>
    <row r="37" spans="1:26">
      <c r="A37" s="221">
        <v>36</v>
      </c>
      <c r="B37" s="177" t="s">
        <v>6122</v>
      </c>
      <c r="C37" s="177" t="s">
        <v>6172</v>
      </c>
      <c r="D37" s="177" t="s">
        <v>6124</v>
      </c>
      <c r="E37" s="177" t="s">
        <v>6129</v>
      </c>
      <c r="F37" s="177" t="s">
        <v>6175</v>
      </c>
      <c r="G37" s="176"/>
      <c r="H37" s="176"/>
      <c r="I37" s="176"/>
      <c r="J37" s="176"/>
      <c r="K37" s="176"/>
      <c r="L37" s="176"/>
      <c r="M37" s="176"/>
      <c r="N37" s="176"/>
      <c r="O37" s="176"/>
      <c r="P37" s="176"/>
      <c r="Q37" s="176"/>
      <c r="R37" s="176"/>
      <c r="S37" s="176"/>
      <c r="T37" s="176"/>
      <c r="U37" s="176"/>
      <c r="V37" s="176"/>
      <c r="W37" s="176"/>
      <c r="X37" s="176"/>
      <c r="Y37" s="176"/>
      <c r="Z37" s="176"/>
    </row>
    <row r="38" spans="1:26">
      <c r="A38" s="221">
        <v>37</v>
      </c>
      <c r="B38" s="177" t="s">
        <v>6122</v>
      </c>
      <c r="C38" s="177" t="s">
        <v>6176</v>
      </c>
      <c r="D38" s="177" t="s">
        <v>6124</v>
      </c>
      <c r="E38" s="177" t="s">
        <v>6125</v>
      </c>
      <c r="F38" s="177" t="s">
        <v>6177</v>
      </c>
      <c r="G38" s="176"/>
      <c r="H38" s="176"/>
      <c r="I38" s="176"/>
      <c r="J38" s="176"/>
      <c r="K38" s="176"/>
      <c r="L38" s="176"/>
      <c r="M38" s="176"/>
      <c r="N38" s="176"/>
      <c r="O38" s="176"/>
      <c r="P38" s="176"/>
      <c r="Q38" s="176"/>
      <c r="R38" s="176"/>
      <c r="S38" s="176"/>
      <c r="T38" s="176"/>
      <c r="U38" s="176"/>
      <c r="V38" s="176"/>
      <c r="W38" s="176"/>
      <c r="X38" s="176"/>
      <c r="Y38" s="176"/>
      <c r="Z38" s="176"/>
    </row>
    <row r="39" spans="1:26">
      <c r="A39" s="221">
        <v>38</v>
      </c>
      <c r="B39" s="177" t="s">
        <v>6122</v>
      </c>
      <c r="C39" s="177" t="s">
        <v>6176</v>
      </c>
      <c r="D39" s="177" t="s">
        <v>6124</v>
      </c>
      <c r="E39" s="177" t="s">
        <v>6137</v>
      </c>
      <c r="F39" s="177" t="s">
        <v>6178</v>
      </c>
      <c r="G39" s="176"/>
      <c r="H39" s="176"/>
      <c r="I39" s="176"/>
      <c r="J39" s="176"/>
      <c r="K39" s="176"/>
      <c r="L39" s="176"/>
      <c r="M39" s="176"/>
      <c r="N39" s="176"/>
      <c r="O39" s="176"/>
      <c r="P39" s="176"/>
      <c r="Q39" s="176"/>
      <c r="R39" s="176"/>
      <c r="S39" s="176"/>
      <c r="T39" s="176"/>
      <c r="U39" s="176"/>
      <c r="V39" s="176"/>
      <c r="W39" s="176"/>
      <c r="X39" s="176"/>
      <c r="Y39" s="176"/>
      <c r="Z39" s="176"/>
    </row>
    <row r="40" spans="1:26">
      <c r="A40" s="221">
        <v>39</v>
      </c>
      <c r="B40" s="177" t="s">
        <v>6122</v>
      </c>
      <c r="C40" s="177" t="s">
        <v>6176</v>
      </c>
      <c r="D40" s="177" t="s">
        <v>6124</v>
      </c>
      <c r="E40" s="177" t="s">
        <v>6129</v>
      </c>
      <c r="F40" s="177" t="s">
        <v>6179</v>
      </c>
      <c r="G40" s="176"/>
      <c r="H40" s="176"/>
      <c r="I40" s="176"/>
      <c r="J40" s="176"/>
      <c r="K40" s="176"/>
      <c r="L40" s="176"/>
      <c r="M40" s="176"/>
      <c r="N40" s="176"/>
      <c r="O40" s="176"/>
      <c r="P40" s="176"/>
      <c r="Q40" s="176"/>
      <c r="R40" s="176"/>
      <c r="S40" s="176"/>
      <c r="T40" s="176"/>
      <c r="U40" s="176"/>
      <c r="V40" s="176"/>
      <c r="W40" s="176"/>
      <c r="X40" s="176"/>
      <c r="Y40" s="176"/>
      <c r="Z40" s="176"/>
    </row>
    <row r="41" spans="1:26">
      <c r="A41" s="221">
        <v>40</v>
      </c>
      <c r="B41" s="177" t="s">
        <v>6122</v>
      </c>
      <c r="C41" s="177" t="s">
        <v>6180</v>
      </c>
      <c r="D41" s="177" t="s">
        <v>6124</v>
      </c>
      <c r="E41" s="177" t="s">
        <v>6125</v>
      </c>
      <c r="F41" s="177" t="s">
        <v>6181</v>
      </c>
      <c r="G41" s="176"/>
      <c r="H41" s="176"/>
      <c r="I41" s="176"/>
      <c r="J41" s="176"/>
      <c r="K41" s="176"/>
      <c r="L41" s="176"/>
      <c r="M41" s="176"/>
      <c r="N41" s="176"/>
      <c r="O41" s="176"/>
      <c r="P41" s="176"/>
      <c r="Q41" s="176"/>
      <c r="R41" s="176"/>
      <c r="S41" s="176"/>
      <c r="T41" s="176"/>
      <c r="U41" s="176"/>
      <c r="V41" s="176"/>
      <c r="W41" s="176"/>
      <c r="X41" s="176"/>
      <c r="Y41" s="176"/>
      <c r="Z41" s="176"/>
    </row>
    <row r="42" spans="1:26">
      <c r="A42" s="221">
        <v>41</v>
      </c>
      <c r="B42" s="177" t="s">
        <v>6122</v>
      </c>
      <c r="C42" s="177" t="s">
        <v>6180</v>
      </c>
      <c r="D42" s="177" t="s">
        <v>6124</v>
      </c>
      <c r="E42" s="177" t="s">
        <v>6137</v>
      </c>
      <c r="F42" s="177" t="s">
        <v>6182</v>
      </c>
      <c r="G42" s="176"/>
      <c r="H42" s="176"/>
      <c r="I42" s="176"/>
      <c r="J42" s="176"/>
      <c r="K42" s="176"/>
      <c r="L42" s="176"/>
      <c r="M42" s="176"/>
      <c r="N42" s="176"/>
      <c r="O42" s="176"/>
      <c r="P42" s="176"/>
      <c r="Q42" s="176"/>
      <c r="R42" s="176"/>
      <c r="S42" s="176"/>
      <c r="T42" s="176"/>
      <c r="U42" s="176"/>
      <c r="V42" s="176"/>
      <c r="W42" s="176"/>
      <c r="X42" s="176"/>
      <c r="Y42" s="176"/>
      <c r="Z42" s="176"/>
    </row>
    <row r="43" spans="1:26">
      <c r="A43" s="221">
        <v>42</v>
      </c>
      <c r="B43" s="177" t="s">
        <v>6122</v>
      </c>
      <c r="C43" s="177" t="s">
        <v>6180</v>
      </c>
      <c r="D43" s="177" t="s">
        <v>6124</v>
      </c>
      <c r="E43" s="177" t="s">
        <v>6129</v>
      </c>
      <c r="F43" s="177" t="s">
        <v>6183</v>
      </c>
      <c r="G43" s="176"/>
      <c r="H43" s="176"/>
      <c r="I43" s="176"/>
      <c r="J43" s="176"/>
      <c r="K43" s="176"/>
      <c r="L43" s="176"/>
      <c r="M43" s="176"/>
      <c r="N43" s="176"/>
      <c r="O43" s="176"/>
      <c r="P43" s="176"/>
      <c r="Q43" s="176"/>
      <c r="R43" s="176"/>
      <c r="S43" s="176"/>
      <c r="T43" s="176"/>
      <c r="U43" s="176"/>
      <c r="V43" s="176"/>
      <c r="W43" s="176"/>
      <c r="X43" s="176"/>
      <c r="Y43" s="176"/>
      <c r="Z43" s="176"/>
    </row>
    <row r="44" spans="1:26">
      <c r="A44" s="221">
        <v>43</v>
      </c>
      <c r="B44" s="177" t="s">
        <v>6122</v>
      </c>
      <c r="C44" s="177" t="s">
        <v>6184</v>
      </c>
      <c r="D44" s="177" t="s">
        <v>6124</v>
      </c>
      <c r="E44" s="177" t="s">
        <v>6125</v>
      </c>
      <c r="F44" s="177" t="s">
        <v>6185</v>
      </c>
      <c r="G44" s="176"/>
      <c r="H44" s="176"/>
      <c r="I44" s="176"/>
      <c r="J44" s="176"/>
      <c r="K44" s="176"/>
      <c r="L44" s="176"/>
      <c r="M44" s="176"/>
      <c r="N44" s="176"/>
      <c r="O44" s="176"/>
      <c r="P44" s="176"/>
      <c r="Q44" s="176"/>
      <c r="R44" s="176"/>
      <c r="S44" s="176"/>
      <c r="T44" s="176"/>
      <c r="U44" s="176"/>
      <c r="V44" s="176"/>
      <c r="W44" s="176"/>
      <c r="X44" s="176"/>
      <c r="Y44" s="176"/>
      <c r="Z44" s="176"/>
    </row>
    <row r="45" spans="1:26">
      <c r="A45" s="221">
        <v>44</v>
      </c>
      <c r="B45" s="177" t="s">
        <v>6122</v>
      </c>
      <c r="C45" s="177" t="s">
        <v>6184</v>
      </c>
      <c r="D45" s="177" t="s">
        <v>6124</v>
      </c>
      <c r="E45" s="177" t="s">
        <v>6137</v>
      </c>
      <c r="F45" s="177" t="s">
        <v>6186</v>
      </c>
      <c r="G45" s="176"/>
      <c r="H45" s="176"/>
      <c r="I45" s="176"/>
      <c r="J45" s="176"/>
      <c r="K45" s="176"/>
      <c r="L45" s="176"/>
      <c r="M45" s="176"/>
      <c r="N45" s="176"/>
      <c r="O45" s="176"/>
      <c r="P45" s="176"/>
      <c r="Q45" s="176"/>
      <c r="R45" s="176"/>
      <c r="S45" s="176"/>
      <c r="T45" s="176"/>
      <c r="U45" s="176"/>
      <c r="V45" s="176"/>
      <c r="W45" s="176"/>
      <c r="X45" s="176"/>
      <c r="Y45" s="176"/>
      <c r="Z45" s="176"/>
    </row>
    <row r="46" spans="1:26">
      <c r="A46" s="221">
        <v>45</v>
      </c>
      <c r="B46" s="177" t="s">
        <v>6122</v>
      </c>
      <c r="C46" s="177" t="s">
        <v>6184</v>
      </c>
      <c r="D46" s="177" t="s">
        <v>6124</v>
      </c>
      <c r="E46" s="177" t="s">
        <v>6129</v>
      </c>
      <c r="F46" s="177" t="s">
        <v>6187</v>
      </c>
      <c r="G46" s="176"/>
      <c r="H46" s="176"/>
      <c r="I46" s="176"/>
      <c r="J46" s="176"/>
      <c r="K46" s="176"/>
      <c r="L46" s="176"/>
      <c r="M46" s="176"/>
      <c r="N46" s="176"/>
      <c r="O46" s="176"/>
      <c r="P46" s="176"/>
      <c r="Q46" s="176"/>
      <c r="R46" s="176"/>
      <c r="S46" s="176"/>
      <c r="T46" s="176"/>
      <c r="U46" s="176"/>
      <c r="V46" s="176"/>
      <c r="W46" s="176"/>
      <c r="X46" s="176"/>
      <c r="Y46" s="176"/>
      <c r="Z46" s="176"/>
    </row>
    <row r="47" spans="1:26">
      <c r="A47" s="221">
        <v>46</v>
      </c>
      <c r="B47" s="177" t="s">
        <v>6122</v>
      </c>
      <c r="C47" s="177" t="s">
        <v>6188</v>
      </c>
      <c r="D47" s="177" t="s">
        <v>6124</v>
      </c>
      <c r="E47" s="177" t="s">
        <v>6125</v>
      </c>
      <c r="F47" s="177" t="s">
        <v>6189</v>
      </c>
      <c r="G47" s="176"/>
      <c r="H47" s="176"/>
      <c r="I47" s="176"/>
      <c r="J47" s="176"/>
      <c r="K47" s="176"/>
      <c r="L47" s="176"/>
      <c r="M47" s="176"/>
      <c r="N47" s="176"/>
      <c r="O47" s="176"/>
      <c r="P47" s="176"/>
      <c r="Q47" s="176"/>
      <c r="R47" s="176"/>
      <c r="S47" s="176"/>
      <c r="T47" s="176"/>
      <c r="U47" s="176"/>
      <c r="V47" s="176"/>
      <c r="W47" s="176"/>
      <c r="X47" s="176"/>
      <c r="Y47" s="176"/>
      <c r="Z47" s="176"/>
    </row>
    <row r="48" spans="1:26">
      <c r="A48" s="221">
        <v>47</v>
      </c>
      <c r="B48" s="177" t="s">
        <v>6122</v>
      </c>
      <c r="C48" s="177" t="s">
        <v>6188</v>
      </c>
      <c r="D48" s="177" t="s">
        <v>6124</v>
      </c>
      <c r="E48" s="177" t="s">
        <v>6137</v>
      </c>
      <c r="F48" s="177" t="s">
        <v>6190</v>
      </c>
      <c r="G48" s="176"/>
      <c r="H48" s="176"/>
      <c r="I48" s="176"/>
      <c r="J48" s="176"/>
      <c r="K48" s="176"/>
      <c r="L48" s="176"/>
      <c r="M48" s="176"/>
      <c r="N48" s="176"/>
      <c r="O48" s="176"/>
      <c r="P48" s="176"/>
      <c r="Q48" s="176"/>
      <c r="R48" s="176"/>
      <c r="S48" s="176"/>
      <c r="T48" s="176"/>
      <c r="U48" s="176"/>
      <c r="V48" s="176"/>
      <c r="W48" s="176"/>
      <c r="X48" s="176"/>
      <c r="Y48" s="176"/>
      <c r="Z48" s="176"/>
    </row>
    <row r="49" spans="1:26">
      <c r="A49" s="221">
        <v>48</v>
      </c>
      <c r="B49" s="177" t="s">
        <v>6122</v>
      </c>
      <c r="C49" s="177" t="s">
        <v>6188</v>
      </c>
      <c r="D49" s="177" t="s">
        <v>6124</v>
      </c>
      <c r="E49" s="177" t="s">
        <v>6129</v>
      </c>
      <c r="F49" s="177" t="s">
        <v>6191</v>
      </c>
      <c r="G49" s="176"/>
      <c r="H49" s="176"/>
      <c r="I49" s="176"/>
      <c r="J49" s="176"/>
      <c r="K49" s="176"/>
      <c r="L49" s="176"/>
      <c r="M49" s="176"/>
      <c r="N49" s="176"/>
      <c r="O49" s="176"/>
      <c r="P49" s="176"/>
      <c r="Q49" s="176"/>
      <c r="R49" s="176"/>
      <c r="S49" s="176"/>
      <c r="T49" s="176"/>
      <c r="U49" s="176"/>
      <c r="V49" s="176"/>
      <c r="W49" s="176"/>
      <c r="X49" s="176"/>
      <c r="Y49" s="176"/>
      <c r="Z49" s="176"/>
    </row>
    <row r="50" spans="1:26">
      <c r="A50" s="221">
        <v>49</v>
      </c>
      <c r="B50" s="177" t="s">
        <v>6122</v>
      </c>
      <c r="C50" s="177" t="s">
        <v>6192</v>
      </c>
      <c r="D50" s="177" t="s">
        <v>6124</v>
      </c>
      <c r="E50" s="177" t="s">
        <v>6125</v>
      </c>
      <c r="F50" s="177" t="s">
        <v>6193</v>
      </c>
      <c r="G50" s="176"/>
      <c r="H50" s="176"/>
      <c r="I50" s="176"/>
      <c r="J50" s="176"/>
      <c r="K50" s="176"/>
      <c r="L50" s="176"/>
      <c r="M50" s="176"/>
      <c r="N50" s="176"/>
      <c r="O50" s="176"/>
      <c r="P50" s="176"/>
      <c r="Q50" s="176"/>
      <c r="R50" s="176"/>
      <c r="S50" s="176"/>
      <c r="T50" s="176"/>
      <c r="U50" s="176"/>
      <c r="V50" s="176"/>
      <c r="W50" s="176"/>
      <c r="X50" s="176"/>
      <c r="Y50" s="176"/>
      <c r="Z50" s="176"/>
    </row>
    <row r="51" spans="1:26">
      <c r="A51" s="221">
        <v>50</v>
      </c>
      <c r="B51" s="177" t="s">
        <v>6122</v>
      </c>
      <c r="C51" s="177" t="s">
        <v>6192</v>
      </c>
      <c r="D51" s="177" t="s">
        <v>6124</v>
      </c>
      <c r="E51" s="177" t="s">
        <v>6137</v>
      </c>
      <c r="F51" s="177" t="s">
        <v>6194</v>
      </c>
      <c r="G51" s="176"/>
      <c r="H51" s="176"/>
      <c r="I51" s="176"/>
      <c r="J51" s="176"/>
      <c r="K51" s="176"/>
      <c r="L51" s="176"/>
      <c r="M51" s="176"/>
      <c r="N51" s="176"/>
      <c r="O51" s="176"/>
      <c r="P51" s="176"/>
      <c r="Q51" s="176"/>
      <c r="R51" s="176"/>
      <c r="S51" s="176"/>
      <c r="T51" s="176"/>
      <c r="U51" s="176"/>
      <c r="V51" s="176"/>
      <c r="W51" s="176"/>
      <c r="X51" s="176"/>
      <c r="Y51" s="176"/>
      <c r="Z51" s="176"/>
    </row>
    <row r="52" spans="1:26">
      <c r="A52" s="221">
        <v>51</v>
      </c>
      <c r="B52" s="177" t="s">
        <v>6122</v>
      </c>
      <c r="C52" s="177" t="s">
        <v>6192</v>
      </c>
      <c r="D52" s="177" t="s">
        <v>6124</v>
      </c>
      <c r="E52" s="177" t="s">
        <v>6129</v>
      </c>
      <c r="F52" s="177" t="s">
        <v>6195</v>
      </c>
      <c r="G52" s="176"/>
      <c r="H52" s="176"/>
      <c r="I52" s="176"/>
      <c r="J52" s="176"/>
      <c r="K52" s="176"/>
      <c r="L52" s="176"/>
      <c r="M52" s="176"/>
      <c r="N52" s="176"/>
      <c r="O52" s="176"/>
      <c r="P52" s="176"/>
      <c r="Q52" s="176"/>
      <c r="R52" s="176"/>
      <c r="S52" s="176"/>
      <c r="T52" s="176"/>
      <c r="U52" s="176"/>
      <c r="V52" s="176"/>
      <c r="W52" s="176"/>
      <c r="X52" s="176"/>
      <c r="Y52" s="176"/>
      <c r="Z52" s="176"/>
    </row>
    <row r="53" spans="1:26">
      <c r="A53" s="221">
        <v>52</v>
      </c>
      <c r="B53" s="177" t="s">
        <v>6122</v>
      </c>
      <c r="C53" s="177" t="s">
        <v>6196</v>
      </c>
      <c r="D53" s="177" t="s">
        <v>6124</v>
      </c>
      <c r="E53" s="177" t="s">
        <v>6125</v>
      </c>
      <c r="F53" s="177" t="s">
        <v>6197</v>
      </c>
      <c r="G53" s="176"/>
      <c r="H53" s="176"/>
      <c r="I53" s="176"/>
      <c r="J53" s="176"/>
      <c r="K53" s="176"/>
      <c r="L53" s="176"/>
      <c r="M53" s="176"/>
      <c r="N53" s="176"/>
      <c r="O53" s="176"/>
      <c r="P53" s="176"/>
      <c r="Q53" s="176"/>
      <c r="R53" s="176"/>
      <c r="S53" s="176"/>
      <c r="T53" s="176"/>
      <c r="U53" s="176"/>
      <c r="V53" s="176"/>
      <c r="W53" s="176"/>
      <c r="X53" s="176"/>
      <c r="Y53" s="176"/>
      <c r="Z53" s="176"/>
    </row>
    <row r="54" spans="1:26">
      <c r="A54" s="221">
        <v>53</v>
      </c>
      <c r="B54" s="177" t="s">
        <v>6122</v>
      </c>
      <c r="C54" s="177" t="s">
        <v>6196</v>
      </c>
      <c r="D54" s="177" t="s">
        <v>6124</v>
      </c>
      <c r="E54" s="177" t="s">
        <v>6137</v>
      </c>
      <c r="F54" s="177" t="s">
        <v>6198</v>
      </c>
      <c r="G54" s="176"/>
      <c r="H54" s="176"/>
      <c r="I54" s="176"/>
      <c r="J54" s="176"/>
      <c r="K54" s="176"/>
      <c r="L54" s="176"/>
      <c r="M54" s="176"/>
      <c r="N54" s="176"/>
      <c r="O54" s="176"/>
      <c r="P54" s="176"/>
      <c r="Q54" s="176"/>
      <c r="R54" s="176"/>
      <c r="S54" s="176"/>
      <c r="T54" s="176"/>
      <c r="U54" s="176"/>
      <c r="V54" s="176"/>
      <c r="W54" s="176"/>
      <c r="X54" s="176"/>
      <c r="Y54" s="176"/>
      <c r="Z54" s="176"/>
    </row>
    <row r="55" spans="1:26">
      <c r="A55" s="221">
        <v>54</v>
      </c>
      <c r="B55" s="177" t="s">
        <v>6122</v>
      </c>
      <c r="C55" s="177" t="s">
        <v>6196</v>
      </c>
      <c r="D55" s="177" t="s">
        <v>6124</v>
      </c>
      <c r="E55" s="177" t="s">
        <v>6129</v>
      </c>
      <c r="F55" s="177" t="s">
        <v>6199</v>
      </c>
      <c r="G55" s="176"/>
      <c r="H55" s="176"/>
      <c r="I55" s="176"/>
      <c r="J55" s="176"/>
      <c r="K55" s="176"/>
      <c r="L55" s="176"/>
      <c r="M55" s="176"/>
      <c r="N55" s="176"/>
      <c r="O55" s="176"/>
      <c r="P55" s="176"/>
      <c r="Q55" s="176"/>
      <c r="R55" s="176"/>
      <c r="S55" s="176"/>
      <c r="T55" s="176"/>
      <c r="U55" s="176"/>
      <c r="V55" s="176"/>
      <c r="W55" s="176"/>
      <c r="X55" s="176"/>
      <c r="Y55" s="176"/>
      <c r="Z55" s="176"/>
    </row>
    <row r="56" spans="1:26">
      <c r="A56" s="221">
        <v>55</v>
      </c>
      <c r="B56" s="177" t="s">
        <v>6122</v>
      </c>
      <c r="C56" s="177" t="s">
        <v>6200</v>
      </c>
      <c r="D56" s="177" t="s">
        <v>6124</v>
      </c>
      <c r="E56" s="177" t="s">
        <v>6125</v>
      </c>
      <c r="F56" s="177" t="s">
        <v>6201</v>
      </c>
      <c r="G56" s="176"/>
      <c r="H56" s="176"/>
      <c r="I56" s="176"/>
      <c r="J56" s="176"/>
      <c r="K56" s="176"/>
      <c r="L56" s="176"/>
      <c r="M56" s="176"/>
      <c r="N56" s="176"/>
      <c r="O56" s="176"/>
      <c r="P56" s="176"/>
      <c r="Q56" s="176"/>
      <c r="R56" s="176"/>
      <c r="S56" s="176"/>
      <c r="T56" s="176"/>
      <c r="U56" s="176"/>
      <c r="V56" s="176"/>
      <c r="W56" s="176"/>
      <c r="X56" s="176"/>
      <c r="Y56" s="176"/>
      <c r="Z56" s="176"/>
    </row>
    <row r="57" spans="1:26">
      <c r="A57" s="221">
        <v>56</v>
      </c>
      <c r="B57" s="177" t="s">
        <v>6122</v>
      </c>
      <c r="C57" s="177" t="s">
        <v>6200</v>
      </c>
      <c r="D57" s="177" t="s">
        <v>6124</v>
      </c>
      <c r="E57" s="177" t="s">
        <v>6137</v>
      </c>
      <c r="F57" s="177" t="s">
        <v>6202</v>
      </c>
      <c r="G57" s="176"/>
      <c r="H57" s="176"/>
      <c r="I57" s="176"/>
      <c r="J57" s="176"/>
      <c r="K57" s="176"/>
      <c r="L57" s="176"/>
      <c r="M57" s="176"/>
      <c r="N57" s="176"/>
      <c r="O57" s="176"/>
      <c r="P57" s="176"/>
      <c r="Q57" s="176"/>
      <c r="R57" s="176"/>
      <c r="S57" s="176"/>
      <c r="T57" s="176"/>
      <c r="U57" s="176"/>
      <c r="V57" s="176"/>
      <c r="W57" s="176"/>
      <c r="X57" s="176"/>
      <c r="Y57" s="176"/>
      <c r="Z57" s="176"/>
    </row>
    <row r="58" spans="1:26">
      <c r="A58" s="221">
        <v>57</v>
      </c>
      <c r="B58" s="177" t="s">
        <v>6122</v>
      </c>
      <c r="C58" s="177" t="s">
        <v>6200</v>
      </c>
      <c r="D58" s="177" t="s">
        <v>6124</v>
      </c>
      <c r="E58" s="177" t="s">
        <v>6129</v>
      </c>
      <c r="F58" s="177" t="s">
        <v>6203</v>
      </c>
      <c r="G58" s="176"/>
      <c r="H58" s="176"/>
      <c r="I58" s="176"/>
      <c r="J58" s="176"/>
      <c r="K58" s="176"/>
      <c r="L58" s="176"/>
      <c r="M58" s="176"/>
      <c r="N58" s="176"/>
      <c r="O58" s="176"/>
      <c r="P58" s="176"/>
      <c r="Q58" s="176"/>
      <c r="R58" s="176"/>
      <c r="S58" s="176"/>
      <c r="T58" s="176"/>
      <c r="U58" s="176"/>
      <c r="V58" s="176"/>
      <c r="W58" s="176"/>
      <c r="X58" s="176"/>
      <c r="Y58" s="176"/>
      <c r="Z58" s="176"/>
    </row>
    <row r="59" spans="1:26">
      <c r="A59" s="221">
        <v>58</v>
      </c>
      <c r="B59" s="177" t="s">
        <v>6122</v>
      </c>
      <c r="C59" s="177" t="s">
        <v>6204</v>
      </c>
      <c r="D59" s="177" t="s">
        <v>6124</v>
      </c>
      <c r="E59" s="177" t="s">
        <v>6125</v>
      </c>
      <c r="F59" s="177" t="s">
        <v>6205</v>
      </c>
      <c r="G59" s="176"/>
      <c r="H59" s="176"/>
      <c r="I59" s="176"/>
      <c r="J59" s="176"/>
      <c r="K59" s="176"/>
      <c r="L59" s="176"/>
      <c r="M59" s="176"/>
      <c r="N59" s="176"/>
      <c r="O59" s="176"/>
      <c r="P59" s="176"/>
      <c r="Q59" s="176"/>
      <c r="R59" s="176"/>
      <c r="S59" s="176"/>
      <c r="T59" s="176"/>
      <c r="U59" s="176"/>
      <c r="V59" s="176"/>
      <c r="W59" s="176"/>
      <c r="X59" s="176"/>
      <c r="Y59" s="176"/>
      <c r="Z59" s="176"/>
    </row>
    <row r="60" spans="1:26">
      <c r="A60" s="221">
        <v>59</v>
      </c>
      <c r="B60" s="177" t="s">
        <v>6122</v>
      </c>
      <c r="C60" s="177" t="s">
        <v>6204</v>
      </c>
      <c r="D60" s="177" t="s">
        <v>6124</v>
      </c>
      <c r="E60" s="177" t="s">
        <v>6137</v>
      </c>
      <c r="F60" s="177" t="s">
        <v>6206</v>
      </c>
      <c r="G60" s="176"/>
      <c r="H60" s="176"/>
      <c r="I60" s="176"/>
      <c r="J60" s="176"/>
      <c r="K60" s="176"/>
      <c r="L60" s="176"/>
      <c r="M60" s="176"/>
      <c r="N60" s="176"/>
      <c r="O60" s="176"/>
      <c r="P60" s="176"/>
      <c r="Q60" s="176"/>
      <c r="R60" s="176"/>
      <c r="S60" s="176"/>
      <c r="T60" s="176"/>
      <c r="U60" s="176"/>
      <c r="V60" s="176"/>
      <c r="W60" s="176"/>
      <c r="X60" s="176"/>
      <c r="Y60" s="176"/>
      <c r="Z60" s="176"/>
    </row>
    <row r="61" spans="1:26">
      <c r="A61" s="221">
        <v>60</v>
      </c>
      <c r="B61" s="177" t="s">
        <v>6122</v>
      </c>
      <c r="C61" s="177" t="s">
        <v>6204</v>
      </c>
      <c r="D61" s="177" t="s">
        <v>6124</v>
      </c>
      <c r="E61" s="177" t="s">
        <v>6129</v>
      </c>
      <c r="F61" s="177" t="s">
        <v>6207</v>
      </c>
      <c r="G61" s="176"/>
      <c r="H61" s="176"/>
      <c r="I61" s="176"/>
      <c r="J61" s="176"/>
      <c r="K61" s="176"/>
      <c r="L61" s="176"/>
      <c r="M61" s="176"/>
      <c r="N61" s="176"/>
      <c r="O61" s="176"/>
      <c r="P61" s="176"/>
      <c r="Q61" s="176"/>
      <c r="R61" s="176"/>
      <c r="S61" s="176"/>
      <c r="T61" s="176"/>
      <c r="U61" s="176"/>
      <c r="V61" s="176"/>
      <c r="W61" s="176"/>
      <c r="X61" s="176"/>
      <c r="Y61" s="176"/>
      <c r="Z61" s="176"/>
    </row>
    <row r="62" spans="1:26">
      <c r="A62" s="221">
        <v>61</v>
      </c>
      <c r="B62" s="177" t="s">
        <v>6122</v>
      </c>
      <c r="C62" s="177" t="s">
        <v>6208</v>
      </c>
      <c r="D62" s="177" t="s">
        <v>6124</v>
      </c>
      <c r="E62" s="177" t="s">
        <v>6125</v>
      </c>
      <c r="F62" s="177" t="s">
        <v>6209</v>
      </c>
      <c r="G62" s="176"/>
      <c r="H62" s="176"/>
      <c r="I62" s="176"/>
      <c r="J62" s="176"/>
      <c r="K62" s="176"/>
      <c r="L62" s="176"/>
      <c r="M62" s="176"/>
      <c r="N62" s="176"/>
      <c r="O62" s="176"/>
      <c r="P62" s="176"/>
      <c r="Q62" s="176"/>
      <c r="R62" s="176"/>
      <c r="S62" s="176"/>
      <c r="T62" s="176"/>
      <c r="U62" s="176"/>
      <c r="V62" s="176"/>
      <c r="W62" s="176"/>
      <c r="X62" s="176"/>
      <c r="Y62" s="176"/>
      <c r="Z62" s="176"/>
    </row>
    <row r="63" spans="1:26">
      <c r="A63" s="221">
        <v>62</v>
      </c>
      <c r="B63" s="177" t="s">
        <v>6122</v>
      </c>
      <c r="C63" s="177" t="s">
        <v>6208</v>
      </c>
      <c r="D63" s="177" t="s">
        <v>6124</v>
      </c>
      <c r="E63" s="177" t="s">
        <v>6137</v>
      </c>
      <c r="F63" s="177" t="s">
        <v>6210</v>
      </c>
      <c r="G63" s="176"/>
      <c r="H63" s="176"/>
      <c r="I63" s="176"/>
      <c r="J63" s="176"/>
      <c r="K63" s="176"/>
      <c r="L63" s="176"/>
      <c r="M63" s="176"/>
      <c r="N63" s="176"/>
      <c r="O63" s="176"/>
      <c r="P63" s="176"/>
      <c r="Q63" s="176"/>
      <c r="R63" s="176"/>
      <c r="S63" s="176"/>
      <c r="T63" s="176"/>
      <c r="U63" s="176"/>
      <c r="V63" s="176"/>
      <c r="W63" s="176"/>
      <c r="X63" s="176"/>
      <c r="Y63" s="176"/>
      <c r="Z63" s="176"/>
    </row>
    <row r="64" spans="1:26">
      <c r="A64" s="221">
        <v>63</v>
      </c>
      <c r="B64" s="177" t="s">
        <v>6122</v>
      </c>
      <c r="C64" s="177" t="s">
        <v>6208</v>
      </c>
      <c r="D64" s="177" t="s">
        <v>6124</v>
      </c>
      <c r="E64" s="177" t="s">
        <v>6129</v>
      </c>
      <c r="F64" s="177" t="s">
        <v>6211</v>
      </c>
      <c r="G64" s="176"/>
      <c r="H64" s="176"/>
      <c r="I64" s="176"/>
      <c r="J64" s="176"/>
      <c r="K64" s="176"/>
      <c r="L64" s="176"/>
      <c r="M64" s="176"/>
      <c r="N64" s="176"/>
      <c r="O64" s="176"/>
      <c r="P64" s="176"/>
      <c r="Q64" s="176"/>
      <c r="R64" s="176"/>
      <c r="S64" s="176"/>
      <c r="T64" s="176"/>
      <c r="U64" s="176"/>
      <c r="V64" s="176"/>
      <c r="W64" s="176"/>
      <c r="X64" s="176"/>
      <c r="Y64" s="176"/>
      <c r="Z64" s="176"/>
    </row>
    <row r="65" spans="1:26">
      <c r="A65" s="221">
        <v>64</v>
      </c>
      <c r="B65" s="177" t="s">
        <v>6122</v>
      </c>
      <c r="C65" s="177" t="s">
        <v>6212</v>
      </c>
      <c r="D65" s="177" t="s">
        <v>6124</v>
      </c>
      <c r="E65" s="177" t="s">
        <v>6125</v>
      </c>
      <c r="F65" s="177" t="s">
        <v>6213</v>
      </c>
      <c r="G65" s="176"/>
      <c r="H65" s="176"/>
      <c r="I65" s="176"/>
      <c r="J65" s="176"/>
      <c r="K65" s="176"/>
      <c r="L65" s="176"/>
      <c r="M65" s="176"/>
      <c r="N65" s="176"/>
      <c r="O65" s="176"/>
      <c r="P65" s="176"/>
      <c r="Q65" s="176"/>
      <c r="R65" s="176"/>
      <c r="S65" s="176"/>
      <c r="T65" s="176"/>
      <c r="U65" s="176"/>
      <c r="V65" s="176"/>
      <c r="W65" s="176"/>
      <c r="X65" s="176"/>
      <c r="Y65" s="176"/>
      <c r="Z65" s="176"/>
    </row>
    <row r="66" spans="1:26">
      <c r="A66" s="221">
        <v>65</v>
      </c>
      <c r="B66" s="177" t="s">
        <v>6122</v>
      </c>
      <c r="C66" s="177" t="s">
        <v>6212</v>
      </c>
      <c r="D66" s="177" t="s">
        <v>6124</v>
      </c>
      <c r="E66" s="177" t="s">
        <v>6137</v>
      </c>
      <c r="F66" s="177" t="s">
        <v>6214</v>
      </c>
      <c r="G66" s="176"/>
      <c r="H66" s="176"/>
      <c r="I66" s="176"/>
      <c r="J66" s="176"/>
      <c r="K66" s="176"/>
      <c r="L66" s="176"/>
      <c r="M66" s="176"/>
      <c r="N66" s="176"/>
      <c r="O66" s="176"/>
      <c r="P66" s="176"/>
      <c r="Q66" s="176"/>
      <c r="R66" s="176"/>
      <c r="S66" s="176"/>
      <c r="T66" s="176"/>
      <c r="U66" s="176"/>
      <c r="V66" s="176"/>
      <c r="W66" s="176"/>
      <c r="X66" s="176"/>
      <c r="Y66" s="176"/>
      <c r="Z66" s="176"/>
    </row>
    <row r="67" spans="1:26">
      <c r="A67" s="221">
        <v>66</v>
      </c>
      <c r="B67" s="177" t="s">
        <v>6122</v>
      </c>
      <c r="C67" s="177" t="s">
        <v>6212</v>
      </c>
      <c r="D67" s="177" t="s">
        <v>6124</v>
      </c>
      <c r="E67" s="177" t="s">
        <v>6129</v>
      </c>
      <c r="F67" s="177" t="s">
        <v>6215</v>
      </c>
      <c r="G67" s="176"/>
      <c r="H67" s="176"/>
      <c r="I67" s="176"/>
      <c r="J67" s="176"/>
      <c r="K67" s="176"/>
      <c r="L67" s="176"/>
      <c r="M67" s="176"/>
      <c r="N67" s="176"/>
      <c r="O67" s="176"/>
      <c r="P67" s="176"/>
      <c r="Q67" s="176"/>
      <c r="R67" s="176"/>
      <c r="S67" s="176"/>
      <c r="T67" s="176"/>
      <c r="U67" s="176"/>
      <c r="V67" s="176"/>
      <c r="W67" s="176"/>
      <c r="X67" s="176"/>
      <c r="Y67" s="176"/>
      <c r="Z67" s="176"/>
    </row>
    <row r="68" spans="1:26">
      <c r="A68" s="221">
        <v>67</v>
      </c>
      <c r="B68" s="177" t="s">
        <v>6216</v>
      </c>
      <c r="C68" s="177" t="s">
        <v>6217</v>
      </c>
      <c r="D68" s="177" t="s">
        <v>6218</v>
      </c>
      <c r="E68" s="177" t="s">
        <v>6219</v>
      </c>
      <c r="F68" s="177" t="s">
        <v>6220</v>
      </c>
      <c r="G68" s="176"/>
      <c r="H68" s="176"/>
      <c r="I68" s="176"/>
      <c r="J68" s="176"/>
      <c r="K68" s="176"/>
      <c r="L68" s="176"/>
      <c r="M68" s="176"/>
      <c r="N68" s="176"/>
      <c r="O68" s="176"/>
      <c r="P68" s="176"/>
      <c r="Q68" s="176"/>
      <c r="R68" s="176"/>
      <c r="S68" s="176"/>
      <c r="T68" s="176"/>
      <c r="U68" s="176"/>
      <c r="V68" s="176"/>
      <c r="W68" s="176"/>
      <c r="X68" s="176"/>
      <c r="Y68" s="176"/>
      <c r="Z68" s="176"/>
    </row>
    <row r="69" spans="1:26">
      <c r="A69" s="221">
        <v>68</v>
      </c>
      <c r="B69" s="177" t="s">
        <v>6216</v>
      </c>
      <c r="C69" s="177" t="s">
        <v>6217</v>
      </c>
      <c r="D69" s="177" t="s">
        <v>6218</v>
      </c>
      <c r="E69" s="177" t="s">
        <v>6221</v>
      </c>
      <c r="F69" s="177" t="s">
        <v>6222</v>
      </c>
      <c r="G69" s="176"/>
      <c r="H69" s="176"/>
      <c r="I69" s="176"/>
      <c r="J69" s="176"/>
      <c r="K69" s="176"/>
      <c r="L69" s="176"/>
      <c r="M69" s="176"/>
      <c r="N69" s="176"/>
      <c r="O69" s="176"/>
      <c r="P69" s="176"/>
      <c r="Q69" s="176"/>
      <c r="R69" s="176"/>
      <c r="S69" s="176"/>
      <c r="T69" s="176"/>
      <c r="U69" s="176"/>
      <c r="V69" s="176"/>
      <c r="W69" s="176"/>
      <c r="X69" s="176"/>
      <c r="Y69" s="176"/>
      <c r="Z69" s="176"/>
    </row>
    <row r="70" spans="1:26">
      <c r="A70" s="221">
        <v>69</v>
      </c>
      <c r="B70" s="177" t="s">
        <v>6216</v>
      </c>
      <c r="C70" s="177" t="s">
        <v>6217</v>
      </c>
      <c r="D70" s="177" t="s">
        <v>6218</v>
      </c>
      <c r="E70" s="177" t="s">
        <v>6223</v>
      </c>
      <c r="F70" s="177" t="s">
        <v>6224</v>
      </c>
      <c r="G70" s="176"/>
      <c r="H70" s="176"/>
      <c r="I70" s="176"/>
      <c r="J70" s="176"/>
      <c r="K70" s="176"/>
      <c r="L70" s="176"/>
      <c r="M70" s="176"/>
      <c r="N70" s="176"/>
      <c r="O70" s="176"/>
      <c r="P70" s="176"/>
      <c r="Q70" s="176"/>
      <c r="R70" s="176"/>
      <c r="S70" s="176"/>
      <c r="T70" s="176"/>
      <c r="U70" s="176"/>
      <c r="V70" s="176"/>
      <c r="W70" s="176"/>
      <c r="X70" s="176"/>
      <c r="Y70" s="176"/>
      <c r="Z70" s="176"/>
    </row>
    <row r="71" spans="1:26">
      <c r="A71" s="221">
        <v>70</v>
      </c>
      <c r="B71" s="177" t="s">
        <v>6216</v>
      </c>
      <c r="C71" s="177" t="s">
        <v>6217</v>
      </c>
      <c r="D71" s="177" t="s">
        <v>6218</v>
      </c>
      <c r="E71" s="177" t="s">
        <v>6225</v>
      </c>
      <c r="F71" s="177" t="s">
        <v>6226</v>
      </c>
      <c r="G71" s="176"/>
      <c r="H71" s="176"/>
      <c r="I71" s="176"/>
      <c r="J71" s="176"/>
      <c r="K71" s="176"/>
      <c r="L71" s="176"/>
      <c r="M71" s="176"/>
      <c r="N71" s="176"/>
      <c r="O71" s="176"/>
      <c r="P71" s="176"/>
      <c r="Q71" s="176"/>
      <c r="R71" s="176"/>
      <c r="S71" s="176"/>
      <c r="T71" s="176"/>
      <c r="U71" s="176"/>
      <c r="V71" s="176"/>
      <c r="W71" s="176"/>
      <c r="X71" s="176"/>
      <c r="Y71" s="176"/>
      <c r="Z71" s="176"/>
    </row>
    <row r="72" spans="1:26">
      <c r="A72" s="221">
        <v>71</v>
      </c>
      <c r="B72" s="177" t="s">
        <v>6216</v>
      </c>
      <c r="C72" s="177" t="s">
        <v>6217</v>
      </c>
      <c r="D72" s="177" t="s">
        <v>6218</v>
      </c>
      <c r="E72" s="177" t="s">
        <v>6227</v>
      </c>
      <c r="F72" s="177" t="s">
        <v>6228</v>
      </c>
      <c r="G72" s="176"/>
      <c r="H72" s="176"/>
      <c r="I72" s="176"/>
      <c r="J72" s="176"/>
      <c r="K72" s="176"/>
      <c r="L72" s="176"/>
      <c r="M72" s="176"/>
      <c r="N72" s="176"/>
      <c r="O72" s="176"/>
      <c r="P72" s="176"/>
      <c r="Q72" s="176"/>
      <c r="R72" s="176"/>
      <c r="S72" s="176"/>
      <c r="T72" s="176"/>
      <c r="U72" s="176"/>
      <c r="V72" s="176"/>
      <c r="W72" s="176"/>
      <c r="X72" s="176"/>
      <c r="Y72" s="176"/>
      <c r="Z72" s="176"/>
    </row>
    <row r="73" spans="1:26">
      <c r="A73" s="221">
        <v>72</v>
      </c>
      <c r="B73" s="177" t="s">
        <v>6216</v>
      </c>
      <c r="C73" s="177" t="s">
        <v>6229</v>
      </c>
      <c r="D73" s="177" t="s">
        <v>6218</v>
      </c>
      <c r="E73" s="177" t="s">
        <v>6230</v>
      </c>
      <c r="F73" s="177" t="s">
        <v>6231</v>
      </c>
      <c r="G73" s="176"/>
      <c r="H73" s="176"/>
      <c r="I73" s="176"/>
      <c r="J73" s="176"/>
      <c r="K73" s="176"/>
      <c r="L73" s="176"/>
      <c r="M73" s="176"/>
      <c r="N73" s="176"/>
      <c r="O73" s="176"/>
      <c r="P73" s="176"/>
      <c r="Q73" s="176"/>
      <c r="R73" s="176"/>
      <c r="S73" s="176"/>
      <c r="T73" s="176"/>
      <c r="U73" s="176"/>
      <c r="V73" s="176"/>
      <c r="W73" s="176"/>
      <c r="X73" s="176"/>
      <c r="Y73" s="176"/>
      <c r="Z73" s="176"/>
    </row>
    <row r="74" spans="1:26">
      <c r="A74" s="221">
        <v>73</v>
      </c>
      <c r="B74" s="177" t="s">
        <v>6216</v>
      </c>
      <c r="C74" s="177" t="s">
        <v>6232</v>
      </c>
      <c r="D74" s="177" t="s">
        <v>6218</v>
      </c>
      <c r="E74" s="177" t="s">
        <v>6233</v>
      </c>
      <c r="F74" s="177" t="s">
        <v>6234</v>
      </c>
      <c r="G74" s="176"/>
      <c r="H74" s="176"/>
      <c r="I74" s="176"/>
      <c r="J74" s="176"/>
      <c r="K74" s="176"/>
      <c r="L74" s="176"/>
      <c r="M74" s="176"/>
      <c r="N74" s="176"/>
      <c r="O74" s="176"/>
      <c r="P74" s="176"/>
      <c r="Q74" s="176"/>
      <c r="R74" s="176"/>
      <c r="S74" s="176"/>
      <c r="T74" s="176"/>
      <c r="U74" s="176"/>
      <c r="V74" s="176"/>
      <c r="W74" s="176"/>
      <c r="X74" s="176"/>
      <c r="Y74" s="176"/>
      <c r="Z74" s="176"/>
    </row>
    <row r="75" spans="1:26">
      <c r="A75" s="221">
        <v>74</v>
      </c>
      <c r="B75" s="177" t="s">
        <v>6216</v>
      </c>
      <c r="C75" s="177" t="s">
        <v>6232</v>
      </c>
      <c r="D75" s="177" t="s">
        <v>6218</v>
      </c>
      <c r="E75" s="177" t="s">
        <v>6235</v>
      </c>
      <c r="F75" s="177" t="s">
        <v>6236</v>
      </c>
      <c r="G75" s="176"/>
      <c r="H75" s="176"/>
      <c r="I75" s="176"/>
      <c r="J75" s="176"/>
      <c r="K75" s="176"/>
      <c r="L75" s="176"/>
      <c r="M75" s="176"/>
      <c r="N75" s="176"/>
      <c r="O75" s="176"/>
      <c r="P75" s="176"/>
      <c r="Q75" s="176"/>
      <c r="R75" s="176"/>
      <c r="S75" s="176"/>
      <c r="T75" s="176"/>
      <c r="U75" s="176"/>
      <c r="V75" s="176"/>
      <c r="W75" s="176"/>
      <c r="X75" s="176"/>
      <c r="Y75" s="176"/>
      <c r="Z75" s="176"/>
    </row>
    <row r="76" spans="1:26">
      <c r="A76" s="221">
        <v>75</v>
      </c>
      <c r="B76" s="177" t="s">
        <v>6216</v>
      </c>
      <c r="C76" s="177" t="s">
        <v>6232</v>
      </c>
      <c r="D76" s="177" t="s">
        <v>6218</v>
      </c>
      <c r="E76" s="177" t="s">
        <v>6237</v>
      </c>
      <c r="F76" s="177" t="s">
        <v>6238</v>
      </c>
      <c r="G76" s="176"/>
      <c r="H76" s="176"/>
      <c r="I76" s="176"/>
      <c r="J76" s="176"/>
      <c r="K76" s="176"/>
      <c r="L76" s="176"/>
      <c r="M76" s="176"/>
      <c r="N76" s="176"/>
      <c r="O76" s="176"/>
      <c r="P76" s="176"/>
      <c r="Q76" s="176"/>
      <c r="R76" s="176"/>
      <c r="S76" s="176"/>
      <c r="T76" s="176"/>
      <c r="U76" s="176"/>
      <c r="V76" s="176"/>
      <c r="W76" s="176"/>
      <c r="X76" s="176"/>
      <c r="Y76" s="176"/>
      <c r="Z76" s="176"/>
    </row>
    <row r="77" spans="1:26">
      <c r="A77" s="221">
        <v>76</v>
      </c>
      <c r="B77" s="177" t="s">
        <v>6216</v>
      </c>
      <c r="C77" s="177" t="s">
        <v>6232</v>
      </c>
      <c r="D77" s="177" t="s">
        <v>6218</v>
      </c>
      <c r="E77" s="177" t="s">
        <v>6239</v>
      </c>
      <c r="F77" s="177" t="s">
        <v>6240</v>
      </c>
      <c r="G77" s="176"/>
      <c r="H77" s="176"/>
      <c r="I77" s="176"/>
      <c r="J77" s="176"/>
      <c r="K77" s="176"/>
      <c r="L77" s="176"/>
      <c r="M77" s="176"/>
      <c r="N77" s="176"/>
      <c r="O77" s="176"/>
      <c r="P77" s="176"/>
      <c r="Q77" s="176"/>
      <c r="R77" s="176"/>
      <c r="S77" s="176"/>
      <c r="T77" s="176"/>
      <c r="U77" s="176"/>
      <c r="V77" s="176"/>
      <c r="W77" s="176"/>
      <c r="X77" s="176"/>
      <c r="Y77" s="176"/>
      <c r="Z77" s="176"/>
    </row>
    <row r="78" spans="1:26">
      <c r="A78" s="221">
        <v>77</v>
      </c>
      <c r="B78" s="177" t="s">
        <v>6216</v>
      </c>
      <c r="C78" s="177" t="s">
        <v>6232</v>
      </c>
      <c r="D78" s="177" t="s">
        <v>6218</v>
      </c>
      <c r="E78" s="177" t="s">
        <v>6241</v>
      </c>
      <c r="F78" s="177" t="s">
        <v>6242</v>
      </c>
      <c r="G78" s="176"/>
      <c r="H78" s="176"/>
      <c r="I78" s="176"/>
      <c r="J78" s="176"/>
      <c r="K78" s="176"/>
      <c r="L78" s="176"/>
      <c r="M78" s="176"/>
      <c r="N78" s="176"/>
      <c r="O78" s="176"/>
      <c r="P78" s="176"/>
      <c r="Q78" s="176"/>
      <c r="R78" s="176"/>
      <c r="S78" s="176"/>
      <c r="T78" s="176"/>
      <c r="U78" s="176"/>
      <c r="V78" s="176"/>
      <c r="W78" s="176"/>
      <c r="X78" s="176"/>
      <c r="Y78" s="176"/>
      <c r="Z78" s="176"/>
    </row>
    <row r="79" spans="1:26">
      <c r="A79" s="221">
        <v>78</v>
      </c>
      <c r="B79" s="177" t="s">
        <v>6216</v>
      </c>
      <c r="C79" s="177" t="s">
        <v>6243</v>
      </c>
      <c r="D79" s="177" t="s">
        <v>6124</v>
      </c>
      <c r="E79" s="177" t="s">
        <v>6244</v>
      </c>
      <c r="F79" s="177" t="s">
        <v>6245</v>
      </c>
      <c r="G79" s="176"/>
      <c r="H79" s="176"/>
      <c r="I79" s="176"/>
      <c r="J79" s="176"/>
      <c r="K79" s="176"/>
      <c r="L79" s="176"/>
      <c r="M79" s="176"/>
      <c r="N79" s="176"/>
      <c r="O79" s="176"/>
      <c r="P79" s="176"/>
      <c r="Q79" s="176"/>
      <c r="R79" s="176"/>
      <c r="S79" s="176"/>
      <c r="T79" s="176"/>
      <c r="U79" s="176"/>
      <c r="V79" s="176"/>
      <c r="W79" s="176"/>
      <c r="X79" s="176"/>
      <c r="Y79" s="176"/>
      <c r="Z79" s="176"/>
    </row>
    <row r="80" spans="1:26">
      <c r="A80" s="221">
        <v>79</v>
      </c>
      <c r="B80" s="177" t="s">
        <v>6216</v>
      </c>
      <c r="C80" s="177" t="s">
        <v>6243</v>
      </c>
      <c r="D80" s="177" t="s">
        <v>6124</v>
      </c>
      <c r="E80" s="177" t="s">
        <v>6246</v>
      </c>
      <c r="F80" s="177" t="s">
        <v>6247</v>
      </c>
      <c r="G80" s="176"/>
      <c r="H80" s="176"/>
      <c r="I80" s="176"/>
      <c r="J80" s="176"/>
      <c r="K80" s="176"/>
      <c r="L80" s="176"/>
      <c r="M80" s="176"/>
      <c r="N80" s="176"/>
      <c r="O80" s="176"/>
      <c r="P80" s="176"/>
      <c r="Q80" s="176"/>
      <c r="R80" s="176"/>
      <c r="S80" s="176"/>
      <c r="T80" s="176"/>
      <c r="U80" s="176"/>
      <c r="V80" s="176"/>
      <c r="W80" s="176"/>
      <c r="X80" s="176"/>
      <c r="Y80" s="176"/>
      <c r="Z80" s="176"/>
    </row>
    <row r="81" spans="1:26">
      <c r="A81" s="221">
        <v>80</v>
      </c>
      <c r="B81" s="177" t="s">
        <v>6216</v>
      </c>
      <c r="C81" s="177" t="s">
        <v>6243</v>
      </c>
      <c r="D81" s="177" t="s">
        <v>6124</v>
      </c>
      <c r="E81" s="177" t="s">
        <v>6248</v>
      </c>
      <c r="F81" s="177" t="s">
        <v>6249</v>
      </c>
      <c r="G81" s="176"/>
      <c r="H81" s="176"/>
      <c r="I81" s="176"/>
      <c r="J81" s="176"/>
      <c r="K81" s="176"/>
      <c r="L81" s="176"/>
      <c r="M81" s="176"/>
      <c r="N81" s="176"/>
      <c r="O81" s="176"/>
      <c r="P81" s="176"/>
      <c r="Q81" s="176"/>
      <c r="R81" s="176"/>
      <c r="S81" s="176"/>
      <c r="T81" s="176"/>
      <c r="U81" s="176"/>
      <c r="V81" s="176"/>
      <c r="W81" s="176"/>
      <c r="X81" s="176"/>
      <c r="Y81" s="176"/>
      <c r="Z81" s="176"/>
    </row>
    <row r="82" spans="1:26">
      <c r="A82" s="221">
        <v>81</v>
      </c>
      <c r="B82" s="177" t="s">
        <v>6216</v>
      </c>
      <c r="C82" s="177" t="s">
        <v>6243</v>
      </c>
      <c r="D82" s="177" t="s">
        <v>6124</v>
      </c>
      <c r="E82" s="177" t="s">
        <v>6250</v>
      </c>
      <c r="F82" s="177" t="s">
        <v>6251</v>
      </c>
      <c r="G82" s="176"/>
      <c r="H82" s="176"/>
      <c r="I82" s="176"/>
      <c r="J82" s="176"/>
      <c r="K82" s="176"/>
      <c r="L82" s="176"/>
      <c r="M82" s="176"/>
      <c r="N82" s="176"/>
      <c r="O82" s="176"/>
      <c r="P82" s="176"/>
      <c r="Q82" s="176"/>
      <c r="R82" s="176"/>
      <c r="S82" s="176"/>
      <c r="T82" s="176"/>
      <c r="U82" s="176"/>
      <c r="V82" s="176"/>
      <c r="W82" s="176"/>
      <c r="X82" s="176"/>
      <c r="Y82" s="176"/>
      <c r="Z82" s="176"/>
    </row>
    <row r="83" spans="1:26">
      <c r="A83" s="221">
        <v>82</v>
      </c>
      <c r="B83" s="177" t="s">
        <v>6216</v>
      </c>
      <c r="C83" s="177" t="s">
        <v>6243</v>
      </c>
      <c r="D83" s="177" t="s">
        <v>6124</v>
      </c>
      <c r="E83" s="177" t="s">
        <v>6252</v>
      </c>
      <c r="F83" s="177" t="s">
        <v>6253</v>
      </c>
      <c r="G83" s="176"/>
      <c r="H83" s="176"/>
      <c r="I83" s="176"/>
      <c r="J83" s="176"/>
      <c r="K83" s="176"/>
      <c r="L83" s="176"/>
      <c r="M83" s="176"/>
      <c r="N83" s="176"/>
      <c r="O83" s="176"/>
      <c r="P83" s="176"/>
      <c r="Q83" s="176"/>
      <c r="R83" s="176"/>
      <c r="S83" s="176"/>
      <c r="T83" s="176"/>
      <c r="U83" s="176"/>
      <c r="V83" s="176"/>
      <c r="W83" s="176"/>
      <c r="X83" s="176"/>
      <c r="Y83" s="176"/>
      <c r="Z83" s="176"/>
    </row>
    <row r="84" spans="1:26">
      <c r="A84" s="221">
        <v>83</v>
      </c>
      <c r="B84" s="177" t="s">
        <v>6216</v>
      </c>
      <c r="C84" s="177" t="s">
        <v>6254</v>
      </c>
      <c r="D84" s="177" t="s">
        <v>6124</v>
      </c>
      <c r="E84" s="177" t="s">
        <v>6255</v>
      </c>
      <c r="F84" s="177" t="s">
        <v>6256</v>
      </c>
      <c r="G84" s="176"/>
      <c r="H84" s="176"/>
      <c r="I84" s="176"/>
      <c r="J84" s="176"/>
      <c r="K84" s="176"/>
      <c r="L84" s="176"/>
      <c r="M84" s="176"/>
      <c r="N84" s="176"/>
      <c r="O84" s="176"/>
      <c r="P84" s="176"/>
      <c r="Q84" s="176"/>
      <c r="R84" s="176"/>
      <c r="S84" s="176"/>
      <c r="T84" s="176"/>
      <c r="U84" s="176"/>
      <c r="V84" s="176"/>
      <c r="W84" s="176"/>
      <c r="X84" s="176"/>
      <c r="Y84" s="176"/>
      <c r="Z84" s="176"/>
    </row>
    <row r="85" spans="1:26">
      <c r="A85" s="221">
        <v>84</v>
      </c>
      <c r="B85" s="177" t="s">
        <v>6216</v>
      </c>
      <c r="C85" s="177" t="s">
        <v>6254</v>
      </c>
      <c r="D85" s="177" t="s">
        <v>6124</v>
      </c>
      <c r="E85" s="177" t="s">
        <v>6257</v>
      </c>
      <c r="F85" s="177" t="s">
        <v>6258</v>
      </c>
      <c r="G85" s="176"/>
      <c r="H85" s="176"/>
      <c r="I85" s="176"/>
      <c r="J85" s="176"/>
      <c r="K85" s="176"/>
      <c r="L85" s="176"/>
      <c r="M85" s="176"/>
      <c r="N85" s="176"/>
      <c r="O85" s="176"/>
      <c r="P85" s="176"/>
      <c r="Q85" s="176"/>
      <c r="R85" s="176"/>
      <c r="S85" s="176"/>
      <c r="T85" s="176"/>
      <c r="U85" s="176"/>
      <c r="V85" s="176"/>
      <c r="W85" s="176"/>
      <c r="X85" s="176"/>
      <c r="Y85" s="176"/>
      <c r="Z85" s="176"/>
    </row>
    <row r="86" spans="1:26">
      <c r="A86" s="221">
        <v>85</v>
      </c>
      <c r="B86" s="177" t="s">
        <v>6216</v>
      </c>
      <c r="C86" s="177" t="s">
        <v>6254</v>
      </c>
      <c r="D86" s="177" t="s">
        <v>6124</v>
      </c>
      <c r="E86" s="177" t="s">
        <v>6259</v>
      </c>
      <c r="F86" s="177" t="s">
        <v>6260</v>
      </c>
      <c r="G86" s="176"/>
      <c r="H86" s="176"/>
      <c r="I86" s="176"/>
      <c r="J86" s="176"/>
      <c r="K86" s="176"/>
      <c r="L86" s="176"/>
      <c r="M86" s="176"/>
      <c r="N86" s="176"/>
      <c r="O86" s="176"/>
      <c r="P86" s="176"/>
      <c r="Q86" s="176"/>
      <c r="R86" s="176"/>
      <c r="S86" s="176"/>
      <c r="T86" s="176"/>
      <c r="U86" s="176"/>
      <c r="V86" s="176"/>
      <c r="W86" s="176"/>
      <c r="X86" s="176"/>
      <c r="Y86" s="176"/>
      <c r="Z86" s="176"/>
    </row>
    <row r="87" spans="1:26">
      <c r="A87" s="221">
        <v>86</v>
      </c>
      <c r="B87" s="177" t="s">
        <v>6216</v>
      </c>
      <c r="C87" s="177" t="s">
        <v>6254</v>
      </c>
      <c r="D87" s="177" t="s">
        <v>6124</v>
      </c>
      <c r="E87" s="177" t="s">
        <v>6261</v>
      </c>
      <c r="F87" s="177" t="s">
        <v>6262</v>
      </c>
      <c r="G87" s="176"/>
      <c r="H87" s="176"/>
      <c r="I87" s="176"/>
      <c r="J87" s="176"/>
      <c r="K87" s="176"/>
      <c r="L87" s="176"/>
      <c r="M87" s="176"/>
      <c r="N87" s="176"/>
      <c r="O87" s="176"/>
      <c r="P87" s="176"/>
      <c r="Q87" s="176"/>
      <c r="R87" s="176"/>
      <c r="S87" s="176"/>
      <c r="T87" s="176"/>
      <c r="U87" s="176"/>
      <c r="V87" s="176"/>
      <c r="W87" s="176"/>
      <c r="X87" s="176"/>
      <c r="Y87" s="176"/>
      <c r="Z87" s="176"/>
    </row>
    <row r="88" spans="1:26">
      <c r="A88" s="221">
        <v>87</v>
      </c>
      <c r="B88" s="177" t="s">
        <v>6216</v>
      </c>
      <c r="C88" s="177" t="s">
        <v>6254</v>
      </c>
      <c r="D88" s="177" t="s">
        <v>6124</v>
      </c>
      <c r="E88" s="177" t="s">
        <v>6263</v>
      </c>
      <c r="F88" s="177" t="s">
        <v>6264</v>
      </c>
      <c r="G88" s="176"/>
      <c r="H88" s="176"/>
      <c r="I88" s="176"/>
      <c r="J88" s="176"/>
      <c r="K88" s="176"/>
      <c r="L88" s="176"/>
      <c r="M88" s="176"/>
      <c r="N88" s="176"/>
      <c r="O88" s="176"/>
      <c r="P88" s="176"/>
      <c r="Q88" s="176"/>
      <c r="R88" s="176"/>
      <c r="S88" s="176"/>
      <c r="T88" s="176"/>
      <c r="U88" s="176"/>
      <c r="V88" s="176"/>
      <c r="W88" s="176"/>
      <c r="X88" s="176"/>
      <c r="Y88" s="176"/>
      <c r="Z88" s="176"/>
    </row>
    <row r="89" spans="1:26">
      <c r="A89" s="221">
        <v>88</v>
      </c>
      <c r="B89" s="177" t="s">
        <v>6216</v>
      </c>
      <c r="C89" s="177" t="s">
        <v>6265</v>
      </c>
      <c r="D89" s="177" t="s">
        <v>6124</v>
      </c>
      <c r="E89" s="177" t="s">
        <v>6266</v>
      </c>
      <c r="F89" s="177" t="s">
        <v>6267</v>
      </c>
      <c r="G89" s="176"/>
      <c r="H89" s="176"/>
      <c r="I89" s="176"/>
      <c r="J89" s="176"/>
      <c r="K89" s="176"/>
      <c r="L89" s="176"/>
      <c r="M89" s="176"/>
      <c r="N89" s="176"/>
      <c r="O89" s="176"/>
      <c r="P89" s="176"/>
      <c r="Q89" s="176"/>
      <c r="R89" s="176"/>
      <c r="S89" s="176"/>
      <c r="T89" s="176"/>
      <c r="U89" s="176"/>
      <c r="V89" s="176"/>
      <c r="W89" s="176"/>
      <c r="X89" s="176"/>
      <c r="Y89" s="176"/>
      <c r="Z89" s="176"/>
    </row>
    <row r="90" spans="1:26">
      <c r="A90" s="221">
        <v>89</v>
      </c>
      <c r="B90" s="177" t="s">
        <v>6216</v>
      </c>
      <c r="C90" s="177" t="s">
        <v>6265</v>
      </c>
      <c r="D90" s="177" t="s">
        <v>6124</v>
      </c>
      <c r="E90" s="177" t="s">
        <v>6268</v>
      </c>
      <c r="F90" s="177" t="s">
        <v>6269</v>
      </c>
      <c r="G90" s="176"/>
      <c r="H90" s="176"/>
      <c r="I90" s="176"/>
      <c r="J90" s="176"/>
      <c r="K90" s="176"/>
      <c r="L90" s="176"/>
      <c r="M90" s="176"/>
      <c r="N90" s="176"/>
      <c r="O90" s="176"/>
      <c r="P90" s="176"/>
      <c r="Q90" s="176"/>
      <c r="R90" s="176"/>
      <c r="S90" s="176"/>
      <c r="T90" s="176"/>
      <c r="U90" s="176"/>
      <c r="V90" s="176"/>
      <c r="W90" s="176"/>
      <c r="X90" s="176"/>
      <c r="Y90" s="176"/>
      <c r="Z90" s="176"/>
    </row>
    <row r="91" spans="1:26">
      <c r="A91" s="221">
        <v>90</v>
      </c>
      <c r="B91" s="177" t="s">
        <v>6216</v>
      </c>
      <c r="C91" s="177" t="s">
        <v>6265</v>
      </c>
      <c r="D91" s="177" t="s">
        <v>6124</v>
      </c>
      <c r="E91" s="177" t="s">
        <v>6270</v>
      </c>
      <c r="F91" s="177" t="s">
        <v>6271</v>
      </c>
      <c r="G91" s="176"/>
      <c r="H91" s="176"/>
      <c r="I91" s="176"/>
      <c r="J91" s="176"/>
      <c r="K91" s="176"/>
      <c r="L91" s="176"/>
      <c r="M91" s="176"/>
      <c r="N91" s="176"/>
      <c r="O91" s="176"/>
      <c r="P91" s="176"/>
      <c r="Q91" s="176"/>
      <c r="R91" s="176"/>
      <c r="S91" s="176"/>
      <c r="T91" s="176"/>
      <c r="U91" s="176"/>
      <c r="V91" s="176"/>
      <c r="W91" s="176"/>
      <c r="X91" s="176"/>
      <c r="Y91" s="176"/>
      <c r="Z91" s="176"/>
    </row>
    <row r="92" spans="1:26">
      <c r="A92" s="221">
        <v>91</v>
      </c>
      <c r="B92" s="177" t="s">
        <v>6216</v>
      </c>
      <c r="C92" s="177" t="s">
        <v>6265</v>
      </c>
      <c r="D92" s="177" t="s">
        <v>6218</v>
      </c>
      <c r="E92" s="177" t="s">
        <v>6272</v>
      </c>
      <c r="F92" s="177" t="s">
        <v>6273</v>
      </c>
      <c r="G92" s="176"/>
      <c r="H92" s="176"/>
      <c r="I92" s="176"/>
      <c r="J92" s="176"/>
      <c r="K92" s="176"/>
      <c r="L92" s="176"/>
      <c r="M92" s="176"/>
      <c r="N92" s="176"/>
      <c r="O92" s="176"/>
      <c r="P92" s="176"/>
      <c r="Q92" s="176"/>
      <c r="R92" s="176"/>
      <c r="S92" s="176"/>
      <c r="T92" s="176"/>
      <c r="U92" s="176"/>
      <c r="V92" s="176"/>
      <c r="W92" s="176"/>
      <c r="X92" s="176"/>
      <c r="Y92" s="176"/>
      <c r="Z92" s="176"/>
    </row>
    <row r="93" spans="1:26">
      <c r="A93" s="221">
        <v>92</v>
      </c>
      <c r="B93" s="177" t="s">
        <v>6216</v>
      </c>
      <c r="C93" s="177" t="s">
        <v>6265</v>
      </c>
      <c r="D93" s="177" t="s">
        <v>6218</v>
      </c>
      <c r="E93" s="177" t="s">
        <v>6274</v>
      </c>
      <c r="F93" s="177" t="s">
        <v>6275</v>
      </c>
      <c r="G93" s="176"/>
      <c r="H93" s="176"/>
      <c r="I93" s="176"/>
      <c r="J93" s="176"/>
      <c r="K93" s="176"/>
      <c r="L93" s="176"/>
      <c r="M93" s="176"/>
      <c r="N93" s="176"/>
      <c r="O93" s="176"/>
      <c r="P93" s="176"/>
      <c r="Q93" s="176"/>
      <c r="R93" s="176"/>
      <c r="S93" s="176"/>
      <c r="T93" s="176"/>
      <c r="U93" s="176"/>
      <c r="V93" s="176"/>
      <c r="W93" s="176"/>
      <c r="X93" s="176"/>
      <c r="Y93" s="176"/>
      <c r="Z93" s="176"/>
    </row>
    <row r="94" spans="1:26">
      <c r="A94" s="221">
        <v>93</v>
      </c>
      <c r="B94" s="177" t="s">
        <v>6216</v>
      </c>
      <c r="C94" s="177" t="s">
        <v>6276</v>
      </c>
      <c r="D94" s="177" t="s">
        <v>6218</v>
      </c>
      <c r="E94" s="177" t="s">
        <v>6277</v>
      </c>
      <c r="F94" s="177" t="s">
        <v>6278</v>
      </c>
      <c r="G94" s="176"/>
      <c r="H94" s="176"/>
      <c r="I94" s="176"/>
      <c r="J94" s="176"/>
      <c r="K94" s="176"/>
      <c r="L94" s="176"/>
      <c r="M94" s="176"/>
      <c r="N94" s="176"/>
      <c r="O94" s="176"/>
      <c r="P94" s="176"/>
      <c r="Q94" s="176"/>
      <c r="R94" s="176"/>
      <c r="S94" s="176"/>
      <c r="T94" s="176"/>
      <c r="U94" s="176"/>
      <c r="V94" s="176"/>
      <c r="W94" s="176"/>
      <c r="X94" s="176"/>
      <c r="Y94" s="176"/>
      <c r="Z94" s="176"/>
    </row>
    <row r="95" spans="1:26">
      <c r="A95" s="221">
        <v>94</v>
      </c>
      <c r="B95" s="177" t="s">
        <v>6216</v>
      </c>
      <c r="C95" s="177" t="s">
        <v>6276</v>
      </c>
      <c r="D95" s="177" t="s">
        <v>6218</v>
      </c>
      <c r="E95" s="177" t="s">
        <v>6279</v>
      </c>
      <c r="F95" s="177" t="s">
        <v>6280</v>
      </c>
      <c r="G95" s="176"/>
      <c r="H95" s="176"/>
      <c r="I95" s="176"/>
      <c r="J95" s="176"/>
      <c r="K95" s="176"/>
      <c r="L95" s="176"/>
      <c r="M95" s="176"/>
      <c r="N95" s="176"/>
      <c r="O95" s="176"/>
      <c r="P95" s="176"/>
      <c r="Q95" s="176"/>
      <c r="R95" s="176"/>
      <c r="S95" s="176"/>
      <c r="T95" s="176"/>
      <c r="U95" s="176"/>
      <c r="V95" s="176"/>
      <c r="W95" s="176"/>
      <c r="X95" s="176"/>
      <c r="Y95" s="176"/>
      <c r="Z95" s="176"/>
    </row>
    <row r="96" spans="1:26">
      <c r="A96" s="221">
        <v>95</v>
      </c>
      <c r="B96" s="177" t="s">
        <v>6216</v>
      </c>
      <c r="C96" s="177" t="s">
        <v>6276</v>
      </c>
      <c r="D96" s="177" t="s">
        <v>6218</v>
      </c>
      <c r="E96" s="177" t="s">
        <v>6281</v>
      </c>
      <c r="F96" s="177" t="s">
        <v>6282</v>
      </c>
      <c r="G96" s="176"/>
      <c r="H96" s="176"/>
      <c r="I96" s="176"/>
      <c r="J96" s="176"/>
      <c r="K96" s="176"/>
      <c r="L96" s="176"/>
      <c r="M96" s="176"/>
      <c r="N96" s="176"/>
      <c r="O96" s="176"/>
      <c r="P96" s="176"/>
      <c r="Q96" s="176"/>
      <c r="R96" s="176"/>
      <c r="S96" s="176"/>
      <c r="T96" s="176"/>
      <c r="U96" s="176"/>
      <c r="V96" s="176"/>
      <c r="W96" s="176"/>
      <c r="X96" s="176"/>
      <c r="Y96" s="176"/>
      <c r="Z96" s="176"/>
    </row>
    <row r="97" spans="1:26">
      <c r="A97" s="221">
        <v>96</v>
      </c>
      <c r="B97" s="177" t="s">
        <v>6216</v>
      </c>
      <c r="C97" s="177" t="s">
        <v>6276</v>
      </c>
      <c r="D97" s="177" t="s">
        <v>6218</v>
      </c>
      <c r="E97" s="177" t="s">
        <v>6283</v>
      </c>
      <c r="F97" s="177" t="s">
        <v>6284</v>
      </c>
      <c r="G97" s="176"/>
      <c r="H97" s="176"/>
      <c r="I97" s="176"/>
      <c r="J97" s="176"/>
      <c r="K97" s="176"/>
      <c r="L97" s="176"/>
      <c r="M97" s="176"/>
      <c r="N97" s="176"/>
      <c r="O97" s="176"/>
      <c r="P97" s="176"/>
      <c r="Q97" s="176"/>
      <c r="R97" s="176"/>
      <c r="S97" s="176"/>
      <c r="T97" s="176"/>
      <c r="U97" s="176"/>
      <c r="V97" s="176"/>
      <c r="W97" s="176"/>
      <c r="X97" s="176"/>
      <c r="Y97" s="176"/>
      <c r="Z97" s="176"/>
    </row>
    <row r="98" spans="1:26">
      <c r="A98" s="221">
        <v>97</v>
      </c>
      <c r="B98" s="177" t="s">
        <v>6216</v>
      </c>
      <c r="C98" s="177" t="s">
        <v>6276</v>
      </c>
      <c r="D98" s="177" t="s">
        <v>6218</v>
      </c>
      <c r="E98" s="177" t="s">
        <v>6285</v>
      </c>
      <c r="F98" s="177" t="s">
        <v>6286</v>
      </c>
      <c r="G98" s="176"/>
      <c r="H98" s="176"/>
      <c r="I98" s="176"/>
      <c r="J98" s="176"/>
      <c r="K98" s="176"/>
      <c r="L98" s="176"/>
      <c r="M98" s="176"/>
      <c r="N98" s="176"/>
      <c r="O98" s="176"/>
      <c r="P98" s="176"/>
      <c r="Q98" s="176"/>
      <c r="R98" s="176"/>
      <c r="S98" s="176"/>
      <c r="T98" s="176"/>
      <c r="U98" s="176"/>
      <c r="V98" s="176"/>
      <c r="W98" s="176"/>
      <c r="X98" s="176"/>
      <c r="Y98" s="176"/>
      <c r="Z98" s="176"/>
    </row>
    <row r="99" spans="1:26">
      <c r="A99" s="221">
        <v>98</v>
      </c>
      <c r="B99" s="177" t="s">
        <v>6216</v>
      </c>
      <c r="C99" s="177" t="s">
        <v>6287</v>
      </c>
      <c r="D99" s="177" t="s">
        <v>6124</v>
      </c>
      <c r="E99" s="177" t="s">
        <v>6288</v>
      </c>
      <c r="F99" s="177" t="s">
        <v>6289</v>
      </c>
      <c r="G99" s="176"/>
      <c r="H99" s="176"/>
      <c r="I99" s="176"/>
      <c r="J99" s="176"/>
      <c r="K99" s="176"/>
      <c r="L99" s="176"/>
      <c r="M99" s="176"/>
      <c r="N99" s="176"/>
      <c r="O99" s="176"/>
      <c r="P99" s="176"/>
      <c r="Q99" s="176"/>
      <c r="R99" s="176"/>
      <c r="S99" s="176"/>
      <c r="T99" s="176"/>
      <c r="U99" s="176"/>
      <c r="V99" s="176"/>
      <c r="W99" s="176"/>
      <c r="X99" s="176"/>
      <c r="Y99" s="176"/>
      <c r="Z99" s="176"/>
    </row>
    <row r="100" spans="1:26">
      <c r="A100" s="221">
        <v>99</v>
      </c>
      <c r="B100" s="177" t="s">
        <v>6216</v>
      </c>
      <c r="C100" s="177" t="s">
        <v>6287</v>
      </c>
      <c r="D100" s="177" t="s">
        <v>6124</v>
      </c>
      <c r="E100" s="177" t="s">
        <v>6290</v>
      </c>
      <c r="F100" s="177" t="s">
        <v>6291</v>
      </c>
      <c r="G100" s="176"/>
      <c r="H100" s="176"/>
      <c r="I100" s="176"/>
      <c r="J100" s="176"/>
      <c r="K100" s="176"/>
      <c r="L100" s="176"/>
      <c r="M100" s="176"/>
      <c r="N100" s="176"/>
      <c r="O100" s="176"/>
      <c r="P100" s="176"/>
      <c r="Q100" s="176"/>
      <c r="R100" s="176"/>
      <c r="S100" s="176"/>
      <c r="T100" s="176"/>
      <c r="U100" s="176"/>
      <c r="V100" s="176"/>
      <c r="W100" s="176"/>
      <c r="X100" s="176"/>
      <c r="Y100" s="176"/>
      <c r="Z100" s="176"/>
    </row>
    <row r="101" spans="1:26">
      <c r="A101" s="221">
        <v>100</v>
      </c>
      <c r="B101" s="177" t="s">
        <v>6216</v>
      </c>
      <c r="C101" s="177" t="s">
        <v>6287</v>
      </c>
      <c r="D101" s="177" t="s">
        <v>6124</v>
      </c>
      <c r="E101" s="177" t="s">
        <v>6292</v>
      </c>
      <c r="F101" s="177" t="s">
        <v>6293</v>
      </c>
      <c r="G101" s="176"/>
      <c r="H101" s="176"/>
      <c r="I101" s="176"/>
      <c r="J101" s="176"/>
      <c r="K101" s="176"/>
      <c r="L101" s="176"/>
      <c r="M101" s="176"/>
      <c r="N101" s="176"/>
      <c r="O101" s="176"/>
      <c r="P101" s="176"/>
      <c r="Q101" s="176"/>
      <c r="R101" s="176"/>
      <c r="S101" s="176"/>
      <c r="T101" s="176"/>
      <c r="U101" s="176"/>
      <c r="V101" s="176"/>
      <c r="W101" s="176"/>
      <c r="X101" s="176"/>
      <c r="Y101" s="176"/>
      <c r="Z101" s="176"/>
    </row>
    <row r="102" spans="1:26">
      <c r="A102" s="221">
        <v>101</v>
      </c>
      <c r="B102" s="177" t="s">
        <v>6216</v>
      </c>
      <c r="C102" s="177" t="s">
        <v>6287</v>
      </c>
      <c r="D102" s="177" t="s">
        <v>6124</v>
      </c>
      <c r="E102" s="177" t="s">
        <v>6294</v>
      </c>
      <c r="F102" s="177" t="s">
        <v>6295</v>
      </c>
      <c r="G102" s="176"/>
      <c r="H102" s="176"/>
      <c r="I102" s="176"/>
      <c r="J102" s="176"/>
      <c r="K102" s="176"/>
      <c r="L102" s="176"/>
      <c r="M102" s="176"/>
      <c r="N102" s="176"/>
      <c r="O102" s="176"/>
      <c r="P102" s="176"/>
      <c r="Q102" s="176"/>
      <c r="R102" s="176"/>
      <c r="S102" s="176"/>
      <c r="T102" s="176"/>
      <c r="U102" s="176"/>
      <c r="V102" s="176"/>
      <c r="W102" s="176"/>
      <c r="X102" s="176"/>
      <c r="Y102" s="176"/>
      <c r="Z102" s="176"/>
    </row>
    <row r="103" spans="1:26">
      <c r="A103" s="221">
        <v>102</v>
      </c>
      <c r="B103" s="177" t="s">
        <v>6216</v>
      </c>
      <c r="C103" s="177" t="s">
        <v>6287</v>
      </c>
      <c r="D103" s="177" t="s">
        <v>6124</v>
      </c>
      <c r="E103" s="177" t="s">
        <v>6296</v>
      </c>
      <c r="F103" s="177" t="s">
        <v>6297</v>
      </c>
      <c r="G103" s="176"/>
      <c r="H103" s="176"/>
      <c r="I103" s="176"/>
      <c r="J103" s="176"/>
      <c r="K103" s="176"/>
      <c r="L103" s="176"/>
      <c r="M103" s="176"/>
      <c r="N103" s="176"/>
      <c r="O103" s="176"/>
      <c r="P103" s="176"/>
      <c r="Q103" s="176"/>
      <c r="R103" s="176"/>
      <c r="S103" s="176"/>
      <c r="T103" s="176"/>
      <c r="U103" s="176"/>
      <c r="V103" s="176"/>
      <c r="W103" s="176"/>
      <c r="X103" s="176"/>
      <c r="Y103" s="176"/>
      <c r="Z103" s="176"/>
    </row>
    <row r="104" spans="1:26">
      <c r="A104" s="221">
        <v>103</v>
      </c>
      <c r="B104" s="177" t="s">
        <v>6216</v>
      </c>
      <c r="C104" s="177" t="s">
        <v>6298</v>
      </c>
      <c r="D104" s="177" t="s">
        <v>6124</v>
      </c>
      <c r="E104" s="177" t="s">
        <v>6299</v>
      </c>
      <c r="F104" s="177" t="s">
        <v>6300</v>
      </c>
      <c r="G104" s="176"/>
      <c r="H104" s="176"/>
      <c r="I104" s="176"/>
      <c r="J104" s="176"/>
      <c r="K104" s="176"/>
      <c r="L104" s="176"/>
      <c r="M104" s="176"/>
      <c r="N104" s="176"/>
      <c r="O104" s="176"/>
      <c r="P104" s="176"/>
      <c r="Q104" s="176"/>
      <c r="R104" s="176"/>
      <c r="S104" s="176"/>
      <c r="T104" s="176"/>
      <c r="U104" s="176"/>
      <c r="V104" s="176"/>
      <c r="W104" s="176"/>
      <c r="X104" s="176"/>
      <c r="Y104" s="176"/>
      <c r="Z104" s="176"/>
    </row>
    <row r="105" spans="1:26">
      <c r="A105" s="221">
        <v>104</v>
      </c>
      <c r="B105" s="177" t="s">
        <v>6216</v>
      </c>
      <c r="C105" s="177" t="s">
        <v>6298</v>
      </c>
      <c r="D105" s="177" t="s">
        <v>6124</v>
      </c>
      <c r="E105" s="177" t="s">
        <v>6301</v>
      </c>
      <c r="F105" s="177" t="s">
        <v>6302</v>
      </c>
      <c r="G105" s="176"/>
      <c r="H105" s="176"/>
      <c r="I105" s="176"/>
      <c r="J105" s="176"/>
      <c r="K105" s="176"/>
      <c r="L105" s="176"/>
      <c r="M105" s="176"/>
      <c r="N105" s="176"/>
      <c r="O105" s="176"/>
      <c r="P105" s="176"/>
      <c r="Q105" s="176"/>
      <c r="R105" s="176"/>
      <c r="S105" s="176"/>
      <c r="T105" s="176"/>
      <c r="U105" s="176"/>
      <c r="V105" s="176"/>
      <c r="W105" s="176"/>
      <c r="X105" s="176"/>
      <c r="Y105" s="176"/>
      <c r="Z105" s="176"/>
    </row>
    <row r="106" spans="1:26">
      <c r="A106" s="221">
        <v>105</v>
      </c>
      <c r="B106" s="177" t="s">
        <v>6216</v>
      </c>
      <c r="C106" s="177" t="s">
        <v>6298</v>
      </c>
      <c r="D106" s="177" t="s">
        <v>6124</v>
      </c>
      <c r="E106" s="177" t="s">
        <v>6303</v>
      </c>
      <c r="F106" s="177" t="s">
        <v>6304</v>
      </c>
      <c r="G106" s="176"/>
      <c r="H106" s="176"/>
      <c r="I106" s="176"/>
      <c r="J106" s="176"/>
      <c r="K106" s="176"/>
      <c r="L106" s="176"/>
      <c r="M106" s="176"/>
      <c r="N106" s="176"/>
      <c r="O106" s="176"/>
      <c r="P106" s="176"/>
      <c r="Q106" s="176"/>
      <c r="R106" s="176"/>
      <c r="S106" s="176"/>
      <c r="T106" s="176"/>
      <c r="U106" s="176"/>
      <c r="V106" s="176"/>
      <c r="W106" s="176"/>
      <c r="X106" s="176"/>
      <c r="Y106" s="176"/>
      <c r="Z106" s="176"/>
    </row>
    <row r="107" spans="1:26">
      <c r="A107" s="221">
        <v>106</v>
      </c>
      <c r="B107" s="177" t="s">
        <v>6216</v>
      </c>
      <c r="C107" s="177" t="s">
        <v>6298</v>
      </c>
      <c r="D107" s="177" t="s">
        <v>6124</v>
      </c>
      <c r="E107" s="177" t="s">
        <v>6305</v>
      </c>
      <c r="F107" s="177" t="s">
        <v>6306</v>
      </c>
      <c r="G107" s="176"/>
      <c r="H107" s="176"/>
      <c r="I107" s="176"/>
      <c r="J107" s="176"/>
      <c r="K107" s="176"/>
      <c r="L107" s="176"/>
      <c r="M107" s="176"/>
      <c r="N107" s="176"/>
      <c r="O107" s="176"/>
      <c r="P107" s="176"/>
      <c r="Q107" s="176"/>
      <c r="R107" s="176"/>
      <c r="S107" s="176"/>
      <c r="T107" s="176"/>
      <c r="U107" s="176"/>
      <c r="V107" s="176"/>
      <c r="W107" s="176"/>
      <c r="X107" s="176"/>
      <c r="Y107" s="176"/>
      <c r="Z107" s="176"/>
    </row>
    <row r="108" spans="1:26">
      <c r="A108" s="221">
        <v>107</v>
      </c>
      <c r="B108" s="177" t="s">
        <v>6216</v>
      </c>
      <c r="C108" s="177" t="s">
        <v>6298</v>
      </c>
      <c r="D108" s="177" t="s">
        <v>6124</v>
      </c>
      <c r="E108" s="177" t="s">
        <v>6307</v>
      </c>
      <c r="F108" s="177" t="s">
        <v>6308</v>
      </c>
      <c r="G108" s="176"/>
      <c r="H108" s="176"/>
      <c r="I108" s="176"/>
      <c r="J108" s="176"/>
      <c r="K108" s="176"/>
      <c r="L108" s="176"/>
      <c r="M108" s="176"/>
      <c r="N108" s="176"/>
      <c r="O108" s="176"/>
      <c r="P108" s="176"/>
      <c r="Q108" s="176"/>
      <c r="R108" s="176"/>
      <c r="S108" s="176"/>
      <c r="T108" s="176"/>
      <c r="U108" s="176"/>
      <c r="V108" s="176"/>
      <c r="W108" s="176"/>
      <c r="X108" s="176"/>
      <c r="Y108" s="176"/>
      <c r="Z108" s="176"/>
    </row>
    <row r="109" spans="1:26">
      <c r="A109" s="221">
        <v>108</v>
      </c>
      <c r="B109" s="177" t="s">
        <v>6216</v>
      </c>
      <c r="C109" s="177" t="s">
        <v>6309</v>
      </c>
      <c r="D109" s="177" t="s">
        <v>6124</v>
      </c>
      <c r="E109" s="177" t="s">
        <v>6310</v>
      </c>
      <c r="F109" s="177" t="s">
        <v>6311</v>
      </c>
      <c r="G109" s="176"/>
      <c r="H109" s="176"/>
      <c r="I109" s="176"/>
      <c r="J109" s="176"/>
      <c r="K109" s="176"/>
      <c r="L109" s="176"/>
      <c r="M109" s="176"/>
      <c r="N109" s="176"/>
      <c r="O109" s="176"/>
      <c r="P109" s="176"/>
      <c r="Q109" s="176"/>
      <c r="R109" s="176"/>
      <c r="S109" s="176"/>
      <c r="T109" s="176"/>
      <c r="U109" s="176"/>
      <c r="V109" s="176"/>
      <c r="W109" s="176"/>
      <c r="X109" s="176"/>
      <c r="Y109" s="176"/>
      <c r="Z109" s="176"/>
    </row>
    <row r="110" spans="1:26">
      <c r="A110" s="221">
        <v>109</v>
      </c>
      <c r="B110" s="177" t="s">
        <v>6216</v>
      </c>
      <c r="C110" s="177" t="s">
        <v>6309</v>
      </c>
      <c r="D110" s="177" t="s">
        <v>6124</v>
      </c>
      <c r="E110" s="177" t="s">
        <v>6312</v>
      </c>
      <c r="F110" s="177" t="s">
        <v>6313</v>
      </c>
      <c r="G110" s="176"/>
      <c r="H110" s="176"/>
      <c r="I110" s="176"/>
      <c r="J110" s="176"/>
      <c r="K110" s="176"/>
      <c r="L110" s="176"/>
      <c r="M110" s="176"/>
      <c r="N110" s="176"/>
      <c r="O110" s="176"/>
      <c r="P110" s="176"/>
      <c r="Q110" s="176"/>
      <c r="R110" s="176"/>
      <c r="S110" s="176"/>
      <c r="T110" s="176"/>
      <c r="U110" s="176"/>
      <c r="V110" s="176"/>
      <c r="W110" s="176"/>
      <c r="X110" s="176"/>
      <c r="Y110" s="176"/>
      <c r="Z110" s="176"/>
    </row>
    <row r="111" spans="1:26">
      <c r="A111" s="221">
        <v>110</v>
      </c>
      <c r="B111" s="177" t="s">
        <v>6216</v>
      </c>
      <c r="C111" s="177" t="s">
        <v>6309</v>
      </c>
      <c r="D111" s="177" t="s">
        <v>6124</v>
      </c>
      <c r="E111" s="177" t="s">
        <v>6314</v>
      </c>
      <c r="F111" s="177" t="s">
        <v>6315</v>
      </c>
      <c r="G111" s="176"/>
      <c r="H111" s="176"/>
      <c r="I111" s="176"/>
      <c r="J111" s="176"/>
      <c r="K111" s="176"/>
      <c r="L111" s="176"/>
      <c r="M111" s="176"/>
      <c r="N111" s="176"/>
      <c r="O111" s="176"/>
      <c r="P111" s="176"/>
      <c r="Q111" s="176"/>
      <c r="R111" s="176"/>
      <c r="S111" s="176"/>
      <c r="T111" s="176"/>
      <c r="U111" s="176"/>
      <c r="V111" s="176"/>
      <c r="W111" s="176"/>
      <c r="X111" s="176"/>
      <c r="Y111" s="176"/>
      <c r="Z111" s="176"/>
    </row>
    <row r="112" spans="1:26">
      <c r="A112" s="221">
        <v>111</v>
      </c>
      <c r="B112" s="177" t="s">
        <v>6216</v>
      </c>
      <c r="C112" s="177" t="s">
        <v>6309</v>
      </c>
      <c r="D112" s="177" t="s">
        <v>6218</v>
      </c>
      <c r="E112" s="177" t="s">
        <v>6316</v>
      </c>
      <c r="F112" s="177" t="s">
        <v>6317</v>
      </c>
      <c r="G112" s="176"/>
      <c r="H112" s="176"/>
      <c r="I112" s="176"/>
      <c r="J112" s="176"/>
      <c r="K112" s="176"/>
      <c r="L112" s="176"/>
      <c r="M112" s="176"/>
      <c r="N112" s="176"/>
      <c r="O112" s="176"/>
      <c r="P112" s="176"/>
      <c r="Q112" s="176"/>
      <c r="R112" s="176"/>
      <c r="S112" s="176"/>
      <c r="T112" s="176"/>
      <c r="U112" s="176"/>
      <c r="V112" s="176"/>
      <c r="W112" s="176"/>
      <c r="X112" s="176"/>
      <c r="Y112" s="176"/>
      <c r="Z112" s="176"/>
    </row>
    <row r="113" spans="1:26">
      <c r="A113" s="221">
        <v>112</v>
      </c>
      <c r="B113" s="177" t="s">
        <v>6216</v>
      </c>
      <c r="C113" s="177" t="s">
        <v>6309</v>
      </c>
      <c r="D113" s="177" t="s">
        <v>6218</v>
      </c>
      <c r="E113" s="177" t="s">
        <v>6318</v>
      </c>
      <c r="F113" s="177" t="s">
        <v>6319</v>
      </c>
      <c r="G113" s="176"/>
      <c r="H113" s="176"/>
      <c r="I113" s="176"/>
      <c r="J113" s="176"/>
      <c r="K113" s="176"/>
      <c r="L113" s="176"/>
      <c r="M113" s="176"/>
      <c r="N113" s="176"/>
      <c r="O113" s="176"/>
      <c r="P113" s="176"/>
      <c r="Q113" s="176"/>
      <c r="R113" s="176"/>
      <c r="S113" s="176"/>
      <c r="T113" s="176"/>
      <c r="U113" s="176"/>
      <c r="V113" s="176"/>
      <c r="W113" s="176"/>
      <c r="X113" s="176"/>
      <c r="Y113" s="176"/>
      <c r="Z113" s="176"/>
    </row>
    <row r="114" spans="1:26">
      <c r="A114" s="221">
        <v>113</v>
      </c>
      <c r="B114" s="177" t="s">
        <v>6216</v>
      </c>
      <c r="C114" s="177" t="s">
        <v>6320</v>
      </c>
      <c r="D114" s="177" t="s">
        <v>6124</v>
      </c>
      <c r="E114" s="177" t="s">
        <v>6321</v>
      </c>
      <c r="F114" s="177" t="s">
        <v>6322</v>
      </c>
      <c r="G114" s="176"/>
      <c r="H114" s="176"/>
      <c r="I114" s="176"/>
      <c r="J114" s="176"/>
      <c r="K114" s="176"/>
      <c r="L114" s="176"/>
      <c r="M114" s="176"/>
      <c r="N114" s="176"/>
      <c r="O114" s="176"/>
      <c r="P114" s="176"/>
      <c r="Q114" s="176"/>
      <c r="R114" s="176"/>
      <c r="S114" s="176"/>
      <c r="T114" s="176"/>
      <c r="U114" s="176"/>
      <c r="V114" s="176"/>
      <c r="W114" s="176"/>
      <c r="X114" s="176"/>
      <c r="Y114" s="176"/>
      <c r="Z114" s="176"/>
    </row>
    <row r="115" spans="1:26">
      <c r="A115" s="221">
        <v>114</v>
      </c>
      <c r="B115" s="177" t="s">
        <v>6216</v>
      </c>
      <c r="C115" s="177" t="s">
        <v>6320</v>
      </c>
      <c r="D115" s="177" t="s">
        <v>6124</v>
      </c>
      <c r="E115" s="177" t="s">
        <v>6323</v>
      </c>
      <c r="F115" s="177" t="s">
        <v>6324</v>
      </c>
      <c r="G115" s="176"/>
      <c r="H115" s="176"/>
      <c r="I115" s="176"/>
      <c r="J115" s="176"/>
      <c r="K115" s="176"/>
      <c r="L115" s="176"/>
      <c r="M115" s="176"/>
      <c r="N115" s="176"/>
      <c r="O115" s="176"/>
      <c r="P115" s="176"/>
      <c r="Q115" s="176"/>
      <c r="R115" s="176"/>
      <c r="S115" s="176"/>
      <c r="T115" s="176"/>
      <c r="U115" s="176"/>
      <c r="V115" s="176"/>
      <c r="W115" s="176"/>
      <c r="X115" s="176"/>
      <c r="Y115" s="176"/>
      <c r="Z115" s="176"/>
    </row>
    <row r="116" spans="1:26">
      <c r="A116" s="221">
        <v>115</v>
      </c>
      <c r="B116" s="177" t="s">
        <v>6216</v>
      </c>
      <c r="C116" s="177" t="s">
        <v>6320</v>
      </c>
      <c r="D116" s="177" t="s">
        <v>6124</v>
      </c>
      <c r="E116" s="177" t="s">
        <v>6325</v>
      </c>
      <c r="F116" s="177" t="s">
        <v>6326</v>
      </c>
      <c r="G116" s="176"/>
      <c r="H116" s="176"/>
      <c r="I116" s="176"/>
      <c r="J116" s="176"/>
      <c r="K116" s="176"/>
      <c r="L116" s="176"/>
      <c r="M116" s="176"/>
      <c r="N116" s="176"/>
      <c r="O116" s="176"/>
      <c r="P116" s="176"/>
      <c r="Q116" s="176"/>
      <c r="R116" s="176"/>
      <c r="S116" s="176"/>
      <c r="T116" s="176"/>
      <c r="U116" s="176"/>
      <c r="V116" s="176"/>
      <c r="W116" s="176"/>
      <c r="X116" s="176"/>
      <c r="Y116" s="176"/>
      <c r="Z116" s="176"/>
    </row>
    <row r="117" spans="1:26">
      <c r="A117" s="221">
        <v>116</v>
      </c>
      <c r="B117" s="177" t="s">
        <v>6216</v>
      </c>
      <c r="C117" s="177" t="s">
        <v>6320</v>
      </c>
      <c r="D117" s="177" t="s">
        <v>6124</v>
      </c>
      <c r="E117" s="177" t="s">
        <v>6327</v>
      </c>
      <c r="F117" s="177" t="s">
        <v>6328</v>
      </c>
      <c r="G117" s="176"/>
      <c r="H117" s="176"/>
      <c r="I117" s="176"/>
      <c r="J117" s="176"/>
      <c r="K117" s="176"/>
      <c r="L117" s="176"/>
      <c r="M117" s="176"/>
      <c r="N117" s="176"/>
      <c r="O117" s="176"/>
      <c r="P117" s="176"/>
      <c r="Q117" s="176"/>
      <c r="R117" s="176"/>
      <c r="S117" s="176"/>
      <c r="T117" s="176"/>
      <c r="U117" s="176"/>
      <c r="V117" s="176"/>
      <c r="W117" s="176"/>
      <c r="X117" s="176"/>
      <c r="Y117" s="176"/>
      <c r="Z117" s="176"/>
    </row>
    <row r="118" spans="1:26">
      <c r="A118" s="221">
        <v>117</v>
      </c>
      <c r="B118" s="177" t="s">
        <v>6216</v>
      </c>
      <c r="C118" s="177" t="s">
        <v>6320</v>
      </c>
      <c r="D118" s="177" t="s">
        <v>6124</v>
      </c>
      <c r="E118" s="177" t="s">
        <v>6329</v>
      </c>
      <c r="F118" s="177" t="s">
        <v>6330</v>
      </c>
      <c r="G118" s="176"/>
      <c r="H118" s="176"/>
      <c r="I118" s="176"/>
      <c r="J118" s="176"/>
      <c r="K118" s="176"/>
      <c r="L118" s="176"/>
      <c r="M118" s="176"/>
      <c r="N118" s="176"/>
      <c r="O118" s="176"/>
      <c r="P118" s="176"/>
      <c r="Q118" s="176"/>
      <c r="R118" s="176"/>
      <c r="S118" s="176"/>
      <c r="T118" s="176"/>
      <c r="U118" s="176"/>
      <c r="V118" s="176"/>
      <c r="W118" s="176"/>
      <c r="X118" s="176"/>
      <c r="Y118" s="176"/>
      <c r="Z118" s="176"/>
    </row>
    <row r="119" spans="1:26">
      <c r="A119" s="221">
        <v>118</v>
      </c>
      <c r="B119" s="177" t="s">
        <v>6216</v>
      </c>
      <c r="C119" s="177" t="s">
        <v>6331</v>
      </c>
      <c r="D119" s="177" t="s">
        <v>6124</v>
      </c>
      <c r="E119" s="177" t="s">
        <v>6332</v>
      </c>
      <c r="F119" s="177" t="s">
        <v>6333</v>
      </c>
      <c r="G119" s="176"/>
      <c r="H119" s="176"/>
      <c r="I119" s="176"/>
      <c r="J119" s="176"/>
      <c r="K119" s="176"/>
      <c r="L119" s="176"/>
      <c r="M119" s="176"/>
      <c r="N119" s="176"/>
      <c r="O119" s="176"/>
      <c r="P119" s="176"/>
      <c r="Q119" s="176"/>
      <c r="R119" s="176"/>
      <c r="S119" s="176"/>
      <c r="T119" s="176"/>
      <c r="U119" s="176"/>
      <c r="V119" s="176"/>
      <c r="W119" s="176"/>
      <c r="X119" s="176"/>
      <c r="Y119" s="176"/>
      <c r="Z119" s="176"/>
    </row>
    <row r="120" spans="1:26">
      <c r="A120" s="221">
        <v>119</v>
      </c>
      <c r="B120" s="177" t="s">
        <v>6216</v>
      </c>
      <c r="C120" s="177" t="s">
        <v>6331</v>
      </c>
      <c r="D120" s="177" t="s">
        <v>6124</v>
      </c>
      <c r="E120" s="177" t="s">
        <v>6334</v>
      </c>
      <c r="F120" s="177" t="s">
        <v>6335</v>
      </c>
      <c r="G120" s="176"/>
      <c r="H120" s="176"/>
      <c r="I120" s="176"/>
      <c r="J120" s="176"/>
      <c r="K120" s="176"/>
      <c r="L120" s="176"/>
      <c r="M120" s="176"/>
      <c r="N120" s="176"/>
      <c r="O120" s="176"/>
      <c r="P120" s="176"/>
      <c r="Q120" s="176"/>
      <c r="R120" s="176"/>
      <c r="S120" s="176"/>
      <c r="T120" s="176"/>
      <c r="U120" s="176"/>
      <c r="V120" s="176"/>
      <c r="W120" s="176"/>
      <c r="X120" s="176"/>
      <c r="Y120" s="176"/>
      <c r="Z120" s="176"/>
    </row>
    <row r="121" spans="1:26">
      <c r="A121" s="221">
        <v>120</v>
      </c>
      <c r="B121" s="177" t="s">
        <v>6216</v>
      </c>
      <c r="C121" s="177" t="s">
        <v>6331</v>
      </c>
      <c r="D121" s="177" t="s">
        <v>6124</v>
      </c>
      <c r="E121" s="177" t="s">
        <v>6336</v>
      </c>
      <c r="F121" s="177" t="s">
        <v>6337</v>
      </c>
      <c r="G121" s="176"/>
      <c r="H121" s="176"/>
      <c r="I121" s="176"/>
      <c r="J121" s="176"/>
      <c r="K121" s="176"/>
      <c r="L121" s="176"/>
      <c r="M121" s="176"/>
      <c r="N121" s="176"/>
      <c r="O121" s="176"/>
      <c r="P121" s="176"/>
      <c r="Q121" s="176"/>
      <c r="R121" s="176"/>
      <c r="S121" s="176"/>
      <c r="T121" s="176"/>
      <c r="U121" s="176"/>
      <c r="V121" s="176"/>
      <c r="W121" s="176"/>
      <c r="X121" s="176"/>
      <c r="Y121" s="176"/>
      <c r="Z121" s="176"/>
    </row>
    <row r="122" spans="1:26">
      <c r="A122" s="221">
        <v>121</v>
      </c>
      <c r="B122" s="177" t="s">
        <v>6216</v>
      </c>
      <c r="C122" s="177" t="s">
        <v>6331</v>
      </c>
      <c r="D122" s="177" t="s">
        <v>6124</v>
      </c>
      <c r="E122" s="177" t="s">
        <v>6338</v>
      </c>
      <c r="F122" s="177" t="s">
        <v>6339</v>
      </c>
      <c r="G122" s="176"/>
      <c r="H122" s="176"/>
      <c r="I122" s="176"/>
      <c r="J122" s="176"/>
      <c r="K122" s="176"/>
      <c r="L122" s="176"/>
      <c r="M122" s="176"/>
      <c r="N122" s="176"/>
      <c r="O122" s="176"/>
      <c r="P122" s="176"/>
      <c r="Q122" s="176"/>
      <c r="R122" s="176"/>
      <c r="S122" s="176"/>
      <c r="T122" s="176"/>
      <c r="U122" s="176"/>
      <c r="V122" s="176"/>
      <c r="W122" s="176"/>
      <c r="X122" s="176"/>
      <c r="Y122" s="176"/>
      <c r="Z122" s="176"/>
    </row>
    <row r="123" spans="1:26">
      <c r="A123" s="221">
        <v>122</v>
      </c>
      <c r="B123" s="177" t="s">
        <v>6216</v>
      </c>
      <c r="C123" s="177" t="s">
        <v>6340</v>
      </c>
      <c r="D123" s="177" t="s">
        <v>6218</v>
      </c>
      <c r="E123" s="177" t="s">
        <v>6341</v>
      </c>
      <c r="F123" s="177" t="s">
        <v>6342</v>
      </c>
      <c r="G123" s="176"/>
      <c r="H123" s="176"/>
      <c r="I123" s="176"/>
      <c r="J123" s="176"/>
      <c r="K123" s="176"/>
      <c r="L123" s="176"/>
      <c r="M123" s="176"/>
      <c r="N123" s="176"/>
      <c r="O123" s="176"/>
      <c r="P123" s="176"/>
      <c r="Q123" s="176"/>
      <c r="R123" s="176"/>
      <c r="S123" s="176"/>
      <c r="T123" s="176"/>
      <c r="U123" s="176"/>
      <c r="V123" s="176"/>
      <c r="W123" s="176"/>
      <c r="X123" s="176"/>
      <c r="Y123" s="176"/>
      <c r="Z123" s="176"/>
    </row>
    <row r="124" spans="1:26">
      <c r="A124" s="221">
        <v>123</v>
      </c>
      <c r="B124" s="177" t="s">
        <v>6216</v>
      </c>
      <c r="C124" s="177" t="s">
        <v>6340</v>
      </c>
      <c r="D124" s="177" t="s">
        <v>6218</v>
      </c>
      <c r="E124" s="177" t="s">
        <v>6343</v>
      </c>
      <c r="F124" s="177" t="s">
        <v>6344</v>
      </c>
      <c r="G124" s="176"/>
      <c r="H124" s="176"/>
      <c r="I124" s="176"/>
      <c r="J124" s="176"/>
      <c r="K124" s="176"/>
      <c r="L124" s="176"/>
      <c r="M124" s="176"/>
      <c r="N124" s="176"/>
      <c r="O124" s="176"/>
      <c r="P124" s="176"/>
      <c r="Q124" s="176"/>
      <c r="R124" s="176"/>
      <c r="S124" s="176"/>
      <c r="T124" s="176"/>
      <c r="U124" s="176"/>
      <c r="V124" s="176"/>
      <c r="W124" s="176"/>
      <c r="X124" s="176"/>
      <c r="Y124" s="176"/>
      <c r="Z124" s="176"/>
    </row>
    <row r="125" spans="1:26">
      <c r="A125" s="221">
        <v>124</v>
      </c>
      <c r="B125" s="177" t="s">
        <v>6216</v>
      </c>
      <c r="C125" s="177" t="s">
        <v>6340</v>
      </c>
      <c r="D125" s="177" t="s">
        <v>6218</v>
      </c>
      <c r="E125" s="177" t="s">
        <v>6345</v>
      </c>
      <c r="F125" s="177" t="s">
        <v>6346</v>
      </c>
      <c r="G125" s="176"/>
      <c r="H125" s="176"/>
      <c r="I125" s="176"/>
      <c r="J125" s="176"/>
      <c r="K125" s="176"/>
      <c r="L125" s="176"/>
      <c r="M125" s="176"/>
      <c r="N125" s="176"/>
      <c r="O125" s="176"/>
      <c r="P125" s="176"/>
      <c r="Q125" s="176"/>
      <c r="R125" s="176"/>
      <c r="S125" s="176"/>
      <c r="T125" s="176"/>
      <c r="U125" s="176"/>
      <c r="V125" s="176"/>
      <c r="W125" s="176"/>
      <c r="X125" s="176"/>
      <c r="Y125" s="176"/>
      <c r="Z125" s="176"/>
    </row>
    <row r="126" spans="1:26">
      <c r="A126" s="221">
        <v>125</v>
      </c>
      <c r="B126" s="177" t="s">
        <v>6216</v>
      </c>
      <c r="C126" s="177" t="s">
        <v>6347</v>
      </c>
      <c r="D126" s="177" t="s">
        <v>6218</v>
      </c>
      <c r="E126" s="177" t="s">
        <v>6348</v>
      </c>
      <c r="F126" s="177" t="s">
        <v>6349</v>
      </c>
      <c r="G126" s="176"/>
      <c r="H126" s="176"/>
      <c r="I126" s="176"/>
      <c r="J126" s="176"/>
      <c r="K126" s="176"/>
      <c r="L126" s="176"/>
      <c r="M126" s="176"/>
      <c r="N126" s="176"/>
      <c r="O126" s="176"/>
      <c r="P126" s="176"/>
      <c r="Q126" s="176"/>
      <c r="R126" s="176"/>
      <c r="S126" s="176"/>
      <c r="T126" s="176"/>
      <c r="U126" s="176"/>
      <c r="V126" s="176"/>
      <c r="W126" s="176"/>
      <c r="X126" s="176"/>
      <c r="Y126" s="176"/>
      <c r="Z126" s="176"/>
    </row>
    <row r="127" spans="1:26">
      <c r="A127" s="221">
        <v>126</v>
      </c>
      <c r="B127" s="177" t="s">
        <v>6216</v>
      </c>
      <c r="C127" s="177" t="s">
        <v>6347</v>
      </c>
      <c r="D127" s="177" t="s">
        <v>6218</v>
      </c>
      <c r="E127" s="177" t="s">
        <v>6350</v>
      </c>
      <c r="F127" s="177" t="s">
        <v>6351</v>
      </c>
      <c r="G127" s="176"/>
      <c r="H127" s="176"/>
      <c r="I127" s="176"/>
      <c r="J127" s="176"/>
      <c r="K127" s="176"/>
      <c r="L127" s="176"/>
      <c r="M127" s="176"/>
      <c r="N127" s="176"/>
      <c r="O127" s="176"/>
      <c r="P127" s="176"/>
      <c r="Q127" s="176"/>
      <c r="R127" s="176"/>
      <c r="S127" s="176"/>
      <c r="T127" s="176"/>
      <c r="U127" s="176"/>
      <c r="V127" s="176"/>
      <c r="W127" s="176"/>
      <c r="X127" s="176"/>
      <c r="Y127" s="176"/>
      <c r="Z127" s="176"/>
    </row>
    <row r="128" spans="1:26">
      <c r="A128" s="221">
        <v>127</v>
      </c>
      <c r="B128" s="177" t="s">
        <v>6216</v>
      </c>
      <c r="C128" s="177" t="s">
        <v>6347</v>
      </c>
      <c r="D128" s="177" t="s">
        <v>6218</v>
      </c>
      <c r="E128" s="177" t="s">
        <v>6352</v>
      </c>
      <c r="F128" s="177" t="s">
        <v>6353</v>
      </c>
      <c r="G128" s="176"/>
      <c r="H128" s="176"/>
      <c r="I128" s="176"/>
      <c r="J128" s="176"/>
      <c r="K128" s="176"/>
      <c r="L128" s="176"/>
      <c r="M128" s="176"/>
      <c r="N128" s="176"/>
      <c r="O128" s="176"/>
      <c r="P128" s="176"/>
      <c r="Q128" s="176"/>
      <c r="R128" s="176"/>
      <c r="S128" s="176"/>
      <c r="T128" s="176"/>
      <c r="U128" s="176"/>
      <c r="V128" s="176"/>
      <c r="W128" s="176"/>
      <c r="X128" s="176"/>
      <c r="Y128" s="176"/>
      <c r="Z128" s="176"/>
    </row>
    <row r="129" spans="1:26">
      <c r="A129" s="221">
        <v>128</v>
      </c>
      <c r="B129" s="177" t="s">
        <v>6216</v>
      </c>
      <c r="C129" s="177" t="s">
        <v>6347</v>
      </c>
      <c r="D129" s="177" t="s">
        <v>6218</v>
      </c>
      <c r="E129" s="177" t="s">
        <v>6354</v>
      </c>
      <c r="F129" s="177" t="s">
        <v>6355</v>
      </c>
      <c r="G129" s="176"/>
      <c r="H129" s="176"/>
      <c r="I129" s="176"/>
      <c r="J129" s="176"/>
      <c r="K129" s="176"/>
      <c r="L129" s="176"/>
      <c r="M129" s="176"/>
      <c r="N129" s="176"/>
      <c r="O129" s="176"/>
      <c r="P129" s="176"/>
      <c r="Q129" s="176"/>
      <c r="R129" s="176"/>
      <c r="S129" s="176"/>
      <c r="T129" s="176"/>
      <c r="U129" s="176"/>
      <c r="V129" s="176"/>
      <c r="W129" s="176"/>
      <c r="X129" s="176"/>
      <c r="Y129" s="176"/>
      <c r="Z129" s="176"/>
    </row>
    <row r="130" spans="1:26">
      <c r="A130" s="221">
        <v>129</v>
      </c>
      <c r="B130" s="177" t="s">
        <v>6216</v>
      </c>
      <c r="C130" s="177" t="s">
        <v>6347</v>
      </c>
      <c r="D130" s="177" t="s">
        <v>6218</v>
      </c>
      <c r="E130" s="177" t="s">
        <v>6356</v>
      </c>
      <c r="F130" s="177" t="s">
        <v>6357</v>
      </c>
      <c r="G130" s="176"/>
      <c r="H130" s="176"/>
      <c r="I130" s="176"/>
      <c r="J130" s="176"/>
      <c r="K130" s="176"/>
      <c r="L130" s="176"/>
      <c r="M130" s="176"/>
      <c r="N130" s="176"/>
      <c r="O130" s="176"/>
      <c r="P130" s="176"/>
      <c r="Q130" s="176"/>
      <c r="R130" s="176"/>
      <c r="S130" s="176"/>
      <c r="T130" s="176"/>
      <c r="U130" s="176"/>
      <c r="V130" s="176"/>
      <c r="W130" s="176"/>
      <c r="X130" s="176"/>
      <c r="Y130" s="176"/>
      <c r="Z130" s="176"/>
    </row>
    <row r="131" spans="1:26">
      <c r="A131" s="221">
        <v>130</v>
      </c>
      <c r="B131" s="177" t="s">
        <v>6216</v>
      </c>
      <c r="C131" s="177" t="s">
        <v>6358</v>
      </c>
      <c r="D131" s="177" t="s">
        <v>6218</v>
      </c>
      <c r="E131" s="177" t="s">
        <v>6359</v>
      </c>
      <c r="F131" s="177" t="s">
        <v>6360</v>
      </c>
      <c r="G131" s="176"/>
      <c r="H131" s="176"/>
      <c r="I131" s="176"/>
      <c r="J131" s="176"/>
      <c r="K131" s="176"/>
      <c r="L131" s="176"/>
      <c r="M131" s="176"/>
      <c r="N131" s="176"/>
      <c r="O131" s="176"/>
      <c r="P131" s="176"/>
      <c r="Q131" s="176"/>
      <c r="R131" s="176"/>
      <c r="S131" s="176"/>
      <c r="T131" s="176"/>
      <c r="U131" s="176"/>
      <c r="V131" s="176"/>
      <c r="W131" s="176"/>
      <c r="X131" s="176"/>
      <c r="Y131" s="176"/>
      <c r="Z131" s="176"/>
    </row>
    <row r="132" spans="1:26">
      <c r="A132" s="221">
        <v>131</v>
      </c>
      <c r="B132" s="177" t="s">
        <v>6216</v>
      </c>
      <c r="C132" s="177" t="s">
        <v>6358</v>
      </c>
      <c r="D132" s="177" t="s">
        <v>6218</v>
      </c>
      <c r="E132" s="177" t="s">
        <v>6361</v>
      </c>
      <c r="F132" s="177" t="s">
        <v>6362</v>
      </c>
      <c r="G132" s="176"/>
      <c r="H132" s="176"/>
      <c r="I132" s="176"/>
      <c r="J132" s="176"/>
      <c r="K132" s="176"/>
      <c r="L132" s="176"/>
      <c r="M132" s="176"/>
      <c r="N132" s="176"/>
      <c r="O132" s="176"/>
      <c r="P132" s="176"/>
      <c r="Q132" s="176"/>
      <c r="R132" s="176"/>
      <c r="S132" s="176"/>
      <c r="T132" s="176"/>
      <c r="U132" s="176"/>
      <c r="V132" s="176"/>
      <c r="W132" s="176"/>
      <c r="X132" s="176"/>
      <c r="Y132" s="176"/>
      <c r="Z132" s="176"/>
    </row>
    <row r="133" spans="1:26">
      <c r="A133" s="221">
        <v>132</v>
      </c>
      <c r="B133" s="177" t="s">
        <v>6216</v>
      </c>
      <c r="C133" s="177" t="s">
        <v>6358</v>
      </c>
      <c r="D133" s="177" t="s">
        <v>6218</v>
      </c>
      <c r="E133" s="177" t="s">
        <v>6363</v>
      </c>
      <c r="F133" s="177" t="s">
        <v>6364</v>
      </c>
      <c r="G133" s="176"/>
      <c r="H133" s="176"/>
      <c r="I133" s="176"/>
      <c r="J133" s="176"/>
      <c r="K133" s="176"/>
      <c r="L133" s="176"/>
      <c r="M133" s="176"/>
      <c r="N133" s="176"/>
      <c r="O133" s="176"/>
      <c r="P133" s="176"/>
      <c r="Q133" s="176"/>
      <c r="R133" s="176"/>
      <c r="S133" s="176"/>
      <c r="T133" s="176"/>
      <c r="U133" s="176"/>
      <c r="V133" s="176"/>
      <c r="W133" s="176"/>
      <c r="X133" s="176"/>
      <c r="Y133" s="176"/>
      <c r="Z133" s="176"/>
    </row>
    <row r="134" spans="1:26">
      <c r="A134" s="149">
        <v>133</v>
      </c>
      <c r="B134" s="103" t="s">
        <v>6216</v>
      </c>
      <c r="C134" s="103" t="s">
        <v>6365</v>
      </c>
      <c r="D134" s="103" t="s">
        <v>6218</v>
      </c>
      <c r="E134" s="103" t="s">
        <v>6366</v>
      </c>
      <c r="F134" s="103" t="s">
        <v>6367</v>
      </c>
    </row>
    <row r="135" spans="1:26">
      <c r="A135" s="149">
        <v>134</v>
      </c>
      <c r="B135" s="103" t="s">
        <v>6216</v>
      </c>
      <c r="C135" s="103" t="s">
        <v>6365</v>
      </c>
      <c r="D135" s="103" t="s">
        <v>6218</v>
      </c>
      <c r="E135" s="103" t="s">
        <v>6368</v>
      </c>
      <c r="F135" s="103" t="s">
        <v>6369</v>
      </c>
    </row>
    <row r="136" spans="1:26">
      <c r="A136" s="149">
        <v>135</v>
      </c>
      <c r="B136" s="103" t="s">
        <v>6216</v>
      </c>
      <c r="C136" s="103" t="s">
        <v>6365</v>
      </c>
      <c r="D136" s="103" t="s">
        <v>6218</v>
      </c>
      <c r="E136" s="103" t="s">
        <v>6370</v>
      </c>
      <c r="F136" s="103" t="s">
        <v>6371</v>
      </c>
    </row>
    <row r="137" spans="1:26">
      <c r="A137" s="221">
        <v>136</v>
      </c>
      <c r="B137" s="177" t="s">
        <v>6216</v>
      </c>
      <c r="C137" s="177" t="s">
        <v>6372</v>
      </c>
      <c r="D137" s="177" t="s">
        <v>6124</v>
      </c>
      <c r="E137" s="177" t="s">
        <v>6373</v>
      </c>
      <c r="F137" s="177" t="s">
        <v>6374</v>
      </c>
      <c r="G137" s="176"/>
      <c r="H137" s="176"/>
      <c r="I137" s="176"/>
      <c r="J137" s="176"/>
      <c r="K137" s="176"/>
      <c r="L137" s="176"/>
      <c r="M137" s="176"/>
      <c r="N137" s="176"/>
      <c r="O137" s="176"/>
      <c r="P137" s="176"/>
      <c r="Q137" s="176"/>
      <c r="R137" s="176"/>
      <c r="S137" s="176"/>
      <c r="T137" s="176"/>
      <c r="U137" s="176"/>
      <c r="V137" s="176"/>
      <c r="W137" s="176"/>
      <c r="X137" s="176"/>
      <c r="Y137" s="176"/>
      <c r="Z137" s="176"/>
    </row>
    <row r="138" spans="1:26">
      <c r="A138" s="221">
        <v>137</v>
      </c>
      <c r="B138" s="177" t="s">
        <v>6216</v>
      </c>
      <c r="C138" s="177" t="s">
        <v>6372</v>
      </c>
      <c r="D138" s="177" t="s">
        <v>6124</v>
      </c>
      <c r="E138" s="177" t="s">
        <v>6375</v>
      </c>
      <c r="F138" s="177" t="s">
        <v>6376</v>
      </c>
      <c r="G138" s="176"/>
      <c r="H138" s="176"/>
      <c r="I138" s="176"/>
      <c r="J138" s="176"/>
      <c r="K138" s="176"/>
      <c r="L138" s="176"/>
      <c r="M138" s="176"/>
      <c r="N138" s="176"/>
      <c r="O138" s="176"/>
      <c r="P138" s="176"/>
      <c r="Q138" s="176"/>
      <c r="R138" s="176"/>
      <c r="S138" s="176"/>
      <c r="T138" s="176"/>
      <c r="U138" s="176"/>
      <c r="V138" s="176"/>
      <c r="W138" s="176"/>
      <c r="X138" s="176"/>
      <c r="Y138" s="176"/>
      <c r="Z138" s="176"/>
    </row>
    <row r="139" spans="1:26">
      <c r="A139" s="221">
        <v>138</v>
      </c>
      <c r="B139" s="177" t="s">
        <v>6216</v>
      </c>
      <c r="C139" s="177" t="s">
        <v>6372</v>
      </c>
      <c r="D139" s="177" t="s">
        <v>6124</v>
      </c>
      <c r="E139" s="177" t="s">
        <v>6377</v>
      </c>
      <c r="F139" s="177" t="s">
        <v>6378</v>
      </c>
      <c r="G139" s="176"/>
      <c r="H139" s="176"/>
      <c r="I139" s="176"/>
      <c r="J139" s="176"/>
      <c r="K139" s="176"/>
      <c r="L139" s="176"/>
      <c r="M139" s="176"/>
      <c r="N139" s="176"/>
      <c r="O139" s="176"/>
      <c r="P139" s="176"/>
      <c r="Q139" s="176"/>
      <c r="R139" s="176"/>
      <c r="S139" s="176"/>
      <c r="T139" s="176"/>
      <c r="U139" s="176"/>
      <c r="V139" s="176"/>
      <c r="W139" s="176"/>
      <c r="X139" s="176"/>
      <c r="Y139" s="176"/>
      <c r="Z139" s="176"/>
    </row>
    <row r="140" spans="1:26">
      <c r="A140" s="221">
        <v>139</v>
      </c>
      <c r="B140" s="177" t="s">
        <v>6216</v>
      </c>
      <c r="C140" s="177" t="s">
        <v>6372</v>
      </c>
      <c r="D140" s="177" t="s">
        <v>6124</v>
      </c>
      <c r="E140" s="177" t="s">
        <v>6379</v>
      </c>
      <c r="F140" s="177" t="s">
        <v>6380</v>
      </c>
      <c r="G140" s="176"/>
      <c r="H140" s="176"/>
      <c r="I140" s="176"/>
      <c r="J140" s="176"/>
      <c r="K140" s="176"/>
      <c r="L140" s="176"/>
      <c r="M140" s="176"/>
      <c r="N140" s="176"/>
      <c r="O140" s="176"/>
      <c r="P140" s="176"/>
      <c r="Q140" s="176"/>
      <c r="R140" s="176"/>
      <c r="S140" s="176"/>
      <c r="T140" s="176"/>
      <c r="U140" s="176"/>
      <c r="V140" s="176"/>
      <c r="W140" s="176"/>
      <c r="X140" s="176"/>
      <c r="Y140" s="176"/>
      <c r="Z140" s="176"/>
    </row>
    <row r="141" spans="1:26">
      <c r="A141" s="221">
        <v>140</v>
      </c>
      <c r="B141" s="177" t="s">
        <v>6216</v>
      </c>
      <c r="C141" s="177" t="s">
        <v>6372</v>
      </c>
      <c r="D141" s="177" t="s">
        <v>6124</v>
      </c>
      <c r="E141" s="177" t="s">
        <v>6381</v>
      </c>
      <c r="F141" s="177" t="s">
        <v>6382</v>
      </c>
      <c r="G141" s="176"/>
      <c r="H141" s="176"/>
      <c r="I141" s="176"/>
      <c r="J141" s="176"/>
      <c r="K141" s="176"/>
      <c r="L141" s="176"/>
      <c r="M141" s="176"/>
      <c r="N141" s="176"/>
      <c r="O141" s="176"/>
      <c r="P141" s="176"/>
      <c r="Q141" s="176"/>
      <c r="R141" s="176"/>
      <c r="S141" s="176"/>
      <c r="T141" s="176"/>
      <c r="U141" s="176"/>
      <c r="V141" s="176"/>
      <c r="W141" s="176"/>
      <c r="X141" s="176"/>
      <c r="Y141" s="176"/>
      <c r="Z141" s="176"/>
    </row>
    <row r="142" spans="1:26">
      <c r="A142" s="221">
        <v>141</v>
      </c>
      <c r="B142" s="177" t="s">
        <v>6216</v>
      </c>
      <c r="C142" s="177" t="s">
        <v>6383</v>
      </c>
      <c r="D142" s="177" t="s">
        <v>6124</v>
      </c>
      <c r="E142" s="177" t="s">
        <v>6384</v>
      </c>
      <c r="F142" s="177" t="s">
        <v>6385</v>
      </c>
      <c r="G142" s="176"/>
      <c r="H142" s="176"/>
      <c r="I142" s="176"/>
      <c r="J142" s="176"/>
      <c r="K142" s="176"/>
      <c r="L142" s="176"/>
      <c r="M142" s="176"/>
      <c r="N142" s="176"/>
      <c r="O142" s="176"/>
      <c r="P142" s="176"/>
      <c r="Q142" s="176"/>
      <c r="R142" s="176"/>
      <c r="S142" s="176"/>
      <c r="T142" s="176"/>
      <c r="U142" s="176"/>
      <c r="V142" s="176"/>
      <c r="W142" s="176"/>
      <c r="X142" s="176"/>
      <c r="Y142" s="176"/>
      <c r="Z142" s="176"/>
    </row>
    <row r="143" spans="1:26">
      <c r="A143" s="221">
        <v>142</v>
      </c>
      <c r="B143" s="177" t="s">
        <v>6216</v>
      </c>
      <c r="C143" s="177" t="s">
        <v>6383</v>
      </c>
      <c r="D143" s="177" t="s">
        <v>6124</v>
      </c>
      <c r="E143" s="177" t="s">
        <v>6386</v>
      </c>
      <c r="F143" s="177" t="s">
        <v>6387</v>
      </c>
      <c r="G143" s="176"/>
      <c r="H143" s="176"/>
      <c r="I143" s="176"/>
      <c r="J143" s="176"/>
      <c r="K143" s="176"/>
      <c r="L143" s="176"/>
      <c r="M143" s="176"/>
      <c r="N143" s="176"/>
      <c r="O143" s="176"/>
      <c r="P143" s="176"/>
      <c r="Q143" s="176"/>
      <c r="R143" s="176"/>
      <c r="S143" s="176"/>
      <c r="T143" s="176"/>
      <c r="U143" s="176"/>
      <c r="V143" s="176"/>
      <c r="W143" s="176"/>
      <c r="X143" s="176"/>
      <c r="Y143" s="176"/>
      <c r="Z143" s="176"/>
    </row>
    <row r="144" spans="1:26">
      <c r="A144" s="221">
        <v>143</v>
      </c>
      <c r="B144" s="177" t="s">
        <v>6216</v>
      </c>
      <c r="C144" s="177" t="s">
        <v>6383</v>
      </c>
      <c r="D144" s="177" t="s">
        <v>6124</v>
      </c>
      <c r="E144" s="177" t="s">
        <v>6388</v>
      </c>
      <c r="F144" s="177" t="s">
        <v>6389</v>
      </c>
      <c r="G144" s="176"/>
      <c r="H144" s="176"/>
      <c r="I144" s="176"/>
      <c r="J144" s="176"/>
      <c r="K144" s="176"/>
      <c r="L144" s="176"/>
      <c r="M144" s="176"/>
      <c r="N144" s="176"/>
      <c r="O144" s="176"/>
      <c r="P144" s="176"/>
      <c r="Q144" s="176"/>
      <c r="R144" s="176"/>
      <c r="S144" s="176"/>
      <c r="T144" s="176"/>
      <c r="U144" s="176"/>
      <c r="V144" s="176"/>
      <c r="W144" s="176"/>
      <c r="X144" s="176"/>
      <c r="Y144" s="176"/>
      <c r="Z144" s="176"/>
    </row>
    <row r="145" spans="1:26">
      <c r="A145" s="221">
        <v>144</v>
      </c>
      <c r="B145" s="177" t="s">
        <v>6216</v>
      </c>
      <c r="C145" s="177" t="s">
        <v>6383</v>
      </c>
      <c r="D145" s="177" t="s">
        <v>6124</v>
      </c>
      <c r="E145" s="177" t="s">
        <v>6390</v>
      </c>
      <c r="F145" s="177" t="s">
        <v>6391</v>
      </c>
      <c r="G145" s="176"/>
      <c r="H145" s="176"/>
      <c r="I145" s="176"/>
      <c r="J145" s="176"/>
      <c r="K145" s="176"/>
      <c r="L145" s="176"/>
      <c r="M145" s="176"/>
      <c r="N145" s="176"/>
      <c r="O145" s="176"/>
      <c r="P145" s="176"/>
      <c r="Q145" s="176"/>
      <c r="R145" s="176"/>
      <c r="S145" s="176"/>
      <c r="T145" s="176"/>
      <c r="U145" s="176"/>
      <c r="V145" s="176"/>
      <c r="W145" s="176"/>
      <c r="X145" s="176"/>
      <c r="Y145" s="176"/>
      <c r="Z145" s="176"/>
    </row>
    <row r="146" spans="1:26">
      <c r="A146" s="221">
        <v>145</v>
      </c>
      <c r="B146" s="177" t="s">
        <v>6216</v>
      </c>
      <c r="C146" s="177" t="s">
        <v>6383</v>
      </c>
      <c r="D146" s="177" t="s">
        <v>6124</v>
      </c>
      <c r="E146" s="177" t="s">
        <v>6392</v>
      </c>
      <c r="F146" s="177" t="s">
        <v>6393</v>
      </c>
      <c r="G146" s="176"/>
      <c r="H146" s="176"/>
      <c r="I146" s="176"/>
      <c r="J146" s="176"/>
      <c r="K146" s="176"/>
      <c r="L146" s="176"/>
      <c r="M146" s="176"/>
      <c r="N146" s="176"/>
      <c r="O146" s="176"/>
      <c r="P146" s="176"/>
      <c r="Q146" s="176"/>
      <c r="R146" s="176"/>
      <c r="S146" s="176"/>
      <c r="T146" s="176"/>
      <c r="U146" s="176"/>
      <c r="V146" s="176"/>
      <c r="W146" s="176"/>
      <c r="X146" s="176"/>
      <c r="Y146" s="176"/>
      <c r="Z146" s="176"/>
    </row>
    <row r="147" spans="1:26">
      <c r="A147" s="221">
        <v>146</v>
      </c>
      <c r="B147" s="177" t="s">
        <v>6216</v>
      </c>
      <c r="C147" s="177" t="s">
        <v>6394</v>
      </c>
      <c r="D147" s="177" t="s">
        <v>6124</v>
      </c>
      <c r="E147" s="177" t="s">
        <v>6395</v>
      </c>
      <c r="F147" s="177" t="s">
        <v>6396</v>
      </c>
      <c r="G147" s="176"/>
      <c r="H147" s="176"/>
      <c r="I147" s="176"/>
      <c r="J147" s="176"/>
      <c r="K147" s="176"/>
      <c r="L147" s="176"/>
      <c r="M147" s="176"/>
      <c r="N147" s="176"/>
      <c r="O147" s="176"/>
      <c r="P147" s="176"/>
      <c r="Q147" s="176"/>
      <c r="R147" s="176"/>
      <c r="S147" s="176"/>
      <c r="T147" s="176"/>
      <c r="U147" s="176"/>
      <c r="V147" s="176"/>
      <c r="W147" s="176"/>
      <c r="X147" s="176"/>
      <c r="Y147" s="176"/>
      <c r="Z147" s="176"/>
    </row>
    <row r="148" spans="1:26">
      <c r="A148" s="221">
        <v>147</v>
      </c>
      <c r="B148" s="177" t="s">
        <v>6216</v>
      </c>
      <c r="C148" s="177" t="s">
        <v>6394</v>
      </c>
      <c r="D148" s="177" t="s">
        <v>6124</v>
      </c>
      <c r="E148" s="177" t="s">
        <v>6397</v>
      </c>
      <c r="F148" s="177" t="s">
        <v>6398</v>
      </c>
      <c r="G148" s="176"/>
      <c r="H148" s="176"/>
      <c r="I148" s="176"/>
      <c r="J148" s="176"/>
      <c r="K148" s="176"/>
      <c r="L148" s="176"/>
      <c r="M148" s="176"/>
      <c r="N148" s="176"/>
      <c r="O148" s="176"/>
      <c r="P148" s="176"/>
      <c r="Q148" s="176"/>
      <c r="R148" s="176"/>
      <c r="S148" s="176"/>
      <c r="T148" s="176"/>
      <c r="U148" s="176"/>
      <c r="V148" s="176"/>
      <c r="W148" s="176"/>
      <c r="X148" s="176"/>
      <c r="Y148" s="176"/>
      <c r="Z148" s="176"/>
    </row>
    <row r="149" spans="1:26">
      <c r="A149" s="221">
        <v>148</v>
      </c>
      <c r="B149" s="177" t="s">
        <v>6216</v>
      </c>
      <c r="C149" s="177" t="s">
        <v>6394</v>
      </c>
      <c r="D149" s="177" t="s">
        <v>6124</v>
      </c>
      <c r="E149" s="177" t="s">
        <v>6399</v>
      </c>
      <c r="F149" s="177" t="s">
        <v>6400</v>
      </c>
      <c r="G149" s="176"/>
      <c r="H149" s="176"/>
      <c r="I149" s="176"/>
      <c r="J149" s="176"/>
      <c r="K149" s="176"/>
      <c r="L149" s="176"/>
      <c r="M149" s="176"/>
      <c r="N149" s="176"/>
      <c r="O149" s="176"/>
      <c r="P149" s="176"/>
      <c r="Q149" s="176"/>
      <c r="R149" s="176"/>
      <c r="S149" s="176"/>
      <c r="T149" s="176"/>
      <c r="U149" s="176"/>
      <c r="V149" s="176"/>
      <c r="W149" s="176"/>
      <c r="X149" s="176"/>
      <c r="Y149" s="176"/>
      <c r="Z149" s="176"/>
    </row>
    <row r="150" spans="1:26">
      <c r="A150" s="221">
        <v>149</v>
      </c>
      <c r="B150" s="177" t="s">
        <v>6216</v>
      </c>
      <c r="C150" s="177" t="s">
        <v>6394</v>
      </c>
      <c r="D150" s="177" t="s">
        <v>6124</v>
      </c>
      <c r="E150" s="177" t="s">
        <v>6401</v>
      </c>
      <c r="F150" s="177" t="s">
        <v>6402</v>
      </c>
      <c r="G150" s="176"/>
      <c r="H150" s="176"/>
      <c r="I150" s="176"/>
      <c r="J150" s="176"/>
      <c r="K150" s="176"/>
      <c r="L150" s="176"/>
      <c r="M150" s="176"/>
      <c r="N150" s="176"/>
      <c r="O150" s="176"/>
      <c r="P150" s="176"/>
      <c r="Q150" s="176"/>
      <c r="R150" s="176"/>
      <c r="S150" s="176"/>
      <c r="T150" s="176"/>
      <c r="U150" s="176"/>
      <c r="V150" s="176"/>
      <c r="W150" s="176"/>
      <c r="X150" s="176"/>
      <c r="Y150" s="176"/>
      <c r="Z150" s="176"/>
    </row>
    <row r="151" spans="1:26">
      <c r="A151" s="221">
        <v>150</v>
      </c>
      <c r="B151" s="177" t="s">
        <v>6216</v>
      </c>
      <c r="C151" s="177" t="s">
        <v>6394</v>
      </c>
      <c r="D151" s="177" t="s">
        <v>6124</v>
      </c>
      <c r="E151" s="177" t="s">
        <v>6403</v>
      </c>
      <c r="F151" s="177" t="s">
        <v>6404</v>
      </c>
      <c r="G151" s="176"/>
      <c r="H151" s="176"/>
      <c r="I151" s="176"/>
      <c r="J151" s="176"/>
      <c r="K151" s="176"/>
      <c r="L151" s="176"/>
      <c r="M151" s="176"/>
      <c r="N151" s="176"/>
      <c r="O151" s="176"/>
      <c r="P151" s="176"/>
      <c r="Q151" s="176"/>
      <c r="R151" s="176"/>
      <c r="S151" s="176"/>
      <c r="T151" s="176"/>
      <c r="U151" s="176"/>
      <c r="V151" s="176"/>
      <c r="W151" s="176"/>
      <c r="X151" s="176"/>
      <c r="Y151" s="176"/>
      <c r="Z151" s="176"/>
    </row>
    <row r="152" spans="1:26">
      <c r="A152" s="221">
        <v>151</v>
      </c>
      <c r="B152" s="177" t="s">
        <v>6216</v>
      </c>
      <c r="C152" s="177" t="s">
        <v>6405</v>
      </c>
      <c r="D152" s="177" t="s">
        <v>6218</v>
      </c>
      <c r="E152" s="177" t="s">
        <v>6406</v>
      </c>
      <c r="F152" s="177" t="s">
        <v>6407</v>
      </c>
      <c r="G152" s="176"/>
      <c r="H152" s="176"/>
      <c r="I152" s="176"/>
      <c r="J152" s="176"/>
      <c r="K152" s="176"/>
      <c r="L152" s="176"/>
      <c r="M152" s="176"/>
      <c r="N152" s="176"/>
      <c r="O152" s="176"/>
      <c r="P152" s="176"/>
      <c r="Q152" s="176"/>
      <c r="R152" s="176"/>
      <c r="S152" s="176"/>
      <c r="T152" s="176"/>
      <c r="U152" s="176"/>
      <c r="V152" s="176"/>
      <c r="W152" s="176"/>
      <c r="X152" s="176"/>
      <c r="Y152" s="176"/>
      <c r="Z152" s="176"/>
    </row>
    <row r="153" spans="1:26">
      <c r="A153" s="221">
        <v>152</v>
      </c>
      <c r="B153" s="177" t="s">
        <v>6216</v>
      </c>
      <c r="C153" s="177" t="s">
        <v>6405</v>
      </c>
      <c r="D153" s="177" t="s">
        <v>6218</v>
      </c>
      <c r="E153" s="177" t="s">
        <v>6408</v>
      </c>
      <c r="F153" s="177" t="s">
        <v>6409</v>
      </c>
      <c r="G153" s="176"/>
      <c r="H153" s="176"/>
      <c r="I153" s="176"/>
      <c r="J153" s="176"/>
      <c r="K153" s="176"/>
      <c r="L153" s="176"/>
      <c r="M153" s="176"/>
      <c r="N153" s="176"/>
      <c r="O153" s="176"/>
      <c r="P153" s="176"/>
      <c r="Q153" s="176"/>
      <c r="R153" s="176"/>
      <c r="S153" s="176"/>
      <c r="T153" s="176"/>
      <c r="U153" s="176"/>
      <c r="V153" s="176"/>
      <c r="W153" s="176"/>
      <c r="X153" s="176"/>
      <c r="Y153" s="176"/>
      <c r="Z153" s="176"/>
    </row>
    <row r="154" spans="1:26">
      <c r="A154" s="221">
        <v>153</v>
      </c>
      <c r="B154" s="177" t="s">
        <v>6216</v>
      </c>
      <c r="C154" s="177" t="s">
        <v>6405</v>
      </c>
      <c r="D154" s="177" t="s">
        <v>6218</v>
      </c>
      <c r="E154" s="177" t="s">
        <v>6410</v>
      </c>
      <c r="F154" s="177" t="s">
        <v>6411</v>
      </c>
      <c r="G154" s="176"/>
      <c r="H154" s="176"/>
      <c r="I154" s="176"/>
      <c r="J154" s="176"/>
      <c r="K154" s="176"/>
      <c r="L154" s="176"/>
      <c r="M154" s="176"/>
      <c r="N154" s="176"/>
      <c r="O154" s="176"/>
      <c r="P154" s="176"/>
      <c r="Q154" s="176"/>
      <c r="R154" s="176"/>
      <c r="S154" s="176"/>
      <c r="T154" s="176"/>
      <c r="U154" s="176"/>
      <c r="V154" s="176"/>
      <c r="W154" s="176"/>
      <c r="X154" s="176"/>
      <c r="Y154" s="176"/>
      <c r="Z154" s="176"/>
    </row>
    <row r="155" spans="1:26">
      <c r="A155" s="221">
        <v>154</v>
      </c>
      <c r="B155" s="177" t="s">
        <v>6216</v>
      </c>
      <c r="C155" s="177" t="s">
        <v>6405</v>
      </c>
      <c r="D155" s="177" t="s">
        <v>6218</v>
      </c>
      <c r="E155" s="177" t="s">
        <v>6412</v>
      </c>
      <c r="F155" s="177" t="s">
        <v>6413</v>
      </c>
      <c r="G155" s="176"/>
      <c r="H155" s="176"/>
      <c r="I155" s="176"/>
      <c r="J155" s="176"/>
      <c r="K155" s="176"/>
      <c r="L155" s="176"/>
      <c r="M155" s="176"/>
      <c r="N155" s="176"/>
      <c r="O155" s="176"/>
      <c r="P155" s="176"/>
      <c r="Q155" s="176"/>
      <c r="R155" s="176"/>
      <c r="S155" s="176"/>
      <c r="T155" s="176"/>
      <c r="U155" s="176"/>
      <c r="V155" s="176"/>
      <c r="W155" s="176"/>
      <c r="X155" s="176"/>
      <c r="Y155" s="176"/>
      <c r="Z155" s="176"/>
    </row>
    <row r="156" spans="1:26">
      <c r="A156" s="221">
        <v>155</v>
      </c>
      <c r="B156" s="177" t="s">
        <v>6414</v>
      </c>
      <c r="C156" s="177" t="s">
        <v>6415</v>
      </c>
      <c r="D156" s="177" t="s">
        <v>6218</v>
      </c>
      <c r="E156" s="177" t="s">
        <v>6416</v>
      </c>
      <c r="F156" s="177" t="s">
        <v>6417</v>
      </c>
      <c r="G156" s="176"/>
      <c r="H156" s="176"/>
      <c r="I156" s="176"/>
      <c r="J156" s="176"/>
      <c r="K156" s="176"/>
      <c r="L156" s="176"/>
      <c r="M156" s="176"/>
      <c r="N156" s="176"/>
      <c r="O156" s="176"/>
      <c r="P156" s="176"/>
      <c r="Q156" s="176"/>
      <c r="R156" s="176"/>
      <c r="S156" s="176"/>
      <c r="T156" s="176"/>
      <c r="U156" s="176"/>
      <c r="V156" s="176"/>
      <c r="W156" s="176"/>
      <c r="X156" s="176"/>
      <c r="Y156" s="176"/>
      <c r="Z156" s="176"/>
    </row>
    <row r="157" spans="1:26">
      <c r="A157" s="221">
        <v>156</v>
      </c>
      <c r="B157" s="177" t="s">
        <v>6414</v>
      </c>
      <c r="C157" s="177" t="s">
        <v>6415</v>
      </c>
      <c r="D157" s="177" t="s">
        <v>6218</v>
      </c>
      <c r="E157" s="177" t="s">
        <v>6418</v>
      </c>
      <c r="F157" s="177" t="s">
        <v>6419</v>
      </c>
      <c r="G157" s="176"/>
      <c r="H157" s="176"/>
      <c r="I157" s="176"/>
      <c r="J157" s="176"/>
      <c r="K157" s="176"/>
      <c r="L157" s="176"/>
      <c r="M157" s="176"/>
      <c r="N157" s="176"/>
      <c r="O157" s="176"/>
      <c r="P157" s="176"/>
      <c r="Q157" s="176"/>
      <c r="R157" s="176"/>
      <c r="S157" s="176"/>
      <c r="T157" s="176"/>
      <c r="U157" s="176"/>
      <c r="V157" s="176"/>
      <c r="W157" s="176"/>
      <c r="X157" s="176"/>
      <c r="Y157" s="176"/>
      <c r="Z157" s="176"/>
    </row>
    <row r="158" spans="1:26">
      <c r="A158" s="221">
        <v>157</v>
      </c>
      <c r="B158" s="177" t="s">
        <v>6414</v>
      </c>
      <c r="C158" s="177" t="s">
        <v>6415</v>
      </c>
      <c r="D158" s="177" t="s">
        <v>6218</v>
      </c>
      <c r="E158" s="177" t="s">
        <v>6420</v>
      </c>
      <c r="F158" s="177" t="s">
        <v>6421</v>
      </c>
      <c r="G158" s="176"/>
      <c r="H158" s="176"/>
      <c r="I158" s="176"/>
      <c r="J158" s="176"/>
      <c r="K158" s="176"/>
      <c r="L158" s="176"/>
      <c r="M158" s="176"/>
      <c r="N158" s="176"/>
      <c r="O158" s="176"/>
      <c r="P158" s="176"/>
      <c r="Q158" s="176"/>
      <c r="R158" s="176"/>
      <c r="S158" s="176"/>
      <c r="T158" s="176"/>
      <c r="U158" s="176"/>
      <c r="V158" s="176"/>
      <c r="W158" s="176"/>
      <c r="X158" s="176"/>
      <c r="Y158" s="176"/>
      <c r="Z158" s="176"/>
    </row>
    <row r="159" spans="1:26">
      <c r="A159" s="221">
        <v>158</v>
      </c>
      <c r="B159" s="177" t="s">
        <v>6414</v>
      </c>
      <c r="C159" s="177" t="s">
        <v>6415</v>
      </c>
      <c r="D159" s="177" t="s">
        <v>6218</v>
      </c>
      <c r="E159" s="177" t="s">
        <v>6422</v>
      </c>
      <c r="F159" s="177" t="s">
        <v>6423</v>
      </c>
      <c r="G159" s="176"/>
      <c r="H159" s="176"/>
      <c r="I159" s="176"/>
      <c r="J159" s="176"/>
      <c r="K159" s="176"/>
      <c r="L159" s="176"/>
      <c r="M159" s="176"/>
      <c r="N159" s="176"/>
      <c r="O159" s="176"/>
      <c r="P159" s="176"/>
      <c r="Q159" s="176"/>
      <c r="R159" s="176"/>
      <c r="S159" s="176"/>
      <c r="T159" s="176"/>
      <c r="U159" s="176"/>
      <c r="V159" s="176"/>
      <c r="W159" s="176"/>
      <c r="X159" s="176"/>
      <c r="Y159" s="176"/>
      <c r="Z159" s="176"/>
    </row>
    <row r="160" spans="1:26">
      <c r="A160" s="221">
        <v>159</v>
      </c>
      <c r="B160" s="177" t="s">
        <v>6414</v>
      </c>
      <c r="C160" s="177" t="s">
        <v>6415</v>
      </c>
      <c r="D160" s="177" t="s">
        <v>6218</v>
      </c>
      <c r="E160" s="177" t="s">
        <v>6424</v>
      </c>
      <c r="F160" s="177" t="s">
        <v>6425</v>
      </c>
      <c r="G160" s="176"/>
      <c r="H160" s="176"/>
      <c r="I160" s="176"/>
      <c r="J160" s="176"/>
      <c r="K160" s="176"/>
      <c r="L160" s="176"/>
      <c r="M160" s="176"/>
      <c r="N160" s="176"/>
      <c r="O160" s="176"/>
      <c r="P160" s="176"/>
      <c r="Q160" s="176"/>
      <c r="R160" s="176"/>
      <c r="S160" s="176"/>
      <c r="T160" s="176"/>
      <c r="U160" s="176"/>
      <c r="V160" s="176"/>
      <c r="W160" s="176"/>
      <c r="X160" s="176"/>
      <c r="Y160" s="176"/>
      <c r="Z160" s="176"/>
    </row>
    <row r="161" spans="1:26">
      <c r="A161" s="221">
        <v>160</v>
      </c>
      <c r="B161" s="177" t="s">
        <v>6414</v>
      </c>
      <c r="C161" s="177" t="s">
        <v>6426</v>
      </c>
      <c r="D161" s="177" t="s">
        <v>6218</v>
      </c>
      <c r="E161" s="177" t="s">
        <v>6427</v>
      </c>
      <c r="F161" s="177" t="s">
        <v>6428</v>
      </c>
      <c r="G161" s="176"/>
      <c r="H161" s="176"/>
      <c r="I161" s="176"/>
      <c r="J161" s="176"/>
      <c r="K161" s="176"/>
      <c r="L161" s="176"/>
      <c r="M161" s="176"/>
      <c r="N161" s="176"/>
      <c r="O161" s="176"/>
      <c r="P161" s="176"/>
      <c r="Q161" s="176"/>
      <c r="R161" s="176"/>
      <c r="S161" s="176"/>
      <c r="T161" s="176"/>
      <c r="U161" s="176"/>
      <c r="V161" s="176"/>
      <c r="W161" s="176"/>
      <c r="X161" s="176"/>
      <c r="Y161" s="176"/>
      <c r="Z161" s="176"/>
    </row>
    <row r="162" spans="1:26">
      <c r="A162" s="221">
        <v>161</v>
      </c>
      <c r="B162" s="177" t="s">
        <v>6414</v>
      </c>
      <c r="C162" s="177" t="s">
        <v>6426</v>
      </c>
      <c r="D162" s="177" t="s">
        <v>6218</v>
      </c>
      <c r="E162" s="177" t="s">
        <v>6429</v>
      </c>
      <c r="F162" s="177" t="s">
        <v>6430</v>
      </c>
      <c r="G162" s="176"/>
      <c r="H162" s="176"/>
      <c r="I162" s="176"/>
      <c r="J162" s="176"/>
      <c r="K162" s="176"/>
      <c r="L162" s="176"/>
      <c r="M162" s="176"/>
      <c r="N162" s="176"/>
      <c r="O162" s="176"/>
      <c r="P162" s="176"/>
      <c r="Q162" s="176"/>
      <c r="R162" s="176"/>
      <c r="S162" s="176"/>
      <c r="T162" s="176"/>
      <c r="U162" s="176"/>
      <c r="V162" s="176"/>
      <c r="W162" s="176"/>
      <c r="X162" s="176"/>
      <c r="Y162" s="176"/>
      <c r="Z162" s="176"/>
    </row>
    <row r="163" spans="1:26">
      <c r="A163" s="221">
        <v>162</v>
      </c>
      <c r="B163" s="177" t="s">
        <v>6414</v>
      </c>
      <c r="C163" s="177" t="s">
        <v>6426</v>
      </c>
      <c r="D163" s="177" t="s">
        <v>6218</v>
      </c>
      <c r="E163" s="177" t="s">
        <v>6431</v>
      </c>
      <c r="F163" s="177" t="s">
        <v>6432</v>
      </c>
      <c r="G163" s="176"/>
      <c r="H163" s="176"/>
      <c r="I163" s="176"/>
      <c r="J163" s="176"/>
      <c r="K163" s="176"/>
      <c r="L163" s="176"/>
      <c r="M163" s="176"/>
      <c r="N163" s="176"/>
      <c r="O163" s="176"/>
      <c r="P163" s="176"/>
      <c r="Q163" s="176"/>
      <c r="R163" s="176"/>
      <c r="S163" s="176"/>
      <c r="T163" s="176"/>
      <c r="U163" s="176"/>
      <c r="V163" s="176"/>
      <c r="W163" s="176"/>
      <c r="X163" s="176"/>
      <c r="Y163" s="176"/>
      <c r="Z163" s="176"/>
    </row>
    <row r="164" spans="1:26">
      <c r="A164" s="221">
        <v>163</v>
      </c>
      <c r="B164" s="177" t="s">
        <v>6414</v>
      </c>
      <c r="C164" s="177" t="s">
        <v>6426</v>
      </c>
      <c r="D164" s="177" t="s">
        <v>6218</v>
      </c>
      <c r="E164" s="177" t="s">
        <v>6433</v>
      </c>
      <c r="F164" s="177" t="s">
        <v>6434</v>
      </c>
      <c r="G164" s="176"/>
      <c r="H164" s="176"/>
      <c r="I164" s="176"/>
      <c r="J164" s="176"/>
      <c r="K164" s="176"/>
      <c r="L164" s="176"/>
      <c r="M164" s="176"/>
      <c r="N164" s="176"/>
      <c r="O164" s="176"/>
      <c r="P164" s="176"/>
      <c r="Q164" s="176"/>
      <c r="R164" s="176"/>
      <c r="S164" s="176"/>
      <c r="T164" s="176"/>
      <c r="U164" s="176"/>
      <c r="V164" s="176"/>
      <c r="W164" s="176"/>
      <c r="X164" s="176"/>
      <c r="Y164" s="176"/>
      <c r="Z164" s="176"/>
    </row>
    <row r="165" spans="1:26">
      <c r="A165" s="221">
        <v>164</v>
      </c>
      <c r="B165" s="177" t="s">
        <v>6414</v>
      </c>
      <c r="C165" s="177" t="s">
        <v>6426</v>
      </c>
      <c r="D165" s="177" t="s">
        <v>6218</v>
      </c>
      <c r="E165" s="177" t="s">
        <v>1261</v>
      </c>
      <c r="F165" s="177" t="s">
        <v>6435</v>
      </c>
      <c r="G165" s="176"/>
      <c r="H165" s="176"/>
      <c r="I165" s="176"/>
      <c r="J165" s="176"/>
      <c r="K165" s="176"/>
      <c r="L165" s="176"/>
      <c r="M165" s="176"/>
      <c r="N165" s="176"/>
      <c r="O165" s="176"/>
      <c r="P165" s="176"/>
      <c r="Q165" s="176"/>
      <c r="R165" s="176"/>
      <c r="S165" s="176"/>
      <c r="T165" s="176"/>
      <c r="U165" s="176"/>
      <c r="V165" s="176"/>
      <c r="W165" s="176"/>
      <c r="X165" s="176"/>
      <c r="Y165" s="176"/>
      <c r="Z165" s="176"/>
    </row>
    <row r="166" spans="1:26">
      <c r="A166" s="221">
        <v>165</v>
      </c>
      <c r="B166" s="177" t="s">
        <v>6414</v>
      </c>
      <c r="C166" s="177" t="s">
        <v>6436</v>
      </c>
      <c r="D166" s="177" t="s">
        <v>6124</v>
      </c>
      <c r="E166" s="177" t="s">
        <v>6437</v>
      </c>
      <c r="F166" s="177" t="s">
        <v>6438</v>
      </c>
      <c r="G166" s="176"/>
      <c r="H166" s="176"/>
      <c r="I166" s="176"/>
      <c r="J166" s="176"/>
      <c r="K166" s="176"/>
      <c r="L166" s="176"/>
      <c r="M166" s="176"/>
      <c r="N166" s="176"/>
      <c r="O166" s="176"/>
      <c r="P166" s="176"/>
      <c r="Q166" s="176"/>
      <c r="R166" s="176"/>
      <c r="S166" s="176"/>
      <c r="T166" s="176"/>
      <c r="U166" s="176"/>
      <c r="V166" s="176"/>
      <c r="W166" s="176"/>
      <c r="X166" s="176"/>
      <c r="Y166" s="176"/>
      <c r="Z166" s="176"/>
    </row>
    <row r="167" spans="1:26">
      <c r="A167" s="221">
        <v>166</v>
      </c>
      <c r="B167" s="177" t="s">
        <v>6414</v>
      </c>
      <c r="C167" s="177" t="s">
        <v>6436</v>
      </c>
      <c r="D167" s="177" t="s">
        <v>6124</v>
      </c>
      <c r="E167" s="177" t="s">
        <v>6439</v>
      </c>
      <c r="F167" s="177" t="s">
        <v>6440</v>
      </c>
      <c r="G167" s="176"/>
      <c r="H167" s="176"/>
      <c r="I167" s="176"/>
      <c r="J167" s="176"/>
      <c r="K167" s="176"/>
      <c r="L167" s="176"/>
      <c r="M167" s="176"/>
      <c r="N167" s="176"/>
      <c r="O167" s="176"/>
      <c r="P167" s="176"/>
      <c r="Q167" s="176"/>
      <c r="R167" s="176"/>
      <c r="S167" s="176"/>
      <c r="T167" s="176"/>
      <c r="U167" s="176"/>
      <c r="V167" s="176"/>
      <c r="W167" s="176"/>
      <c r="X167" s="176"/>
      <c r="Y167" s="176"/>
      <c r="Z167" s="176"/>
    </row>
    <row r="168" spans="1:26">
      <c r="A168" s="221">
        <v>167</v>
      </c>
      <c r="B168" s="177" t="s">
        <v>6414</v>
      </c>
      <c r="C168" s="177" t="s">
        <v>6436</v>
      </c>
      <c r="D168" s="177" t="s">
        <v>6124</v>
      </c>
      <c r="E168" s="177" t="s">
        <v>6441</v>
      </c>
      <c r="F168" s="177" t="s">
        <v>6442</v>
      </c>
      <c r="G168" s="176"/>
      <c r="H168" s="176"/>
      <c r="I168" s="176"/>
      <c r="J168" s="176"/>
      <c r="K168" s="176"/>
      <c r="L168" s="176"/>
      <c r="M168" s="176"/>
      <c r="N168" s="176"/>
      <c r="O168" s="176"/>
      <c r="P168" s="176"/>
      <c r="Q168" s="176"/>
      <c r="R168" s="176"/>
      <c r="S168" s="176"/>
      <c r="T168" s="176"/>
      <c r="U168" s="176"/>
      <c r="V168" s="176"/>
      <c r="W168" s="176"/>
      <c r="X168" s="176"/>
      <c r="Y168" s="176"/>
      <c r="Z168" s="176"/>
    </row>
    <row r="169" spans="1:26">
      <c r="A169" s="221">
        <v>168</v>
      </c>
      <c r="B169" s="177" t="s">
        <v>6414</v>
      </c>
      <c r="C169" s="177" t="s">
        <v>6436</v>
      </c>
      <c r="D169" s="177" t="s">
        <v>6124</v>
      </c>
      <c r="E169" s="177" t="s">
        <v>6443</v>
      </c>
      <c r="F169" s="177" t="s">
        <v>6444</v>
      </c>
      <c r="G169" s="176"/>
      <c r="H169" s="176"/>
      <c r="I169" s="176"/>
      <c r="J169" s="176"/>
      <c r="K169" s="176"/>
      <c r="L169" s="176"/>
      <c r="M169" s="176"/>
      <c r="N169" s="176"/>
      <c r="O169" s="176"/>
      <c r="P169" s="176"/>
      <c r="Q169" s="176"/>
      <c r="R169" s="176"/>
      <c r="S169" s="176"/>
      <c r="T169" s="176"/>
      <c r="U169" s="176"/>
      <c r="V169" s="176"/>
      <c r="W169" s="176"/>
      <c r="X169" s="176"/>
      <c r="Y169" s="176"/>
      <c r="Z169" s="176"/>
    </row>
    <row r="170" spans="1:26">
      <c r="A170" s="221">
        <v>169</v>
      </c>
      <c r="B170" s="177" t="s">
        <v>6414</v>
      </c>
      <c r="C170" s="177" t="s">
        <v>6436</v>
      </c>
      <c r="D170" s="177" t="s">
        <v>6124</v>
      </c>
      <c r="E170" s="177" t="s">
        <v>6445</v>
      </c>
      <c r="F170" s="177" t="s">
        <v>6446</v>
      </c>
      <c r="G170" s="176"/>
      <c r="H170" s="176"/>
      <c r="I170" s="176"/>
      <c r="J170" s="176"/>
      <c r="K170" s="176"/>
      <c r="L170" s="176"/>
      <c r="M170" s="176"/>
      <c r="N170" s="176"/>
      <c r="O170" s="176"/>
      <c r="P170" s="176"/>
      <c r="Q170" s="176"/>
      <c r="R170" s="176"/>
      <c r="S170" s="176"/>
      <c r="T170" s="176"/>
      <c r="U170" s="176"/>
      <c r="V170" s="176"/>
      <c r="W170" s="176"/>
      <c r="X170" s="176"/>
      <c r="Y170" s="176"/>
      <c r="Z170" s="176"/>
    </row>
    <row r="171" spans="1:26">
      <c r="A171" s="222">
        <v>170</v>
      </c>
      <c r="B171" s="14" t="s">
        <v>6414</v>
      </c>
      <c r="C171" s="14" t="s">
        <v>6447</v>
      </c>
      <c r="D171" s="14" t="s">
        <v>6124</v>
      </c>
      <c r="E171" s="14" t="s">
        <v>6448</v>
      </c>
      <c r="F171" s="14" t="s">
        <v>6449</v>
      </c>
      <c r="G171" s="1"/>
      <c r="H171" s="1"/>
      <c r="I171" s="1"/>
      <c r="J171" s="1"/>
      <c r="K171" s="1"/>
      <c r="L171" s="1"/>
      <c r="M171" s="1"/>
      <c r="N171" s="1"/>
      <c r="O171" s="1"/>
      <c r="P171" s="1"/>
      <c r="Q171" s="1"/>
      <c r="R171" s="1"/>
      <c r="S171" s="1"/>
      <c r="T171" s="1"/>
      <c r="U171" s="1"/>
      <c r="V171" s="1"/>
      <c r="W171" s="1"/>
      <c r="X171" s="1"/>
      <c r="Y171" s="1"/>
      <c r="Z171" s="1"/>
    </row>
    <row r="172" spans="1:26">
      <c r="A172" s="222">
        <v>171</v>
      </c>
      <c r="B172" s="14" t="s">
        <v>6414</v>
      </c>
      <c r="C172" s="14" t="s">
        <v>6447</v>
      </c>
      <c r="D172" s="14" t="s">
        <v>6124</v>
      </c>
      <c r="E172" s="14" t="s">
        <v>6450</v>
      </c>
      <c r="F172" s="14" t="s">
        <v>6451</v>
      </c>
      <c r="G172" s="1"/>
      <c r="H172" s="1"/>
      <c r="I172" s="1"/>
      <c r="J172" s="1"/>
      <c r="K172" s="1"/>
      <c r="L172" s="1"/>
      <c r="M172" s="1"/>
      <c r="N172" s="1"/>
      <c r="O172" s="1"/>
      <c r="P172" s="1"/>
      <c r="Q172" s="1"/>
      <c r="R172" s="1"/>
      <c r="S172" s="1"/>
      <c r="T172" s="1"/>
      <c r="U172" s="1"/>
      <c r="V172" s="1"/>
      <c r="W172" s="1"/>
      <c r="X172" s="1"/>
      <c r="Y172" s="1"/>
      <c r="Z172" s="1"/>
    </row>
    <row r="173" spans="1:26">
      <c r="A173" s="222">
        <v>172</v>
      </c>
      <c r="B173" s="14" t="s">
        <v>6414</v>
      </c>
      <c r="C173" s="14" t="s">
        <v>6447</v>
      </c>
      <c r="D173" s="14" t="s">
        <v>6124</v>
      </c>
      <c r="E173" s="14" t="s">
        <v>6452</v>
      </c>
      <c r="F173" s="14" t="s">
        <v>6453</v>
      </c>
      <c r="G173" s="1"/>
      <c r="H173" s="1"/>
      <c r="I173" s="1"/>
      <c r="J173" s="1"/>
      <c r="K173" s="1"/>
      <c r="L173" s="1"/>
      <c r="M173" s="1"/>
      <c r="N173" s="1"/>
      <c r="O173" s="1"/>
      <c r="P173" s="1"/>
      <c r="Q173" s="1"/>
      <c r="R173" s="1"/>
      <c r="S173" s="1"/>
      <c r="T173" s="1"/>
      <c r="U173" s="1"/>
      <c r="V173" s="1"/>
      <c r="W173" s="1"/>
      <c r="X173" s="1"/>
      <c r="Y173" s="1"/>
      <c r="Z173" s="1"/>
    </row>
    <row r="174" spans="1:26">
      <c r="A174" s="222">
        <v>173</v>
      </c>
      <c r="B174" s="14" t="s">
        <v>6414</v>
      </c>
      <c r="C174" s="14" t="s">
        <v>6447</v>
      </c>
      <c r="D174" s="14" t="s">
        <v>6124</v>
      </c>
      <c r="E174" s="14" t="s">
        <v>6454</v>
      </c>
      <c r="F174" s="14" t="s">
        <v>6455</v>
      </c>
      <c r="G174" s="1"/>
      <c r="H174" s="1"/>
      <c r="I174" s="1"/>
      <c r="J174" s="1"/>
      <c r="K174" s="1"/>
      <c r="L174" s="1"/>
      <c r="M174" s="1"/>
      <c r="N174" s="1"/>
      <c r="O174" s="1"/>
      <c r="P174" s="1"/>
      <c r="Q174" s="1"/>
      <c r="R174" s="1"/>
      <c r="S174" s="1"/>
      <c r="T174" s="1"/>
      <c r="U174" s="1"/>
      <c r="V174" s="1"/>
      <c r="W174" s="1"/>
      <c r="X174" s="1"/>
      <c r="Y174" s="1"/>
      <c r="Z174" s="1"/>
    </row>
    <row r="175" spans="1:26">
      <c r="A175" s="222">
        <v>174</v>
      </c>
      <c r="B175" s="14" t="s">
        <v>6414</v>
      </c>
      <c r="C175" s="14" t="s">
        <v>6447</v>
      </c>
      <c r="D175" s="14" t="s">
        <v>6124</v>
      </c>
      <c r="E175" s="14" t="s">
        <v>6456</v>
      </c>
      <c r="F175" s="14" t="s">
        <v>6457</v>
      </c>
      <c r="G175" s="1"/>
      <c r="H175" s="1"/>
      <c r="I175" s="1"/>
      <c r="J175" s="1"/>
      <c r="K175" s="1"/>
      <c r="L175" s="1"/>
      <c r="M175" s="1"/>
      <c r="N175" s="1"/>
      <c r="O175" s="1"/>
      <c r="P175" s="1"/>
      <c r="Q175" s="1"/>
      <c r="R175" s="1"/>
      <c r="S175" s="1"/>
      <c r="T175" s="1"/>
      <c r="U175" s="1"/>
      <c r="V175" s="1"/>
      <c r="W175" s="1"/>
      <c r="X175" s="1"/>
      <c r="Y175" s="1"/>
      <c r="Z175" s="1"/>
    </row>
    <row r="176" spans="1:26">
      <c r="A176" s="221">
        <v>175</v>
      </c>
      <c r="B176" s="177" t="s">
        <v>6414</v>
      </c>
      <c r="C176" s="177" t="s">
        <v>6458</v>
      </c>
      <c r="D176" s="177" t="s">
        <v>6124</v>
      </c>
      <c r="E176" s="177" t="s">
        <v>6459</v>
      </c>
      <c r="F176" s="177" t="s">
        <v>6460</v>
      </c>
      <c r="G176" s="176"/>
      <c r="H176" s="176"/>
      <c r="I176" s="176"/>
      <c r="J176" s="176"/>
      <c r="K176" s="176"/>
      <c r="L176" s="176"/>
      <c r="M176" s="176"/>
      <c r="N176" s="176"/>
      <c r="O176" s="176"/>
      <c r="P176" s="176"/>
      <c r="Q176" s="176"/>
      <c r="R176" s="176"/>
      <c r="S176" s="176"/>
      <c r="T176" s="176"/>
      <c r="U176" s="176"/>
      <c r="V176" s="176"/>
      <c r="W176" s="176"/>
      <c r="X176" s="176"/>
      <c r="Y176" s="176"/>
      <c r="Z176" s="176"/>
    </row>
    <row r="177" spans="1:26">
      <c r="A177" s="221">
        <v>176</v>
      </c>
      <c r="B177" s="177" t="s">
        <v>6414</v>
      </c>
      <c r="C177" s="177" t="s">
        <v>6458</v>
      </c>
      <c r="D177" s="177" t="s">
        <v>6124</v>
      </c>
      <c r="E177" s="177" t="s">
        <v>6461</v>
      </c>
      <c r="F177" s="177" t="s">
        <v>6462</v>
      </c>
      <c r="G177" s="176"/>
      <c r="H177" s="176"/>
      <c r="I177" s="176"/>
      <c r="J177" s="176"/>
      <c r="K177" s="176"/>
      <c r="L177" s="176"/>
      <c r="M177" s="176"/>
      <c r="N177" s="176"/>
      <c r="O177" s="176"/>
      <c r="P177" s="176"/>
      <c r="Q177" s="176"/>
      <c r="R177" s="176"/>
      <c r="S177" s="176"/>
      <c r="T177" s="176"/>
      <c r="U177" s="176"/>
      <c r="V177" s="176"/>
      <c r="W177" s="176"/>
      <c r="X177" s="176"/>
      <c r="Y177" s="176"/>
      <c r="Z177" s="176"/>
    </row>
    <row r="178" spans="1:26">
      <c r="A178" s="221">
        <v>177</v>
      </c>
      <c r="B178" s="177" t="s">
        <v>6414</v>
      </c>
      <c r="C178" s="177" t="s">
        <v>6458</v>
      </c>
      <c r="D178" s="177" t="s">
        <v>6124</v>
      </c>
      <c r="E178" s="177" t="s">
        <v>6463</v>
      </c>
      <c r="F178" s="177" t="s">
        <v>6464</v>
      </c>
      <c r="G178" s="176"/>
      <c r="H178" s="176"/>
      <c r="I178" s="176"/>
      <c r="J178" s="176"/>
      <c r="K178" s="176"/>
      <c r="L178" s="176"/>
      <c r="M178" s="176"/>
      <c r="N178" s="176"/>
      <c r="O178" s="176"/>
      <c r="P178" s="176"/>
      <c r="Q178" s="176"/>
      <c r="R178" s="176"/>
      <c r="S178" s="176"/>
      <c r="T178" s="176"/>
      <c r="U178" s="176"/>
      <c r="V178" s="176"/>
      <c r="W178" s="176"/>
      <c r="X178" s="176"/>
      <c r="Y178" s="176"/>
      <c r="Z178" s="176"/>
    </row>
    <row r="179" spans="1:26">
      <c r="A179" s="221">
        <v>178</v>
      </c>
      <c r="B179" s="177" t="s">
        <v>6414</v>
      </c>
      <c r="C179" s="177" t="s">
        <v>6458</v>
      </c>
      <c r="D179" s="177" t="s">
        <v>6124</v>
      </c>
      <c r="E179" s="177" t="s">
        <v>6465</v>
      </c>
      <c r="F179" s="177" t="s">
        <v>6466</v>
      </c>
      <c r="G179" s="176"/>
      <c r="H179" s="176"/>
      <c r="I179" s="176"/>
      <c r="J179" s="176"/>
      <c r="K179" s="176"/>
      <c r="L179" s="176"/>
      <c r="M179" s="176"/>
      <c r="N179" s="176"/>
      <c r="O179" s="176"/>
      <c r="P179" s="176"/>
      <c r="Q179" s="176"/>
      <c r="R179" s="176"/>
      <c r="S179" s="176"/>
      <c r="T179" s="176"/>
      <c r="U179" s="176"/>
      <c r="V179" s="176"/>
      <c r="W179" s="176"/>
      <c r="X179" s="176"/>
      <c r="Y179" s="176"/>
      <c r="Z179" s="176"/>
    </row>
    <row r="180" spans="1:26">
      <c r="A180" s="221">
        <v>179</v>
      </c>
      <c r="B180" s="177" t="s">
        <v>6414</v>
      </c>
      <c r="C180" s="177" t="s">
        <v>6458</v>
      </c>
      <c r="D180" s="177" t="s">
        <v>6124</v>
      </c>
      <c r="E180" s="177" t="s">
        <v>6467</v>
      </c>
      <c r="F180" s="177" t="s">
        <v>6468</v>
      </c>
      <c r="G180" s="176"/>
      <c r="H180" s="176"/>
      <c r="I180" s="176"/>
      <c r="J180" s="176"/>
      <c r="K180" s="176"/>
      <c r="L180" s="176"/>
      <c r="M180" s="176"/>
      <c r="N180" s="176"/>
      <c r="O180" s="176"/>
      <c r="P180" s="176"/>
      <c r="Q180" s="176"/>
      <c r="R180" s="176"/>
      <c r="S180" s="176"/>
      <c r="T180" s="176"/>
      <c r="U180" s="176"/>
      <c r="V180" s="176"/>
      <c r="W180" s="176"/>
      <c r="X180" s="176"/>
      <c r="Y180" s="176"/>
      <c r="Z180" s="176"/>
    </row>
    <row r="181" spans="1:26">
      <c r="A181" s="221">
        <v>180</v>
      </c>
      <c r="B181" s="177" t="s">
        <v>6414</v>
      </c>
      <c r="C181" s="177" t="s">
        <v>6469</v>
      </c>
      <c r="D181" s="177" t="s">
        <v>6124</v>
      </c>
      <c r="E181" s="177" t="s">
        <v>6470</v>
      </c>
      <c r="F181" s="177" t="s">
        <v>6471</v>
      </c>
      <c r="G181" s="176"/>
      <c r="H181" s="176"/>
      <c r="I181" s="176"/>
      <c r="J181" s="176"/>
      <c r="K181" s="176"/>
      <c r="L181" s="176"/>
      <c r="M181" s="176"/>
      <c r="N181" s="176"/>
      <c r="O181" s="176"/>
      <c r="P181" s="176"/>
      <c r="Q181" s="176"/>
      <c r="R181" s="176"/>
      <c r="S181" s="176"/>
      <c r="T181" s="176"/>
      <c r="U181" s="176"/>
      <c r="V181" s="176"/>
      <c r="W181" s="176"/>
      <c r="X181" s="176"/>
      <c r="Y181" s="176"/>
      <c r="Z181" s="176"/>
    </row>
    <row r="182" spans="1:26">
      <c r="A182" s="221">
        <v>181</v>
      </c>
      <c r="B182" s="177" t="s">
        <v>6414</v>
      </c>
      <c r="C182" s="177" t="s">
        <v>6469</v>
      </c>
      <c r="D182" s="177" t="s">
        <v>6124</v>
      </c>
      <c r="E182" s="177" t="s">
        <v>2259</v>
      </c>
      <c r="F182" s="177" t="s">
        <v>6472</v>
      </c>
      <c r="G182" s="176"/>
      <c r="H182" s="176"/>
      <c r="I182" s="176"/>
      <c r="J182" s="176"/>
      <c r="K182" s="176"/>
      <c r="L182" s="176"/>
      <c r="M182" s="176"/>
      <c r="N182" s="176"/>
      <c r="O182" s="176"/>
      <c r="P182" s="176"/>
      <c r="Q182" s="176"/>
      <c r="R182" s="176"/>
      <c r="S182" s="176"/>
      <c r="T182" s="176"/>
      <c r="U182" s="176"/>
      <c r="V182" s="176"/>
      <c r="W182" s="176"/>
      <c r="X182" s="176"/>
      <c r="Y182" s="176"/>
      <c r="Z182" s="176"/>
    </row>
    <row r="183" spans="1:26">
      <c r="A183" s="221">
        <v>182</v>
      </c>
      <c r="B183" s="177" t="s">
        <v>6414</v>
      </c>
      <c r="C183" s="177" t="s">
        <v>6469</v>
      </c>
      <c r="D183" s="177" t="s">
        <v>6124</v>
      </c>
      <c r="E183" s="177" t="s">
        <v>6473</v>
      </c>
      <c r="F183" s="177" t="s">
        <v>6474</v>
      </c>
      <c r="G183" s="176"/>
      <c r="H183" s="176"/>
      <c r="I183" s="176"/>
      <c r="J183" s="176"/>
      <c r="K183" s="176"/>
      <c r="L183" s="176"/>
      <c r="M183" s="176"/>
      <c r="N183" s="176"/>
      <c r="O183" s="176"/>
      <c r="P183" s="176"/>
      <c r="Q183" s="176"/>
      <c r="R183" s="176"/>
      <c r="S183" s="176"/>
      <c r="T183" s="176"/>
      <c r="U183" s="176"/>
      <c r="V183" s="176"/>
      <c r="W183" s="176"/>
      <c r="X183" s="176"/>
      <c r="Y183" s="176"/>
      <c r="Z183" s="176"/>
    </row>
    <row r="184" spans="1:26">
      <c r="A184" s="221">
        <v>183</v>
      </c>
      <c r="B184" s="177" t="s">
        <v>6414</v>
      </c>
      <c r="C184" s="177" t="s">
        <v>6469</v>
      </c>
      <c r="D184" s="177" t="s">
        <v>6124</v>
      </c>
      <c r="E184" s="177" t="s">
        <v>2263</v>
      </c>
      <c r="F184" s="177" t="s">
        <v>6475</v>
      </c>
      <c r="G184" s="176"/>
      <c r="H184" s="176"/>
      <c r="I184" s="176"/>
      <c r="J184" s="176"/>
      <c r="K184" s="176"/>
      <c r="L184" s="176"/>
      <c r="M184" s="176"/>
      <c r="N184" s="176"/>
      <c r="O184" s="176"/>
      <c r="P184" s="176"/>
      <c r="Q184" s="176"/>
      <c r="R184" s="176"/>
      <c r="S184" s="176"/>
      <c r="T184" s="176"/>
      <c r="U184" s="176"/>
      <c r="V184" s="176"/>
      <c r="W184" s="176"/>
      <c r="X184" s="176"/>
      <c r="Y184" s="176"/>
      <c r="Z184" s="176"/>
    </row>
    <row r="185" spans="1:26">
      <c r="A185" s="221">
        <v>184</v>
      </c>
      <c r="B185" s="177" t="s">
        <v>6414</v>
      </c>
      <c r="C185" s="177" t="s">
        <v>6469</v>
      </c>
      <c r="D185" s="177" t="s">
        <v>6124</v>
      </c>
      <c r="E185" s="177" t="s">
        <v>6476</v>
      </c>
      <c r="F185" s="177" t="s">
        <v>6477</v>
      </c>
      <c r="G185" s="176"/>
      <c r="H185" s="176"/>
      <c r="I185" s="176"/>
      <c r="J185" s="176"/>
      <c r="K185" s="176"/>
      <c r="L185" s="176"/>
      <c r="M185" s="176"/>
      <c r="N185" s="176"/>
      <c r="O185" s="176"/>
      <c r="P185" s="176"/>
      <c r="Q185" s="176"/>
      <c r="R185" s="176"/>
      <c r="S185" s="176"/>
      <c r="T185" s="176"/>
      <c r="U185" s="176"/>
      <c r="V185" s="176"/>
      <c r="W185" s="176"/>
      <c r="X185" s="176"/>
      <c r="Y185" s="176"/>
      <c r="Z185" s="176"/>
    </row>
    <row r="186" spans="1:26">
      <c r="A186" s="221">
        <v>185</v>
      </c>
      <c r="B186" s="177" t="s">
        <v>6414</v>
      </c>
      <c r="C186" s="177" t="s">
        <v>6478</v>
      </c>
      <c r="D186" s="177" t="s">
        <v>6124</v>
      </c>
      <c r="E186" s="177" t="s">
        <v>6479</v>
      </c>
      <c r="F186" s="177" t="s">
        <v>6480</v>
      </c>
      <c r="G186" s="176"/>
      <c r="H186" s="176"/>
      <c r="I186" s="176"/>
      <c r="J186" s="176"/>
      <c r="K186" s="176"/>
      <c r="L186" s="176"/>
      <c r="M186" s="176"/>
      <c r="N186" s="176"/>
      <c r="O186" s="176"/>
      <c r="P186" s="176"/>
      <c r="Q186" s="176"/>
      <c r="R186" s="176"/>
      <c r="S186" s="176"/>
      <c r="T186" s="176"/>
      <c r="U186" s="176"/>
      <c r="V186" s="176"/>
      <c r="W186" s="176"/>
      <c r="X186" s="176"/>
      <c r="Y186" s="176"/>
      <c r="Z186" s="176"/>
    </row>
    <row r="187" spans="1:26">
      <c r="A187" s="221">
        <v>186</v>
      </c>
      <c r="B187" s="177" t="s">
        <v>6414</v>
      </c>
      <c r="C187" s="177" t="s">
        <v>6478</v>
      </c>
      <c r="D187" s="177" t="s">
        <v>6124</v>
      </c>
      <c r="E187" s="177" t="s">
        <v>6481</v>
      </c>
      <c r="F187" s="177" t="s">
        <v>6482</v>
      </c>
      <c r="G187" s="176"/>
      <c r="H187" s="176"/>
      <c r="I187" s="176"/>
      <c r="J187" s="176"/>
      <c r="K187" s="176"/>
      <c r="L187" s="176"/>
      <c r="M187" s="176"/>
      <c r="N187" s="176"/>
      <c r="O187" s="176"/>
      <c r="P187" s="176"/>
      <c r="Q187" s="176"/>
      <c r="R187" s="176"/>
      <c r="S187" s="176"/>
      <c r="T187" s="176"/>
      <c r="U187" s="176"/>
      <c r="V187" s="176"/>
      <c r="W187" s="176"/>
      <c r="X187" s="176"/>
      <c r="Y187" s="176"/>
      <c r="Z187" s="176"/>
    </row>
    <row r="188" spans="1:26">
      <c r="A188" s="221">
        <v>187</v>
      </c>
      <c r="B188" s="177" t="s">
        <v>6414</v>
      </c>
      <c r="C188" s="177" t="s">
        <v>6478</v>
      </c>
      <c r="D188" s="177" t="s">
        <v>6124</v>
      </c>
      <c r="E188" s="177" t="s">
        <v>6483</v>
      </c>
      <c r="F188" s="177" t="s">
        <v>6484</v>
      </c>
      <c r="G188" s="176"/>
      <c r="H188" s="176"/>
      <c r="I188" s="176"/>
      <c r="J188" s="176"/>
      <c r="K188" s="176"/>
      <c r="L188" s="176"/>
      <c r="M188" s="176"/>
      <c r="N188" s="176"/>
      <c r="O188" s="176"/>
      <c r="P188" s="176"/>
      <c r="Q188" s="176"/>
      <c r="R188" s="176"/>
      <c r="S188" s="176"/>
      <c r="T188" s="176"/>
      <c r="U188" s="176"/>
      <c r="V188" s="176"/>
      <c r="W188" s="176"/>
      <c r="X188" s="176"/>
      <c r="Y188" s="176"/>
      <c r="Z188" s="176"/>
    </row>
    <row r="189" spans="1:26">
      <c r="A189" s="221">
        <v>188</v>
      </c>
      <c r="B189" s="177" t="s">
        <v>6414</v>
      </c>
      <c r="C189" s="177" t="s">
        <v>6478</v>
      </c>
      <c r="D189" s="177" t="s">
        <v>6124</v>
      </c>
      <c r="E189" s="177" t="s">
        <v>6485</v>
      </c>
      <c r="F189" s="177" t="s">
        <v>6486</v>
      </c>
      <c r="G189" s="176"/>
      <c r="H189" s="176"/>
      <c r="I189" s="176"/>
      <c r="J189" s="176"/>
      <c r="K189" s="176"/>
      <c r="L189" s="176"/>
      <c r="M189" s="176"/>
      <c r="N189" s="176"/>
      <c r="O189" s="176"/>
      <c r="P189" s="176"/>
      <c r="Q189" s="176"/>
      <c r="R189" s="176"/>
      <c r="S189" s="176"/>
      <c r="T189" s="176"/>
      <c r="U189" s="176"/>
      <c r="V189" s="176"/>
      <c r="W189" s="176"/>
      <c r="X189" s="176"/>
      <c r="Y189" s="176"/>
      <c r="Z189" s="176"/>
    </row>
    <row r="190" spans="1:26">
      <c r="A190" s="222">
        <v>189</v>
      </c>
      <c r="B190" s="14" t="s">
        <v>6414</v>
      </c>
      <c r="C190" s="14" t="s">
        <v>6487</v>
      </c>
      <c r="D190" s="14" t="s">
        <v>6218</v>
      </c>
      <c r="E190" s="14" t="s">
        <v>6488</v>
      </c>
      <c r="F190" s="14" t="s">
        <v>44</v>
      </c>
      <c r="G190" s="1"/>
      <c r="H190" s="1"/>
      <c r="I190" s="1"/>
      <c r="J190" s="1"/>
      <c r="K190" s="1"/>
      <c r="L190" s="1"/>
      <c r="M190" s="1"/>
      <c r="N190" s="1"/>
      <c r="O190" s="1"/>
      <c r="P190" s="1"/>
      <c r="Q190" s="1"/>
      <c r="R190" s="1"/>
      <c r="S190" s="1"/>
      <c r="T190" s="1"/>
      <c r="U190" s="1"/>
      <c r="V190" s="1"/>
      <c r="W190" s="1"/>
      <c r="X190" s="1"/>
      <c r="Y190" s="1"/>
      <c r="Z190" s="1"/>
    </row>
    <row r="191" spans="1:26">
      <c r="A191" s="222">
        <v>190</v>
      </c>
      <c r="B191" s="14" t="s">
        <v>6414</v>
      </c>
      <c r="C191" s="14" t="s">
        <v>6487</v>
      </c>
      <c r="D191" s="14" t="s">
        <v>6218</v>
      </c>
      <c r="E191" s="14" t="s">
        <v>6489</v>
      </c>
      <c r="F191" s="14" t="s">
        <v>44</v>
      </c>
      <c r="G191" s="1"/>
      <c r="H191" s="1"/>
      <c r="I191" s="1"/>
      <c r="J191" s="1"/>
      <c r="K191" s="1"/>
      <c r="L191" s="1"/>
      <c r="M191" s="1"/>
      <c r="N191" s="1"/>
      <c r="O191" s="1"/>
      <c r="P191" s="1"/>
      <c r="Q191" s="1"/>
      <c r="R191" s="1"/>
      <c r="S191" s="1"/>
      <c r="T191" s="1"/>
      <c r="U191" s="1"/>
      <c r="V191" s="1"/>
      <c r="W191" s="1"/>
      <c r="X191" s="1"/>
      <c r="Y191" s="1"/>
      <c r="Z191" s="1"/>
    </row>
    <row r="192" spans="1:26">
      <c r="A192" s="222">
        <v>191</v>
      </c>
      <c r="B192" s="14" t="s">
        <v>6414</v>
      </c>
      <c r="C192" s="14" t="s">
        <v>6487</v>
      </c>
      <c r="D192" s="14" t="s">
        <v>6218</v>
      </c>
      <c r="E192" s="14" t="s">
        <v>6490</v>
      </c>
      <c r="F192" s="14" t="s">
        <v>44</v>
      </c>
      <c r="G192" s="1"/>
      <c r="H192" s="1"/>
      <c r="I192" s="1"/>
      <c r="J192" s="1"/>
      <c r="K192" s="1"/>
      <c r="L192" s="1"/>
      <c r="M192" s="1"/>
      <c r="N192" s="1"/>
      <c r="O192" s="1"/>
      <c r="P192" s="1"/>
      <c r="Q192" s="1"/>
      <c r="R192" s="1"/>
      <c r="S192" s="1"/>
      <c r="T192" s="1"/>
      <c r="U192" s="1"/>
      <c r="V192" s="1"/>
      <c r="W192" s="1"/>
      <c r="X192" s="1"/>
      <c r="Y192" s="1"/>
      <c r="Z192" s="1"/>
    </row>
    <row r="193" spans="1:26">
      <c r="A193" s="222">
        <v>192</v>
      </c>
      <c r="B193" s="14" t="s">
        <v>6414</v>
      </c>
      <c r="C193" s="14" t="s">
        <v>6487</v>
      </c>
      <c r="D193" s="14" t="s">
        <v>6124</v>
      </c>
      <c r="E193" s="14" t="s">
        <v>6491</v>
      </c>
      <c r="F193" s="14" t="s">
        <v>44</v>
      </c>
      <c r="G193" s="1"/>
      <c r="H193" s="1"/>
      <c r="I193" s="1"/>
      <c r="J193" s="1"/>
      <c r="K193" s="1"/>
      <c r="L193" s="1"/>
      <c r="M193" s="1"/>
      <c r="N193" s="1"/>
      <c r="O193" s="1"/>
      <c r="P193" s="1"/>
      <c r="Q193" s="1"/>
      <c r="R193" s="1"/>
      <c r="S193" s="1"/>
      <c r="T193" s="1"/>
      <c r="U193" s="1"/>
      <c r="V193" s="1"/>
      <c r="W193" s="1"/>
      <c r="X193" s="1"/>
      <c r="Y193" s="1"/>
      <c r="Z193" s="1"/>
    </row>
    <row r="194" spans="1:26">
      <c r="A194" s="222">
        <v>193</v>
      </c>
      <c r="B194" s="14" t="s">
        <v>6414</v>
      </c>
      <c r="C194" s="14" t="s">
        <v>6487</v>
      </c>
      <c r="D194" s="14" t="s">
        <v>6218</v>
      </c>
      <c r="E194" s="14" t="s">
        <v>6492</v>
      </c>
      <c r="F194" s="14" t="s">
        <v>44</v>
      </c>
      <c r="G194" s="1"/>
      <c r="H194" s="1"/>
      <c r="I194" s="1"/>
      <c r="J194" s="1"/>
      <c r="K194" s="1"/>
      <c r="L194" s="1"/>
      <c r="M194" s="1"/>
      <c r="N194" s="1"/>
      <c r="O194" s="1"/>
      <c r="P194" s="1"/>
      <c r="Q194" s="1"/>
      <c r="R194" s="1"/>
      <c r="S194" s="1"/>
      <c r="T194" s="1"/>
      <c r="U194" s="1"/>
      <c r="V194" s="1"/>
      <c r="W194" s="1"/>
      <c r="X194" s="1"/>
      <c r="Y194" s="1"/>
      <c r="Z194" s="1"/>
    </row>
    <row r="195" spans="1:26">
      <c r="A195" s="221">
        <v>194</v>
      </c>
      <c r="B195" s="177" t="s">
        <v>6414</v>
      </c>
      <c r="C195" s="177" t="s">
        <v>6493</v>
      </c>
      <c r="D195" s="177" t="s">
        <v>6124</v>
      </c>
      <c r="E195" s="177" t="s">
        <v>6494</v>
      </c>
      <c r="F195" s="177" t="s">
        <v>6495</v>
      </c>
      <c r="G195" s="176"/>
      <c r="H195" s="176"/>
      <c r="I195" s="176"/>
      <c r="J195" s="176"/>
      <c r="K195" s="176"/>
      <c r="L195" s="176"/>
      <c r="M195" s="176"/>
      <c r="N195" s="176"/>
      <c r="O195" s="176"/>
      <c r="P195" s="176"/>
      <c r="Q195" s="176"/>
      <c r="R195" s="176"/>
      <c r="S195" s="176"/>
      <c r="T195" s="176"/>
      <c r="U195" s="176"/>
      <c r="V195" s="176"/>
      <c r="W195" s="176"/>
      <c r="X195" s="176"/>
      <c r="Y195" s="176"/>
      <c r="Z195" s="176"/>
    </row>
    <row r="196" spans="1:26">
      <c r="A196" s="221">
        <v>195</v>
      </c>
      <c r="B196" s="177" t="s">
        <v>6414</v>
      </c>
      <c r="C196" s="177" t="s">
        <v>6493</v>
      </c>
      <c r="D196" s="177" t="s">
        <v>6218</v>
      </c>
      <c r="E196" s="177" t="s">
        <v>6496</v>
      </c>
      <c r="F196" s="177" t="s">
        <v>6497</v>
      </c>
      <c r="G196" s="176"/>
      <c r="H196" s="176"/>
      <c r="I196" s="176"/>
      <c r="J196" s="176"/>
      <c r="K196" s="176"/>
      <c r="L196" s="176"/>
      <c r="M196" s="176"/>
      <c r="N196" s="176"/>
      <c r="O196" s="176"/>
      <c r="P196" s="176"/>
      <c r="Q196" s="176"/>
      <c r="R196" s="176"/>
      <c r="S196" s="176"/>
      <c r="T196" s="176"/>
      <c r="U196" s="176"/>
      <c r="V196" s="176"/>
      <c r="W196" s="176"/>
      <c r="X196" s="176"/>
      <c r="Y196" s="176"/>
      <c r="Z196" s="176"/>
    </row>
    <row r="197" spans="1:26">
      <c r="A197" s="221">
        <v>196</v>
      </c>
      <c r="B197" s="177" t="s">
        <v>6414</v>
      </c>
      <c r="C197" s="177" t="s">
        <v>6493</v>
      </c>
      <c r="D197" s="177" t="s">
        <v>6218</v>
      </c>
      <c r="E197" s="177" t="s">
        <v>6498</v>
      </c>
      <c r="F197" s="177" t="s">
        <v>6499</v>
      </c>
      <c r="G197" s="176"/>
      <c r="H197" s="176"/>
      <c r="I197" s="176"/>
      <c r="J197" s="176"/>
      <c r="K197" s="176"/>
      <c r="L197" s="176"/>
      <c r="M197" s="176"/>
      <c r="N197" s="176"/>
      <c r="O197" s="176"/>
      <c r="P197" s="176"/>
      <c r="Q197" s="176"/>
      <c r="R197" s="176"/>
      <c r="S197" s="176"/>
      <c r="T197" s="176"/>
      <c r="U197" s="176"/>
      <c r="V197" s="176"/>
      <c r="W197" s="176"/>
      <c r="X197" s="176"/>
      <c r="Y197" s="176"/>
      <c r="Z197" s="176"/>
    </row>
    <row r="198" spans="1:26">
      <c r="A198" s="221">
        <v>197</v>
      </c>
      <c r="B198" s="177" t="s">
        <v>6414</v>
      </c>
      <c r="C198" s="177" t="s">
        <v>6500</v>
      </c>
      <c r="D198" s="177" t="s">
        <v>6124</v>
      </c>
      <c r="E198" s="177" t="s">
        <v>6501</v>
      </c>
      <c r="F198" s="177" t="s">
        <v>6502</v>
      </c>
      <c r="G198" s="176"/>
      <c r="H198" s="176"/>
      <c r="I198" s="176"/>
      <c r="J198" s="176"/>
      <c r="K198" s="176"/>
      <c r="L198" s="176"/>
      <c r="M198" s="176"/>
      <c r="N198" s="176"/>
      <c r="O198" s="176"/>
      <c r="P198" s="176"/>
      <c r="Q198" s="176"/>
      <c r="R198" s="176"/>
      <c r="S198" s="176"/>
      <c r="T198" s="176"/>
      <c r="U198" s="176"/>
      <c r="V198" s="176"/>
      <c r="W198" s="176"/>
      <c r="X198" s="176"/>
      <c r="Y198" s="176"/>
      <c r="Z198" s="176"/>
    </row>
    <row r="199" spans="1:26">
      <c r="A199" s="221">
        <v>198</v>
      </c>
      <c r="B199" s="177" t="s">
        <v>6414</v>
      </c>
      <c r="C199" s="177" t="s">
        <v>6500</v>
      </c>
      <c r="D199" s="177" t="s">
        <v>6124</v>
      </c>
      <c r="E199" s="177" t="s">
        <v>6503</v>
      </c>
      <c r="F199" s="177" t="s">
        <v>6504</v>
      </c>
      <c r="G199" s="176"/>
      <c r="H199" s="176"/>
      <c r="I199" s="176"/>
      <c r="J199" s="176"/>
      <c r="K199" s="176"/>
      <c r="L199" s="176"/>
      <c r="M199" s="176"/>
      <c r="N199" s="176"/>
      <c r="O199" s="176"/>
      <c r="P199" s="176"/>
      <c r="Q199" s="176"/>
      <c r="R199" s="176"/>
      <c r="S199" s="176"/>
      <c r="T199" s="176"/>
      <c r="U199" s="176"/>
      <c r="V199" s="176"/>
      <c r="W199" s="176"/>
      <c r="X199" s="176"/>
      <c r="Y199" s="176"/>
      <c r="Z199" s="176"/>
    </row>
    <row r="200" spans="1:26">
      <c r="A200" s="221">
        <v>199</v>
      </c>
      <c r="B200" s="177" t="s">
        <v>6414</v>
      </c>
      <c r="C200" s="177" t="s">
        <v>6500</v>
      </c>
      <c r="D200" s="177" t="s">
        <v>6124</v>
      </c>
      <c r="E200" s="177" t="s">
        <v>6505</v>
      </c>
      <c r="F200" s="177" t="s">
        <v>6506</v>
      </c>
      <c r="G200" s="176"/>
      <c r="H200" s="176"/>
      <c r="I200" s="176"/>
      <c r="J200" s="176"/>
      <c r="K200" s="176"/>
      <c r="L200" s="176"/>
      <c r="M200" s="176"/>
      <c r="N200" s="176"/>
      <c r="O200" s="176"/>
      <c r="P200" s="176"/>
      <c r="Q200" s="176"/>
      <c r="R200" s="176"/>
      <c r="S200" s="176"/>
      <c r="T200" s="176"/>
      <c r="U200" s="176"/>
      <c r="V200" s="176"/>
      <c r="W200" s="176"/>
      <c r="X200" s="176"/>
      <c r="Y200" s="176"/>
      <c r="Z200" s="176"/>
    </row>
    <row r="201" spans="1:26">
      <c r="A201" s="221">
        <v>200</v>
      </c>
      <c r="B201" s="177" t="s">
        <v>6414</v>
      </c>
      <c r="C201" s="177" t="s">
        <v>6507</v>
      </c>
      <c r="D201" s="177" t="s">
        <v>6124</v>
      </c>
      <c r="E201" s="177" t="s">
        <v>6508</v>
      </c>
      <c r="F201" s="177" t="s">
        <v>6509</v>
      </c>
      <c r="G201" s="176"/>
      <c r="H201" s="176"/>
      <c r="I201" s="176"/>
      <c r="J201" s="176"/>
      <c r="K201" s="176"/>
      <c r="L201" s="176"/>
      <c r="M201" s="176"/>
      <c r="N201" s="176"/>
      <c r="O201" s="176"/>
      <c r="P201" s="176"/>
      <c r="Q201" s="176"/>
      <c r="R201" s="176"/>
      <c r="S201" s="176"/>
      <c r="T201" s="176"/>
      <c r="U201" s="176"/>
      <c r="V201" s="176"/>
      <c r="W201" s="176"/>
      <c r="X201" s="176"/>
      <c r="Y201" s="176"/>
      <c r="Z201" s="176"/>
    </row>
    <row r="202" spans="1:26">
      <c r="A202" s="221">
        <v>201</v>
      </c>
      <c r="B202" s="177" t="s">
        <v>6414</v>
      </c>
      <c r="C202" s="177" t="s">
        <v>6507</v>
      </c>
      <c r="D202" s="177" t="s">
        <v>6124</v>
      </c>
      <c r="E202" s="177" t="s">
        <v>6510</v>
      </c>
      <c r="F202" s="177" t="s">
        <v>6511</v>
      </c>
      <c r="G202" s="176"/>
      <c r="H202" s="176"/>
      <c r="I202" s="176"/>
      <c r="J202" s="176"/>
      <c r="K202" s="176"/>
      <c r="L202" s="176"/>
      <c r="M202" s="176"/>
      <c r="N202" s="176"/>
      <c r="O202" s="176"/>
      <c r="P202" s="176"/>
      <c r="Q202" s="176"/>
      <c r="R202" s="176"/>
      <c r="S202" s="176"/>
      <c r="T202" s="176"/>
      <c r="U202" s="176"/>
      <c r="V202" s="176"/>
      <c r="W202" s="176"/>
      <c r="X202" s="176"/>
      <c r="Y202" s="176"/>
      <c r="Z202" s="176"/>
    </row>
    <row r="203" spans="1:26">
      <c r="A203" s="221">
        <v>202</v>
      </c>
      <c r="B203" s="177" t="s">
        <v>6414</v>
      </c>
      <c r="C203" s="177" t="s">
        <v>6507</v>
      </c>
      <c r="D203" s="177" t="s">
        <v>6124</v>
      </c>
      <c r="E203" s="177" t="s">
        <v>6512</v>
      </c>
      <c r="F203" s="177" t="s">
        <v>6513</v>
      </c>
      <c r="G203" s="176"/>
      <c r="H203" s="176"/>
      <c r="I203" s="176"/>
      <c r="J203" s="176"/>
      <c r="K203" s="176"/>
      <c r="L203" s="176"/>
      <c r="M203" s="176"/>
      <c r="N203" s="176"/>
      <c r="O203" s="176"/>
      <c r="P203" s="176"/>
      <c r="Q203" s="176"/>
      <c r="R203" s="176"/>
      <c r="S203" s="176"/>
      <c r="T203" s="176"/>
      <c r="U203" s="176"/>
      <c r="V203" s="176"/>
      <c r="W203" s="176"/>
      <c r="X203" s="176"/>
      <c r="Y203" s="176"/>
      <c r="Z203" s="176"/>
    </row>
    <row r="204" spans="1:26">
      <c r="A204" s="221">
        <v>203</v>
      </c>
      <c r="B204" s="177" t="s">
        <v>6414</v>
      </c>
      <c r="C204" s="177" t="s">
        <v>6507</v>
      </c>
      <c r="D204" s="177" t="s">
        <v>6124</v>
      </c>
      <c r="E204" s="177" t="s">
        <v>6514</v>
      </c>
      <c r="F204" s="177" t="s">
        <v>6515</v>
      </c>
      <c r="G204" s="176"/>
      <c r="H204" s="176"/>
      <c r="I204" s="176"/>
      <c r="J204" s="176"/>
      <c r="K204" s="176"/>
      <c r="L204" s="176"/>
      <c r="M204" s="176"/>
      <c r="N204" s="176"/>
      <c r="O204" s="176"/>
      <c r="P204" s="176"/>
      <c r="Q204" s="176"/>
      <c r="R204" s="176"/>
      <c r="S204" s="176"/>
      <c r="T204" s="176"/>
      <c r="U204" s="176"/>
      <c r="V204" s="176"/>
      <c r="W204" s="176"/>
      <c r="X204" s="176"/>
      <c r="Y204" s="176"/>
      <c r="Z204" s="176"/>
    </row>
    <row r="205" spans="1:26">
      <c r="A205" s="221">
        <v>204</v>
      </c>
      <c r="B205" s="177" t="s">
        <v>6414</v>
      </c>
      <c r="C205" s="177" t="s">
        <v>6507</v>
      </c>
      <c r="D205" s="177" t="s">
        <v>6124</v>
      </c>
      <c r="E205" s="177" t="s">
        <v>6516</v>
      </c>
      <c r="F205" s="177" t="s">
        <v>6517</v>
      </c>
      <c r="G205" s="176"/>
      <c r="H205" s="176"/>
      <c r="I205" s="176"/>
      <c r="J205" s="176"/>
      <c r="K205" s="176"/>
      <c r="L205" s="176"/>
      <c r="M205" s="176"/>
      <c r="N205" s="176"/>
      <c r="O205" s="176"/>
      <c r="P205" s="176"/>
      <c r="Q205" s="176"/>
      <c r="R205" s="176"/>
      <c r="S205" s="176"/>
      <c r="T205" s="176"/>
      <c r="U205" s="176"/>
      <c r="V205" s="176"/>
      <c r="W205" s="176"/>
      <c r="X205" s="176"/>
      <c r="Y205" s="176"/>
      <c r="Z205" s="176"/>
    </row>
    <row r="206" spans="1:26">
      <c r="A206" s="149">
        <v>205</v>
      </c>
      <c r="B206" s="103" t="s">
        <v>6518</v>
      </c>
      <c r="C206" s="103" t="s">
        <v>6519</v>
      </c>
      <c r="D206" s="103" t="s">
        <v>6218</v>
      </c>
      <c r="E206" s="103" t="s">
        <v>6520</v>
      </c>
      <c r="F206" s="103" t="s">
        <v>6521</v>
      </c>
    </row>
    <row r="207" spans="1:26">
      <c r="A207" s="149">
        <v>206</v>
      </c>
      <c r="B207" s="103" t="s">
        <v>6518</v>
      </c>
      <c r="C207" s="103" t="s">
        <v>6519</v>
      </c>
      <c r="D207" s="103" t="s">
        <v>6218</v>
      </c>
      <c r="E207" s="103" t="s">
        <v>6522</v>
      </c>
      <c r="F207" s="103" t="s">
        <v>6523</v>
      </c>
    </row>
    <row r="208" spans="1:26">
      <c r="A208" s="149">
        <v>207</v>
      </c>
      <c r="B208" s="103" t="s">
        <v>6518</v>
      </c>
      <c r="C208" s="103" t="s">
        <v>6519</v>
      </c>
      <c r="D208" s="103" t="s">
        <v>6218</v>
      </c>
      <c r="E208" s="103" t="s">
        <v>6524</v>
      </c>
      <c r="F208" s="103" t="s">
        <v>6525</v>
      </c>
    </row>
    <row r="209" spans="1:26">
      <c r="A209" s="149">
        <v>208</v>
      </c>
      <c r="B209" s="103" t="s">
        <v>6518</v>
      </c>
      <c r="C209" s="103" t="s">
        <v>6519</v>
      </c>
      <c r="D209" s="103" t="s">
        <v>6218</v>
      </c>
      <c r="E209" s="103" t="s">
        <v>6526</v>
      </c>
      <c r="F209" s="103" t="s">
        <v>6527</v>
      </c>
    </row>
    <row r="210" spans="1:26">
      <c r="A210" s="149">
        <v>209</v>
      </c>
      <c r="B210" s="103" t="s">
        <v>6518</v>
      </c>
      <c r="C210" s="103" t="s">
        <v>6519</v>
      </c>
      <c r="D210" s="103" t="s">
        <v>6218</v>
      </c>
      <c r="E210" s="103" t="s">
        <v>6528</v>
      </c>
      <c r="F210" s="103" t="s">
        <v>6529</v>
      </c>
    </row>
    <row r="211" spans="1:26">
      <c r="A211" s="149">
        <v>210</v>
      </c>
      <c r="B211" s="103" t="s">
        <v>6518</v>
      </c>
      <c r="C211" s="103" t="s">
        <v>6519</v>
      </c>
      <c r="D211" s="103" t="s">
        <v>6218</v>
      </c>
      <c r="E211" s="103" t="s">
        <v>6530</v>
      </c>
      <c r="F211" s="103" t="s">
        <v>6531</v>
      </c>
    </row>
    <row r="212" spans="1:26">
      <c r="A212" s="149">
        <v>211</v>
      </c>
      <c r="B212" s="103" t="s">
        <v>6518</v>
      </c>
      <c r="C212" s="103" t="s">
        <v>6519</v>
      </c>
      <c r="D212" s="103" t="s">
        <v>6218</v>
      </c>
      <c r="E212" s="103" t="s">
        <v>6532</v>
      </c>
      <c r="F212" s="103" t="s">
        <v>6533</v>
      </c>
    </row>
    <row r="213" spans="1:26">
      <c r="A213" s="221">
        <v>212</v>
      </c>
      <c r="B213" s="177" t="s">
        <v>6534</v>
      </c>
      <c r="C213" s="177" t="s">
        <v>6535</v>
      </c>
      <c r="D213" s="177" t="s">
        <v>6218</v>
      </c>
      <c r="E213" s="177" t="s">
        <v>6536</v>
      </c>
      <c r="F213" s="177" t="s">
        <v>6537</v>
      </c>
      <c r="G213" s="176"/>
      <c r="H213" s="176"/>
      <c r="I213" s="176"/>
      <c r="J213" s="176"/>
      <c r="K213" s="176"/>
      <c r="L213" s="176"/>
      <c r="M213" s="176"/>
      <c r="N213" s="176"/>
      <c r="O213" s="176"/>
      <c r="P213" s="176"/>
      <c r="Q213" s="176"/>
      <c r="R213" s="176"/>
      <c r="S213" s="176"/>
      <c r="T213" s="176"/>
      <c r="U213" s="176"/>
      <c r="V213" s="176"/>
      <c r="W213" s="176"/>
      <c r="X213" s="176"/>
      <c r="Y213" s="176"/>
      <c r="Z213" s="176"/>
    </row>
    <row r="214" spans="1:26">
      <c r="A214" s="221">
        <v>213</v>
      </c>
      <c r="B214" s="177" t="s">
        <v>6534</v>
      </c>
      <c r="C214" s="177" t="s">
        <v>6535</v>
      </c>
      <c r="D214" s="177" t="s">
        <v>6218</v>
      </c>
      <c r="E214" s="177" t="s">
        <v>6538</v>
      </c>
      <c r="F214" s="177" t="s">
        <v>6539</v>
      </c>
      <c r="G214" s="176"/>
      <c r="H214" s="176"/>
      <c r="I214" s="176"/>
      <c r="J214" s="176"/>
      <c r="K214" s="176"/>
      <c r="L214" s="176"/>
      <c r="M214" s="176"/>
      <c r="N214" s="176"/>
      <c r="O214" s="176"/>
      <c r="P214" s="176"/>
      <c r="Q214" s="176"/>
      <c r="R214" s="176"/>
      <c r="S214" s="176"/>
      <c r="T214" s="176"/>
      <c r="U214" s="176"/>
      <c r="V214" s="176"/>
      <c r="W214" s="176"/>
      <c r="X214" s="176"/>
      <c r="Y214" s="176"/>
      <c r="Z214" s="176"/>
    </row>
    <row r="215" spans="1:26">
      <c r="A215" s="221">
        <v>214</v>
      </c>
      <c r="B215" s="177" t="s">
        <v>6534</v>
      </c>
      <c r="C215" s="177" t="s">
        <v>6535</v>
      </c>
      <c r="D215" s="177" t="s">
        <v>6218</v>
      </c>
      <c r="E215" s="177" t="s">
        <v>6540</v>
      </c>
      <c r="F215" s="177" t="s">
        <v>6541</v>
      </c>
      <c r="G215" s="176"/>
      <c r="H215" s="176"/>
      <c r="I215" s="176"/>
      <c r="J215" s="176"/>
      <c r="K215" s="176"/>
      <c r="L215" s="176"/>
      <c r="M215" s="176"/>
      <c r="N215" s="176"/>
      <c r="O215" s="176"/>
      <c r="P215" s="176"/>
      <c r="Q215" s="176"/>
      <c r="R215" s="176"/>
      <c r="S215" s="176"/>
      <c r="T215" s="176"/>
      <c r="U215" s="176"/>
      <c r="V215" s="176"/>
      <c r="W215" s="176"/>
      <c r="X215" s="176"/>
      <c r="Y215" s="176"/>
      <c r="Z215" s="176"/>
    </row>
    <row r="216" spans="1:26">
      <c r="A216" s="221">
        <v>215</v>
      </c>
      <c r="B216" s="177" t="s">
        <v>6534</v>
      </c>
      <c r="C216" s="177" t="s">
        <v>6535</v>
      </c>
      <c r="D216" s="177" t="s">
        <v>6218</v>
      </c>
      <c r="E216" s="177" t="s">
        <v>6542</v>
      </c>
      <c r="F216" s="177" t="s">
        <v>6543</v>
      </c>
      <c r="G216" s="176"/>
      <c r="H216" s="176"/>
      <c r="I216" s="176"/>
      <c r="J216" s="176"/>
      <c r="K216" s="176"/>
      <c r="L216" s="176"/>
      <c r="M216" s="176"/>
      <c r="N216" s="176"/>
      <c r="O216" s="176"/>
      <c r="P216" s="176"/>
      <c r="Q216" s="176"/>
      <c r="R216" s="176"/>
      <c r="S216" s="176"/>
      <c r="T216" s="176"/>
      <c r="U216" s="176"/>
      <c r="V216" s="176"/>
      <c r="W216" s="176"/>
      <c r="X216" s="176"/>
      <c r="Y216" s="176"/>
      <c r="Z216" s="176"/>
    </row>
    <row r="217" spans="1:26">
      <c r="A217" s="221">
        <v>216</v>
      </c>
      <c r="B217" s="177" t="s">
        <v>6534</v>
      </c>
      <c r="C217" s="177" t="s">
        <v>6535</v>
      </c>
      <c r="D217" s="177" t="s">
        <v>6218</v>
      </c>
      <c r="E217" s="177" t="s">
        <v>6544</v>
      </c>
      <c r="F217" s="177" t="s">
        <v>44</v>
      </c>
      <c r="G217" s="176"/>
      <c r="H217" s="176"/>
      <c r="I217" s="176"/>
      <c r="J217" s="176"/>
      <c r="K217" s="176"/>
      <c r="L217" s="176"/>
      <c r="M217" s="176"/>
      <c r="N217" s="176"/>
      <c r="O217" s="176"/>
      <c r="P217" s="176"/>
      <c r="Q217" s="176"/>
      <c r="R217" s="176"/>
      <c r="S217" s="176"/>
      <c r="T217" s="176"/>
      <c r="U217" s="176"/>
      <c r="V217" s="176"/>
      <c r="W217" s="176"/>
      <c r="X217" s="176"/>
      <c r="Y217" s="176"/>
      <c r="Z217" s="176"/>
    </row>
    <row r="218" spans="1:26">
      <c r="A218" s="221">
        <v>222</v>
      </c>
      <c r="B218" s="177" t="s">
        <v>6534</v>
      </c>
      <c r="C218" s="177" t="s">
        <v>6545</v>
      </c>
      <c r="D218" s="177" t="s">
        <v>6218</v>
      </c>
      <c r="E218" s="177" t="s">
        <v>6546</v>
      </c>
      <c r="F218" s="177" t="s">
        <v>6547</v>
      </c>
      <c r="G218" s="176"/>
      <c r="H218" s="176"/>
      <c r="I218" s="176"/>
      <c r="J218" s="176"/>
      <c r="K218" s="176"/>
      <c r="L218" s="176"/>
      <c r="M218" s="176"/>
      <c r="N218" s="176"/>
      <c r="O218" s="176"/>
      <c r="P218" s="176"/>
      <c r="Q218" s="176"/>
      <c r="R218" s="176"/>
      <c r="S218" s="176"/>
      <c r="T218" s="176"/>
      <c r="U218" s="176"/>
      <c r="V218" s="176"/>
      <c r="W218" s="176"/>
      <c r="X218" s="176"/>
      <c r="Y218" s="176"/>
      <c r="Z218" s="176"/>
    </row>
    <row r="219" spans="1:26">
      <c r="A219" s="221">
        <v>223</v>
      </c>
      <c r="B219" s="177" t="s">
        <v>6534</v>
      </c>
      <c r="C219" s="177" t="s">
        <v>6545</v>
      </c>
      <c r="D219" s="177" t="s">
        <v>6218</v>
      </c>
      <c r="E219" s="177" t="s">
        <v>6548</v>
      </c>
      <c r="F219" s="177" t="s">
        <v>6549</v>
      </c>
      <c r="G219" s="176"/>
      <c r="H219" s="176"/>
      <c r="I219" s="176"/>
      <c r="J219" s="176"/>
      <c r="K219" s="176"/>
      <c r="L219" s="176"/>
      <c r="M219" s="176"/>
      <c r="N219" s="176"/>
      <c r="O219" s="176"/>
      <c r="P219" s="176"/>
      <c r="Q219" s="176"/>
      <c r="R219" s="176"/>
      <c r="S219" s="176"/>
      <c r="T219" s="176"/>
      <c r="U219" s="176"/>
      <c r="V219" s="176"/>
      <c r="W219" s="176"/>
      <c r="X219" s="176"/>
      <c r="Y219" s="176"/>
      <c r="Z219" s="176"/>
    </row>
    <row r="220" spans="1:26">
      <c r="A220" s="221">
        <v>224</v>
      </c>
      <c r="B220" s="177" t="s">
        <v>6534</v>
      </c>
      <c r="C220" s="177" t="s">
        <v>6550</v>
      </c>
      <c r="D220" s="177" t="s">
        <v>6218</v>
      </c>
      <c r="E220" s="177" t="s">
        <v>6551</v>
      </c>
      <c r="F220" s="177" t="s">
        <v>44</v>
      </c>
      <c r="G220" s="176"/>
      <c r="H220" s="176"/>
      <c r="I220" s="176"/>
      <c r="J220" s="176"/>
      <c r="K220" s="176"/>
      <c r="L220" s="176"/>
      <c r="M220" s="176"/>
      <c r="N220" s="176"/>
      <c r="O220" s="176"/>
      <c r="P220" s="176"/>
      <c r="Q220" s="176"/>
      <c r="R220" s="176"/>
      <c r="S220" s="176"/>
      <c r="T220" s="176"/>
      <c r="U220" s="176"/>
      <c r="V220" s="176"/>
      <c r="W220" s="176"/>
      <c r="X220" s="176"/>
      <c r="Y220" s="176"/>
      <c r="Z220" s="176"/>
    </row>
    <row r="221" spans="1:26">
      <c r="A221" s="221">
        <v>225</v>
      </c>
      <c r="B221" s="177" t="s">
        <v>6534</v>
      </c>
      <c r="C221" s="177" t="s">
        <v>6550</v>
      </c>
      <c r="D221" s="177" t="s">
        <v>6218</v>
      </c>
      <c r="E221" s="177" t="s">
        <v>6552</v>
      </c>
      <c r="F221" s="177" t="s">
        <v>44</v>
      </c>
      <c r="G221" s="176"/>
      <c r="H221" s="176"/>
      <c r="I221" s="176"/>
      <c r="J221" s="176"/>
      <c r="K221" s="176"/>
      <c r="L221" s="176"/>
      <c r="M221" s="176"/>
      <c r="N221" s="176"/>
      <c r="O221" s="176"/>
      <c r="P221" s="176"/>
      <c r="Q221" s="176"/>
      <c r="R221" s="176"/>
      <c r="S221" s="176"/>
      <c r="T221" s="176"/>
      <c r="U221" s="176"/>
      <c r="V221" s="176"/>
      <c r="W221" s="176"/>
      <c r="X221" s="176"/>
      <c r="Y221" s="176"/>
      <c r="Z221" s="176"/>
    </row>
    <row r="222" spans="1:26">
      <c r="A222" s="221">
        <v>226</v>
      </c>
      <c r="B222" s="177" t="s">
        <v>6534</v>
      </c>
      <c r="C222" s="177" t="s">
        <v>6550</v>
      </c>
      <c r="D222" s="177" t="s">
        <v>6218</v>
      </c>
      <c r="E222" s="177" t="s">
        <v>6553</v>
      </c>
      <c r="F222" s="177" t="s">
        <v>44</v>
      </c>
      <c r="G222" s="176"/>
      <c r="H222" s="176"/>
      <c r="I222" s="176"/>
      <c r="J222" s="176"/>
      <c r="K222" s="176"/>
      <c r="L222" s="176"/>
      <c r="M222" s="176"/>
      <c r="N222" s="176"/>
      <c r="O222" s="176"/>
      <c r="P222" s="176"/>
      <c r="Q222" s="176"/>
      <c r="R222" s="176"/>
      <c r="S222" s="176"/>
      <c r="T222" s="176"/>
      <c r="U222" s="176"/>
      <c r="V222" s="176"/>
      <c r="W222" s="176"/>
      <c r="X222" s="176"/>
      <c r="Y222" s="176"/>
      <c r="Z222" s="176"/>
    </row>
    <row r="223" spans="1:26">
      <c r="A223" s="221">
        <v>227</v>
      </c>
      <c r="B223" s="177" t="s">
        <v>6534</v>
      </c>
      <c r="C223" s="177" t="s">
        <v>6554</v>
      </c>
      <c r="D223" s="177" t="s">
        <v>6218</v>
      </c>
      <c r="E223" s="177" t="s">
        <v>6555</v>
      </c>
      <c r="F223" s="177" t="s">
        <v>6556</v>
      </c>
      <c r="G223" s="176"/>
      <c r="H223" s="176"/>
      <c r="I223" s="176"/>
      <c r="J223" s="176"/>
      <c r="K223" s="176"/>
      <c r="L223" s="176"/>
      <c r="M223" s="176"/>
      <c r="N223" s="176"/>
      <c r="O223" s="176"/>
      <c r="P223" s="176"/>
      <c r="Q223" s="176"/>
      <c r="R223" s="176"/>
      <c r="S223" s="176"/>
      <c r="T223" s="176"/>
      <c r="U223" s="176"/>
      <c r="V223" s="176"/>
      <c r="W223" s="176"/>
      <c r="X223" s="176"/>
      <c r="Y223" s="176"/>
      <c r="Z223" s="176"/>
    </row>
    <row r="224" spans="1:26">
      <c r="A224" s="221">
        <v>228</v>
      </c>
      <c r="B224" s="177" t="s">
        <v>6534</v>
      </c>
      <c r="C224" s="177" t="s">
        <v>6554</v>
      </c>
      <c r="D224" s="177" t="s">
        <v>6218</v>
      </c>
      <c r="E224" s="177" t="s">
        <v>6557</v>
      </c>
      <c r="F224" s="177" t="s">
        <v>6558</v>
      </c>
      <c r="G224" s="176"/>
      <c r="H224" s="176"/>
      <c r="I224" s="176"/>
      <c r="J224" s="176"/>
      <c r="K224" s="176"/>
      <c r="L224" s="176"/>
      <c r="M224" s="176"/>
      <c r="N224" s="176"/>
      <c r="O224" s="176"/>
      <c r="P224" s="176"/>
      <c r="Q224" s="176"/>
      <c r="R224" s="176"/>
      <c r="S224" s="176"/>
      <c r="T224" s="176"/>
      <c r="U224" s="176"/>
      <c r="V224" s="176"/>
      <c r="W224" s="176"/>
      <c r="X224" s="176"/>
      <c r="Y224" s="176"/>
      <c r="Z224" s="176"/>
    </row>
    <row r="225" spans="1:26">
      <c r="A225" s="221">
        <v>229</v>
      </c>
      <c r="B225" s="177" t="s">
        <v>6534</v>
      </c>
      <c r="C225" s="177" t="s">
        <v>6554</v>
      </c>
      <c r="D225" s="177" t="s">
        <v>6218</v>
      </c>
      <c r="E225" s="177" t="s">
        <v>6416</v>
      </c>
      <c r="F225" s="177" t="s">
        <v>6559</v>
      </c>
      <c r="G225" s="176"/>
      <c r="H225" s="176"/>
      <c r="I225" s="176"/>
      <c r="J225" s="176"/>
      <c r="K225" s="176"/>
      <c r="L225" s="176"/>
      <c r="M225" s="176"/>
      <c r="N225" s="176"/>
      <c r="O225" s="176"/>
      <c r="P225" s="176"/>
      <c r="Q225" s="176"/>
      <c r="R225" s="176"/>
      <c r="S225" s="176"/>
      <c r="T225" s="176"/>
      <c r="U225" s="176"/>
      <c r="V225" s="176"/>
      <c r="W225" s="176"/>
      <c r="X225" s="176"/>
      <c r="Y225" s="176"/>
      <c r="Z225" s="176"/>
    </row>
    <row r="226" spans="1:26">
      <c r="A226" s="221">
        <v>230</v>
      </c>
      <c r="B226" s="177" t="s">
        <v>6534</v>
      </c>
      <c r="C226" s="177" t="s">
        <v>6554</v>
      </c>
      <c r="D226" s="177" t="s">
        <v>6218</v>
      </c>
      <c r="E226" s="177" t="s">
        <v>6560</v>
      </c>
      <c r="F226" s="177" t="s">
        <v>6561</v>
      </c>
      <c r="G226" s="176"/>
      <c r="H226" s="176"/>
      <c r="I226" s="176"/>
      <c r="J226" s="176"/>
      <c r="K226" s="176"/>
      <c r="L226" s="176"/>
      <c r="M226" s="176"/>
      <c r="N226" s="176"/>
      <c r="O226" s="176"/>
      <c r="P226" s="176"/>
      <c r="Q226" s="176"/>
      <c r="R226" s="176"/>
      <c r="S226" s="176"/>
      <c r="T226" s="176"/>
      <c r="U226" s="176"/>
      <c r="V226" s="176"/>
      <c r="W226" s="176"/>
      <c r="X226" s="176"/>
      <c r="Y226" s="176"/>
      <c r="Z226" s="176"/>
    </row>
    <row r="227" spans="1:26">
      <c r="A227" s="221">
        <v>231</v>
      </c>
      <c r="B227" s="177" t="s">
        <v>6534</v>
      </c>
      <c r="C227" s="177" t="s">
        <v>6554</v>
      </c>
      <c r="D227" s="177" t="s">
        <v>6218</v>
      </c>
      <c r="E227" s="177" t="s">
        <v>6562</v>
      </c>
      <c r="F227" s="177" t="s">
        <v>6563</v>
      </c>
      <c r="G227" s="176"/>
      <c r="H227" s="176"/>
      <c r="I227" s="176"/>
      <c r="J227" s="176"/>
      <c r="K227" s="176"/>
      <c r="L227" s="176"/>
      <c r="M227" s="176"/>
      <c r="N227" s="176"/>
      <c r="O227" s="176"/>
      <c r="P227" s="176"/>
      <c r="Q227" s="176"/>
      <c r="R227" s="176"/>
      <c r="S227" s="176"/>
      <c r="T227" s="176"/>
      <c r="U227" s="176"/>
      <c r="V227" s="176"/>
      <c r="W227" s="176"/>
      <c r="X227" s="176"/>
      <c r="Y227" s="176"/>
      <c r="Z227" s="176"/>
    </row>
    <row r="228" spans="1:26">
      <c r="A228" s="221">
        <v>232</v>
      </c>
      <c r="B228" s="177" t="s">
        <v>6534</v>
      </c>
      <c r="C228" s="177" t="s">
        <v>6564</v>
      </c>
      <c r="D228" s="177" t="s">
        <v>6124</v>
      </c>
      <c r="E228" s="177" t="s">
        <v>6565</v>
      </c>
      <c r="F228" s="177" t="s">
        <v>6566</v>
      </c>
      <c r="G228" s="176"/>
      <c r="H228" s="176"/>
      <c r="I228" s="176"/>
      <c r="J228" s="176"/>
      <c r="K228" s="176"/>
      <c r="L228" s="176"/>
      <c r="M228" s="176"/>
      <c r="N228" s="176"/>
      <c r="O228" s="176"/>
      <c r="P228" s="176"/>
      <c r="Q228" s="176"/>
      <c r="R228" s="176"/>
      <c r="S228" s="176"/>
      <c r="T228" s="176"/>
      <c r="U228" s="176"/>
      <c r="V228" s="176"/>
      <c r="W228" s="176"/>
      <c r="X228" s="176"/>
      <c r="Y228" s="176"/>
      <c r="Z228" s="176"/>
    </row>
    <row r="229" spans="1:26">
      <c r="A229" s="221">
        <v>233</v>
      </c>
      <c r="B229" s="177" t="s">
        <v>6534</v>
      </c>
      <c r="C229" s="177" t="s">
        <v>6564</v>
      </c>
      <c r="D229" s="177" t="s">
        <v>6124</v>
      </c>
      <c r="E229" s="177" t="s">
        <v>6567</v>
      </c>
      <c r="F229" s="177" t="s">
        <v>6568</v>
      </c>
      <c r="G229" s="176"/>
      <c r="H229" s="176"/>
      <c r="I229" s="176"/>
      <c r="J229" s="176"/>
      <c r="K229" s="176"/>
      <c r="L229" s="176"/>
      <c r="M229" s="176"/>
      <c r="N229" s="176"/>
      <c r="O229" s="176"/>
      <c r="P229" s="176"/>
      <c r="Q229" s="176"/>
      <c r="R229" s="176"/>
      <c r="S229" s="176"/>
      <c r="T229" s="176"/>
      <c r="U229" s="176"/>
      <c r="V229" s="176"/>
      <c r="W229" s="176"/>
      <c r="X229" s="176"/>
      <c r="Y229" s="176"/>
      <c r="Z229" s="176"/>
    </row>
    <row r="230" spans="1:26">
      <c r="A230" s="221">
        <v>234</v>
      </c>
      <c r="B230" s="177" t="s">
        <v>6534</v>
      </c>
      <c r="C230" s="177" t="s">
        <v>6564</v>
      </c>
      <c r="D230" s="177" t="s">
        <v>6124</v>
      </c>
      <c r="E230" s="177" t="s">
        <v>6569</v>
      </c>
      <c r="F230" s="177" t="s">
        <v>6570</v>
      </c>
      <c r="G230" s="176"/>
      <c r="H230" s="176"/>
      <c r="I230" s="176"/>
      <c r="J230" s="176"/>
      <c r="K230" s="176"/>
      <c r="L230" s="176"/>
      <c r="M230" s="176"/>
      <c r="N230" s="176"/>
      <c r="O230" s="176"/>
      <c r="P230" s="176"/>
      <c r="Q230" s="176"/>
      <c r="R230" s="176"/>
      <c r="S230" s="176"/>
      <c r="T230" s="176"/>
      <c r="U230" s="176"/>
      <c r="V230" s="176"/>
      <c r="W230" s="176"/>
      <c r="X230" s="176"/>
      <c r="Y230" s="176"/>
      <c r="Z230" s="176"/>
    </row>
    <row r="231" spans="1:26">
      <c r="A231" s="221">
        <v>235</v>
      </c>
      <c r="B231" s="177" t="s">
        <v>6534</v>
      </c>
      <c r="C231" s="177" t="s">
        <v>6564</v>
      </c>
      <c r="D231" s="177" t="s">
        <v>6124</v>
      </c>
      <c r="E231" s="177" t="s">
        <v>6571</v>
      </c>
      <c r="F231" s="177" t="s">
        <v>6572</v>
      </c>
      <c r="G231" s="176"/>
      <c r="H231" s="176"/>
      <c r="I231" s="176"/>
      <c r="J231" s="176"/>
      <c r="K231" s="176"/>
      <c r="L231" s="176"/>
      <c r="M231" s="176"/>
      <c r="N231" s="176"/>
      <c r="O231" s="176"/>
      <c r="P231" s="176"/>
      <c r="Q231" s="176"/>
      <c r="R231" s="176"/>
      <c r="S231" s="176"/>
      <c r="T231" s="176"/>
      <c r="U231" s="176"/>
      <c r="V231" s="176"/>
      <c r="W231" s="176"/>
      <c r="X231" s="176"/>
      <c r="Y231" s="176"/>
      <c r="Z231" s="176"/>
    </row>
    <row r="232" spans="1:26">
      <c r="A232" s="221">
        <v>236</v>
      </c>
      <c r="B232" s="177" t="s">
        <v>6534</v>
      </c>
      <c r="C232" s="177" t="s">
        <v>6564</v>
      </c>
      <c r="D232" s="177" t="s">
        <v>6124</v>
      </c>
      <c r="E232" s="177" t="s">
        <v>6573</v>
      </c>
      <c r="F232" s="177" t="s">
        <v>6574</v>
      </c>
      <c r="G232" s="176"/>
      <c r="H232" s="176"/>
      <c r="I232" s="176"/>
      <c r="J232" s="176"/>
      <c r="K232" s="176"/>
      <c r="L232" s="176"/>
      <c r="M232" s="176"/>
      <c r="N232" s="176"/>
      <c r="O232" s="176"/>
      <c r="P232" s="176"/>
      <c r="Q232" s="176"/>
      <c r="R232" s="176"/>
      <c r="S232" s="176"/>
      <c r="T232" s="176"/>
      <c r="U232" s="176"/>
      <c r="V232" s="176"/>
      <c r="W232" s="176"/>
      <c r="X232" s="176"/>
      <c r="Y232" s="176"/>
      <c r="Z232" s="176"/>
    </row>
    <row r="233" spans="1:26">
      <c r="A233" s="221">
        <v>237</v>
      </c>
      <c r="B233" s="177" t="s">
        <v>6534</v>
      </c>
      <c r="C233" s="177" t="s">
        <v>6575</v>
      </c>
      <c r="D233" s="177" t="s">
        <v>6218</v>
      </c>
      <c r="E233" s="177" t="s">
        <v>6576</v>
      </c>
      <c r="F233" s="177" t="s">
        <v>44</v>
      </c>
      <c r="G233" s="176"/>
      <c r="H233" s="176"/>
      <c r="I233" s="176"/>
      <c r="J233" s="176"/>
      <c r="K233" s="176"/>
      <c r="L233" s="176"/>
      <c r="M233" s="176"/>
      <c r="N233" s="176"/>
      <c r="O233" s="176"/>
      <c r="P233" s="176"/>
      <c r="Q233" s="176"/>
      <c r="R233" s="176"/>
      <c r="S233" s="176"/>
      <c r="T233" s="176"/>
      <c r="U233" s="176"/>
      <c r="V233" s="176"/>
      <c r="W233" s="176"/>
      <c r="X233" s="176"/>
      <c r="Y233" s="176"/>
      <c r="Z233" s="176"/>
    </row>
    <row r="234" spans="1:26">
      <c r="A234" s="221">
        <v>238</v>
      </c>
      <c r="B234" s="177" t="s">
        <v>6534</v>
      </c>
      <c r="C234" s="177" t="s">
        <v>6577</v>
      </c>
      <c r="D234" s="177" t="s">
        <v>6218</v>
      </c>
      <c r="E234" s="177" t="s">
        <v>6578</v>
      </c>
      <c r="F234" s="177" t="s">
        <v>6579</v>
      </c>
      <c r="G234" s="176"/>
      <c r="H234" s="176"/>
      <c r="I234" s="176"/>
      <c r="J234" s="176"/>
      <c r="K234" s="176"/>
      <c r="L234" s="176"/>
      <c r="M234" s="176"/>
      <c r="N234" s="176"/>
      <c r="O234" s="176"/>
      <c r="P234" s="176"/>
      <c r="Q234" s="176"/>
      <c r="R234" s="176"/>
      <c r="S234" s="176"/>
      <c r="T234" s="176"/>
      <c r="U234" s="176"/>
      <c r="V234" s="176"/>
      <c r="W234" s="176"/>
      <c r="X234" s="176"/>
      <c r="Y234" s="176"/>
      <c r="Z234" s="176"/>
    </row>
    <row r="235" spans="1:26">
      <c r="A235" s="221">
        <v>239</v>
      </c>
      <c r="B235" s="177" t="s">
        <v>6534</v>
      </c>
      <c r="C235" s="177" t="s">
        <v>6577</v>
      </c>
      <c r="D235" s="177" t="s">
        <v>6218</v>
      </c>
      <c r="E235" s="177" t="s">
        <v>1263</v>
      </c>
      <c r="F235" s="177" t="s">
        <v>6580</v>
      </c>
      <c r="G235" s="176"/>
      <c r="H235" s="176"/>
      <c r="I235" s="176"/>
      <c r="J235" s="176"/>
      <c r="K235" s="176"/>
      <c r="L235" s="176"/>
      <c r="M235" s="176"/>
      <c r="N235" s="176"/>
      <c r="O235" s="176"/>
      <c r="P235" s="176"/>
      <c r="Q235" s="176"/>
      <c r="R235" s="176"/>
      <c r="S235" s="176"/>
      <c r="T235" s="176"/>
      <c r="U235" s="176"/>
      <c r="V235" s="176"/>
      <c r="W235" s="176"/>
      <c r="X235" s="176"/>
      <c r="Y235" s="176"/>
      <c r="Z235" s="176"/>
    </row>
    <row r="236" spans="1:26">
      <c r="A236" s="221">
        <v>240</v>
      </c>
      <c r="B236" s="177" t="s">
        <v>6534</v>
      </c>
      <c r="C236" s="177" t="s">
        <v>6577</v>
      </c>
      <c r="D236" s="177" t="s">
        <v>6218</v>
      </c>
      <c r="E236" s="177" t="s">
        <v>1265</v>
      </c>
      <c r="F236" s="177" t="s">
        <v>6581</v>
      </c>
      <c r="G236" s="176"/>
      <c r="H236" s="176"/>
      <c r="I236" s="176"/>
      <c r="J236" s="176"/>
      <c r="K236" s="176"/>
      <c r="L236" s="176"/>
      <c r="M236" s="176"/>
      <c r="N236" s="176"/>
      <c r="O236" s="176"/>
      <c r="P236" s="176"/>
      <c r="Q236" s="176"/>
      <c r="R236" s="176"/>
      <c r="S236" s="176"/>
      <c r="T236" s="176"/>
      <c r="U236" s="176"/>
      <c r="V236" s="176"/>
      <c r="W236" s="176"/>
      <c r="X236" s="176"/>
      <c r="Y236" s="176"/>
      <c r="Z236" s="176"/>
    </row>
    <row r="237" spans="1:26">
      <c r="A237" s="221">
        <v>241</v>
      </c>
      <c r="B237" s="177" t="s">
        <v>6534</v>
      </c>
      <c r="C237" s="177" t="s">
        <v>6577</v>
      </c>
      <c r="D237" s="177" t="s">
        <v>6218</v>
      </c>
      <c r="E237" s="177" t="s">
        <v>1267</v>
      </c>
      <c r="F237" s="177" t="s">
        <v>6582</v>
      </c>
      <c r="G237" s="176"/>
      <c r="H237" s="176"/>
      <c r="I237" s="176"/>
      <c r="J237" s="176"/>
      <c r="K237" s="176"/>
      <c r="L237" s="176"/>
      <c r="M237" s="176"/>
      <c r="N237" s="176"/>
      <c r="O237" s="176"/>
      <c r="P237" s="176"/>
      <c r="Q237" s="176"/>
      <c r="R237" s="176"/>
      <c r="S237" s="176"/>
      <c r="T237" s="176"/>
      <c r="U237" s="176"/>
      <c r="V237" s="176"/>
      <c r="W237" s="176"/>
      <c r="X237" s="176"/>
      <c r="Y237" s="176"/>
      <c r="Z237" s="176"/>
    </row>
    <row r="238" spans="1:26">
      <c r="A238" s="221">
        <v>242</v>
      </c>
      <c r="B238" s="177" t="s">
        <v>6534</v>
      </c>
      <c r="C238" s="177" t="s">
        <v>6577</v>
      </c>
      <c r="D238" s="177" t="s">
        <v>6218</v>
      </c>
      <c r="E238" s="177" t="s">
        <v>1269</v>
      </c>
      <c r="F238" s="177" t="s">
        <v>6583</v>
      </c>
      <c r="G238" s="176"/>
      <c r="H238" s="176"/>
      <c r="I238" s="176"/>
      <c r="J238" s="176"/>
      <c r="K238" s="176"/>
      <c r="L238" s="176"/>
      <c r="M238" s="176"/>
      <c r="N238" s="176"/>
      <c r="O238" s="176"/>
      <c r="P238" s="176"/>
      <c r="Q238" s="176"/>
      <c r="R238" s="176"/>
      <c r="S238" s="176"/>
      <c r="T238" s="176"/>
      <c r="U238" s="176"/>
      <c r="V238" s="176"/>
      <c r="W238" s="176"/>
      <c r="X238" s="176"/>
      <c r="Y238" s="176"/>
      <c r="Z238" s="176"/>
    </row>
    <row r="239" spans="1:26">
      <c r="A239" s="221">
        <v>243</v>
      </c>
      <c r="B239" s="177" t="s">
        <v>6534</v>
      </c>
      <c r="C239" s="177" t="s">
        <v>6584</v>
      </c>
      <c r="D239" s="177" t="s">
        <v>6218</v>
      </c>
      <c r="E239" s="177" t="s">
        <v>3917</v>
      </c>
      <c r="F239" s="177" t="s">
        <v>44</v>
      </c>
      <c r="G239" s="176"/>
      <c r="H239" s="176"/>
      <c r="I239" s="176"/>
      <c r="J239" s="176"/>
      <c r="K239" s="176"/>
      <c r="L239" s="176"/>
      <c r="M239" s="176"/>
      <c r="N239" s="176"/>
      <c r="O239" s="176"/>
      <c r="P239" s="176"/>
      <c r="Q239" s="176"/>
      <c r="R239" s="176"/>
      <c r="S239" s="176"/>
      <c r="T239" s="176"/>
      <c r="U239" s="176"/>
      <c r="V239" s="176"/>
      <c r="W239" s="176"/>
      <c r="X239" s="176"/>
      <c r="Y239" s="176"/>
      <c r="Z239" s="176"/>
    </row>
    <row r="240" spans="1:26">
      <c r="A240" s="221">
        <v>244</v>
      </c>
      <c r="B240" s="177" t="s">
        <v>6534</v>
      </c>
      <c r="C240" s="177" t="s">
        <v>6584</v>
      </c>
      <c r="D240" s="177" t="s">
        <v>6218</v>
      </c>
      <c r="E240" s="177" t="s">
        <v>6585</v>
      </c>
      <c r="F240" s="177" t="s">
        <v>44</v>
      </c>
      <c r="G240" s="176"/>
      <c r="H240" s="176"/>
      <c r="I240" s="176"/>
      <c r="J240" s="176"/>
      <c r="K240" s="176"/>
      <c r="L240" s="176"/>
      <c r="M240" s="176"/>
      <c r="N240" s="176"/>
      <c r="O240" s="176"/>
      <c r="P240" s="176"/>
      <c r="Q240" s="176"/>
      <c r="R240" s="176"/>
      <c r="S240" s="176"/>
      <c r="T240" s="176"/>
      <c r="U240" s="176"/>
      <c r="V240" s="176"/>
      <c r="W240" s="176"/>
      <c r="X240" s="176"/>
      <c r="Y240" s="176"/>
      <c r="Z240" s="176"/>
    </row>
    <row r="241" spans="1:26">
      <c r="A241" s="221">
        <v>245</v>
      </c>
      <c r="B241" s="177" t="s">
        <v>6534</v>
      </c>
      <c r="C241" s="177" t="s">
        <v>6584</v>
      </c>
      <c r="D241" s="177" t="s">
        <v>6218</v>
      </c>
      <c r="E241" s="177" t="s">
        <v>6586</v>
      </c>
      <c r="F241" s="177" t="s">
        <v>44</v>
      </c>
      <c r="G241" s="176"/>
      <c r="H241" s="176"/>
      <c r="I241" s="176"/>
      <c r="J241" s="176"/>
      <c r="K241" s="176"/>
      <c r="L241" s="176"/>
      <c r="M241" s="176"/>
      <c r="N241" s="176"/>
      <c r="O241" s="176"/>
      <c r="P241" s="176"/>
      <c r="Q241" s="176"/>
      <c r="R241" s="176"/>
      <c r="S241" s="176"/>
      <c r="T241" s="176"/>
      <c r="U241" s="176"/>
      <c r="V241" s="176"/>
      <c r="W241" s="176"/>
      <c r="X241" s="176"/>
      <c r="Y241" s="176"/>
      <c r="Z241" s="176"/>
    </row>
    <row r="242" spans="1:26">
      <c r="A242" s="221">
        <v>246</v>
      </c>
      <c r="B242" s="177" t="s">
        <v>6534</v>
      </c>
      <c r="C242" s="177" t="s">
        <v>6584</v>
      </c>
      <c r="D242" s="177" t="s">
        <v>6218</v>
      </c>
      <c r="E242" s="177" t="s">
        <v>6587</v>
      </c>
      <c r="F242" s="177" t="s">
        <v>44</v>
      </c>
      <c r="G242" s="176"/>
      <c r="H242" s="176"/>
      <c r="I242" s="176"/>
      <c r="J242" s="176"/>
      <c r="K242" s="176"/>
      <c r="L242" s="176"/>
      <c r="M242" s="176"/>
      <c r="N242" s="176"/>
      <c r="O242" s="176"/>
      <c r="P242" s="176"/>
      <c r="Q242" s="176"/>
      <c r="R242" s="176"/>
      <c r="S242" s="176"/>
      <c r="T242" s="176"/>
      <c r="U242" s="176"/>
      <c r="V242" s="176"/>
      <c r="W242" s="176"/>
      <c r="X242" s="176"/>
      <c r="Y242" s="176"/>
      <c r="Z242" s="176"/>
    </row>
    <row r="243" spans="1:26">
      <c r="A243" s="221">
        <v>247</v>
      </c>
      <c r="B243" s="177" t="s">
        <v>6534</v>
      </c>
      <c r="C243" s="177" t="s">
        <v>6584</v>
      </c>
      <c r="D243" s="177" t="s">
        <v>6218</v>
      </c>
      <c r="E243" s="177" t="s">
        <v>6588</v>
      </c>
      <c r="F243" s="177" t="s">
        <v>44</v>
      </c>
      <c r="G243" s="176"/>
      <c r="H243" s="176"/>
      <c r="I243" s="176"/>
      <c r="J243" s="176"/>
      <c r="K243" s="176"/>
      <c r="L243" s="176"/>
      <c r="M243" s="176"/>
      <c r="N243" s="176"/>
      <c r="O243" s="176"/>
      <c r="P243" s="176"/>
      <c r="Q243" s="176"/>
      <c r="R243" s="176"/>
      <c r="S243" s="176"/>
      <c r="T243" s="176"/>
      <c r="U243" s="176"/>
      <c r="V243" s="176"/>
      <c r="W243" s="176"/>
      <c r="X243" s="176"/>
      <c r="Y243" s="176"/>
      <c r="Z243" s="176"/>
    </row>
    <row r="244" spans="1:26">
      <c r="A244" s="221">
        <v>248</v>
      </c>
      <c r="B244" s="177" t="s">
        <v>6534</v>
      </c>
      <c r="C244" s="177" t="s">
        <v>6589</v>
      </c>
      <c r="D244" s="177" t="s">
        <v>6218</v>
      </c>
      <c r="E244" s="177" t="s">
        <v>6590</v>
      </c>
      <c r="F244" s="177" t="s">
        <v>44</v>
      </c>
      <c r="G244" s="176"/>
      <c r="H244" s="176"/>
      <c r="I244" s="176"/>
      <c r="J244" s="176"/>
      <c r="K244" s="176"/>
      <c r="L244" s="176"/>
      <c r="M244" s="176"/>
      <c r="N244" s="176"/>
      <c r="O244" s="176"/>
      <c r="P244" s="176"/>
      <c r="Q244" s="176"/>
      <c r="R244" s="176"/>
      <c r="S244" s="176"/>
      <c r="T244" s="176"/>
      <c r="U244" s="176"/>
      <c r="V244" s="176"/>
      <c r="W244" s="176"/>
      <c r="X244" s="176"/>
      <c r="Y244" s="176"/>
      <c r="Z244" s="176"/>
    </row>
    <row r="245" spans="1:26">
      <c r="A245" s="221">
        <v>249</v>
      </c>
      <c r="B245" s="177" t="s">
        <v>6534</v>
      </c>
      <c r="C245" s="177" t="s">
        <v>6589</v>
      </c>
      <c r="D245" s="177" t="s">
        <v>6218</v>
      </c>
      <c r="E245" s="177" t="s">
        <v>6591</v>
      </c>
      <c r="F245" s="177" t="s">
        <v>44</v>
      </c>
      <c r="G245" s="176"/>
      <c r="H245" s="176"/>
      <c r="I245" s="176"/>
      <c r="J245" s="176"/>
      <c r="K245" s="176"/>
      <c r="L245" s="176"/>
      <c r="M245" s="176"/>
      <c r="N245" s="176"/>
      <c r="O245" s="176"/>
      <c r="P245" s="176"/>
      <c r="Q245" s="176"/>
      <c r="R245" s="176"/>
      <c r="S245" s="176"/>
      <c r="T245" s="176"/>
      <c r="U245" s="176"/>
      <c r="V245" s="176"/>
      <c r="W245" s="176"/>
      <c r="X245" s="176"/>
      <c r="Y245" s="176"/>
      <c r="Z245" s="176"/>
    </row>
    <row r="246" spans="1:26">
      <c r="A246" s="221">
        <v>250</v>
      </c>
      <c r="B246" s="177" t="s">
        <v>6534</v>
      </c>
      <c r="C246" s="177" t="s">
        <v>6589</v>
      </c>
      <c r="D246" s="177" t="s">
        <v>6218</v>
      </c>
      <c r="E246" s="177" t="s">
        <v>6592</v>
      </c>
      <c r="F246" s="177" t="s">
        <v>44</v>
      </c>
      <c r="G246" s="176"/>
      <c r="H246" s="176"/>
      <c r="I246" s="176"/>
      <c r="J246" s="176"/>
      <c r="K246" s="176"/>
      <c r="L246" s="176"/>
      <c r="M246" s="176"/>
      <c r="N246" s="176"/>
      <c r="O246" s="176"/>
      <c r="P246" s="176"/>
      <c r="Q246" s="176"/>
      <c r="R246" s="176"/>
      <c r="S246" s="176"/>
      <c r="T246" s="176"/>
      <c r="U246" s="176"/>
      <c r="V246" s="176"/>
      <c r="W246" s="176"/>
      <c r="X246" s="176"/>
      <c r="Y246" s="176"/>
      <c r="Z246" s="176"/>
    </row>
    <row r="247" spans="1:26">
      <c r="A247" s="221">
        <v>251</v>
      </c>
      <c r="B247" s="177" t="s">
        <v>6534</v>
      </c>
      <c r="C247" s="177" t="s">
        <v>6589</v>
      </c>
      <c r="D247" s="177" t="s">
        <v>6218</v>
      </c>
      <c r="E247" s="177" t="s">
        <v>6593</v>
      </c>
      <c r="F247" s="177" t="s">
        <v>44</v>
      </c>
      <c r="G247" s="176"/>
      <c r="H247" s="176"/>
      <c r="I247" s="176"/>
      <c r="J247" s="176"/>
      <c r="K247" s="176"/>
      <c r="L247" s="176"/>
      <c r="M247" s="176"/>
      <c r="N247" s="176"/>
      <c r="O247" s="176"/>
      <c r="P247" s="176"/>
      <c r="Q247" s="176"/>
      <c r="R247" s="176"/>
      <c r="S247" s="176"/>
      <c r="T247" s="176"/>
      <c r="U247" s="176"/>
      <c r="V247" s="176"/>
      <c r="W247" s="176"/>
      <c r="X247" s="176"/>
      <c r="Y247" s="176"/>
      <c r="Z247" s="176"/>
    </row>
    <row r="248" spans="1:26">
      <c r="A248" s="221">
        <v>252</v>
      </c>
      <c r="B248" s="177" t="s">
        <v>6534</v>
      </c>
      <c r="C248" s="177" t="s">
        <v>6589</v>
      </c>
      <c r="D248" s="177" t="s">
        <v>6218</v>
      </c>
      <c r="E248" s="177" t="s">
        <v>6594</v>
      </c>
      <c r="F248" s="177" t="s">
        <v>44</v>
      </c>
      <c r="G248" s="176"/>
      <c r="H248" s="176"/>
      <c r="I248" s="176"/>
      <c r="J248" s="176"/>
      <c r="K248" s="176"/>
      <c r="L248" s="176"/>
      <c r="M248" s="176"/>
      <c r="N248" s="176"/>
      <c r="O248" s="176"/>
      <c r="P248" s="176"/>
      <c r="Q248" s="176"/>
      <c r="R248" s="176"/>
      <c r="S248" s="176"/>
      <c r="T248" s="176"/>
      <c r="U248" s="176"/>
      <c r="V248" s="176"/>
      <c r="W248" s="176"/>
      <c r="X248" s="176"/>
      <c r="Y248" s="176"/>
      <c r="Z248" s="176"/>
    </row>
    <row r="249" spans="1:26">
      <c r="A249" s="221">
        <v>253</v>
      </c>
      <c r="B249" s="177" t="s">
        <v>6534</v>
      </c>
      <c r="C249" s="177" t="s">
        <v>6595</v>
      </c>
      <c r="D249" s="177" t="s">
        <v>6218</v>
      </c>
      <c r="E249" s="177" t="s">
        <v>6596</v>
      </c>
      <c r="F249" s="177" t="s">
        <v>44</v>
      </c>
      <c r="G249" s="176"/>
      <c r="H249" s="176"/>
      <c r="I249" s="176"/>
      <c r="J249" s="176"/>
      <c r="K249" s="176"/>
      <c r="L249" s="176"/>
      <c r="M249" s="176"/>
      <c r="N249" s="176"/>
      <c r="O249" s="176"/>
      <c r="P249" s="176"/>
      <c r="Q249" s="176"/>
      <c r="R249" s="176"/>
      <c r="S249" s="176"/>
      <c r="T249" s="176"/>
      <c r="U249" s="176"/>
      <c r="V249" s="176"/>
      <c r="W249" s="176"/>
      <c r="X249" s="176"/>
      <c r="Y249" s="176"/>
      <c r="Z249" s="176"/>
    </row>
    <row r="250" spans="1:26">
      <c r="A250" s="221">
        <v>254</v>
      </c>
      <c r="B250" s="177" t="s">
        <v>6534</v>
      </c>
      <c r="C250" s="177" t="s">
        <v>6595</v>
      </c>
      <c r="D250" s="177" t="s">
        <v>6218</v>
      </c>
      <c r="E250" s="177" t="s">
        <v>6597</v>
      </c>
      <c r="F250" s="177" t="s">
        <v>44</v>
      </c>
      <c r="G250" s="176"/>
      <c r="H250" s="176"/>
      <c r="I250" s="176"/>
      <c r="J250" s="176"/>
      <c r="K250" s="176"/>
      <c r="L250" s="176"/>
      <c r="M250" s="176"/>
      <c r="N250" s="176"/>
      <c r="O250" s="176"/>
      <c r="P250" s="176"/>
      <c r="Q250" s="176"/>
      <c r="R250" s="176"/>
      <c r="S250" s="176"/>
      <c r="T250" s="176"/>
      <c r="U250" s="176"/>
      <c r="V250" s="176"/>
      <c r="W250" s="176"/>
      <c r="X250" s="176"/>
      <c r="Y250" s="176"/>
      <c r="Z250" s="176"/>
    </row>
    <row r="251" spans="1:26">
      <c r="A251" s="221">
        <v>255</v>
      </c>
      <c r="B251" s="177" t="s">
        <v>6534</v>
      </c>
      <c r="C251" s="177" t="s">
        <v>6595</v>
      </c>
      <c r="D251" s="177" t="s">
        <v>6218</v>
      </c>
      <c r="E251" s="177" t="s">
        <v>6598</v>
      </c>
      <c r="F251" s="177" t="s">
        <v>44</v>
      </c>
      <c r="G251" s="176"/>
      <c r="H251" s="176"/>
      <c r="I251" s="176"/>
      <c r="J251" s="176"/>
      <c r="K251" s="176"/>
      <c r="L251" s="176"/>
      <c r="M251" s="176"/>
      <c r="N251" s="176"/>
      <c r="O251" s="176"/>
      <c r="P251" s="176"/>
      <c r="Q251" s="176"/>
      <c r="R251" s="176"/>
      <c r="S251" s="176"/>
      <c r="T251" s="176"/>
      <c r="U251" s="176"/>
      <c r="V251" s="176"/>
      <c r="W251" s="176"/>
      <c r="X251" s="176"/>
      <c r="Y251" s="176"/>
      <c r="Z251" s="176"/>
    </row>
    <row r="252" spans="1:26">
      <c r="A252" s="221">
        <v>256</v>
      </c>
      <c r="B252" s="177" t="s">
        <v>6534</v>
      </c>
      <c r="C252" s="177" t="s">
        <v>6599</v>
      </c>
      <c r="D252" s="177" t="s">
        <v>6124</v>
      </c>
      <c r="E252" s="177" t="s">
        <v>6600</v>
      </c>
      <c r="F252" s="177" t="s">
        <v>6601</v>
      </c>
      <c r="G252" s="176"/>
      <c r="H252" s="176"/>
      <c r="I252" s="176"/>
      <c r="J252" s="176"/>
      <c r="K252" s="176"/>
      <c r="L252" s="176"/>
      <c r="M252" s="176"/>
      <c r="N252" s="176"/>
      <c r="O252" s="176"/>
      <c r="P252" s="176"/>
      <c r="Q252" s="176"/>
      <c r="R252" s="176"/>
      <c r="S252" s="176"/>
      <c r="T252" s="176"/>
      <c r="U252" s="176"/>
      <c r="V252" s="176"/>
      <c r="W252" s="176"/>
      <c r="X252" s="176"/>
      <c r="Y252" s="176"/>
      <c r="Z252" s="176"/>
    </row>
    <row r="253" spans="1:26">
      <c r="A253" s="221">
        <v>257</v>
      </c>
      <c r="B253" s="177" t="s">
        <v>6534</v>
      </c>
      <c r="C253" s="177" t="s">
        <v>6599</v>
      </c>
      <c r="D253" s="177" t="s">
        <v>6124</v>
      </c>
      <c r="E253" s="177" t="s">
        <v>6602</v>
      </c>
      <c r="F253" s="177" t="s">
        <v>6603</v>
      </c>
      <c r="G253" s="176"/>
      <c r="H253" s="176"/>
      <c r="I253" s="176"/>
      <c r="J253" s="176"/>
      <c r="K253" s="176"/>
      <c r="L253" s="176"/>
      <c r="M253" s="176"/>
      <c r="N253" s="176"/>
      <c r="O253" s="176"/>
      <c r="P253" s="176"/>
      <c r="Q253" s="176"/>
      <c r="R253" s="176"/>
      <c r="S253" s="176"/>
      <c r="T253" s="176"/>
      <c r="U253" s="176"/>
      <c r="V253" s="176"/>
      <c r="W253" s="176"/>
      <c r="X253" s="176"/>
      <c r="Y253" s="176"/>
      <c r="Z253" s="176"/>
    </row>
    <row r="254" spans="1:26">
      <c r="A254" s="221">
        <v>263</v>
      </c>
      <c r="B254" s="177" t="s">
        <v>6604</v>
      </c>
      <c r="C254" s="177" t="s">
        <v>6605</v>
      </c>
      <c r="D254" s="177" t="s">
        <v>6218</v>
      </c>
      <c r="E254" s="177" t="s">
        <v>6606</v>
      </c>
      <c r="F254" s="177" t="s">
        <v>6607</v>
      </c>
      <c r="G254" s="176"/>
      <c r="H254" s="176"/>
      <c r="I254" s="176"/>
      <c r="J254" s="176"/>
      <c r="K254" s="176"/>
      <c r="L254" s="176"/>
      <c r="M254" s="176"/>
      <c r="N254" s="176"/>
      <c r="O254" s="176"/>
      <c r="P254" s="176"/>
      <c r="Q254" s="176"/>
      <c r="R254" s="176"/>
      <c r="S254" s="176"/>
      <c r="T254" s="176"/>
      <c r="U254" s="176"/>
      <c r="V254" s="176"/>
      <c r="W254" s="176"/>
      <c r="X254" s="176"/>
      <c r="Y254" s="176"/>
      <c r="Z254" s="176"/>
    </row>
    <row r="255" spans="1:26">
      <c r="A255" s="221">
        <v>264</v>
      </c>
      <c r="B255" s="177" t="s">
        <v>6604</v>
      </c>
      <c r="C255" s="177" t="s">
        <v>6605</v>
      </c>
      <c r="D255" s="177" t="s">
        <v>6218</v>
      </c>
      <c r="E255" s="177" t="s">
        <v>6608</v>
      </c>
      <c r="F255" s="177" t="s">
        <v>6609</v>
      </c>
      <c r="G255" s="176"/>
      <c r="H255" s="176"/>
      <c r="I255" s="176"/>
      <c r="J255" s="176"/>
      <c r="K255" s="176"/>
      <c r="L255" s="176"/>
      <c r="M255" s="176"/>
      <c r="N255" s="176"/>
      <c r="O255" s="176"/>
      <c r="P255" s="176"/>
      <c r="Q255" s="176"/>
      <c r="R255" s="176"/>
      <c r="S255" s="176"/>
      <c r="T255" s="176"/>
      <c r="U255" s="176"/>
      <c r="V255" s="176"/>
      <c r="W255" s="176"/>
      <c r="X255" s="176"/>
      <c r="Y255" s="176"/>
      <c r="Z255" s="176"/>
    </row>
    <row r="256" spans="1:26">
      <c r="A256" s="221">
        <v>265</v>
      </c>
      <c r="B256" s="177" t="s">
        <v>6604</v>
      </c>
      <c r="C256" s="177" t="s">
        <v>6605</v>
      </c>
      <c r="D256" s="177" t="s">
        <v>6218</v>
      </c>
      <c r="E256" s="177" t="s">
        <v>6610</v>
      </c>
      <c r="F256" s="177" t="s">
        <v>6611</v>
      </c>
      <c r="G256" s="176"/>
      <c r="H256" s="176"/>
      <c r="I256" s="176"/>
      <c r="J256" s="176"/>
      <c r="K256" s="176"/>
      <c r="L256" s="176"/>
      <c r="M256" s="176"/>
      <c r="N256" s="176"/>
      <c r="O256" s="176"/>
      <c r="P256" s="176"/>
      <c r="Q256" s="176"/>
      <c r="R256" s="176"/>
      <c r="S256" s="176"/>
      <c r="T256" s="176"/>
      <c r="U256" s="176"/>
      <c r="V256" s="176"/>
      <c r="W256" s="176"/>
      <c r="X256" s="176"/>
      <c r="Y256" s="176"/>
      <c r="Z256" s="176"/>
    </row>
    <row r="257" spans="1:26">
      <c r="A257" s="149">
        <v>267</v>
      </c>
      <c r="B257" s="103" t="s">
        <v>6612</v>
      </c>
      <c r="C257" s="103" t="s">
        <v>6613</v>
      </c>
      <c r="D257" s="103" t="s">
        <v>6124</v>
      </c>
      <c r="E257" s="103" t="s">
        <v>6614</v>
      </c>
      <c r="F257" s="103" t="s">
        <v>6615</v>
      </c>
    </row>
    <row r="258" spans="1:26">
      <c r="A258" s="149">
        <v>268</v>
      </c>
      <c r="B258" s="103" t="s">
        <v>6612</v>
      </c>
      <c r="C258" s="103" t="s">
        <v>6613</v>
      </c>
      <c r="D258" s="103" t="s">
        <v>6124</v>
      </c>
      <c r="E258" s="103" t="s">
        <v>6616</v>
      </c>
      <c r="F258" s="103" t="s">
        <v>6617</v>
      </c>
    </row>
    <row r="259" spans="1:26">
      <c r="A259" s="149">
        <v>269</v>
      </c>
      <c r="B259" s="103" t="s">
        <v>6612</v>
      </c>
      <c r="C259" s="103" t="s">
        <v>6613</v>
      </c>
      <c r="D259" s="103" t="s">
        <v>6124</v>
      </c>
      <c r="E259" s="103" t="s">
        <v>6618</v>
      </c>
      <c r="F259" s="103" t="s">
        <v>6619</v>
      </c>
    </row>
    <row r="260" spans="1:26">
      <c r="A260" s="149">
        <v>271</v>
      </c>
      <c r="B260" s="103" t="s">
        <v>6612</v>
      </c>
      <c r="C260" s="103" t="s">
        <v>6613</v>
      </c>
      <c r="D260" s="103" t="s">
        <v>6218</v>
      </c>
      <c r="E260" s="103" t="s">
        <v>6620</v>
      </c>
      <c r="F260" s="103" t="s">
        <v>6621</v>
      </c>
    </row>
    <row r="261" spans="1:26">
      <c r="A261" s="221">
        <v>273</v>
      </c>
      <c r="B261" s="177" t="s">
        <v>6622</v>
      </c>
      <c r="C261" s="177" t="s">
        <v>6623</v>
      </c>
      <c r="D261" s="177" t="s">
        <v>6124</v>
      </c>
      <c r="E261" s="177" t="s">
        <v>2316</v>
      </c>
      <c r="F261" s="177" t="s">
        <v>2317</v>
      </c>
      <c r="G261" s="176"/>
      <c r="H261" s="176"/>
      <c r="I261" s="176"/>
      <c r="J261" s="176"/>
      <c r="K261" s="176"/>
      <c r="L261" s="176"/>
      <c r="M261" s="176"/>
      <c r="N261" s="176"/>
      <c r="O261" s="176"/>
      <c r="P261" s="176"/>
      <c r="Q261" s="176"/>
      <c r="R261" s="176"/>
      <c r="S261" s="176"/>
      <c r="T261" s="176"/>
      <c r="U261" s="176"/>
      <c r="V261" s="176"/>
      <c r="W261" s="176"/>
      <c r="X261" s="176"/>
      <c r="Y261" s="176"/>
      <c r="Z261" s="176"/>
    </row>
    <row r="262" spans="1:26">
      <c r="A262" s="221">
        <v>274</v>
      </c>
      <c r="B262" s="177" t="s">
        <v>6622</v>
      </c>
      <c r="C262" s="177" t="s">
        <v>6623</v>
      </c>
      <c r="D262" s="177" t="s">
        <v>6124</v>
      </c>
      <c r="E262" s="177" t="s">
        <v>2318</v>
      </c>
      <c r="F262" s="177" t="s">
        <v>2319</v>
      </c>
      <c r="G262" s="176"/>
      <c r="H262" s="176"/>
      <c r="I262" s="176"/>
      <c r="J262" s="176"/>
      <c r="K262" s="176"/>
      <c r="L262" s="176"/>
      <c r="M262" s="176"/>
      <c r="N262" s="176"/>
      <c r="O262" s="176"/>
      <c r="P262" s="176"/>
      <c r="Q262" s="176"/>
      <c r="R262" s="176"/>
      <c r="S262" s="176"/>
      <c r="T262" s="176"/>
      <c r="U262" s="176"/>
      <c r="V262" s="176"/>
      <c r="W262" s="176"/>
      <c r="X262" s="176"/>
      <c r="Y262" s="176"/>
      <c r="Z262" s="176"/>
    </row>
    <row r="263" spans="1:26">
      <c r="A263" s="221">
        <v>275</v>
      </c>
      <c r="B263" s="177" t="s">
        <v>6622</v>
      </c>
      <c r="C263" s="177" t="s">
        <v>6623</v>
      </c>
      <c r="D263" s="177" t="s">
        <v>6124</v>
      </c>
      <c r="E263" s="177" t="s">
        <v>2320</v>
      </c>
      <c r="F263" s="177" t="s">
        <v>2321</v>
      </c>
      <c r="G263" s="176"/>
      <c r="H263" s="176"/>
      <c r="I263" s="176"/>
      <c r="J263" s="176"/>
      <c r="K263" s="176"/>
      <c r="L263" s="176"/>
      <c r="M263" s="176"/>
      <c r="N263" s="176"/>
      <c r="O263" s="176"/>
      <c r="P263" s="176"/>
      <c r="Q263" s="176"/>
      <c r="R263" s="176"/>
      <c r="S263" s="176"/>
      <c r="T263" s="176"/>
      <c r="U263" s="176"/>
      <c r="V263" s="176"/>
      <c r="W263" s="176"/>
      <c r="X263" s="176"/>
      <c r="Y263" s="176"/>
      <c r="Z263" s="176"/>
    </row>
    <row r="264" spans="1:26">
      <c r="A264" s="221">
        <v>276</v>
      </c>
      <c r="B264" s="177" t="s">
        <v>6622</v>
      </c>
      <c r="C264" s="177" t="s">
        <v>6623</v>
      </c>
      <c r="D264" s="177" t="s">
        <v>6124</v>
      </c>
      <c r="E264" s="177" t="s">
        <v>2322</v>
      </c>
      <c r="F264" s="177" t="s">
        <v>2323</v>
      </c>
      <c r="G264" s="176"/>
      <c r="H264" s="176"/>
      <c r="I264" s="176"/>
      <c r="J264" s="176"/>
      <c r="K264" s="176"/>
      <c r="L264" s="176"/>
      <c r="M264" s="176"/>
      <c r="N264" s="176"/>
      <c r="O264" s="176"/>
      <c r="P264" s="176"/>
      <c r="Q264" s="176"/>
      <c r="R264" s="176"/>
      <c r="S264" s="176"/>
      <c r="T264" s="176"/>
      <c r="U264" s="176"/>
      <c r="V264" s="176"/>
      <c r="W264" s="176"/>
      <c r="X264" s="176"/>
      <c r="Y264" s="176"/>
      <c r="Z264" s="176"/>
    </row>
    <row r="265" spans="1:26">
      <c r="A265" s="149">
        <v>278</v>
      </c>
      <c r="B265" s="103" t="s">
        <v>6624</v>
      </c>
      <c r="C265" s="103" t="s">
        <v>6625</v>
      </c>
      <c r="D265" s="103" t="s">
        <v>6218</v>
      </c>
      <c r="E265" s="103" t="s">
        <v>6626</v>
      </c>
      <c r="F265" s="103" t="s">
        <v>6627</v>
      </c>
    </row>
    <row r="266" spans="1:26">
      <c r="A266" s="149">
        <v>279</v>
      </c>
      <c r="B266" s="103" t="s">
        <v>6624</v>
      </c>
      <c r="C266" s="103" t="s">
        <v>6625</v>
      </c>
      <c r="D266" s="103" t="s">
        <v>6124</v>
      </c>
      <c r="E266" s="103" t="s">
        <v>6628</v>
      </c>
      <c r="F266" s="103" t="s">
        <v>6629</v>
      </c>
    </row>
    <row r="267" spans="1:26">
      <c r="A267" s="221">
        <v>280</v>
      </c>
      <c r="B267" s="177" t="s">
        <v>6122</v>
      </c>
      <c r="C267" s="177" t="s">
        <v>6630</v>
      </c>
      <c r="D267" s="177" t="s">
        <v>6124</v>
      </c>
      <c r="E267" s="177" t="s">
        <v>6125</v>
      </c>
      <c r="F267" s="177" t="s">
        <v>6631</v>
      </c>
      <c r="G267" s="176"/>
      <c r="H267" s="176"/>
      <c r="I267" s="176"/>
      <c r="J267" s="176"/>
      <c r="K267" s="176"/>
      <c r="L267" s="176"/>
      <c r="M267" s="176"/>
      <c r="N267" s="176"/>
      <c r="O267" s="176"/>
      <c r="P267" s="176"/>
      <c r="Q267" s="176"/>
      <c r="R267" s="176"/>
      <c r="S267" s="176"/>
      <c r="T267" s="176"/>
      <c r="U267" s="176"/>
      <c r="V267" s="176"/>
      <c r="W267" s="176"/>
      <c r="X267" s="176"/>
      <c r="Y267" s="176"/>
      <c r="Z267" s="176"/>
    </row>
    <row r="268" spans="1:26">
      <c r="A268" s="221">
        <v>281</v>
      </c>
      <c r="B268" s="177" t="s">
        <v>6122</v>
      </c>
      <c r="C268" s="177" t="s">
        <v>6630</v>
      </c>
      <c r="D268" s="177" t="s">
        <v>6124</v>
      </c>
      <c r="E268" s="177" t="s">
        <v>6137</v>
      </c>
      <c r="F268" s="177" t="s">
        <v>6632</v>
      </c>
      <c r="G268" s="176"/>
      <c r="H268" s="176"/>
      <c r="I268" s="176"/>
      <c r="J268" s="176"/>
      <c r="K268" s="176"/>
      <c r="L268" s="176"/>
      <c r="M268" s="176"/>
      <c r="N268" s="176"/>
      <c r="O268" s="176"/>
      <c r="P268" s="176"/>
      <c r="Q268" s="176"/>
      <c r="R268" s="176"/>
      <c r="S268" s="176"/>
      <c r="T268" s="176"/>
      <c r="U268" s="176"/>
      <c r="V268" s="176"/>
      <c r="W268" s="176"/>
      <c r="X268" s="176"/>
      <c r="Y268" s="176"/>
      <c r="Z268" s="176"/>
    </row>
    <row r="269" spans="1:26">
      <c r="A269" s="221">
        <v>282</v>
      </c>
      <c r="B269" s="177" t="s">
        <v>6122</v>
      </c>
      <c r="C269" s="177" t="s">
        <v>6630</v>
      </c>
      <c r="D269" s="177" t="s">
        <v>6124</v>
      </c>
      <c r="E269" s="177" t="s">
        <v>6129</v>
      </c>
      <c r="F269" s="177" t="s">
        <v>6633</v>
      </c>
      <c r="G269" s="176"/>
      <c r="H269" s="176"/>
      <c r="I269" s="176"/>
      <c r="J269" s="176"/>
      <c r="K269" s="176"/>
      <c r="L269" s="176"/>
      <c r="M269" s="176"/>
      <c r="N269" s="176"/>
      <c r="O269" s="176"/>
      <c r="P269" s="176"/>
      <c r="Q269" s="176"/>
      <c r="R269" s="176"/>
      <c r="S269" s="176"/>
      <c r="T269" s="176"/>
      <c r="U269" s="176"/>
      <c r="V269" s="176"/>
      <c r="W269" s="176"/>
      <c r="X269" s="176"/>
      <c r="Y269" s="176"/>
      <c r="Z269" s="176"/>
    </row>
    <row r="270" spans="1:26">
      <c r="A270" s="221">
        <v>283</v>
      </c>
      <c r="B270" s="177" t="s">
        <v>6122</v>
      </c>
      <c r="C270" s="177" t="s">
        <v>6634</v>
      </c>
      <c r="D270" s="177" t="s">
        <v>6124</v>
      </c>
      <c r="E270" s="177" t="s">
        <v>6125</v>
      </c>
      <c r="F270" s="177" t="s">
        <v>6635</v>
      </c>
      <c r="G270" s="176"/>
      <c r="H270" s="176"/>
      <c r="I270" s="176"/>
      <c r="J270" s="176"/>
      <c r="K270" s="176"/>
      <c r="L270" s="176"/>
      <c r="M270" s="176"/>
      <c r="N270" s="176"/>
      <c r="O270" s="176"/>
      <c r="P270" s="176"/>
      <c r="Q270" s="176"/>
      <c r="R270" s="176"/>
      <c r="S270" s="176"/>
      <c r="T270" s="176"/>
      <c r="U270" s="176"/>
      <c r="V270" s="176"/>
      <c r="W270" s="176"/>
      <c r="X270" s="176"/>
      <c r="Y270" s="176"/>
      <c r="Z270" s="176"/>
    </row>
    <row r="271" spans="1:26">
      <c r="A271" s="221">
        <v>284</v>
      </c>
      <c r="B271" s="177" t="s">
        <v>6122</v>
      </c>
      <c r="C271" s="177" t="s">
        <v>6634</v>
      </c>
      <c r="D271" s="177" t="s">
        <v>6124</v>
      </c>
      <c r="E271" s="177" t="s">
        <v>6137</v>
      </c>
      <c r="F271" s="177" t="s">
        <v>6636</v>
      </c>
      <c r="G271" s="176"/>
      <c r="H271" s="176"/>
      <c r="I271" s="176"/>
      <c r="J271" s="176"/>
      <c r="K271" s="176"/>
      <c r="L271" s="176"/>
      <c r="M271" s="176"/>
      <c r="N271" s="176"/>
      <c r="O271" s="176"/>
      <c r="P271" s="176"/>
      <c r="Q271" s="176"/>
      <c r="R271" s="176"/>
      <c r="S271" s="176"/>
      <c r="T271" s="176"/>
      <c r="U271" s="176"/>
      <c r="V271" s="176"/>
      <c r="W271" s="176"/>
      <c r="X271" s="176"/>
      <c r="Y271" s="176"/>
      <c r="Z271" s="176"/>
    </row>
    <row r="272" spans="1:26">
      <c r="A272" s="221">
        <v>285</v>
      </c>
      <c r="B272" s="177" t="s">
        <v>6122</v>
      </c>
      <c r="C272" s="177" t="s">
        <v>6634</v>
      </c>
      <c r="D272" s="177" t="s">
        <v>6124</v>
      </c>
      <c r="E272" s="177" t="s">
        <v>6129</v>
      </c>
      <c r="F272" s="177" t="s">
        <v>6637</v>
      </c>
      <c r="G272" s="176"/>
      <c r="H272" s="176"/>
      <c r="I272" s="176"/>
      <c r="J272" s="176"/>
      <c r="K272" s="176"/>
      <c r="L272" s="176"/>
      <c r="M272" s="176"/>
      <c r="N272" s="176"/>
      <c r="O272" s="176"/>
      <c r="P272" s="176"/>
      <c r="Q272" s="176"/>
      <c r="R272" s="176"/>
      <c r="S272" s="176"/>
      <c r="T272" s="176"/>
      <c r="U272" s="176"/>
      <c r="V272" s="176"/>
      <c r="W272" s="176"/>
      <c r="X272" s="176"/>
      <c r="Y272" s="176"/>
      <c r="Z272" s="176"/>
    </row>
    <row r="273" spans="1:26">
      <c r="A273" s="221">
        <v>286</v>
      </c>
      <c r="B273" s="177" t="s">
        <v>6122</v>
      </c>
      <c r="C273" s="177" t="s">
        <v>6638</v>
      </c>
      <c r="D273" s="177" t="s">
        <v>6124</v>
      </c>
      <c r="E273" s="177" t="s">
        <v>6125</v>
      </c>
      <c r="F273" s="177" t="s">
        <v>6639</v>
      </c>
      <c r="G273" s="176"/>
      <c r="H273" s="176"/>
      <c r="I273" s="176"/>
      <c r="J273" s="176"/>
      <c r="K273" s="176"/>
      <c r="L273" s="176"/>
      <c r="M273" s="176"/>
      <c r="N273" s="176"/>
      <c r="O273" s="176"/>
      <c r="P273" s="176"/>
      <c r="Q273" s="176"/>
      <c r="R273" s="176"/>
      <c r="S273" s="176"/>
      <c r="T273" s="176"/>
      <c r="U273" s="176"/>
      <c r="V273" s="176"/>
      <c r="W273" s="176"/>
      <c r="X273" s="176"/>
      <c r="Y273" s="176"/>
      <c r="Z273" s="176"/>
    </row>
    <row r="274" spans="1:26">
      <c r="A274" s="221">
        <v>287</v>
      </c>
      <c r="B274" s="177" t="s">
        <v>6122</v>
      </c>
      <c r="C274" s="177" t="s">
        <v>6638</v>
      </c>
      <c r="D274" s="177" t="s">
        <v>6124</v>
      </c>
      <c r="E274" s="177" t="s">
        <v>6137</v>
      </c>
      <c r="F274" s="177" t="s">
        <v>6640</v>
      </c>
      <c r="G274" s="176"/>
      <c r="H274" s="176"/>
      <c r="I274" s="176"/>
      <c r="J274" s="176"/>
      <c r="K274" s="176"/>
      <c r="L274" s="176"/>
      <c r="M274" s="176"/>
      <c r="N274" s="176"/>
      <c r="O274" s="176"/>
      <c r="P274" s="176"/>
      <c r="Q274" s="176"/>
      <c r="R274" s="176"/>
      <c r="S274" s="176"/>
      <c r="T274" s="176"/>
      <c r="U274" s="176"/>
      <c r="V274" s="176"/>
      <c r="W274" s="176"/>
      <c r="X274" s="176"/>
      <c r="Y274" s="176"/>
      <c r="Z274" s="176"/>
    </row>
    <row r="275" spans="1:26">
      <c r="A275" s="221">
        <v>288</v>
      </c>
      <c r="B275" s="177" t="s">
        <v>6122</v>
      </c>
      <c r="C275" s="177" t="s">
        <v>6638</v>
      </c>
      <c r="D275" s="177" t="s">
        <v>6124</v>
      </c>
      <c r="E275" s="177" t="s">
        <v>6129</v>
      </c>
      <c r="F275" s="177" t="s">
        <v>6641</v>
      </c>
      <c r="G275" s="176"/>
      <c r="H275" s="176"/>
      <c r="I275" s="176"/>
      <c r="J275" s="176"/>
      <c r="K275" s="176"/>
      <c r="L275" s="176"/>
      <c r="M275" s="176"/>
      <c r="N275" s="176"/>
      <c r="O275" s="176"/>
      <c r="P275" s="176"/>
      <c r="Q275" s="176"/>
      <c r="R275" s="176"/>
      <c r="S275" s="176"/>
      <c r="T275" s="176"/>
      <c r="U275" s="176"/>
      <c r="V275" s="176"/>
      <c r="W275" s="176"/>
      <c r="X275" s="176"/>
      <c r="Y275" s="176"/>
      <c r="Z275" s="176"/>
    </row>
    <row r="276" spans="1:26">
      <c r="A276" s="221">
        <v>289</v>
      </c>
      <c r="B276" s="177" t="s">
        <v>6122</v>
      </c>
      <c r="C276" s="177" t="s">
        <v>6642</v>
      </c>
      <c r="D276" s="177" t="s">
        <v>6124</v>
      </c>
      <c r="E276" s="177" t="s">
        <v>6125</v>
      </c>
      <c r="F276" s="177" t="s">
        <v>6643</v>
      </c>
      <c r="G276" s="176"/>
      <c r="H276" s="176"/>
      <c r="I276" s="176"/>
      <c r="J276" s="176"/>
      <c r="K276" s="176"/>
      <c r="L276" s="176"/>
      <c r="M276" s="176"/>
      <c r="N276" s="176"/>
      <c r="O276" s="176"/>
      <c r="P276" s="176"/>
      <c r="Q276" s="176"/>
      <c r="R276" s="176"/>
      <c r="S276" s="176"/>
      <c r="T276" s="176"/>
      <c r="U276" s="176"/>
      <c r="V276" s="176"/>
      <c r="W276" s="176"/>
      <c r="X276" s="176"/>
      <c r="Y276" s="176"/>
      <c r="Z276" s="176"/>
    </row>
    <row r="277" spans="1:26">
      <c r="A277" s="221">
        <v>290</v>
      </c>
      <c r="B277" s="177" t="s">
        <v>6122</v>
      </c>
      <c r="C277" s="177" t="s">
        <v>6642</v>
      </c>
      <c r="D277" s="177" t="s">
        <v>6124</v>
      </c>
      <c r="E277" s="177" t="s">
        <v>6137</v>
      </c>
      <c r="F277" s="177" t="s">
        <v>6644</v>
      </c>
      <c r="G277" s="176"/>
      <c r="H277" s="176"/>
      <c r="I277" s="176"/>
      <c r="J277" s="176"/>
      <c r="K277" s="176"/>
      <c r="L277" s="176"/>
      <c r="M277" s="176"/>
      <c r="N277" s="176"/>
      <c r="O277" s="176"/>
      <c r="P277" s="176"/>
      <c r="Q277" s="176"/>
      <c r="R277" s="176"/>
      <c r="S277" s="176"/>
      <c r="T277" s="176"/>
      <c r="U277" s="176"/>
      <c r="V277" s="176"/>
      <c r="W277" s="176"/>
      <c r="X277" s="176"/>
      <c r="Y277" s="176"/>
      <c r="Z277" s="176"/>
    </row>
    <row r="278" spans="1:26">
      <c r="A278" s="221">
        <v>291</v>
      </c>
      <c r="B278" s="177" t="s">
        <v>6122</v>
      </c>
      <c r="C278" s="177" t="s">
        <v>6642</v>
      </c>
      <c r="D278" s="177" t="s">
        <v>6124</v>
      </c>
      <c r="E278" s="177" t="s">
        <v>6129</v>
      </c>
      <c r="F278" s="177" t="s">
        <v>6645</v>
      </c>
      <c r="G278" s="176"/>
      <c r="H278" s="176"/>
      <c r="I278" s="176"/>
      <c r="J278" s="176"/>
      <c r="K278" s="176"/>
      <c r="L278" s="176"/>
      <c r="M278" s="176"/>
      <c r="N278" s="176"/>
      <c r="O278" s="176"/>
      <c r="P278" s="176"/>
      <c r="Q278" s="176"/>
      <c r="R278" s="176"/>
      <c r="S278" s="176"/>
      <c r="T278" s="176"/>
      <c r="U278" s="176"/>
      <c r="V278" s="176"/>
      <c r="W278" s="176"/>
      <c r="X278" s="176"/>
      <c r="Y278" s="176"/>
      <c r="Z278" s="176"/>
    </row>
    <row r="279" spans="1:26">
      <c r="A279" s="221">
        <v>292</v>
      </c>
      <c r="B279" s="177" t="s">
        <v>6646</v>
      </c>
      <c r="C279" s="177" t="s">
        <v>6647</v>
      </c>
      <c r="D279" s="177" t="s">
        <v>6218</v>
      </c>
      <c r="E279" s="177" t="s">
        <v>1225</v>
      </c>
      <c r="F279" s="177" t="s">
        <v>1226</v>
      </c>
      <c r="G279" s="176"/>
      <c r="H279" s="176"/>
      <c r="I279" s="176"/>
      <c r="J279" s="176"/>
      <c r="K279" s="176"/>
      <c r="L279" s="176"/>
      <c r="M279" s="176"/>
      <c r="N279" s="176"/>
      <c r="O279" s="176"/>
      <c r="P279" s="176"/>
      <c r="Q279" s="176"/>
      <c r="R279" s="176"/>
      <c r="S279" s="176"/>
      <c r="T279" s="176"/>
      <c r="U279" s="176"/>
      <c r="V279" s="176"/>
      <c r="W279" s="176"/>
      <c r="X279" s="176"/>
      <c r="Y279" s="176"/>
      <c r="Z279" s="176"/>
    </row>
    <row r="280" spans="1:26">
      <c r="A280" s="221">
        <v>293</v>
      </c>
      <c r="B280" s="177" t="s">
        <v>6646</v>
      </c>
      <c r="C280" s="177" t="s">
        <v>6647</v>
      </c>
      <c r="D280" s="177" t="s">
        <v>6218</v>
      </c>
      <c r="E280" s="177" t="s">
        <v>1227</v>
      </c>
      <c r="F280" s="177" t="s">
        <v>1228</v>
      </c>
      <c r="G280" s="176"/>
      <c r="H280" s="176"/>
      <c r="I280" s="176"/>
      <c r="J280" s="176"/>
      <c r="K280" s="176"/>
      <c r="L280" s="176"/>
      <c r="M280" s="176"/>
      <c r="N280" s="176"/>
      <c r="O280" s="176"/>
      <c r="P280" s="176"/>
      <c r="Q280" s="176"/>
      <c r="R280" s="176"/>
      <c r="S280" s="176"/>
      <c r="T280" s="176"/>
      <c r="U280" s="176"/>
      <c r="V280" s="176"/>
      <c r="W280" s="176"/>
      <c r="X280" s="176"/>
      <c r="Y280" s="176"/>
      <c r="Z280" s="176"/>
    </row>
    <row r="281" spans="1:26">
      <c r="A281" s="221">
        <v>294</v>
      </c>
      <c r="B281" s="177" t="s">
        <v>6646</v>
      </c>
      <c r="C281" s="177" t="s">
        <v>6647</v>
      </c>
      <c r="D281" s="177" t="s">
        <v>6218</v>
      </c>
      <c r="E281" s="177" t="s">
        <v>1229</v>
      </c>
      <c r="F281" s="177" t="s">
        <v>1230</v>
      </c>
      <c r="G281" s="176"/>
      <c r="H281" s="176"/>
      <c r="I281" s="176"/>
      <c r="J281" s="176"/>
      <c r="K281" s="176"/>
      <c r="L281" s="176"/>
      <c r="M281" s="176"/>
      <c r="N281" s="176"/>
      <c r="O281" s="176"/>
      <c r="P281" s="176"/>
      <c r="Q281" s="176"/>
      <c r="R281" s="176"/>
      <c r="S281" s="176"/>
      <c r="T281" s="176"/>
      <c r="U281" s="176"/>
      <c r="V281" s="176"/>
      <c r="W281" s="176"/>
      <c r="X281" s="176"/>
      <c r="Y281" s="176"/>
      <c r="Z281" s="176"/>
    </row>
    <row r="282" spans="1:26">
      <c r="A282" s="221">
        <v>295</v>
      </c>
      <c r="B282" s="177" t="s">
        <v>6646</v>
      </c>
      <c r="C282" s="177" t="s">
        <v>6647</v>
      </c>
      <c r="D282" s="177" t="s">
        <v>6218</v>
      </c>
      <c r="E282" s="177" t="s">
        <v>1231</v>
      </c>
      <c r="F282" s="177" t="s">
        <v>1232</v>
      </c>
      <c r="G282" s="176"/>
      <c r="H282" s="176"/>
      <c r="I282" s="176"/>
      <c r="J282" s="176"/>
      <c r="K282" s="176"/>
      <c r="L282" s="176"/>
      <c r="M282" s="176"/>
      <c r="N282" s="176"/>
      <c r="O282" s="176"/>
      <c r="P282" s="176"/>
      <c r="Q282" s="176"/>
      <c r="R282" s="176"/>
      <c r="S282" s="176"/>
      <c r="T282" s="176"/>
      <c r="U282" s="176"/>
      <c r="V282" s="176"/>
      <c r="W282" s="176"/>
      <c r="X282" s="176"/>
      <c r="Y282" s="176"/>
      <c r="Z282" s="176"/>
    </row>
    <row r="283" spans="1:26">
      <c r="A283" s="221">
        <v>296</v>
      </c>
      <c r="B283" s="177" t="s">
        <v>6646</v>
      </c>
      <c r="C283" s="177" t="s">
        <v>6647</v>
      </c>
      <c r="D283" s="177" t="s">
        <v>6218</v>
      </c>
      <c r="E283" s="177" t="s">
        <v>1233</v>
      </c>
      <c r="F283" s="177" t="s">
        <v>1234</v>
      </c>
      <c r="G283" s="176"/>
      <c r="H283" s="176"/>
      <c r="I283" s="176"/>
      <c r="J283" s="176"/>
      <c r="K283" s="176"/>
      <c r="L283" s="176"/>
      <c r="M283" s="176"/>
      <c r="N283" s="176"/>
      <c r="O283" s="176"/>
      <c r="P283" s="176"/>
      <c r="Q283" s="176"/>
      <c r="R283" s="176"/>
      <c r="S283" s="176"/>
      <c r="T283" s="176"/>
      <c r="U283" s="176"/>
      <c r="V283" s="176"/>
      <c r="W283" s="176"/>
      <c r="X283" s="176"/>
      <c r="Y283" s="176"/>
      <c r="Z283" s="176"/>
    </row>
    <row r="284" spans="1:26">
      <c r="A284" s="221">
        <v>297</v>
      </c>
      <c r="B284" s="177" t="s">
        <v>6646</v>
      </c>
      <c r="C284" s="177" t="s">
        <v>6647</v>
      </c>
      <c r="D284" s="177" t="s">
        <v>6218</v>
      </c>
      <c r="E284" s="177" t="s">
        <v>1235</v>
      </c>
      <c r="F284" s="177" t="s">
        <v>1236</v>
      </c>
      <c r="G284" s="176"/>
      <c r="H284" s="176"/>
      <c r="I284" s="176"/>
      <c r="J284" s="176"/>
      <c r="K284" s="176"/>
      <c r="L284" s="176"/>
      <c r="M284" s="176"/>
      <c r="N284" s="176"/>
      <c r="O284" s="176"/>
      <c r="P284" s="176"/>
      <c r="Q284" s="176"/>
      <c r="R284" s="176"/>
      <c r="S284" s="176"/>
      <c r="T284" s="176"/>
      <c r="U284" s="176"/>
      <c r="V284" s="176"/>
      <c r="W284" s="176"/>
      <c r="X284" s="176"/>
      <c r="Y284" s="176"/>
      <c r="Z284" s="176"/>
    </row>
    <row r="285" spans="1:26">
      <c r="A285" s="221">
        <v>298</v>
      </c>
      <c r="B285" s="177" t="s">
        <v>6646</v>
      </c>
      <c r="C285" s="177" t="s">
        <v>6647</v>
      </c>
      <c r="D285" s="177" t="s">
        <v>6218</v>
      </c>
      <c r="E285" s="177" t="s">
        <v>1237</v>
      </c>
      <c r="F285" s="177" t="s">
        <v>1238</v>
      </c>
      <c r="G285" s="176"/>
      <c r="H285" s="176"/>
      <c r="I285" s="176"/>
      <c r="J285" s="176"/>
      <c r="K285" s="176"/>
      <c r="L285" s="176"/>
      <c r="M285" s="176"/>
      <c r="N285" s="176"/>
      <c r="O285" s="176"/>
      <c r="P285" s="176"/>
      <c r="Q285" s="176"/>
      <c r="R285" s="176"/>
      <c r="S285" s="176"/>
      <c r="T285" s="176"/>
      <c r="U285" s="176"/>
      <c r="V285" s="176"/>
      <c r="W285" s="176"/>
      <c r="X285" s="176"/>
      <c r="Y285" s="176"/>
      <c r="Z285" s="176"/>
    </row>
    <row r="286" spans="1:26">
      <c r="A286" s="221">
        <v>299</v>
      </c>
      <c r="B286" s="177" t="s">
        <v>6646</v>
      </c>
      <c r="C286" s="177" t="s">
        <v>6648</v>
      </c>
      <c r="D286" s="177" t="s">
        <v>6124</v>
      </c>
      <c r="E286" s="177" t="s">
        <v>1208</v>
      </c>
      <c r="F286" s="177" t="s">
        <v>1209</v>
      </c>
      <c r="G286" s="176"/>
      <c r="H286" s="176"/>
      <c r="I286" s="176"/>
      <c r="J286" s="176"/>
      <c r="K286" s="176"/>
      <c r="L286" s="176"/>
      <c r="M286" s="176"/>
      <c r="N286" s="176"/>
      <c r="O286" s="176"/>
      <c r="P286" s="176"/>
      <c r="Q286" s="176"/>
      <c r="R286" s="176"/>
      <c r="S286" s="176"/>
      <c r="T286" s="176"/>
      <c r="U286" s="176"/>
      <c r="V286" s="176"/>
      <c r="W286" s="176"/>
      <c r="X286" s="176"/>
      <c r="Y286" s="176"/>
      <c r="Z286" s="176"/>
    </row>
    <row r="287" spans="1:26">
      <c r="A287" s="221">
        <v>300</v>
      </c>
      <c r="B287" s="177" t="s">
        <v>6646</v>
      </c>
      <c r="C287" s="177" t="s">
        <v>6648</v>
      </c>
      <c r="D287" s="177" t="s">
        <v>6218</v>
      </c>
      <c r="E287" s="177" t="s">
        <v>1210</v>
      </c>
      <c r="F287" s="177" t="s">
        <v>1211</v>
      </c>
      <c r="G287" s="176"/>
      <c r="H287" s="176"/>
      <c r="I287" s="176"/>
      <c r="J287" s="176"/>
      <c r="K287" s="176"/>
      <c r="L287" s="176"/>
      <c r="M287" s="176"/>
      <c r="N287" s="176"/>
      <c r="O287" s="176"/>
      <c r="P287" s="176"/>
      <c r="Q287" s="176"/>
      <c r="R287" s="176"/>
      <c r="S287" s="176"/>
      <c r="T287" s="176"/>
      <c r="U287" s="176"/>
      <c r="V287" s="176"/>
      <c r="W287" s="176"/>
      <c r="X287" s="176"/>
      <c r="Y287" s="176"/>
      <c r="Z287" s="176"/>
    </row>
    <row r="288" spans="1:26">
      <c r="A288" s="221">
        <v>301</v>
      </c>
      <c r="B288" s="177" t="s">
        <v>6646</v>
      </c>
      <c r="C288" s="177" t="s">
        <v>6648</v>
      </c>
      <c r="D288" s="177" t="s">
        <v>6218</v>
      </c>
      <c r="E288" s="177" t="s">
        <v>1212</v>
      </c>
      <c r="F288" s="177" t="s">
        <v>1213</v>
      </c>
      <c r="G288" s="176"/>
      <c r="H288" s="176"/>
      <c r="I288" s="176"/>
      <c r="J288" s="176"/>
      <c r="K288" s="176"/>
      <c r="L288" s="176"/>
      <c r="M288" s="176"/>
      <c r="N288" s="176"/>
      <c r="O288" s="176"/>
      <c r="P288" s="176"/>
      <c r="Q288" s="176"/>
      <c r="R288" s="176"/>
      <c r="S288" s="176"/>
      <c r="T288" s="176"/>
      <c r="U288" s="176"/>
      <c r="V288" s="176"/>
      <c r="W288" s="176"/>
      <c r="X288" s="176"/>
      <c r="Y288" s="176"/>
      <c r="Z288" s="176"/>
    </row>
    <row r="289" spans="1:26">
      <c r="A289" s="221">
        <v>302</v>
      </c>
      <c r="B289" s="177" t="s">
        <v>6649</v>
      </c>
      <c r="C289" s="177" t="s">
        <v>6650</v>
      </c>
      <c r="D289" s="177" t="s">
        <v>6218</v>
      </c>
      <c r="E289" s="177" t="s">
        <v>6651</v>
      </c>
      <c r="F289" s="177" t="s">
        <v>6652</v>
      </c>
      <c r="G289" s="176"/>
      <c r="H289" s="176"/>
      <c r="I289" s="176"/>
      <c r="J289" s="176"/>
      <c r="K289" s="176"/>
      <c r="L289" s="176"/>
      <c r="M289" s="176"/>
      <c r="N289" s="176"/>
      <c r="O289" s="176"/>
      <c r="P289" s="176"/>
      <c r="Q289" s="176"/>
      <c r="R289" s="176"/>
      <c r="S289" s="176"/>
      <c r="T289" s="176"/>
      <c r="U289" s="176"/>
      <c r="V289" s="176"/>
      <c r="W289" s="176"/>
      <c r="X289" s="176"/>
      <c r="Y289" s="176"/>
      <c r="Z289" s="176"/>
    </row>
    <row r="290" spans="1:26">
      <c r="A290" s="221">
        <v>303</v>
      </c>
      <c r="B290" s="177" t="s">
        <v>6649</v>
      </c>
      <c r="C290" s="177" t="s">
        <v>6650</v>
      </c>
      <c r="D290" s="177" t="s">
        <v>6218</v>
      </c>
      <c r="E290" s="177" t="s">
        <v>6653</v>
      </c>
      <c r="F290" s="177" t="s">
        <v>6654</v>
      </c>
      <c r="G290" s="176"/>
      <c r="H290" s="176"/>
      <c r="I290" s="176"/>
      <c r="J290" s="176"/>
      <c r="K290" s="176"/>
      <c r="L290" s="176"/>
      <c r="M290" s="176"/>
      <c r="N290" s="176"/>
      <c r="O290" s="176"/>
      <c r="P290" s="176"/>
      <c r="Q290" s="176"/>
      <c r="R290" s="176"/>
      <c r="S290" s="176"/>
      <c r="T290" s="176"/>
      <c r="U290" s="176"/>
      <c r="V290" s="176"/>
      <c r="W290" s="176"/>
      <c r="X290" s="176"/>
      <c r="Y290" s="176"/>
      <c r="Z290" s="176"/>
    </row>
    <row r="291" spans="1:26">
      <c r="A291" s="221">
        <v>304</v>
      </c>
      <c r="B291" s="177" t="s">
        <v>6649</v>
      </c>
      <c r="C291" s="177" t="s">
        <v>6650</v>
      </c>
      <c r="D291" s="177" t="s">
        <v>6218</v>
      </c>
      <c r="E291" s="177" t="s">
        <v>6655</v>
      </c>
      <c r="F291" s="177" t="s">
        <v>6656</v>
      </c>
      <c r="G291" s="176"/>
      <c r="H291" s="176"/>
      <c r="I291" s="176"/>
      <c r="J291" s="176"/>
      <c r="K291" s="176"/>
      <c r="L291" s="176"/>
      <c r="M291" s="176"/>
      <c r="N291" s="176"/>
      <c r="O291" s="176"/>
      <c r="P291" s="176"/>
      <c r="Q291" s="176"/>
      <c r="R291" s="176"/>
      <c r="S291" s="176"/>
      <c r="T291" s="176"/>
      <c r="U291" s="176"/>
      <c r="V291" s="176"/>
      <c r="W291" s="176"/>
      <c r="X291" s="176"/>
      <c r="Y291" s="176"/>
      <c r="Z291" s="176"/>
    </row>
    <row r="292" spans="1:26">
      <c r="A292" s="221">
        <v>305</v>
      </c>
      <c r="B292" s="177" t="s">
        <v>6649</v>
      </c>
      <c r="C292" s="177" t="s">
        <v>6650</v>
      </c>
      <c r="D292" s="177" t="s">
        <v>6218</v>
      </c>
      <c r="E292" s="177" t="s">
        <v>6657</v>
      </c>
      <c r="F292" s="177" t="s">
        <v>6658</v>
      </c>
      <c r="G292" s="176"/>
      <c r="H292" s="176"/>
      <c r="I292" s="176"/>
      <c r="J292" s="176"/>
      <c r="K292" s="176"/>
      <c r="L292" s="176"/>
      <c r="M292" s="176"/>
      <c r="N292" s="176"/>
      <c r="O292" s="176"/>
      <c r="P292" s="176"/>
      <c r="Q292" s="176"/>
      <c r="R292" s="176"/>
      <c r="S292" s="176"/>
      <c r="T292" s="176"/>
      <c r="U292" s="176"/>
      <c r="V292" s="176"/>
      <c r="W292" s="176"/>
      <c r="X292" s="176"/>
      <c r="Y292" s="176"/>
      <c r="Z292" s="176"/>
    </row>
    <row r="293" spans="1:26">
      <c r="A293" s="221">
        <v>306</v>
      </c>
      <c r="B293" s="177" t="s">
        <v>6649</v>
      </c>
      <c r="C293" s="177" t="s">
        <v>6650</v>
      </c>
      <c r="D293" s="177" t="s">
        <v>6218</v>
      </c>
      <c r="E293" s="177" t="s">
        <v>6659</v>
      </c>
      <c r="F293" s="177" t="s">
        <v>6660</v>
      </c>
      <c r="G293" s="176"/>
      <c r="H293" s="176"/>
      <c r="I293" s="176"/>
      <c r="J293" s="176"/>
      <c r="K293" s="176"/>
      <c r="L293" s="176"/>
      <c r="M293" s="176"/>
      <c r="N293" s="176"/>
      <c r="O293" s="176"/>
      <c r="P293" s="176"/>
      <c r="Q293" s="176"/>
      <c r="R293" s="176"/>
      <c r="S293" s="176"/>
      <c r="T293" s="176"/>
      <c r="U293" s="176"/>
      <c r="V293" s="176"/>
      <c r="W293" s="176"/>
      <c r="X293" s="176"/>
      <c r="Y293" s="176"/>
      <c r="Z293" s="176"/>
    </row>
    <row r="294" spans="1:26">
      <c r="A294" s="221">
        <v>307</v>
      </c>
      <c r="B294" s="177" t="s">
        <v>6649</v>
      </c>
      <c r="C294" s="177" t="s">
        <v>6650</v>
      </c>
      <c r="D294" s="177" t="s">
        <v>6218</v>
      </c>
      <c r="E294" s="177" t="s">
        <v>1941</v>
      </c>
      <c r="F294" s="177" t="s">
        <v>6661</v>
      </c>
      <c r="G294" s="176"/>
      <c r="H294" s="176"/>
      <c r="I294" s="176"/>
      <c r="J294" s="176"/>
      <c r="K294" s="176"/>
      <c r="L294" s="176"/>
      <c r="M294" s="176"/>
      <c r="N294" s="176"/>
      <c r="O294" s="176"/>
      <c r="P294" s="176"/>
      <c r="Q294" s="176"/>
      <c r="R294" s="176"/>
      <c r="S294" s="176"/>
      <c r="T294" s="176"/>
      <c r="U294" s="176"/>
      <c r="V294" s="176"/>
      <c r="W294" s="176"/>
      <c r="X294" s="176"/>
      <c r="Y294" s="176"/>
      <c r="Z294" s="176"/>
    </row>
    <row r="295" spans="1:26">
      <c r="A295" s="221">
        <v>308</v>
      </c>
      <c r="B295" s="177" t="s">
        <v>6662</v>
      </c>
      <c r="C295" s="177" t="s">
        <v>6663</v>
      </c>
      <c r="D295" s="177" t="s">
        <v>6218</v>
      </c>
      <c r="E295" s="177" t="s">
        <v>6664</v>
      </c>
      <c r="F295" s="177" t="s">
        <v>6665</v>
      </c>
      <c r="G295" s="176"/>
      <c r="H295" s="176"/>
      <c r="I295" s="176"/>
      <c r="J295" s="176"/>
      <c r="K295" s="176"/>
      <c r="L295" s="176"/>
      <c r="M295" s="176"/>
      <c r="N295" s="176"/>
      <c r="O295" s="176"/>
      <c r="P295" s="176"/>
      <c r="Q295" s="176"/>
      <c r="R295" s="176"/>
      <c r="S295" s="176"/>
      <c r="T295" s="176"/>
      <c r="U295" s="176"/>
      <c r="V295" s="176"/>
      <c r="W295" s="176"/>
      <c r="X295" s="176"/>
      <c r="Y295" s="176"/>
      <c r="Z295" s="176"/>
    </row>
    <row r="296" spans="1:26">
      <c r="A296" s="221">
        <v>309</v>
      </c>
      <c r="B296" s="177" t="s">
        <v>6662</v>
      </c>
      <c r="C296" s="177" t="s">
        <v>6663</v>
      </c>
      <c r="D296" s="177" t="s">
        <v>6218</v>
      </c>
      <c r="E296" s="177" t="s">
        <v>6666</v>
      </c>
      <c r="F296" s="177" t="s">
        <v>6667</v>
      </c>
      <c r="G296" s="176"/>
      <c r="H296" s="176"/>
      <c r="I296" s="176"/>
      <c r="J296" s="176"/>
      <c r="K296" s="176"/>
      <c r="L296" s="176"/>
      <c r="M296" s="176"/>
      <c r="N296" s="176"/>
      <c r="O296" s="176"/>
      <c r="P296" s="176"/>
      <c r="Q296" s="176"/>
      <c r="R296" s="176"/>
      <c r="S296" s="176"/>
      <c r="T296" s="176"/>
      <c r="U296" s="176"/>
      <c r="V296" s="176"/>
      <c r="W296" s="176"/>
      <c r="X296" s="176"/>
      <c r="Y296" s="176"/>
      <c r="Z296" s="176"/>
    </row>
    <row r="297" spans="1:26">
      <c r="A297" s="221">
        <v>310</v>
      </c>
      <c r="B297" s="177" t="s">
        <v>6662</v>
      </c>
      <c r="C297" s="177" t="s">
        <v>6663</v>
      </c>
      <c r="D297" s="177" t="s">
        <v>6218</v>
      </c>
      <c r="E297" s="177" t="s">
        <v>6668</v>
      </c>
      <c r="F297" s="177" t="s">
        <v>6669</v>
      </c>
      <c r="G297" s="176"/>
      <c r="H297" s="176"/>
      <c r="I297" s="176"/>
      <c r="J297" s="176"/>
      <c r="K297" s="176"/>
      <c r="L297" s="176"/>
      <c r="M297" s="176"/>
      <c r="N297" s="176"/>
      <c r="O297" s="176"/>
      <c r="P297" s="176"/>
      <c r="Q297" s="176"/>
      <c r="R297" s="176"/>
      <c r="S297" s="176"/>
      <c r="T297" s="176"/>
      <c r="U297" s="176"/>
      <c r="V297" s="176"/>
      <c r="W297" s="176"/>
      <c r="X297" s="176"/>
      <c r="Y297" s="176"/>
      <c r="Z297" s="176"/>
    </row>
    <row r="298" spans="1:26">
      <c r="A298" s="221">
        <v>311</v>
      </c>
      <c r="B298" s="177" t="s">
        <v>6662</v>
      </c>
      <c r="C298" s="177" t="s">
        <v>6663</v>
      </c>
      <c r="D298" s="177" t="s">
        <v>6218</v>
      </c>
      <c r="E298" s="177" t="s">
        <v>6670</v>
      </c>
      <c r="F298" s="177" t="s">
        <v>6671</v>
      </c>
      <c r="G298" s="176"/>
      <c r="H298" s="176"/>
      <c r="I298" s="176"/>
      <c r="J298" s="176"/>
      <c r="K298" s="176"/>
      <c r="L298" s="176"/>
      <c r="M298" s="176"/>
      <c r="N298" s="176"/>
      <c r="O298" s="176"/>
      <c r="P298" s="176"/>
      <c r="Q298" s="176"/>
      <c r="R298" s="176"/>
      <c r="S298" s="176"/>
      <c r="T298" s="176"/>
      <c r="U298" s="176"/>
      <c r="V298" s="176"/>
      <c r="W298" s="176"/>
      <c r="X298" s="176"/>
      <c r="Y298" s="176"/>
      <c r="Z298" s="176"/>
    </row>
    <row r="299" spans="1:26">
      <c r="A299" s="221">
        <v>312</v>
      </c>
      <c r="B299" s="177" t="s">
        <v>6662</v>
      </c>
      <c r="C299" s="177" t="s">
        <v>6663</v>
      </c>
      <c r="D299" s="177" t="s">
        <v>6218</v>
      </c>
      <c r="E299" s="177" t="s">
        <v>6672</v>
      </c>
      <c r="F299" s="177" t="s">
        <v>6673</v>
      </c>
      <c r="G299" s="176"/>
      <c r="H299" s="176"/>
      <c r="I299" s="176"/>
      <c r="J299" s="176"/>
      <c r="K299" s="176"/>
      <c r="L299" s="176"/>
      <c r="M299" s="176"/>
      <c r="N299" s="176"/>
      <c r="O299" s="176"/>
      <c r="P299" s="176"/>
      <c r="Q299" s="176"/>
      <c r="R299" s="176"/>
      <c r="S299" s="176"/>
      <c r="T299" s="176"/>
      <c r="U299" s="176"/>
      <c r="V299" s="176"/>
      <c r="W299" s="176"/>
      <c r="X299" s="176"/>
      <c r="Y299" s="176"/>
      <c r="Z299" s="176"/>
    </row>
    <row r="300" spans="1:26">
      <c r="A300" s="221">
        <v>313</v>
      </c>
      <c r="B300" s="177" t="s">
        <v>6534</v>
      </c>
      <c r="C300" s="177" t="s">
        <v>6674</v>
      </c>
      <c r="D300" s="177" t="s">
        <v>6218</v>
      </c>
      <c r="E300" s="177" t="s">
        <v>633</v>
      </c>
      <c r="F300" s="177" t="s">
        <v>634</v>
      </c>
      <c r="G300" s="176"/>
      <c r="H300" s="176"/>
      <c r="I300" s="176"/>
      <c r="J300" s="176"/>
      <c r="K300" s="176"/>
      <c r="L300" s="176"/>
      <c r="M300" s="176"/>
      <c r="N300" s="176"/>
      <c r="O300" s="176"/>
      <c r="P300" s="176"/>
      <c r="Q300" s="176"/>
      <c r="R300" s="176"/>
      <c r="S300" s="176"/>
      <c r="T300" s="176"/>
      <c r="U300" s="176"/>
      <c r="V300" s="176"/>
      <c r="W300" s="176"/>
      <c r="X300" s="176"/>
      <c r="Y300" s="176"/>
      <c r="Z300" s="176"/>
    </row>
    <row r="301" spans="1:26">
      <c r="A301" s="221">
        <v>314</v>
      </c>
      <c r="B301" s="177" t="s">
        <v>6534</v>
      </c>
      <c r="C301" s="177" t="s">
        <v>6674</v>
      </c>
      <c r="D301" s="177" t="s">
        <v>6218</v>
      </c>
      <c r="E301" s="177" t="s">
        <v>635</v>
      </c>
      <c r="F301" s="177" t="s">
        <v>636</v>
      </c>
      <c r="G301" s="176"/>
      <c r="H301" s="176"/>
      <c r="I301" s="176"/>
      <c r="J301" s="176"/>
      <c r="K301" s="176"/>
      <c r="L301" s="176"/>
      <c r="M301" s="176"/>
      <c r="N301" s="176"/>
      <c r="O301" s="176"/>
      <c r="P301" s="176"/>
      <c r="Q301" s="176"/>
      <c r="R301" s="176"/>
      <c r="S301" s="176"/>
      <c r="T301" s="176"/>
      <c r="U301" s="176"/>
      <c r="V301" s="176"/>
      <c r="W301" s="176"/>
      <c r="X301" s="176"/>
      <c r="Y301" s="176"/>
      <c r="Z301" s="176"/>
    </row>
    <row r="302" spans="1:26">
      <c r="A302" s="221">
        <v>315</v>
      </c>
      <c r="B302" s="177" t="s">
        <v>6534</v>
      </c>
      <c r="C302" s="177" t="s">
        <v>6674</v>
      </c>
      <c r="D302" s="177" t="s">
        <v>6218</v>
      </c>
      <c r="E302" s="177" t="s">
        <v>637</v>
      </c>
      <c r="F302" s="177" t="s">
        <v>638</v>
      </c>
      <c r="G302" s="176"/>
      <c r="H302" s="176"/>
      <c r="I302" s="176"/>
      <c r="J302" s="176"/>
      <c r="K302" s="176"/>
      <c r="L302" s="176"/>
      <c r="M302" s="176"/>
      <c r="N302" s="176"/>
      <c r="O302" s="176"/>
      <c r="P302" s="176"/>
      <c r="Q302" s="176"/>
      <c r="R302" s="176"/>
      <c r="S302" s="176"/>
      <c r="T302" s="176"/>
      <c r="U302" s="176"/>
      <c r="V302" s="176"/>
      <c r="W302" s="176"/>
      <c r="X302" s="176"/>
      <c r="Y302" s="176"/>
      <c r="Z302" s="176"/>
    </row>
    <row r="303" spans="1:26">
      <c r="A303" s="221">
        <v>316</v>
      </c>
      <c r="B303" s="177" t="s">
        <v>6534</v>
      </c>
      <c r="C303" s="177" t="s">
        <v>6675</v>
      </c>
      <c r="D303" s="177" t="s">
        <v>6218</v>
      </c>
      <c r="E303" s="177" t="s">
        <v>6676</v>
      </c>
      <c r="F303" s="177" t="s">
        <v>6677</v>
      </c>
      <c r="G303" s="176"/>
      <c r="H303" s="176"/>
      <c r="I303" s="176"/>
      <c r="J303" s="176"/>
      <c r="K303" s="176"/>
      <c r="L303" s="176"/>
      <c r="M303" s="176"/>
      <c r="N303" s="176"/>
      <c r="O303" s="176"/>
      <c r="P303" s="176"/>
      <c r="Q303" s="176"/>
      <c r="R303" s="176"/>
      <c r="S303" s="176"/>
      <c r="T303" s="176"/>
      <c r="U303" s="176"/>
      <c r="V303" s="176"/>
      <c r="W303" s="176"/>
      <c r="X303" s="176"/>
      <c r="Y303" s="176"/>
      <c r="Z303" s="176"/>
    </row>
    <row r="304" spans="1:26">
      <c r="A304" s="221">
        <v>317</v>
      </c>
      <c r="B304" s="177" t="s">
        <v>6534</v>
      </c>
      <c r="C304" s="177" t="s">
        <v>6675</v>
      </c>
      <c r="D304" s="177" t="s">
        <v>6218</v>
      </c>
      <c r="E304" s="177" t="s">
        <v>6678</v>
      </c>
      <c r="F304" s="177" t="s">
        <v>6679</v>
      </c>
      <c r="G304" s="176"/>
      <c r="H304" s="176"/>
      <c r="I304" s="176"/>
      <c r="J304" s="176"/>
      <c r="K304" s="176"/>
      <c r="L304" s="176"/>
      <c r="M304" s="176"/>
      <c r="N304" s="176"/>
      <c r="O304" s="176"/>
      <c r="P304" s="176"/>
      <c r="Q304" s="176"/>
      <c r="R304" s="176"/>
      <c r="S304" s="176"/>
      <c r="T304" s="176"/>
      <c r="U304" s="176"/>
      <c r="V304" s="176"/>
      <c r="W304" s="176"/>
      <c r="X304" s="176"/>
      <c r="Y304" s="176"/>
      <c r="Z304" s="176"/>
    </row>
    <row r="305" spans="1:26">
      <c r="A305" s="221">
        <v>318</v>
      </c>
      <c r="B305" s="177" t="s">
        <v>6534</v>
      </c>
      <c r="C305" s="177" t="s">
        <v>6675</v>
      </c>
      <c r="D305" s="177" t="s">
        <v>6218</v>
      </c>
      <c r="E305" s="177" t="s">
        <v>6680</v>
      </c>
      <c r="F305" s="177" t="s">
        <v>6681</v>
      </c>
      <c r="G305" s="176"/>
      <c r="H305" s="176"/>
      <c r="I305" s="176"/>
      <c r="J305" s="176"/>
      <c r="K305" s="176"/>
      <c r="L305" s="176"/>
      <c r="M305" s="176"/>
      <c r="N305" s="176"/>
      <c r="O305" s="176"/>
      <c r="P305" s="176"/>
      <c r="Q305" s="176"/>
      <c r="R305" s="176"/>
      <c r="S305" s="176"/>
      <c r="T305" s="176"/>
      <c r="U305" s="176"/>
      <c r="V305" s="176"/>
      <c r="W305" s="176"/>
      <c r="X305" s="176"/>
      <c r="Y305" s="176"/>
      <c r="Z305" s="176"/>
    </row>
    <row r="306" spans="1:26">
      <c r="A306" s="221">
        <v>319</v>
      </c>
      <c r="B306" s="177" t="s">
        <v>6534</v>
      </c>
      <c r="C306" s="177" t="s">
        <v>6675</v>
      </c>
      <c r="D306" s="177" t="s">
        <v>6218</v>
      </c>
      <c r="E306" s="177" t="s">
        <v>6682</v>
      </c>
      <c r="F306" s="177" t="s">
        <v>6683</v>
      </c>
      <c r="G306" s="176"/>
      <c r="H306" s="176"/>
      <c r="I306" s="176"/>
      <c r="J306" s="176"/>
      <c r="K306" s="176"/>
      <c r="L306" s="176"/>
      <c r="M306" s="176"/>
      <c r="N306" s="176"/>
      <c r="O306" s="176"/>
      <c r="P306" s="176"/>
      <c r="Q306" s="176"/>
      <c r="R306" s="176"/>
      <c r="S306" s="176"/>
      <c r="T306" s="176"/>
      <c r="U306" s="176"/>
      <c r="V306" s="176"/>
      <c r="W306" s="176"/>
      <c r="X306" s="176"/>
      <c r="Y306" s="176"/>
      <c r="Z306" s="176"/>
    </row>
    <row r="307" spans="1:26">
      <c r="A307" s="221">
        <v>320</v>
      </c>
      <c r="B307" s="177" t="s">
        <v>6534</v>
      </c>
      <c r="C307" s="177" t="s">
        <v>6675</v>
      </c>
      <c r="D307" s="177" t="s">
        <v>6218</v>
      </c>
      <c r="E307" s="177" t="s">
        <v>6684</v>
      </c>
      <c r="F307" s="177" t="s">
        <v>6685</v>
      </c>
      <c r="G307" s="176"/>
      <c r="H307" s="176"/>
      <c r="I307" s="176"/>
      <c r="J307" s="176"/>
      <c r="K307" s="176"/>
      <c r="L307" s="176"/>
      <c r="M307" s="176"/>
      <c r="N307" s="176"/>
      <c r="O307" s="176"/>
      <c r="P307" s="176"/>
      <c r="Q307" s="176"/>
      <c r="R307" s="176"/>
      <c r="S307" s="176"/>
      <c r="T307" s="176"/>
      <c r="U307" s="176"/>
      <c r="V307" s="176"/>
      <c r="W307" s="176"/>
      <c r="X307" s="176"/>
      <c r="Y307" s="176"/>
      <c r="Z307" s="176"/>
    </row>
    <row r="308" spans="1:26">
      <c r="A308" s="221">
        <v>321</v>
      </c>
      <c r="B308" s="177" t="s">
        <v>6534</v>
      </c>
      <c r="C308" s="177" t="s">
        <v>6686</v>
      </c>
      <c r="D308" s="177" t="s">
        <v>6124</v>
      </c>
      <c r="E308" s="177" t="s">
        <v>6687</v>
      </c>
      <c r="F308" s="177" t="s">
        <v>6688</v>
      </c>
      <c r="G308" s="176"/>
      <c r="H308" s="176"/>
      <c r="I308" s="176"/>
      <c r="J308" s="176"/>
      <c r="K308" s="176"/>
      <c r="L308" s="176"/>
      <c r="M308" s="176"/>
      <c r="N308" s="176"/>
      <c r="O308" s="176"/>
      <c r="P308" s="176"/>
      <c r="Q308" s="176"/>
      <c r="R308" s="176"/>
      <c r="S308" s="176"/>
      <c r="T308" s="176"/>
      <c r="U308" s="176"/>
      <c r="V308" s="176"/>
      <c r="W308" s="176"/>
      <c r="X308" s="176"/>
      <c r="Y308" s="176"/>
      <c r="Z308" s="176"/>
    </row>
    <row r="309" spans="1:26">
      <c r="A309" s="221">
        <v>322</v>
      </c>
      <c r="B309" s="177" t="s">
        <v>6534</v>
      </c>
      <c r="C309" s="177" t="s">
        <v>6686</v>
      </c>
      <c r="D309" s="177" t="s">
        <v>6218</v>
      </c>
      <c r="E309" s="177" t="s">
        <v>6689</v>
      </c>
      <c r="F309" s="177" t="s">
        <v>6690</v>
      </c>
      <c r="G309" s="176"/>
      <c r="H309" s="176"/>
      <c r="I309" s="176"/>
      <c r="J309" s="176"/>
      <c r="K309" s="176"/>
      <c r="L309" s="176"/>
      <c r="M309" s="176"/>
      <c r="N309" s="176"/>
      <c r="O309" s="176"/>
      <c r="P309" s="176"/>
      <c r="Q309" s="176"/>
      <c r="R309" s="176"/>
      <c r="S309" s="176"/>
      <c r="T309" s="176"/>
      <c r="U309" s="176"/>
      <c r="V309" s="176"/>
      <c r="W309" s="176"/>
      <c r="X309" s="176"/>
      <c r="Y309" s="176"/>
      <c r="Z309" s="176"/>
    </row>
    <row r="310" spans="1:26">
      <c r="A310" s="221">
        <v>323</v>
      </c>
      <c r="B310" s="177" t="s">
        <v>6534</v>
      </c>
      <c r="C310" s="177" t="s">
        <v>6686</v>
      </c>
      <c r="D310" s="177" t="s">
        <v>6218</v>
      </c>
      <c r="E310" s="177" t="s">
        <v>6691</v>
      </c>
      <c r="F310" s="177" t="s">
        <v>6692</v>
      </c>
      <c r="G310" s="176"/>
      <c r="H310" s="176"/>
      <c r="I310" s="176"/>
      <c r="J310" s="176"/>
      <c r="K310" s="176"/>
      <c r="L310" s="176"/>
      <c r="M310" s="176"/>
      <c r="N310" s="176"/>
      <c r="O310" s="176"/>
      <c r="P310" s="176"/>
      <c r="Q310" s="176"/>
      <c r="R310" s="176"/>
      <c r="S310" s="176"/>
      <c r="T310" s="176"/>
      <c r="U310" s="176"/>
      <c r="V310" s="176"/>
      <c r="W310" s="176"/>
      <c r="X310" s="176"/>
      <c r="Y310" s="176"/>
      <c r="Z310" s="176"/>
    </row>
    <row r="311" spans="1:26">
      <c r="A311" s="221">
        <v>324</v>
      </c>
      <c r="B311" s="177" t="s">
        <v>6534</v>
      </c>
      <c r="C311" s="177" t="s">
        <v>6686</v>
      </c>
      <c r="D311" s="177" t="s">
        <v>6218</v>
      </c>
      <c r="E311" s="177" t="s">
        <v>6693</v>
      </c>
      <c r="F311" s="177" t="s">
        <v>6694</v>
      </c>
      <c r="G311" s="176"/>
      <c r="H311" s="176"/>
      <c r="I311" s="176"/>
      <c r="J311" s="176"/>
      <c r="K311" s="176"/>
      <c r="L311" s="176"/>
      <c r="M311" s="176"/>
      <c r="N311" s="176"/>
      <c r="O311" s="176"/>
      <c r="P311" s="176"/>
      <c r="Q311" s="176"/>
      <c r="R311" s="176"/>
      <c r="S311" s="176"/>
      <c r="T311" s="176"/>
      <c r="U311" s="176"/>
      <c r="V311" s="176"/>
      <c r="W311" s="176"/>
      <c r="X311" s="176"/>
      <c r="Y311" s="176"/>
      <c r="Z311" s="176"/>
    </row>
    <row r="312" spans="1:26">
      <c r="A312" s="221">
        <v>325</v>
      </c>
      <c r="B312" s="177" t="s">
        <v>6534</v>
      </c>
      <c r="C312" s="177" t="s">
        <v>6686</v>
      </c>
      <c r="D312" s="177" t="s">
        <v>6124</v>
      </c>
      <c r="E312" s="177" t="s">
        <v>6695</v>
      </c>
      <c r="F312" s="177" t="s">
        <v>6696</v>
      </c>
      <c r="G312" s="176"/>
      <c r="H312" s="176"/>
      <c r="I312" s="176"/>
      <c r="J312" s="176"/>
      <c r="K312" s="176"/>
      <c r="L312" s="176"/>
      <c r="M312" s="176"/>
      <c r="N312" s="176"/>
      <c r="O312" s="176"/>
      <c r="P312" s="176"/>
      <c r="Q312" s="176"/>
      <c r="R312" s="176"/>
      <c r="S312" s="176"/>
      <c r="T312" s="176"/>
      <c r="U312" s="176"/>
      <c r="V312" s="176"/>
      <c r="W312" s="176"/>
      <c r="X312" s="176"/>
      <c r="Y312" s="176"/>
      <c r="Z312" s="176"/>
    </row>
    <row r="313" spans="1:26">
      <c r="A313" s="221">
        <v>331</v>
      </c>
      <c r="B313" s="177" t="s">
        <v>6122</v>
      </c>
      <c r="C313" s="177" t="s">
        <v>6697</v>
      </c>
      <c r="D313" s="177" t="s">
        <v>6124</v>
      </c>
      <c r="E313" s="177" t="s">
        <v>6125</v>
      </c>
      <c r="F313" s="177" t="s">
        <v>6698</v>
      </c>
      <c r="G313" s="176"/>
      <c r="H313" s="176"/>
      <c r="I313" s="176"/>
      <c r="J313" s="176"/>
      <c r="K313" s="176"/>
      <c r="L313" s="176"/>
      <c r="M313" s="176"/>
      <c r="N313" s="176"/>
      <c r="O313" s="176"/>
      <c r="P313" s="176"/>
      <c r="Q313" s="176"/>
      <c r="R313" s="176"/>
      <c r="S313" s="176"/>
      <c r="T313" s="176"/>
      <c r="U313" s="176"/>
      <c r="V313" s="176"/>
      <c r="W313" s="176"/>
      <c r="X313" s="176"/>
      <c r="Y313" s="176"/>
      <c r="Z313" s="176"/>
    </row>
    <row r="314" spans="1:26">
      <c r="A314" s="221">
        <v>332</v>
      </c>
      <c r="B314" s="177" t="s">
        <v>6122</v>
      </c>
      <c r="C314" s="177" t="s">
        <v>6697</v>
      </c>
      <c r="D314" s="177" t="s">
        <v>6124</v>
      </c>
      <c r="E314" s="177" t="s">
        <v>6137</v>
      </c>
      <c r="F314" s="177" t="s">
        <v>6699</v>
      </c>
      <c r="G314" s="176"/>
      <c r="H314" s="176"/>
      <c r="I314" s="176"/>
      <c r="J314" s="176"/>
      <c r="K314" s="176"/>
      <c r="L314" s="176"/>
      <c r="M314" s="176"/>
      <c r="N314" s="176"/>
      <c r="O314" s="176"/>
      <c r="P314" s="176"/>
      <c r="Q314" s="176"/>
      <c r="R314" s="176"/>
      <c r="S314" s="176"/>
      <c r="T314" s="176"/>
      <c r="U314" s="176"/>
      <c r="V314" s="176"/>
      <c r="W314" s="176"/>
      <c r="X314" s="176"/>
      <c r="Y314" s="176"/>
      <c r="Z314" s="176"/>
    </row>
    <row r="315" spans="1:26">
      <c r="A315" s="221">
        <v>333</v>
      </c>
      <c r="B315" s="177" t="s">
        <v>6122</v>
      </c>
      <c r="C315" s="177" t="s">
        <v>6697</v>
      </c>
      <c r="D315" s="177" t="s">
        <v>6124</v>
      </c>
      <c r="E315" s="177" t="s">
        <v>6129</v>
      </c>
      <c r="F315" s="177" t="s">
        <v>6700</v>
      </c>
      <c r="G315" s="176"/>
      <c r="H315" s="176"/>
      <c r="I315" s="176"/>
      <c r="J315" s="176"/>
      <c r="K315" s="176"/>
      <c r="L315" s="176"/>
      <c r="M315" s="176"/>
      <c r="N315" s="176"/>
      <c r="O315" s="176"/>
      <c r="P315" s="176"/>
      <c r="Q315" s="176"/>
      <c r="R315" s="176"/>
      <c r="S315" s="176"/>
      <c r="T315" s="176"/>
      <c r="U315" s="176"/>
      <c r="V315" s="176"/>
      <c r="W315" s="176"/>
      <c r="X315" s="176"/>
      <c r="Y315" s="176"/>
      <c r="Z315" s="176"/>
    </row>
    <row r="316" spans="1:26">
      <c r="A316" s="221">
        <v>334</v>
      </c>
      <c r="B316" s="177" t="s">
        <v>6122</v>
      </c>
      <c r="C316" s="177" t="s">
        <v>6701</v>
      </c>
      <c r="D316" s="177" t="s">
        <v>6124</v>
      </c>
      <c r="E316" s="177" t="s">
        <v>6125</v>
      </c>
      <c r="F316" s="177" t="s">
        <v>6702</v>
      </c>
      <c r="G316" s="176"/>
      <c r="H316" s="176"/>
      <c r="I316" s="176"/>
      <c r="J316" s="176"/>
      <c r="K316" s="176"/>
      <c r="L316" s="176"/>
      <c r="M316" s="176"/>
      <c r="N316" s="176"/>
      <c r="O316" s="176"/>
      <c r="P316" s="176"/>
      <c r="Q316" s="176"/>
      <c r="R316" s="176"/>
      <c r="S316" s="176"/>
      <c r="T316" s="176"/>
      <c r="U316" s="176"/>
      <c r="V316" s="176"/>
      <c r="W316" s="176"/>
      <c r="X316" s="176"/>
      <c r="Y316" s="176"/>
      <c r="Z316" s="176"/>
    </row>
    <row r="317" spans="1:26">
      <c r="A317" s="221">
        <v>335</v>
      </c>
      <c r="B317" s="177" t="s">
        <v>6122</v>
      </c>
      <c r="C317" s="177" t="s">
        <v>6701</v>
      </c>
      <c r="D317" s="177" t="s">
        <v>6124</v>
      </c>
      <c r="E317" s="177" t="s">
        <v>6137</v>
      </c>
      <c r="F317" s="177" t="s">
        <v>6703</v>
      </c>
      <c r="G317" s="176"/>
      <c r="H317" s="176"/>
      <c r="I317" s="176"/>
      <c r="J317" s="176"/>
      <c r="K317" s="176"/>
      <c r="L317" s="176"/>
      <c r="M317" s="176"/>
      <c r="N317" s="176"/>
      <c r="O317" s="176"/>
      <c r="P317" s="176"/>
      <c r="Q317" s="176"/>
      <c r="R317" s="176"/>
      <c r="S317" s="176"/>
      <c r="T317" s="176"/>
      <c r="U317" s="176"/>
      <c r="V317" s="176"/>
      <c r="W317" s="176"/>
      <c r="X317" s="176"/>
      <c r="Y317" s="176"/>
      <c r="Z317" s="176"/>
    </row>
    <row r="318" spans="1:26">
      <c r="A318" s="221">
        <v>336</v>
      </c>
      <c r="B318" s="177" t="s">
        <v>6122</v>
      </c>
      <c r="C318" s="177" t="s">
        <v>6701</v>
      </c>
      <c r="D318" s="177" t="s">
        <v>6124</v>
      </c>
      <c r="E318" s="177" t="s">
        <v>6129</v>
      </c>
      <c r="F318" s="177" t="s">
        <v>6704</v>
      </c>
      <c r="G318" s="176"/>
      <c r="H318" s="176"/>
      <c r="I318" s="176"/>
      <c r="J318" s="176"/>
      <c r="K318" s="176"/>
      <c r="L318" s="176"/>
      <c r="M318" s="176"/>
      <c r="N318" s="176"/>
      <c r="O318" s="176"/>
      <c r="P318" s="176"/>
      <c r="Q318" s="176"/>
      <c r="R318" s="176"/>
      <c r="S318" s="176"/>
      <c r="T318" s="176"/>
      <c r="U318" s="176"/>
      <c r="V318" s="176"/>
      <c r="W318" s="176"/>
      <c r="X318" s="176"/>
      <c r="Y318" s="176"/>
      <c r="Z318" s="176"/>
    </row>
    <row r="319" spans="1:26">
      <c r="A319" s="221">
        <v>337</v>
      </c>
      <c r="B319" s="177" t="s">
        <v>6122</v>
      </c>
      <c r="C319" s="177" t="s">
        <v>6705</v>
      </c>
      <c r="D319" s="177" t="s">
        <v>6124</v>
      </c>
      <c r="E319" s="177" t="s">
        <v>6125</v>
      </c>
      <c r="F319" s="177" t="s">
        <v>6706</v>
      </c>
      <c r="G319" s="176"/>
      <c r="H319" s="176"/>
      <c r="I319" s="176"/>
      <c r="J319" s="176"/>
      <c r="K319" s="176"/>
      <c r="L319" s="176"/>
      <c r="M319" s="176"/>
      <c r="N319" s="176"/>
      <c r="O319" s="176"/>
      <c r="P319" s="176"/>
      <c r="Q319" s="176"/>
      <c r="R319" s="176"/>
      <c r="S319" s="176"/>
      <c r="T319" s="176"/>
      <c r="U319" s="176"/>
      <c r="V319" s="176"/>
      <c r="W319" s="176"/>
      <c r="X319" s="176"/>
      <c r="Y319" s="176"/>
      <c r="Z319" s="176"/>
    </row>
    <row r="320" spans="1:26">
      <c r="A320" s="221">
        <v>338</v>
      </c>
      <c r="B320" s="177" t="s">
        <v>6122</v>
      </c>
      <c r="C320" s="177" t="s">
        <v>6705</v>
      </c>
      <c r="D320" s="177" t="s">
        <v>6124</v>
      </c>
      <c r="E320" s="177" t="s">
        <v>6137</v>
      </c>
      <c r="F320" s="177" t="s">
        <v>6707</v>
      </c>
      <c r="G320" s="176"/>
      <c r="H320" s="176"/>
      <c r="I320" s="176"/>
      <c r="J320" s="176"/>
      <c r="K320" s="176"/>
      <c r="L320" s="176"/>
      <c r="M320" s="176"/>
      <c r="N320" s="176"/>
      <c r="O320" s="176"/>
      <c r="P320" s="176"/>
      <c r="Q320" s="176"/>
      <c r="R320" s="176"/>
      <c r="S320" s="176"/>
      <c r="T320" s="176"/>
      <c r="U320" s="176"/>
      <c r="V320" s="176"/>
      <c r="W320" s="176"/>
      <c r="X320" s="176"/>
      <c r="Y320" s="176"/>
      <c r="Z320" s="176"/>
    </row>
    <row r="321" spans="1:26">
      <c r="A321" s="221">
        <v>339</v>
      </c>
      <c r="B321" s="177" t="s">
        <v>6122</v>
      </c>
      <c r="C321" s="177" t="s">
        <v>6705</v>
      </c>
      <c r="D321" s="177" t="s">
        <v>6124</v>
      </c>
      <c r="E321" s="177" t="s">
        <v>6129</v>
      </c>
      <c r="F321" s="177" t="s">
        <v>6708</v>
      </c>
      <c r="G321" s="176"/>
      <c r="H321" s="176"/>
      <c r="I321" s="176"/>
      <c r="J321" s="176"/>
      <c r="K321" s="176"/>
      <c r="L321" s="176"/>
      <c r="M321" s="176"/>
      <c r="N321" s="176"/>
      <c r="O321" s="176"/>
      <c r="P321" s="176"/>
      <c r="Q321" s="176"/>
      <c r="R321" s="176"/>
      <c r="S321" s="176"/>
      <c r="T321" s="176"/>
      <c r="U321" s="176"/>
      <c r="V321" s="176"/>
      <c r="W321" s="176"/>
      <c r="X321" s="176"/>
      <c r="Y321" s="176"/>
      <c r="Z321" s="176"/>
    </row>
    <row r="322" spans="1:26">
      <c r="A322" s="221">
        <v>340</v>
      </c>
      <c r="B322" s="177" t="s">
        <v>6122</v>
      </c>
      <c r="C322" s="177" t="s">
        <v>6709</v>
      </c>
      <c r="D322" s="177" t="s">
        <v>6124</v>
      </c>
      <c r="E322" s="177" t="s">
        <v>6125</v>
      </c>
      <c r="F322" s="177" t="s">
        <v>6710</v>
      </c>
      <c r="G322" s="176"/>
      <c r="H322" s="176"/>
      <c r="I322" s="176"/>
      <c r="J322" s="176"/>
      <c r="K322" s="176"/>
      <c r="L322" s="176"/>
      <c r="M322" s="176"/>
      <c r="N322" s="176"/>
      <c r="O322" s="176"/>
      <c r="P322" s="176"/>
      <c r="Q322" s="176"/>
      <c r="R322" s="176"/>
      <c r="S322" s="176"/>
      <c r="T322" s="176"/>
      <c r="U322" s="176"/>
      <c r="V322" s="176"/>
      <c r="W322" s="176"/>
      <c r="X322" s="176"/>
      <c r="Y322" s="176"/>
      <c r="Z322" s="176"/>
    </row>
    <row r="323" spans="1:26">
      <c r="A323" s="221">
        <v>341</v>
      </c>
      <c r="B323" s="177" t="s">
        <v>6122</v>
      </c>
      <c r="C323" s="177" t="s">
        <v>6709</v>
      </c>
      <c r="D323" s="177" t="s">
        <v>6124</v>
      </c>
      <c r="E323" s="177" t="s">
        <v>6137</v>
      </c>
      <c r="F323" s="177" t="s">
        <v>6711</v>
      </c>
      <c r="G323" s="176"/>
      <c r="H323" s="176"/>
      <c r="I323" s="176"/>
      <c r="J323" s="176"/>
      <c r="K323" s="176"/>
      <c r="L323" s="176"/>
      <c r="M323" s="176"/>
      <c r="N323" s="176"/>
      <c r="O323" s="176"/>
      <c r="P323" s="176"/>
      <c r="Q323" s="176"/>
      <c r="R323" s="176"/>
      <c r="S323" s="176"/>
      <c r="T323" s="176"/>
      <c r="U323" s="176"/>
      <c r="V323" s="176"/>
      <c r="W323" s="176"/>
      <c r="X323" s="176"/>
      <c r="Y323" s="176"/>
      <c r="Z323" s="176"/>
    </row>
    <row r="324" spans="1:26">
      <c r="A324" s="221">
        <v>342</v>
      </c>
      <c r="B324" s="177" t="s">
        <v>6122</v>
      </c>
      <c r="C324" s="177" t="s">
        <v>6709</v>
      </c>
      <c r="D324" s="177" t="s">
        <v>6124</v>
      </c>
      <c r="E324" s="177" t="s">
        <v>6129</v>
      </c>
      <c r="F324" s="177" t="s">
        <v>6712</v>
      </c>
      <c r="G324" s="176"/>
      <c r="H324" s="176"/>
      <c r="I324" s="176"/>
      <c r="J324" s="176"/>
      <c r="K324" s="176"/>
      <c r="L324" s="176"/>
      <c r="M324" s="176"/>
      <c r="N324" s="176"/>
      <c r="O324" s="176"/>
      <c r="P324" s="176"/>
      <c r="Q324" s="176"/>
      <c r="R324" s="176"/>
      <c r="S324" s="176"/>
      <c r="T324" s="176"/>
      <c r="U324" s="176"/>
      <c r="V324" s="176"/>
      <c r="W324" s="176"/>
      <c r="X324" s="176"/>
      <c r="Y324" s="176"/>
      <c r="Z324" s="176"/>
    </row>
    <row r="325" spans="1:26">
      <c r="A325" s="221">
        <v>343</v>
      </c>
      <c r="B325" s="177" t="s">
        <v>6122</v>
      </c>
      <c r="C325" s="177" t="s">
        <v>6713</v>
      </c>
      <c r="D325" s="177" t="s">
        <v>6124</v>
      </c>
      <c r="E325" s="177" t="s">
        <v>6125</v>
      </c>
      <c r="F325" s="177" t="s">
        <v>6714</v>
      </c>
      <c r="G325" s="176"/>
      <c r="H325" s="176"/>
      <c r="I325" s="176"/>
      <c r="J325" s="176"/>
      <c r="K325" s="176"/>
      <c r="L325" s="176"/>
      <c r="M325" s="176"/>
      <c r="N325" s="176"/>
      <c r="O325" s="176"/>
      <c r="P325" s="176"/>
      <c r="Q325" s="176"/>
      <c r="R325" s="176"/>
      <c r="S325" s="176"/>
      <c r="T325" s="176"/>
      <c r="U325" s="176"/>
      <c r="V325" s="176"/>
      <c r="W325" s="176"/>
      <c r="X325" s="176"/>
      <c r="Y325" s="176"/>
      <c r="Z325" s="176"/>
    </row>
    <row r="326" spans="1:26">
      <c r="A326" s="221">
        <v>344</v>
      </c>
      <c r="B326" s="177" t="s">
        <v>6122</v>
      </c>
      <c r="C326" s="177" t="s">
        <v>6713</v>
      </c>
      <c r="D326" s="177" t="s">
        <v>6124</v>
      </c>
      <c r="E326" s="177" t="s">
        <v>6137</v>
      </c>
      <c r="F326" s="177" t="s">
        <v>6715</v>
      </c>
      <c r="G326" s="176"/>
      <c r="H326" s="176"/>
      <c r="I326" s="176"/>
      <c r="J326" s="176"/>
      <c r="K326" s="176"/>
      <c r="L326" s="176"/>
      <c r="M326" s="176"/>
      <c r="N326" s="176"/>
      <c r="O326" s="176"/>
      <c r="P326" s="176"/>
      <c r="Q326" s="176"/>
      <c r="R326" s="176"/>
      <c r="S326" s="176"/>
      <c r="T326" s="176"/>
      <c r="U326" s="176"/>
      <c r="V326" s="176"/>
      <c r="W326" s="176"/>
      <c r="X326" s="176"/>
      <c r="Y326" s="176"/>
      <c r="Z326" s="176"/>
    </row>
    <row r="327" spans="1:26">
      <c r="A327" s="221">
        <v>345</v>
      </c>
      <c r="B327" s="177" t="s">
        <v>6122</v>
      </c>
      <c r="C327" s="177" t="s">
        <v>6713</v>
      </c>
      <c r="D327" s="177" t="s">
        <v>6124</v>
      </c>
      <c r="E327" s="177" t="s">
        <v>6129</v>
      </c>
      <c r="F327" s="177" t="s">
        <v>6716</v>
      </c>
      <c r="G327" s="176"/>
      <c r="H327" s="176"/>
      <c r="I327" s="176"/>
      <c r="J327" s="176"/>
      <c r="K327" s="176"/>
      <c r="L327" s="176"/>
      <c r="M327" s="176"/>
      <c r="N327" s="176"/>
      <c r="O327" s="176"/>
      <c r="P327" s="176"/>
      <c r="Q327" s="176"/>
      <c r="R327" s="176"/>
      <c r="S327" s="176"/>
      <c r="T327" s="176"/>
      <c r="U327" s="176"/>
      <c r="V327" s="176"/>
      <c r="W327" s="176"/>
      <c r="X327" s="176"/>
      <c r="Y327" s="176"/>
      <c r="Z327" s="176"/>
    </row>
    <row r="328" spans="1:26">
      <c r="A328" s="221">
        <v>346</v>
      </c>
      <c r="B328" s="177" t="s">
        <v>6122</v>
      </c>
      <c r="C328" s="177" t="s">
        <v>6717</v>
      </c>
      <c r="D328" s="177" t="s">
        <v>6124</v>
      </c>
      <c r="E328" s="177" t="s">
        <v>6125</v>
      </c>
      <c r="F328" s="177" t="s">
        <v>6718</v>
      </c>
      <c r="G328" s="176"/>
      <c r="H328" s="176"/>
      <c r="I328" s="176"/>
      <c r="J328" s="176"/>
      <c r="K328" s="176"/>
      <c r="L328" s="176"/>
      <c r="M328" s="176"/>
      <c r="N328" s="176"/>
      <c r="O328" s="176"/>
      <c r="P328" s="176"/>
      <c r="Q328" s="176"/>
      <c r="R328" s="176"/>
      <c r="S328" s="176"/>
      <c r="T328" s="176"/>
      <c r="U328" s="176"/>
      <c r="V328" s="176"/>
      <c r="W328" s="176"/>
      <c r="X328" s="176"/>
      <c r="Y328" s="176"/>
      <c r="Z328" s="176"/>
    </row>
    <row r="329" spans="1:26">
      <c r="A329" s="221">
        <v>347</v>
      </c>
      <c r="B329" s="177" t="s">
        <v>6122</v>
      </c>
      <c r="C329" s="177" t="s">
        <v>6717</v>
      </c>
      <c r="D329" s="177" t="s">
        <v>6124</v>
      </c>
      <c r="E329" s="177" t="s">
        <v>6137</v>
      </c>
      <c r="F329" s="177" t="s">
        <v>6719</v>
      </c>
      <c r="G329" s="176"/>
      <c r="H329" s="176"/>
      <c r="I329" s="176"/>
      <c r="J329" s="176"/>
      <c r="K329" s="176"/>
      <c r="L329" s="176"/>
      <c r="M329" s="176"/>
      <c r="N329" s="176"/>
      <c r="O329" s="176"/>
      <c r="P329" s="176"/>
      <c r="Q329" s="176"/>
      <c r="R329" s="176"/>
      <c r="S329" s="176"/>
      <c r="T329" s="176"/>
      <c r="U329" s="176"/>
      <c r="V329" s="176"/>
      <c r="W329" s="176"/>
      <c r="X329" s="176"/>
      <c r="Y329" s="176"/>
      <c r="Z329" s="176"/>
    </row>
    <row r="330" spans="1:26">
      <c r="A330" s="221">
        <v>348</v>
      </c>
      <c r="B330" s="177" t="s">
        <v>6122</v>
      </c>
      <c r="C330" s="177" t="s">
        <v>6717</v>
      </c>
      <c r="D330" s="177" t="s">
        <v>6124</v>
      </c>
      <c r="E330" s="177" t="s">
        <v>6129</v>
      </c>
      <c r="F330" s="177" t="s">
        <v>6720</v>
      </c>
      <c r="G330" s="176"/>
      <c r="H330" s="176"/>
      <c r="I330" s="176"/>
      <c r="J330" s="176"/>
      <c r="K330" s="176"/>
      <c r="L330" s="176"/>
      <c r="M330" s="176"/>
      <c r="N330" s="176"/>
      <c r="O330" s="176"/>
      <c r="P330" s="176"/>
      <c r="Q330" s="176"/>
      <c r="R330" s="176"/>
      <c r="S330" s="176"/>
      <c r="T330" s="176"/>
      <c r="U330" s="176"/>
      <c r="V330" s="176"/>
      <c r="W330" s="176"/>
      <c r="X330" s="176"/>
      <c r="Y330" s="176"/>
      <c r="Z330" s="176"/>
    </row>
    <row r="331" spans="1:26">
      <c r="A331" s="221">
        <v>349</v>
      </c>
      <c r="B331" s="177" t="s">
        <v>6122</v>
      </c>
      <c r="C331" s="177" t="s">
        <v>6721</v>
      </c>
      <c r="D331" s="177" t="s">
        <v>6124</v>
      </c>
      <c r="E331" s="177" t="s">
        <v>6125</v>
      </c>
      <c r="F331" s="177" t="s">
        <v>6722</v>
      </c>
      <c r="G331" s="176"/>
      <c r="H331" s="176"/>
      <c r="I331" s="176"/>
      <c r="J331" s="176"/>
      <c r="K331" s="176"/>
      <c r="L331" s="176"/>
      <c r="M331" s="176"/>
      <c r="N331" s="176"/>
      <c r="O331" s="176"/>
      <c r="P331" s="176"/>
      <c r="Q331" s="176"/>
      <c r="R331" s="176"/>
      <c r="S331" s="176"/>
      <c r="T331" s="176"/>
      <c r="U331" s="176"/>
      <c r="V331" s="176"/>
      <c r="W331" s="176"/>
      <c r="X331" s="176"/>
      <c r="Y331" s="176"/>
      <c r="Z331" s="176"/>
    </row>
    <row r="332" spans="1:26">
      <c r="A332" s="221">
        <v>350</v>
      </c>
      <c r="B332" s="177" t="s">
        <v>6122</v>
      </c>
      <c r="C332" s="177" t="s">
        <v>6721</v>
      </c>
      <c r="D332" s="177" t="s">
        <v>6124</v>
      </c>
      <c r="E332" s="177" t="s">
        <v>6137</v>
      </c>
      <c r="F332" s="177" t="s">
        <v>6723</v>
      </c>
      <c r="G332" s="176"/>
      <c r="H332" s="176"/>
      <c r="I332" s="176"/>
      <c r="J332" s="176"/>
      <c r="K332" s="176"/>
      <c r="L332" s="176"/>
      <c r="M332" s="176"/>
      <c r="N332" s="176"/>
      <c r="O332" s="176"/>
      <c r="P332" s="176"/>
      <c r="Q332" s="176"/>
      <c r="R332" s="176"/>
      <c r="S332" s="176"/>
      <c r="T332" s="176"/>
      <c r="U332" s="176"/>
      <c r="V332" s="176"/>
      <c r="W332" s="176"/>
      <c r="X332" s="176"/>
      <c r="Y332" s="176"/>
      <c r="Z332" s="176"/>
    </row>
    <row r="333" spans="1:26">
      <c r="A333" s="221">
        <v>351</v>
      </c>
      <c r="B333" s="177" t="s">
        <v>6122</v>
      </c>
      <c r="C333" s="177" t="s">
        <v>6721</v>
      </c>
      <c r="D333" s="177" t="s">
        <v>6124</v>
      </c>
      <c r="E333" s="177" t="s">
        <v>6129</v>
      </c>
      <c r="F333" s="177" t="s">
        <v>6724</v>
      </c>
      <c r="G333" s="176"/>
      <c r="H333" s="176"/>
      <c r="I333" s="176"/>
      <c r="J333" s="176"/>
      <c r="K333" s="176"/>
      <c r="L333" s="176"/>
      <c r="M333" s="176"/>
      <c r="N333" s="176"/>
      <c r="O333" s="176"/>
      <c r="P333" s="176"/>
      <c r="Q333" s="176"/>
      <c r="R333" s="176"/>
      <c r="S333" s="176"/>
      <c r="T333" s="176"/>
      <c r="U333" s="176"/>
      <c r="V333" s="176"/>
      <c r="W333" s="176"/>
      <c r="X333" s="176"/>
      <c r="Y333" s="176"/>
      <c r="Z333" s="176"/>
    </row>
    <row r="334" spans="1:26">
      <c r="A334" s="221">
        <v>352</v>
      </c>
      <c r="B334" s="177" t="s">
        <v>6122</v>
      </c>
      <c r="C334" s="177" t="s">
        <v>6725</v>
      </c>
      <c r="D334" s="177" t="s">
        <v>6124</v>
      </c>
      <c r="E334" s="177" t="s">
        <v>6125</v>
      </c>
      <c r="F334" s="177" t="s">
        <v>6726</v>
      </c>
      <c r="G334" s="176"/>
      <c r="H334" s="176"/>
      <c r="I334" s="176"/>
      <c r="J334" s="176"/>
      <c r="K334" s="176"/>
      <c r="L334" s="176"/>
      <c r="M334" s="176"/>
      <c r="N334" s="176"/>
      <c r="O334" s="176"/>
      <c r="P334" s="176"/>
      <c r="Q334" s="176"/>
      <c r="R334" s="176"/>
      <c r="S334" s="176"/>
      <c r="T334" s="176"/>
      <c r="U334" s="176"/>
      <c r="V334" s="176"/>
      <c r="W334" s="176"/>
      <c r="X334" s="176"/>
      <c r="Y334" s="176"/>
      <c r="Z334" s="176"/>
    </row>
    <row r="335" spans="1:26">
      <c r="A335" s="221">
        <v>353</v>
      </c>
      <c r="B335" s="177" t="s">
        <v>6122</v>
      </c>
      <c r="C335" s="177" t="s">
        <v>6725</v>
      </c>
      <c r="D335" s="177" t="s">
        <v>6124</v>
      </c>
      <c r="E335" s="177" t="s">
        <v>6137</v>
      </c>
      <c r="F335" s="177" t="s">
        <v>6727</v>
      </c>
      <c r="G335" s="176"/>
      <c r="H335" s="176"/>
      <c r="I335" s="176"/>
      <c r="J335" s="176"/>
      <c r="K335" s="176"/>
      <c r="L335" s="176"/>
      <c r="M335" s="176"/>
      <c r="N335" s="176"/>
      <c r="O335" s="176"/>
      <c r="P335" s="176"/>
      <c r="Q335" s="176"/>
      <c r="R335" s="176"/>
      <c r="S335" s="176"/>
      <c r="T335" s="176"/>
      <c r="U335" s="176"/>
      <c r="V335" s="176"/>
      <c r="W335" s="176"/>
      <c r="X335" s="176"/>
      <c r="Y335" s="176"/>
      <c r="Z335" s="176"/>
    </row>
    <row r="336" spans="1:26">
      <c r="A336" s="221">
        <v>354</v>
      </c>
      <c r="B336" s="177" t="s">
        <v>6122</v>
      </c>
      <c r="C336" s="177" t="s">
        <v>6725</v>
      </c>
      <c r="D336" s="177" t="s">
        <v>6124</v>
      </c>
      <c r="E336" s="177" t="s">
        <v>6129</v>
      </c>
      <c r="F336" s="177" t="s">
        <v>6728</v>
      </c>
      <c r="G336" s="176"/>
      <c r="H336" s="176"/>
      <c r="I336" s="176"/>
      <c r="J336" s="176"/>
      <c r="K336" s="176"/>
      <c r="L336" s="176"/>
      <c r="M336" s="176"/>
      <c r="N336" s="176"/>
      <c r="O336" s="176"/>
      <c r="P336" s="176"/>
      <c r="Q336" s="176"/>
      <c r="R336" s="176"/>
      <c r="S336" s="176"/>
      <c r="T336" s="176"/>
      <c r="U336" s="176"/>
      <c r="V336" s="176"/>
      <c r="W336" s="176"/>
      <c r="X336" s="176"/>
      <c r="Y336" s="176"/>
      <c r="Z336" s="176"/>
    </row>
    <row r="337" spans="1:26">
      <c r="A337" s="221">
        <v>355</v>
      </c>
      <c r="B337" s="177" t="s">
        <v>6122</v>
      </c>
      <c r="C337" s="177" t="s">
        <v>6729</v>
      </c>
      <c r="D337" s="177" t="s">
        <v>6124</v>
      </c>
      <c r="E337" s="177" t="s">
        <v>6125</v>
      </c>
      <c r="F337" s="177" t="s">
        <v>6730</v>
      </c>
      <c r="G337" s="176"/>
      <c r="H337" s="176"/>
      <c r="I337" s="176"/>
      <c r="J337" s="176"/>
      <c r="K337" s="176"/>
      <c r="L337" s="176"/>
      <c r="M337" s="176"/>
      <c r="N337" s="176"/>
      <c r="O337" s="176"/>
      <c r="P337" s="176"/>
      <c r="Q337" s="176"/>
      <c r="R337" s="176"/>
      <c r="S337" s="176"/>
      <c r="T337" s="176"/>
      <c r="U337" s="176"/>
      <c r="V337" s="176"/>
      <c r="W337" s="176"/>
      <c r="X337" s="176"/>
      <c r="Y337" s="176"/>
      <c r="Z337" s="176"/>
    </row>
    <row r="338" spans="1:26">
      <c r="A338" s="221">
        <v>356</v>
      </c>
      <c r="B338" s="177" t="s">
        <v>6122</v>
      </c>
      <c r="C338" s="177" t="s">
        <v>6729</v>
      </c>
      <c r="D338" s="177" t="s">
        <v>6124</v>
      </c>
      <c r="E338" s="177" t="s">
        <v>6137</v>
      </c>
      <c r="F338" s="177" t="s">
        <v>6731</v>
      </c>
      <c r="G338" s="176"/>
      <c r="H338" s="176"/>
      <c r="I338" s="176"/>
      <c r="J338" s="176"/>
      <c r="K338" s="176"/>
      <c r="L338" s="176"/>
      <c r="M338" s="176"/>
      <c r="N338" s="176"/>
      <c r="O338" s="176"/>
      <c r="P338" s="176"/>
      <c r="Q338" s="176"/>
      <c r="R338" s="176"/>
      <c r="S338" s="176"/>
      <c r="T338" s="176"/>
      <c r="U338" s="176"/>
      <c r="V338" s="176"/>
      <c r="W338" s="176"/>
      <c r="X338" s="176"/>
      <c r="Y338" s="176"/>
      <c r="Z338" s="176"/>
    </row>
    <row r="339" spans="1:26">
      <c r="A339" s="221">
        <v>357</v>
      </c>
      <c r="B339" s="177" t="s">
        <v>6122</v>
      </c>
      <c r="C339" s="177" t="s">
        <v>6729</v>
      </c>
      <c r="D339" s="177" t="s">
        <v>6124</v>
      </c>
      <c r="E339" s="177" t="s">
        <v>6129</v>
      </c>
      <c r="F339" s="177" t="s">
        <v>6732</v>
      </c>
      <c r="G339" s="176"/>
      <c r="H339" s="176"/>
      <c r="I339" s="176"/>
      <c r="J339" s="176"/>
      <c r="K339" s="176"/>
      <c r="L339" s="176"/>
      <c r="M339" s="176"/>
      <c r="N339" s="176"/>
      <c r="O339" s="176"/>
      <c r="P339" s="176"/>
      <c r="Q339" s="176"/>
      <c r="R339" s="176"/>
      <c r="S339" s="176"/>
      <c r="T339" s="176"/>
      <c r="U339" s="176"/>
      <c r="V339" s="176"/>
      <c r="W339" s="176"/>
      <c r="X339" s="176"/>
      <c r="Y339" s="176"/>
      <c r="Z339" s="176"/>
    </row>
    <row r="340" spans="1:26">
      <c r="A340" s="221">
        <v>358</v>
      </c>
      <c r="B340" s="177" t="s">
        <v>6122</v>
      </c>
      <c r="C340" s="177" t="s">
        <v>6733</v>
      </c>
      <c r="D340" s="177" t="s">
        <v>6124</v>
      </c>
      <c r="E340" s="177" t="s">
        <v>6125</v>
      </c>
      <c r="F340" s="177" t="s">
        <v>6734</v>
      </c>
      <c r="G340" s="176"/>
      <c r="H340" s="176"/>
      <c r="I340" s="176"/>
      <c r="J340" s="176"/>
      <c r="K340" s="176"/>
      <c r="L340" s="176"/>
      <c r="M340" s="176"/>
      <c r="N340" s="176"/>
      <c r="O340" s="176"/>
      <c r="P340" s="176"/>
      <c r="Q340" s="176"/>
      <c r="R340" s="176"/>
      <c r="S340" s="176"/>
      <c r="T340" s="176"/>
      <c r="U340" s="176"/>
      <c r="V340" s="176"/>
      <c r="W340" s="176"/>
      <c r="X340" s="176"/>
      <c r="Y340" s="176"/>
      <c r="Z340" s="176"/>
    </row>
    <row r="341" spans="1:26">
      <c r="A341" s="221">
        <v>359</v>
      </c>
      <c r="B341" s="177" t="s">
        <v>6122</v>
      </c>
      <c r="C341" s="177" t="s">
        <v>6733</v>
      </c>
      <c r="D341" s="177" t="s">
        <v>6124</v>
      </c>
      <c r="E341" s="177" t="s">
        <v>6137</v>
      </c>
      <c r="F341" s="177" t="s">
        <v>6735</v>
      </c>
      <c r="G341" s="176"/>
      <c r="H341" s="176"/>
      <c r="I341" s="176"/>
      <c r="J341" s="176"/>
      <c r="K341" s="176"/>
      <c r="L341" s="176"/>
      <c r="M341" s="176"/>
      <c r="N341" s="176"/>
      <c r="O341" s="176"/>
      <c r="P341" s="176"/>
      <c r="Q341" s="176"/>
      <c r="R341" s="176"/>
      <c r="S341" s="176"/>
      <c r="T341" s="176"/>
      <c r="U341" s="176"/>
      <c r="V341" s="176"/>
      <c r="W341" s="176"/>
      <c r="X341" s="176"/>
      <c r="Y341" s="176"/>
      <c r="Z341" s="176"/>
    </row>
    <row r="342" spans="1:26">
      <c r="A342" s="221">
        <v>360</v>
      </c>
      <c r="B342" s="177" t="s">
        <v>6122</v>
      </c>
      <c r="C342" s="177" t="s">
        <v>6733</v>
      </c>
      <c r="D342" s="177" t="s">
        <v>6124</v>
      </c>
      <c r="E342" s="177" t="s">
        <v>6129</v>
      </c>
      <c r="F342" s="177" t="s">
        <v>6736</v>
      </c>
      <c r="G342" s="176"/>
      <c r="H342" s="176"/>
      <c r="I342" s="176"/>
      <c r="J342" s="176"/>
      <c r="K342" s="176"/>
      <c r="L342" s="176"/>
      <c r="M342" s="176"/>
      <c r="N342" s="176"/>
      <c r="O342" s="176"/>
      <c r="P342" s="176"/>
      <c r="Q342" s="176"/>
      <c r="R342" s="176"/>
      <c r="S342" s="176"/>
      <c r="T342" s="176"/>
      <c r="U342" s="176"/>
      <c r="V342" s="176"/>
      <c r="W342" s="176"/>
      <c r="X342" s="176"/>
      <c r="Y342" s="176"/>
      <c r="Z342" s="176"/>
    </row>
    <row r="343" spans="1:26">
      <c r="A343" s="221">
        <v>361</v>
      </c>
      <c r="B343" s="177" t="s">
        <v>6122</v>
      </c>
      <c r="C343" s="177" t="s">
        <v>6737</v>
      </c>
      <c r="D343" s="177" t="s">
        <v>6124</v>
      </c>
      <c r="E343" s="177" t="s">
        <v>6125</v>
      </c>
      <c r="F343" s="177" t="s">
        <v>6738</v>
      </c>
      <c r="G343" s="176"/>
      <c r="H343" s="176"/>
      <c r="I343" s="176"/>
      <c r="J343" s="176"/>
      <c r="K343" s="176"/>
      <c r="L343" s="176"/>
      <c r="M343" s="176"/>
      <c r="N343" s="176"/>
      <c r="O343" s="176"/>
      <c r="P343" s="176"/>
      <c r="Q343" s="176"/>
      <c r="R343" s="176"/>
      <c r="S343" s="176"/>
      <c r="T343" s="176"/>
      <c r="U343" s="176"/>
      <c r="V343" s="176"/>
      <c r="W343" s="176"/>
      <c r="X343" s="176"/>
      <c r="Y343" s="176"/>
      <c r="Z343" s="176"/>
    </row>
    <row r="344" spans="1:26">
      <c r="A344" s="221">
        <v>362</v>
      </c>
      <c r="B344" s="177" t="s">
        <v>6122</v>
      </c>
      <c r="C344" s="177" t="s">
        <v>6737</v>
      </c>
      <c r="D344" s="177" t="s">
        <v>6124</v>
      </c>
      <c r="E344" s="177" t="s">
        <v>6137</v>
      </c>
      <c r="F344" s="177" t="s">
        <v>6739</v>
      </c>
      <c r="G344" s="176"/>
      <c r="H344" s="176"/>
      <c r="I344" s="176"/>
      <c r="J344" s="176"/>
      <c r="K344" s="176"/>
      <c r="L344" s="176"/>
      <c r="M344" s="176"/>
      <c r="N344" s="176"/>
      <c r="O344" s="176"/>
      <c r="P344" s="176"/>
      <c r="Q344" s="176"/>
      <c r="R344" s="176"/>
      <c r="S344" s="176"/>
      <c r="T344" s="176"/>
      <c r="U344" s="176"/>
      <c r="V344" s="176"/>
      <c r="W344" s="176"/>
      <c r="X344" s="176"/>
      <c r="Y344" s="176"/>
      <c r="Z344" s="176"/>
    </row>
    <row r="345" spans="1:26">
      <c r="A345" s="221">
        <v>363</v>
      </c>
      <c r="B345" s="177" t="s">
        <v>6122</v>
      </c>
      <c r="C345" s="177" t="s">
        <v>6737</v>
      </c>
      <c r="D345" s="177" t="s">
        <v>6124</v>
      </c>
      <c r="E345" s="177" t="s">
        <v>6129</v>
      </c>
      <c r="F345" s="177" t="s">
        <v>6740</v>
      </c>
      <c r="G345" s="176"/>
      <c r="H345" s="176"/>
      <c r="I345" s="176"/>
      <c r="J345" s="176"/>
      <c r="K345" s="176"/>
      <c r="L345" s="176"/>
      <c r="M345" s="176"/>
      <c r="N345" s="176"/>
      <c r="O345" s="176"/>
      <c r="P345" s="176"/>
      <c r="Q345" s="176"/>
      <c r="R345" s="176"/>
      <c r="S345" s="176"/>
      <c r="T345" s="176"/>
      <c r="U345" s="176"/>
      <c r="V345" s="176"/>
      <c r="W345" s="176"/>
      <c r="X345" s="176"/>
      <c r="Y345" s="176"/>
      <c r="Z345" s="176"/>
    </row>
    <row r="346" spans="1:26">
      <c r="A346" s="221">
        <v>364</v>
      </c>
      <c r="B346" s="177" t="s">
        <v>6122</v>
      </c>
      <c r="C346" s="177" t="s">
        <v>6741</v>
      </c>
      <c r="D346" s="177" t="s">
        <v>6124</v>
      </c>
      <c r="E346" s="177" t="s">
        <v>6125</v>
      </c>
      <c r="F346" s="177" t="s">
        <v>6742</v>
      </c>
      <c r="G346" s="176"/>
      <c r="H346" s="176"/>
      <c r="I346" s="176"/>
      <c r="J346" s="176"/>
      <c r="K346" s="176"/>
      <c r="L346" s="176"/>
      <c r="M346" s="176"/>
      <c r="N346" s="176"/>
      <c r="O346" s="176"/>
      <c r="P346" s="176"/>
      <c r="Q346" s="176"/>
      <c r="R346" s="176"/>
      <c r="S346" s="176"/>
      <c r="T346" s="176"/>
      <c r="U346" s="176"/>
      <c r="V346" s="176"/>
      <c r="W346" s="176"/>
      <c r="X346" s="176"/>
      <c r="Y346" s="176"/>
      <c r="Z346" s="176"/>
    </row>
    <row r="347" spans="1:26">
      <c r="A347" s="221">
        <v>365</v>
      </c>
      <c r="B347" s="177" t="s">
        <v>6122</v>
      </c>
      <c r="C347" s="177" t="s">
        <v>6741</v>
      </c>
      <c r="D347" s="177" t="s">
        <v>6124</v>
      </c>
      <c r="E347" s="177" t="s">
        <v>6137</v>
      </c>
      <c r="F347" s="177" t="s">
        <v>6743</v>
      </c>
      <c r="G347" s="176"/>
      <c r="H347" s="176"/>
      <c r="I347" s="176"/>
      <c r="J347" s="176"/>
      <c r="K347" s="176"/>
      <c r="L347" s="176"/>
      <c r="M347" s="176"/>
      <c r="N347" s="176"/>
      <c r="O347" s="176"/>
      <c r="P347" s="176"/>
      <c r="Q347" s="176"/>
      <c r="R347" s="176"/>
      <c r="S347" s="176"/>
      <c r="T347" s="176"/>
      <c r="U347" s="176"/>
      <c r="V347" s="176"/>
      <c r="W347" s="176"/>
      <c r="X347" s="176"/>
      <c r="Y347" s="176"/>
      <c r="Z347" s="176"/>
    </row>
    <row r="348" spans="1:26">
      <c r="A348" s="221">
        <v>366</v>
      </c>
      <c r="B348" s="177" t="s">
        <v>6122</v>
      </c>
      <c r="C348" s="177" t="s">
        <v>6741</v>
      </c>
      <c r="D348" s="177" t="s">
        <v>6124</v>
      </c>
      <c r="E348" s="177" t="s">
        <v>6129</v>
      </c>
      <c r="F348" s="177" t="s">
        <v>6744</v>
      </c>
      <c r="G348" s="176"/>
      <c r="H348" s="176"/>
      <c r="I348" s="176"/>
      <c r="J348" s="176"/>
      <c r="K348" s="176"/>
      <c r="L348" s="176"/>
      <c r="M348" s="176"/>
      <c r="N348" s="176"/>
      <c r="O348" s="176"/>
      <c r="P348" s="176"/>
      <c r="Q348" s="176"/>
      <c r="R348" s="176"/>
      <c r="S348" s="176"/>
      <c r="T348" s="176"/>
      <c r="U348" s="176"/>
      <c r="V348" s="176"/>
      <c r="W348" s="176"/>
      <c r="X348" s="176"/>
      <c r="Y348" s="176"/>
      <c r="Z348" s="176"/>
    </row>
    <row r="349" spans="1:26">
      <c r="A349" s="221">
        <v>367</v>
      </c>
      <c r="B349" s="177" t="s">
        <v>6122</v>
      </c>
      <c r="C349" s="177" t="s">
        <v>6745</v>
      </c>
      <c r="D349" s="177" t="s">
        <v>6124</v>
      </c>
      <c r="E349" s="177" t="s">
        <v>6125</v>
      </c>
      <c r="F349" s="177" t="s">
        <v>6746</v>
      </c>
      <c r="G349" s="176"/>
      <c r="H349" s="176"/>
      <c r="I349" s="176"/>
      <c r="J349" s="176"/>
      <c r="K349" s="176"/>
      <c r="L349" s="176"/>
      <c r="M349" s="176"/>
      <c r="N349" s="176"/>
      <c r="O349" s="176"/>
      <c r="P349" s="176"/>
      <c r="Q349" s="176"/>
      <c r="R349" s="176"/>
      <c r="S349" s="176"/>
      <c r="T349" s="176"/>
      <c r="U349" s="176"/>
      <c r="V349" s="176"/>
      <c r="W349" s="176"/>
      <c r="X349" s="176"/>
      <c r="Y349" s="176"/>
      <c r="Z349" s="176"/>
    </row>
    <row r="350" spans="1:26">
      <c r="A350" s="221">
        <v>368</v>
      </c>
      <c r="B350" s="177" t="s">
        <v>6122</v>
      </c>
      <c r="C350" s="177" t="s">
        <v>6745</v>
      </c>
      <c r="D350" s="177" t="s">
        <v>6124</v>
      </c>
      <c r="E350" s="177" t="s">
        <v>6137</v>
      </c>
      <c r="F350" s="177" t="s">
        <v>6747</v>
      </c>
      <c r="G350" s="176"/>
      <c r="H350" s="176"/>
      <c r="I350" s="176"/>
      <c r="J350" s="176"/>
      <c r="K350" s="176"/>
      <c r="L350" s="176"/>
      <c r="M350" s="176"/>
      <c r="N350" s="176"/>
      <c r="O350" s="176"/>
      <c r="P350" s="176"/>
      <c r="Q350" s="176"/>
      <c r="R350" s="176"/>
      <c r="S350" s="176"/>
      <c r="T350" s="176"/>
      <c r="U350" s="176"/>
      <c r="V350" s="176"/>
      <c r="W350" s="176"/>
      <c r="X350" s="176"/>
      <c r="Y350" s="176"/>
      <c r="Z350" s="176"/>
    </row>
    <row r="351" spans="1:26">
      <c r="A351" s="221">
        <v>369</v>
      </c>
      <c r="B351" s="177" t="s">
        <v>6122</v>
      </c>
      <c r="C351" s="177" t="s">
        <v>6745</v>
      </c>
      <c r="D351" s="177" t="s">
        <v>6124</v>
      </c>
      <c r="E351" s="177" t="s">
        <v>6129</v>
      </c>
      <c r="F351" s="177" t="s">
        <v>6748</v>
      </c>
      <c r="G351" s="176"/>
      <c r="H351" s="176"/>
      <c r="I351" s="176"/>
      <c r="J351" s="176"/>
      <c r="K351" s="176"/>
      <c r="L351" s="176"/>
      <c r="M351" s="176"/>
      <c r="N351" s="176"/>
      <c r="O351" s="176"/>
      <c r="P351" s="176"/>
      <c r="Q351" s="176"/>
      <c r="R351" s="176"/>
      <c r="S351" s="176"/>
      <c r="T351" s="176"/>
      <c r="U351" s="176"/>
      <c r="V351" s="176"/>
      <c r="W351" s="176"/>
      <c r="X351" s="176"/>
      <c r="Y351" s="176"/>
      <c r="Z351" s="176"/>
    </row>
    <row r="352" spans="1:26">
      <c r="A352" s="221">
        <v>370</v>
      </c>
      <c r="B352" s="177" t="s">
        <v>6122</v>
      </c>
      <c r="C352" s="177" t="s">
        <v>6749</v>
      </c>
      <c r="D352" s="177" t="s">
        <v>6124</v>
      </c>
      <c r="E352" s="177" t="s">
        <v>6125</v>
      </c>
      <c r="F352" s="177" t="s">
        <v>6750</v>
      </c>
      <c r="G352" s="176"/>
      <c r="H352" s="176"/>
      <c r="I352" s="176"/>
      <c r="J352" s="176"/>
      <c r="K352" s="176"/>
      <c r="L352" s="176"/>
      <c r="M352" s="176"/>
      <c r="N352" s="176"/>
      <c r="O352" s="176"/>
      <c r="P352" s="176"/>
      <c r="Q352" s="176"/>
      <c r="R352" s="176"/>
      <c r="S352" s="176"/>
      <c r="T352" s="176"/>
      <c r="U352" s="176"/>
      <c r="V352" s="176"/>
      <c r="W352" s="176"/>
      <c r="X352" s="176"/>
      <c r="Y352" s="176"/>
      <c r="Z352" s="176"/>
    </row>
    <row r="353" spans="1:26">
      <c r="A353" s="221">
        <v>371</v>
      </c>
      <c r="B353" s="177" t="s">
        <v>6122</v>
      </c>
      <c r="C353" s="177" t="s">
        <v>6749</v>
      </c>
      <c r="D353" s="177" t="s">
        <v>6124</v>
      </c>
      <c r="E353" s="177" t="s">
        <v>6137</v>
      </c>
      <c r="F353" s="177" t="s">
        <v>6751</v>
      </c>
      <c r="G353" s="176"/>
      <c r="H353" s="176"/>
      <c r="I353" s="176"/>
      <c r="J353" s="176"/>
      <c r="K353" s="176"/>
      <c r="L353" s="176"/>
      <c r="M353" s="176"/>
      <c r="N353" s="176"/>
      <c r="O353" s="176"/>
      <c r="P353" s="176"/>
      <c r="Q353" s="176"/>
      <c r="R353" s="176"/>
      <c r="S353" s="176"/>
      <c r="T353" s="176"/>
      <c r="U353" s="176"/>
      <c r="V353" s="176"/>
      <c r="W353" s="176"/>
      <c r="X353" s="176"/>
      <c r="Y353" s="176"/>
      <c r="Z353" s="176"/>
    </row>
    <row r="354" spans="1:26">
      <c r="A354" s="221">
        <v>372</v>
      </c>
      <c r="B354" s="177" t="s">
        <v>6122</v>
      </c>
      <c r="C354" s="177" t="s">
        <v>6749</v>
      </c>
      <c r="D354" s="177" t="s">
        <v>6124</v>
      </c>
      <c r="E354" s="177" t="s">
        <v>6129</v>
      </c>
      <c r="F354" s="177" t="s">
        <v>6752</v>
      </c>
      <c r="G354" s="176"/>
      <c r="H354" s="176"/>
      <c r="I354" s="176"/>
      <c r="J354" s="176"/>
      <c r="K354" s="176"/>
      <c r="L354" s="176"/>
      <c r="M354" s="176"/>
      <c r="N354" s="176"/>
      <c r="O354" s="176"/>
      <c r="P354" s="176"/>
      <c r="Q354" s="176"/>
      <c r="R354" s="176"/>
      <c r="S354" s="176"/>
      <c r="T354" s="176"/>
      <c r="U354" s="176"/>
      <c r="V354" s="176"/>
      <c r="W354" s="176"/>
      <c r="X354" s="176"/>
      <c r="Y354" s="176"/>
      <c r="Z354" s="176"/>
    </row>
    <row r="355" spans="1:26">
      <c r="A355" s="221">
        <v>373</v>
      </c>
      <c r="B355" s="177" t="s">
        <v>6122</v>
      </c>
      <c r="C355" s="177" t="s">
        <v>6753</v>
      </c>
      <c r="D355" s="177" t="s">
        <v>6124</v>
      </c>
      <c r="E355" s="177" t="s">
        <v>6125</v>
      </c>
      <c r="F355" s="177" t="s">
        <v>6754</v>
      </c>
      <c r="G355" s="176"/>
      <c r="H355" s="176"/>
      <c r="I355" s="176"/>
      <c r="J355" s="176"/>
      <c r="K355" s="176"/>
      <c r="L355" s="176"/>
      <c r="M355" s="176"/>
      <c r="N355" s="176"/>
      <c r="O355" s="176"/>
      <c r="P355" s="176"/>
      <c r="Q355" s="176"/>
      <c r="R355" s="176"/>
      <c r="S355" s="176"/>
      <c r="T355" s="176"/>
      <c r="U355" s="176"/>
      <c r="V355" s="176"/>
      <c r="W355" s="176"/>
      <c r="X355" s="176"/>
      <c r="Y355" s="176"/>
      <c r="Z355" s="176"/>
    </row>
    <row r="356" spans="1:26">
      <c r="A356" s="221">
        <v>374</v>
      </c>
      <c r="B356" s="177" t="s">
        <v>6122</v>
      </c>
      <c r="C356" s="177" t="s">
        <v>6753</v>
      </c>
      <c r="D356" s="177" t="s">
        <v>6124</v>
      </c>
      <c r="E356" s="177" t="s">
        <v>6137</v>
      </c>
      <c r="F356" s="177" t="s">
        <v>6755</v>
      </c>
      <c r="G356" s="176"/>
      <c r="H356" s="176"/>
      <c r="I356" s="176"/>
      <c r="J356" s="176"/>
      <c r="K356" s="176"/>
      <c r="L356" s="176"/>
      <c r="M356" s="176"/>
      <c r="N356" s="176"/>
      <c r="O356" s="176"/>
      <c r="P356" s="176"/>
      <c r="Q356" s="176"/>
      <c r="R356" s="176"/>
      <c r="S356" s="176"/>
      <c r="T356" s="176"/>
      <c r="U356" s="176"/>
      <c r="V356" s="176"/>
      <c r="W356" s="176"/>
      <c r="X356" s="176"/>
      <c r="Y356" s="176"/>
      <c r="Z356" s="176"/>
    </row>
    <row r="357" spans="1:26">
      <c r="A357" s="221">
        <v>375</v>
      </c>
      <c r="B357" s="177" t="s">
        <v>6122</v>
      </c>
      <c r="C357" s="177" t="s">
        <v>6753</v>
      </c>
      <c r="D357" s="177" t="s">
        <v>6124</v>
      </c>
      <c r="E357" s="177" t="s">
        <v>6129</v>
      </c>
      <c r="F357" s="177" t="s">
        <v>6756</v>
      </c>
      <c r="G357" s="176"/>
      <c r="H357" s="176"/>
      <c r="I357" s="176"/>
      <c r="J357" s="176"/>
      <c r="K357" s="176"/>
      <c r="L357" s="176"/>
      <c r="M357" s="176"/>
      <c r="N357" s="176"/>
      <c r="O357" s="176"/>
      <c r="P357" s="176"/>
      <c r="Q357" s="176"/>
      <c r="R357" s="176"/>
      <c r="S357" s="176"/>
      <c r="T357" s="176"/>
      <c r="U357" s="176"/>
      <c r="V357" s="176"/>
      <c r="W357" s="176"/>
      <c r="X357" s="176"/>
      <c r="Y357" s="176"/>
      <c r="Z357" s="176"/>
    </row>
    <row r="358" spans="1:26">
      <c r="A358" s="221">
        <v>376</v>
      </c>
      <c r="B358" s="177" t="s">
        <v>6122</v>
      </c>
      <c r="C358" s="177" t="s">
        <v>6757</v>
      </c>
      <c r="D358" s="177" t="s">
        <v>6124</v>
      </c>
      <c r="E358" s="177" t="s">
        <v>6125</v>
      </c>
      <c r="F358" s="177" t="s">
        <v>6758</v>
      </c>
      <c r="G358" s="176"/>
      <c r="H358" s="176"/>
      <c r="I358" s="176"/>
      <c r="J358" s="176"/>
      <c r="K358" s="176"/>
      <c r="L358" s="176"/>
      <c r="M358" s="176"/>
      <c r="N358" s="176"/>
      <c r="O358" s="176"/>
      <c r="P358" s="176"/>
      <c r="Q358" s="176"/>
      <c r="R358" s="176"/>
      <c r="S358" s="176"/>
      <c r="T358" s="176"/>
      <c r="U358" s="176"/>
      <c r="V358" s="176"/>
      <c r="W358" s="176"/>
      <c r="X358" s="176"/>
      <c r="Y358" s="176"/>
      <c r="Z358" s="176"/>
    </row>
    <row r="359" spans="1:26">
      <c r="A359" s="221">
        <v>377</v>
      </c>
      <c r="B359" s="177" t="s">
        <v>6122</v>
      </c>
      <c r="C359" s="177" t="s">
        <v>6757</v>
      </c>
      <c r="D359" s="177" t="s">
        <v>6124</v>
      </c>
      <c r="E359" s="177" t="s">
        <v>6137</v>
      </c>
      <c r="F359" s="177" t="s">
        <v>6759</v>
      </c>
      <c r="G359" s="176"/>
      <c r="H359" s="176"/>
      <c r="I359" s="176"/>
      <c r="J359" s="176"/>
      <c r="K359" s="176"/>
      <c r="L359" s="176"/>
      <c r="M359" s="176"/>
      <c r="N359" s="176"/>
      <c r="O359" s="176"/>
      <c r="P359" s="176"/>
      <c r="Q359" s="176"/>
      <c r="R359" s="176"/>
      <c r="S359" s="176"/>
      <c r="T359" s="176"/>
      <c r="U359" s="176"/>
      <c r="V359" s="176"/>
      <c r="W359" s="176"/>
      <c r="X359" s="176"/>
      <c r="Y359" s="176"/>
      <c r="Z359" s="176"/>
    </row>
    <row r="360" spans="1:26">
      <c r="A360" s="221">
        <v>378</v>
      </c>
      <c r="B360" s="177" t="s">
        <v>6122</v>
      </c>
      <c r="C360" s="177" t="s">
        <v>6757</v>
      </c>
      <c r="D360" s="177" t="s">
        <v>6124</v>
      </c>
      <c r="E360" s="177" t="s">
        <v>6129</v>
      </c>
      <c r="F360" s="177" t="s">
        <v>6760</v>
      </c>
      <c r="G360" s="176"/>
      <c r="H360" s="176"/>
      <c r="I360" s="176"/>
      <c r="J360" s="176"/>
      <c r="K360" s="176"/>
      <c r="L360" s="176"/>
      <c r="M360" s="176"/>
      <c r="N360" s="176"/>
      <c r="O360" s="176"/>
      <c r="P360" s="176"/>
      <c r="Q360" s="176"/>
      <c r="R360" s="176"/>
      <c r="S360" s="176"/>
      <c r="T360" s="176"/>
      <c r="U360" s="176"/>
      <c r="V360" s="176"/>
      <c r="W360" s="176"/>
      <c r="X360" s="176"/>
      <c r="Y360" s="176"/>
      <c r="Z360" s="176"/>
    </row>
    <row r="361" spans="1:26">
      <c r="A361" s="221">
        <v>379</v>
      </c>
      <c r="B361" s="177" t="s">
        <v>6122</v>
      </c>
      <c r="C361" s="177" t="s">
        <v>6761</v>
      </c>
      <c r="D361" s="177" t="s">
        <v>6124</v>
      </c>
      <c r="E361" s="177" t="s">
        <v>6125</v>
      </c>
      <c r="F361" s="177" t="s">
        <v>6762</v>
      </c>
      <c r="G361" s="176"/>
      <c r="H361" s="176"/>
      <c r="I361" s="176"/>
      <c r="J361" s="176"/>
      <c r="K361" s="176"/>
      <c r="L361" s="176"/>
      <c r="M361" s="176"/>
      <c r="N361" s="176"/>
      <c r="O361" s="176"/>
      <c r="P361" s="176"/>
      <c r="Q361" s="176"/>
      <c r="R361" s="176"/>
      <c r="S361" s="176"/>
      <c r="T361" s="176"/>
      <c r="U361" s="176"/>
      <c r="V361" s="176"/>
      <c r="W361" s="176"/>
      <c r="X361" s="176"/>
      <c r="Y361" s="176"/>
      <c r="Z361" s="176"/>
    </row>
    <row r="362" spans="1:26">
      <c r="A362" s="221">
        <v>380</v>
      </c>
      <c r="B362" s="177" t="s">
        <v>6122</v>
      </c>
      <c r="C362" s="177" t="s">
        <v>6761</v>
      </c>
      <c r="D362" s="177" t="s">
        <v>6124</v>
      </c>
      <c r="E362" s="177" t="s">
        <v>6137</v>
      </c>
      <c r="F362" s="177" t="s">
        <v>6763</v>
      </c>
      <c r="G362" s="176"/>
      <c r="H362" s="176"/>
      <c r="I362" s="176"/>
      <c r="J362" s="176"/>
      <c r="K362" s="176"/>
      <c r="L362" s="176"/>
      <c r="M362" s="176"/>
      <c r="N362" s="176"/>
      <c r="O362" s="176"/>
      <c r="P362" s="176"/>
      <c r="Q362" s="176"/>
      <c r="R362" s="176"/>
      <c r="S362" s="176"/>
      <c r="T362" s="176"/>
      <c r="U362" s="176"/>
      <c r="V362" s="176"/>
      <c r="W362" s="176"/>
      <c r="X362" s="176"/>
      <c r="Y362" s="176"/>
      <c r="Z362" s="176"/>
    </row>
    <row r="363" spans="1:26">
      <c r="A363" s="221">
        <v>381</v>
      </c>
      <c r="B363" s="177" t="s">
        <v>6122</v>
      </c>
      <c r="C363" s="177" t="s">
        <v>6761</v>
      </c>
      <c r="D363" s="177" t="s">
        <v>6124</v>
      </c>
      <c r="E363" s="177" t="s">
        <v>6129</v>
      </c>
      <c r="F363" s="177" t="s">
        <v>6764</v>
      </c>
      <c r="G363" s="176"/>
      <c r="H363" s="176"/>
      <c r="I363" s="176"/>
      <c r="J363" s="176"/>
      <c r="K363" s="176"/>
      <c r="L363" s="176"/>
      <c r="M363" s="176"/>
      <c r="N363" s="176"/>
      <c r="O363" s="176"/>
      <c r="P363" s="176"/>
      <c r="Q363" s="176"/>
      <c r="R363" s="176"/>
      <c r="S363" s="176"/>
      <c r="T363" s="176"/>
      <c r="U363" s="176"/>
      <c r="V363" s="176"/>
      <c r="W363" s="176"/>
      <c r="X363" s="176"/>
      <c r="Y363" s="176"/>
      <c r="Z363" s="176"/>
    </row>
    <row r="364" spans="1:26">
      <c r="A364" s="221">
        <v>382</v>
      </c>
      <c r="B364" s="177" t="s">
        <v>6122</v>
      </c>
      <c r="C364" s="177" t="s">
        <v>6765</v>
      </c>
      <c r="D364" s="177" t="s">
        <v>6124</v>
      </c>
      <c r="E364" s="177" t="s">
        <v>6125</v>
      </c>
      <c r="F364" s="177" t="s">
        <v>6766</v>
      </c>
      <c r="G364" s="176"/>
      <c r="H364" s="176"/>
      <c r="I364" s="176"/>
      <c r="J364" s="176"/>
      <c r="K364" s="176"/>
      <c r="L364" s="176"/>
      <c r="M364" s="176"/>
      <c r="N364" s="176"/>
      <c r="O364" s="176"/>
      <c r="P364" s="176"/>
      <c r="Q364" s="176"/>
      <c r="R364" s="176"/>
      <c r="S364" s="176"/>
      <c r="T364" s="176"/>
      <c r="U364" s="176"/>
      <c r="V364" s="176"/>
      <c r="W364" s="176"/>
      <c r="X364" s="176"/>
      <c r="Y364" s="176"/>
      <c r="Z364" s="176"/>
    </row>
    <row r="365" spans="1:26">
      <c r="A365" s="221">
        <v>383</v>
      </c>
      <c r="B365" s="177" t="s">
        <v>6122</v>
      </c>
      <c r="C365" s="177" t="s">
        <v>6765</v>
      </c>
      <c r="D365" s="177" t="s">
        <v>6124</v>
      </c>
      <c r="E365" s="177" t="s">
        <v>6137</v>
      </c>
      <c r="F365" s="177" t="s">
        <v>6767</v>
      </c>
      <c r="G365" s="176"/>
      <c r="H365" s="176"/>
      <c r="I365" s="176"/>
      <c r="J365" s="176"/>
      <c r="K365" s="176"/>
      <c r="L365" s="176"/>
      <c r="M365" s="176"/>
      <c r="N365" s="176"/>
      <c r="O365" s="176"/>
      <c r="P365" s="176"/>
      <c r="Q365" s="176"/>
      <c r="R365" s="176"/>
      <c r="S365" s="176"/>
      <c r="T365" s="176"/>
      <c r="U365" s="176"/>
      <c r="V365" s="176"/>
      <c r="W365" s="176"/>
      <c r="X365" s="176"/>
      <c r="Y365" s="176"/>
      <c r="Z365" s="176"/>
    </row>
    <row r="366" spans="1:26">
      <c r="A366" s="221">
        <v>384</v>
      </c>
      <c r="B366" s="177" t="s">
        <v>6122</v>
      </c>
      <c r="C366" s="177" t="s">
        <v>6765</v>
      </c>
      <c r="D366" s="177" t="s">
        <v>6124</v>
      </c>
      <c r="E366" s="177" t="s">
        <v>6129</v>
      </c>
      <c r="F366" s="177" t="s">
        <v>6768</v>
      </c>
      <c r="G366" s="176"/>
      <c r="H366" s="176"/>
      <c r="I366" s="176"/>
      <c r="J366" s="176"/>
      <c r="K366" s="176"/>
      <c r="L366" s="176"/>
      <c r="M366" s="176"/>
      <c r="N366" s="176"/>
      <c r="O366" s="176"/>
      <c r="P366" s="176"/>
      <c r="Q366" s="176"/>
      <c r="R366" s="176"/>
      <c r="S366" s="176"/>
      <c r="T366" s="176"/>
      <c r="U366" s="176"/>
      <c r="V366" s="176"/>
      <c r="W366" s="176"/>
      <c r="X366" s="176"/>
      <c r="Y366" s="176"/>
      <c r="Z366" s="176"/>
    </row>
    <row r="367" spans="1:26">
      <c r="A367" s="221">
        <v>385</v>
      </c>
      <c r="B367" s="177" t="s">
        <v>6122</v>
      </c>
      <c r="C367" s="177" t="s">
        <v>6769</v>
      </c>
      <c r="D367" s="177" t="s">
        <v>6124</v>
      </c>
      <c r="E367" s="177" t="s">
        <v>6125</v>
      </c>
      <c r="F367" s="177" t="s">
        <v>6770</v>
      </c>
      <c r="G367" s="176"/>
      <c r="H367" s="176"/>
      <c r="I367" s="176"/>
      <c r="J367" s="176"/>
      <c r="K367" s="176"/>
      <c r="L367" s="176"/>
      <c r="M367" s="176"/>
      <c r="N367" s="176"/>
      <c r="O367" s="176"/>
      <c r="P367" s="176"/>
      <c r="Q367" s="176"/>
      <c r="R367" s="176"/>
      <c r="S367" s="176"/>
      <c r="T367" s="176"/>
      <c r="U367" s="176"/>
      <c r="V367" s="176"/>
      <c r="W367" s="176"/>
      <c r="X367" s="176"/>
      <c r="Y367" s="176"/>
      <c r="Z367" s="176"/>
    </row>
    <row r="368" spans="1:26">
      <c r="A368" s="221">
        <v>386</v>
      </c>
      <c r="B368" s="177" t="s">
        <v>6122</v>
      </c>
      <c r="C368" s="177" t="s">
        <v>6769</v>
      </c>
      <c r="D368" s="177" t="s">
        <v>6124</v>
      </c>
      <c r="E368" s="177" t="s">
        <v>6137</v>
      </c>
      <c r="F368" s="177" t="s">
        <v>6771</v>
      </c>
      <c r="G368" s="176"/>
      <c r="H368" s="176"/>
      <c r="I368" s="176"/>
      <c r="J368" s="176"/>
      <c r="K368" s="176"/>
      <c r="L368" s="176"/>
      <c r="M368" s="176"/>
      <c r="N368" s="176"/>
      <c r="O368" s="176"/>
      <c r="P368" s="176"/>
      <c r="Q368" s="176"/>
      <c r="R368" s="176"/>
      <c r="S368" s="176"/>
      <c r="T368" s="176"/>
      <c r="U368" s="176"/>
      <c r="V368" s="176"/>
      <c r="W368" s="176"/>
      <c r="X368" s="176"/>
      <c r="Y368" s="176"/>
      <c r="Z368" s="176"/>
    </row>
    <row r="369" spans="1:26">
      <c r="A369" s="221">
        <v>387</v>
      </c>
      <c r="B369" s="177" t="s">
        <v>6122</v>
      </c>
      <c r="C369" s="177" t="s">
        <v>6769</v>
      </c>
      <c r="D369" s="177" t="s">
        <v>6124</v>
      </c>
      <c r="E369" s="177" t="s">
        <v>6129</v>
      </c>
      <c r="F369" s="177" t="s">
        <v>6772</v>
      </c>
      <c r="G369" s="176"/>
      <c r="H369" s="176"/>
      <c r="I369" s="176"/>
      <c r="J369" s="176"/>
      <c r="K369" s="176"/>
      <c r="L369" s="176"/>
      <c r="M369" s="176"/>
      <c r="N369" s="176"/>
      <c r="O369" s="176"/>
      <c r="P369" s="176"/>
      <c r="Q369" s="176"/>
      <c r="R369" s="176"/>
      <c r="S369" s="176"/>
      <c r="T369" s="176"/>
      <c r="U369" s="176"/>
      <c r="V369" s="176"/>
      <c r="W369" s="176"/>
      <c r="X369" s="176"/>
      <c r="Y369" s="176"/>
      <c r="Z369" s="176"/>
    </row>
    <row r="370" spans="1:26">
      <c r="A370" s="221">
        <v>388</v>
      </c>
      <c r="B370" s="177" t="s">
        <v>6122</v>
      </c>
      <c r="C370" s="177" t="s">
        <v>6773</v>
      </c>
      <c r="D370" s="177" t="s">
        <v>6124</v>
      </c>
      <c r="E370" s="177" t="s">
        <v>6125</v>
      </c>
      <c r="F370" s="177" t="s">
        <v>6774</v>
      </c>
      <c r="G370" s="176"/>
      <c r="H370" s="176"/>
      <c r="I370" s="176"/>
      <c r="J370" s="176"/>
      <c r="K370" s="176"/>
      <c r="L370" s="176"/>
      <c r="M370" s="176"/>
      <c r="N370" s="176"/>
      <c r="O370" s="176"/>
      <c r="P370" s="176"/>
      <c r="Q370" s="176"/>
      <c r="R370" s="176"/>
      <c r="S370" s="176"/>
      <c r="T370" s="176"/>
      <c r="U370" s="176"/>
      <c r="V370" s="176"/>
      <c r="W370" s="176"/>
      <c r="X370" s="176"/>
      <c r="Y370" s="176"/>
      <c r="Z370" s="176"/>
    </row>
    <row r="371" spans="1:26">
      <c r="A371" s="221">
        <v>389</v>
      </c>
      <c r="B371" s="177" t="s">
        <v>6122</v>
      </c>
      <c r="C371" s="177" t="s">
        <v>6773</v>
      </c>
      <c r="D371" s="177" t="s">
        <v>6124</v>
      </c>
      <c r="E371" s="177" t="s">
        <v>6137</v>
      </c>
      <c r="F371" s="177" t="s">
        <v>6775</v>
      </c>
      <c r="G371" s="176"/>
      <c r="H371" s="176"/>
      <c r="I371" s="176"/>
      <c r="J371" s="176"/>
      <c r="K371" s="176"/>
      <c r="L371" s="176"/>
      <c r="M371" s="176"/>
      <c r="N371" s="176"/>
      <c r="O371" s="176"/>
      <c r="P371" s="176"/>
      <c r="Q371" s="176"/>
      <c r="R371" s="176"/>
      <c r="S371" s="176"/>
      <c r="T371" s="176"/>
      <c r="U371" s="176"/>
      <c r="V371" s="176"/>
      <c r="W371" s="176"/>
      <c r="X371" s="176"/>
      <c r="Y371" s="176"/>
      <c r="Z371" s="176"/>
    </row>
    <row r="372" spans="1:26">
      <c r="A372" s="221">
        <v>390</v>
      </c>
      <c r="B372" s="177" t="s">
        <v>6122</v>
      </c>
      <c r="C372" s="177" t="s">
        <v>6773</v>
      </c>
      <c r="D372" s="177" t="s">
        <v>6124</v>
      </c>
      <c r="E372" s="177" t="s">
        <v>6129</v>
      </c>
      <c r="F372" s="177" t="s">
        <v>6776</v>
      </c>
      <c r="G372" s="176"/>
      <c r="H372" s="176"/>
      <c r="I372" s="176"/>
      <c r="J372" s="176"/>
      <c r="K372" s="176"/>
      <c r="L372" s="176"/>
      <c r="M372" s="176"/>
      <c r="N372" s="176"/>
      <c r="O372" s="176"/>
      <c r="P372" s="176"/>
      <c r="Q372" s="176"/>
      <c r="R372" s="176"/>
      <c r="S372" s="176"/>
      <c r="T372" s="176"/>
      <c r="U372" s="176"/>
      <c r="V372" s="176"/>
      <c r="W372" s="176"/>
      <c r="X372" s="176"/>
      <c r="Y372" s="176"/>
      <c r="Z372" s="176"/>
    </row>
    <row r="373" spans="1:26">
      <c r="A373" s="221">
        <v>391</v>
      </c>
      <c r="B373" s="177" t="s">
        <v>6122</v>
      </c>
      <c r="C373" s="177" t="s">
        <v>6777</v>
      </c>
      <c r="D373" s="177" t="s">
        <v>6124</v>
      </c>
      <c r="E373" s="177" t="s">
        <v>6125</v>
      </c>
      <c r="F373" s="177" t="s">
        <v>6778</v>
      </c>
      <c r="G373" s="176"/>
      <c r="H373" s="176"/>
      <c r="I373" s="176"/>
      <c r="J373" s="176"/>
      <c r="K373" s="176"/>
      <c r="L373" s="176"/>
      <c r="M373" s="176"/>
      <c r="N373" s="176"/>
      <c r="O373" s="176"/>
      <c r="P373" s="176"/>
      <c r="Q373" s="176"/>
      <c r="R373" s="176"/>
      <c r="S373" s="176"/>
      <c r="T373" s="176"/>
      <c r="U373" s="176"/>
      <c r="V373" s="176"/>
      <c r="W373" s="176"/>
      <c r="X373" s="176"/>
      <c r="Y373" s="176"/>
      <c r="Z373" s="176"/>
    </row>
    <row r="374" spans="1:26">
      <c r="A374" s="221">
        <v>392</v>
      </c>
      <c r="B374" s="177" t="s">
        <v>6122</v>
      </c>
      <c r="C374" s="177" t="s">
        <v>6777</v>
      </c>
      <c r="D374" s="177" t="s">
        <v>6124</v>
      </c>
      <c r="E374" s="177" t="s">
        <v>6137</v>
      </c>
      <c r="F374" s="177" t="s">
        <v>6779</v>
      </c>
      <c r="G374" s="176"/>
      <c r="H374" s="176"/>
      <c r="I374" s="176"/>
      <c r="J374" s="176"/>
      <c r="K374" s="176"/>
      <c r="L374" s="176"/>
      <c r="M374" s="176"/>
      <c r="N374" s="176"/>
      <c r="O374" s="176"/>
      <c r="P374" s="176"/>
      <c r="Q374" s="176"/>
      <c r="R374" s="176"/>
      <c r="S374" s="176"/>
      <c r="T374" s="176"/>
      <c r="U374" s="176"/>
      <c r="V374" s="176"/>
      <c r="W374" s="176"/>
      <c r="X374" s="176"/>
      <c r="Y374" s="176"/>
      <c r="Z374" s="176"/>
    </row>
    <row r="375" spans="1:26">
      <c r="A375" s="221">
        <v>393</v>
      </c>
      <c r="B375" s="177" t="s">
        <v>6122</v>
      </c>
      <c r="C375" s="177" t="s">
        <v>6777</v>
      </c>
      <c r="D375" s="177" t="s">
        <v>6124</v>
      </c>
      <c r="E375" s="177" t="s">
        <v>6129</v>
      </c>
      <c r="F375" s="177" t="s">
        <v>6780</v>
      </c>
      <c r="G375" s="176"/>
      <c r="H375" s="176"/>
      <c r="I375" s="176"/>
      <c r="J375" s="176"/>
      <c r="K375" s="176"/>
      <c r="L375" s="176"/>
      <c r="M375" s="176"/>
      <c r="N375" s="176"/>
      <c r="O375" s="176"/>
      <c r="P375" s="176"/>
      <c r="Q375" s="176"/>
      <c r="R375" s="176"/>
      <c r="S375" s="176"/>
      <c r="T375" s="176"/>
      <c r="U375" s="176"/>
      <c r="V375" s="176"/>
      <c r="W375" s="176"/>
      <c r="X375" s="176"/>
      <c r="Y375" s="176"/>
      <c r="Z375" s="176"/>
    </row>
    <row r="376" spans="1:26">
      <c r="A376" s="221">
        <v>394</v>
      </c>
      <c r="B376" s="177" t="s">
        <v>6122</v>
      </c>
      <c r="C376" s="177" t="s">
        <v>6781</v>
      </c>
      <c r="D376" s="177" t="s">
        <v>6124</v>
      </c>
      <c r="E376" s="177" t="s">
        <v>6125</v>
      </c>
      <c r="F376" s="177" t="s">
        <v>6782</v>
      </c>
      <c r="G376" s="176"/>
      <c r="H376" s="176"/>
      <c r="I376" s="176"/>
      <c r="J376" s="176"/>
      <c r="K376" s="176"/>
      <c r="L376" s="176"/>
      <c r="M376" s="176"/>
      <c r="N376" s="176"/>
      <c r="O376" s="176"/>
      <c r="P376" s="176"/>
      <c r="Q376" s="176"/>
      <c r="R376" s="176"/>
      <c r="S376" s="176"/>
      <c r="T376" s="176"/>
      <c r="U376" s="176"/>
      <c r="V376" s="176"/>
      <c r="W376" s="176"/>
      <c r="X376" s="176"/>
      <c r="Y376" s="176"/>
      <c r="Z376" s="176"/>
    </row>
    <row r="377" spans="1:26">
      <c r="A377" s="221">
        <v>395</v>
      </c>
      <c r="B377" s="177" t="s">
        <v>6122</v>
      </c>
      <c r="C377" s="177" t="s">
        <v>6781</v>
      </c>
      <c r="D377" s="177" t="s">
        <v>6124</v>
      </c>
      <c r="E377" s="177" t="s">
        <v>6137</v>
      </c>
      <c r="F377" s="177" t="s">
        <v>6783</v>
      </c>
      <c r="G377" s="176"/>
      <c r="H377" s="176"/>
      <c r="I377" s="176"/>
      <c r="J377" s="176"/>
      <c r="K377" s="176"/>
      <c r="L377" s="176"/>
      <c r="M377" s="176"/>
      <c r="N377" s="176"/>
      <c r="O377" s="176"/>
      <c r="P377" s="176"/>
      <c r="Q377" s="176"/>
      <c r="R377" s="176"/>
      <c r="S377" s="176"/>
      <c r="T377" s="176"/>
      <c r="U377" s="176"/>
      <c r="V377" s="176"/>
      <c r="W377" s="176"/>
      <c r="X377" s="176"/>
      <c r="Y377" s="176"/>
      <c r="Z377" s="176"/>
    </row>
    <row r="378" spans="1:26">
      <c r="A378" s="221">
        <v>396</v>
      </c>
      <c r="B378" s="177" t="s">
        <v>6122</v>
      </c>
      <c r="C378" s="177" t="s">
        <v>6781</v>
      </c>
      <c r="D378" s="177" t="s">
        <v>6124</v>
      </c>
      <c r="E378" s="177" t="s">
        <v>6129</v>
      </c>
      <c r="F378" s="177" t="s">
        <v>6784</v>
      </c>
      <c r="G378" s="176"/>
      <c r="H378" s="176"/>
      <c r="I378" s="176"/>
      <c r="J378" s="176"/>
      <c r="K378" s="176"/>
      <c r="L378" s="176"/>
      <c r="M378" s="176"/>
      <c r="N378" s="176"/>
      <c r="O378" s="176"/>
      <c r="P378" s="176"/>
      <c r="Q378" s="176"/>
      <c r="R378" s="176"/>
      <c r="S378" s="176"/>
      <c r="T378" s="176"/>
      <c r="U378" s="176"/>
      <c r="V378" s="176"/>
      <c r="W378" s="176"/>
      <c r="X378" s="176"/>
      <c r="Y378" s="176"/>
      <c r="Z378" s="176"/>
    </row>
    <row r="379" spans="1:26">
      <c r="A379" s="221">
        <v>397</v>
      </c>
      <c r="B379" s="177" t="s">
        <v>6122</v>
      </c>
      <c r="C379" s="177" t="s">
        <v>6785</v>
      </c>
      <c r="D379" s="177" t="s">
        <v>6124</v>
      </c>
      <c r="E379" s="177" t="s">
        <v>6125</v>
      </c>
      <c r="F379" s="177" t="s">
        <v>6786</v>
      </c>
      <c r="G379" s="176"/>
      <c r="H379" s="176"/>
      <c r="I379" s="176"/>
      <c r="J379" s="176"/>
      <c r="K379" s="176"/>
      <c r="L379" s="176"/>
      <c r="M379" s="176"/>
      <c r="N379" s="176"/>
      <c r="O379" s="176"/>
      <c r="P379" s="176"/>
      <c r="Q379" s="176"/>
      <c r="R379" s="176"/>
      <c r="S379" s="176"/>
      <c r="T379" s="176"/>
      <c r="U379" s="176"/>
      <c r="V379" s="176"/>
      <c r="W379" s="176"/>
      <c r="X379" s="176"/>
      <c r="Y379" s="176"/>
      <c r="Z379" s="176"/>
    </row>
    <row r="380" spans="1:26">
      <c r="A380" s="221">
        <v>398</v>
      </c>
      <c r="B380" s="177" t="s">
        <v>6122</v>
      </c>
      <c r="C380" s="177" t="s">
        <v>6785</v>
      </c>
      <c r="D380" s="177" t="s">
        <v>6124</v>
      </c>
      <c r="E380" s="177" t="s">
        <v>6137</v>
      </c>
      <c r="F380" s="177" t="s">
        <v>6787</v>
      </c>
      <c r="G380" s="176"/>
      <c r="H380" s="176"/>
      <c r="I380" s="176"/>
      <c r="J380" s="176"/>
      <c r="K380" s="176"/>
      <c r="L380" s="176"/>
      <c r="M380" s="176"/>
      <c r="N380" s="176"/>
      <c r="O380" s="176"/>
      <c r="P380" s="176"/>
      <c r="Q380" s="176"/>
      <c r="R380" s="176"/>
      <c r="S380" s="176"/>
      <c r="T380" s="176"/>
      <c r="U380" s="176"/>
      <c r="V380" s="176"/>
      <c r="W380" s="176"/>
      <c r="X380" s="176"/>
      <c r="Y380" s="176"/>
      <c r="Z380" s="176"/>
    </row>
    <row r="381" spans="1:26">
      <c r="A381" s="221">
        <v>399</v>
      </c>
      <c r="B381" s="177" t="s">
        <v>6122</v>
      </c>
      <c r="C381" s="177" t="s">
        <v>6785</v>
      </c>
      <c r="D381" s="177" t="s">
        <v>6124</v>
      </c>
      <c r="E381" s="177" t="s">
        <v>6129</v>
      </c>
      <c r="F381" s="177" t="s">
        <v>6788</v>
      </c>
      <c r="G381" s="176"/>
      <c r="H381" s="176"/>
      <c r="I381" s="176"/>
      <c r="J381" s="176"/>
      <c r="K381" s="176"/>
      <c r="L381" s="176"/>
      <c r="M381" s="176"/>
      <c r="N381" s="176"/>
      <c r="O381" s="176"/>
      <c r="P381" s="176"/>
      <c r="Q381" s="176"/>
      <c r="R381" s="176"/>
      <c r="S381" s="176"/>
      <c r="T381" s="176"/>
      <c r="U381" s="176"/>
      <c r="V381" s="176"/>
      <c r="W381" s="176"/>
      <c r="X381" s="176"/>
      <c r="Y381" s="176"/>
      <c r="Z381" s="176"/>
    </row>
    <row r="382" spans="1:26">
      <c r="A382" s="221">
        <v>400</v>
      </c>
      <c r="B382" s="177" t="s">
        <v>6122</v>
      </c>
      <c r="C382" s="177" t="s">
        <v>6789</v>
      </c>
      <c r="D382" s="177" t="s">
        <v>6124</v>
      </c>
      <c r="E382" s="177" t="s">
        <v>6125</v>
      </c>
      <c r="F382" s="177" t="s">
        <v>6790</v>
      </c>
      <c r="G382" s="176"/>
      <c r="H382" s="176"/>
      <c r="I382" s="176"/>
      <c r="J382" s="176"/>
      <c r="K382" s="176"/>
      <c r="L382" s="176"/>
      <c r="M382" s="176"/>
      <c r="N382" s="176"/>
      <c r="O382" s="176"/>
      <c r="P382" s="176"/>
      <c r="Q382" s="176"/>
      <c r="R382" s="176"/>
      <c r="S382" s="176"/>
      <c r="T382" s="176"/>
      <c r="U382" s="176"/>
      <c r="V382" s="176"/>
      <c r="W382" s="176"/>
      <c r="X382" s="176"/>
      <c r="Y382" s="176"/>
      <c r="Z382" s="176"/>
    </row>
    <row r="383" spans="1:26">
      <c r="A383" s="221">
        <v>401</v>
      </c>
      <c r="B383" s="177" t="s">
        <v>6122</v>
      </c>
      <c r="C383" s="177" t="s">
        <v>6789</v>
      </c>
      <c r="D383" s="177" t="s">
        <v>6124</v>
      </c>
      <c r="E383" s="177" t="s">
        <v>6137</v>
      </c>
      <c r="F383" s="177" t="s">
        <v>6791</v>
      </c>
      <c r="G383" s="176"/>
      <c r="H383" s="176"/>
      <c r="I383" s="176"/>
      <c r="J383" s="176"/>
      <c r="K383" s="176"/>
      <c r="L383" s="176"/>
      <c r="M383" s="176"/>
      <c r="N383" s="176"/>
      <c r="O383" s="176"/>
      <c r="P383" s="176"/>
      <c r="Q383" s="176"/>
      <c r="R383" s="176"/>
      <c r="S383" s="176"/>
      <c r="T383" s="176"/>
      <c r="U383" s="176"/>
      <c r="V383" s="176"/>
      <c r="W383" s="176"/>
      <c r="X383" s="176"/>
      <c r="Y383" s="176"/>
      <c r="Z383" s="176"/>
    </row>
    <row r="384" spans="1:26">
      <c r="A384" s="221">
        <v>402</v>
      </c>
      <c r="B384" s="177" t="s">
        <v>6122</v>
      </c>
      <c r="C384" s="177" t="s">
        <v>6789</v>
      </c>
      <c r="D384" s="177" t="s">
        <v>6124</v>
      </c>
      <c r="E384" s="177" t="s">
        <v>6129</v>
      </c>
      <c r="F384" s="177" t="s">
        <v>6792</v>
      </c>
      <c r="G384" s="176"/>
      <c r="H384" s="176"/>
      <c r="I384" s="176"/>
      <c r="J384" s="176"/>
      <c r="K384" s="176"/>
      <c r="L384" s="176"/>
      <c r="M384" s="176"/>
      <c r="N384" s="176"/>
      <c r="O384" s="176"/>
      <c r="P384" s="176"/>
      <c r="Q384" s="176"/>
      <c r="R384" s="176"/>
      <c r="S384" s="176"/>
      <c r="T384" s="176"/>
      <c r="U384" s="176"/>
      <c r="V384" s="176"/>
      <c r="W384" s="176"/>
      <c r="X384" s="176"/>
      <c r="Y384" s="176"/>
      <c r="Z384" s="176"/>
    </row>
    <row r="385" spans="1:26">
      <c r="A385" s="221">
        <v>403</v>
      </c>
      <c r="B385" s="177" t="s">
        <v>6122</v>
      </c>
      <c r="C385" s="177" t="s">
        <v>6793</v>
      </c>
      <c r="D385" s="177" t="s">
        <v>6124</v>
      </c>
      <c r="E385" s="177" t="s">
        <v>6125</v>
      </c>
      <c r="F385" s="177" t="s">
        <v>6794</v>
      </c>
      <c r="G385" s="176"/>
      <c r="H385" s="176"/>
      <c r="I385" s="176"/>
      <c r="J385" s="176"/>
      <c r="K385" s="176"/>
      <c r="L385" s="176"/>
      <c r="M385" s="176"/>
      <c r="N385" s="176"/>
      <c r="O385" s="176"/>
      <c r="P385" s="176"/>
      <c r="Q385" s="176"/>
      <c r="R385" s="176"/>
      <c r="S385" s="176"/>
      <c r="T385" s="176"/>
      <c r="U385" s="176"/>
      <c r="V385" s="176"/>
      <c r="W385" s="176"/>
      <c r="X385" s="176"/>
      <c r="Y385" s="176"/>
      <c r="Z385" s="176"/>
    </row>
    <row r="386" spans="1:26">
      <c r="A386" s="221">
        <v>404</v>
      </c>
      <c r="B386" s="177" t="s">
        <v>6122</v>
      </c>
      <c r="C386" s="177" t="s">
        <v>6793</v>
      </c>
      <c r="D386" s="177" t="s">
        <v>6124</v>
      </c>
      <c r="E386" s="177" t="s">
        <v>6137</v>
      </c>
      <c r="F386" s="177" t="s">
        <v>6795</v>
      </c>
      <c r="G386" s="176"/>
      <c r="H386" s="176"/>
      <c r="I386" s="176"/>
      <c r="J386" s="176"/>
      <c r="K386" s="176"/>
      <c r="L386" s="176"/>
      <c r="M386" s="176"/>
      <c r="N386" s="176"/>
      <c r="O386" s="176"/>
      <c r="P386" s="176"/>
      <c r="Q386" s="176"/>
      <c r="R386" s="176"/>
      <c r="S386" s="176"/>
      <c r="T386" s="176"/>
      <c r="U386" s="176"/>
      <c r="V386" s="176"/>
      <c r="W386" s="176"/>
      <c r="X386" s="176"/>
      <c r="Y386" s="176"/>
      <c r="Z386" s="176"/>
    </row>
    <row r="387" spans="1:26">
      <c r="A387" s="221">
        <v>405</v>
      </c>
      <c r="B387" s="177" t="s">
        <v>6122</v>
      </c>
      <c r="C387" s="177" t="s">
        <v>6793</v>
      </c>
      <c r="D387" s="177" t="s">
        <v>6124</v>
      </c>
      <c r="E387" s="177" t="s">
        <v>6129</v>
      </c>
      <c r="F387" s="177" t="s">
        <v>6796</v>
      </c>
      <c r="G387" s="176"/>
      <c r="H387" s="176"/>
      <c r="I387" s="176"/>
      <c r="J387" s="176"/>
      <c r="K387" s="176"/>
      <c r="L387" s="176"/>
      <c r="M387" s="176"/>
      <c r="N387" s="176"/>
      <c r="O387" s="176"/>
      <c r="P387" s="176"/>
      <c r="Q387" s="176"/>
      <c r="R387" s="176"/>
      <c r="S387" s="176"/>
      <c r="T387" s="176"/>
      <c r="U387" s="176"/>
      <c r="V387" s="176"/>
      <c r="W387" s="176"/>
      <c r="X387" s="176"/>
      <c r="Y387" s="176"/>
      <c r="Z387" s="176"/>
    </row>
    <row r="388" spans="1:26">
      <c r="A388" s="221">
        <v>406</v>
      </c>
      <c r="B388" s="177" t="s">
        <v>6122</v>
      </c>
      <c r="C388" s="177" t="s">
        <v>6797</v>
      </c>
      <c r="D388" s="177" t="s">
        <v>6124</v>
      </c>
      <c r="E388" s="177" t="s">
        <v>6125</v>
      </c>
      <c r="F388" s="177" t="s">
        <v>6798</v>
      </c>
      <c r="G388" s="176"/>
      <c r="H388" s="176"/>
      <c r="I388" s="176"/>
      <c r="J388" s="176"/>
      <c r="K388" s="176"/>
      <c r="L388" s="176"/>
      <c r="M388" s="176"/>
      <c r="N388" s="176"/>
      <c r="O388" s="176"/>
      <c r="P388" s="176"/>
      <c r="Q388" s="176"/>
      <c r="R388" s="176"/>
      <c r="S388" s="176"/>
      <c r="T388" s="176"/>
      <c r="U388" s="176"/>
      <c r="V388" s="176"/>
      <c r="W388" s="176"/>
      <c r="X388" s="176"/>
      <c r="Y388" s="176"/>
      <c r="Z388" s="176"/>
    </row>
    <row r="389" spans="1:26">
      <c r="A389" s="221">
        <v>407</v>
      </c>
      <c r="B389" s="177" t="s">
        <v>6122</v>
      </c>
      <c r="C389" s="177" t="s">
        <v>6797</v>
      </c>
      <c r="D389" s="177" t="s">
        <v>6124</v>
      </c>
      <c r="E389" s="177" t="s">
        <v>6137</v>
      </c>
      <c r="F389" s="177" t="s">
        <v>6799</v>
      </c>
      <c r="G389" s="176"/>
      <c r="H389" s="176"/>
      <c r="I389" s="176"/>
      <c r="J389" s="176"/>
      <c r="K389" s="176"/>
      <c r="L389" s="176"/>
      <c r="M389" s="176"/>
      <c r="N389" s="176"/>
      <c r="O389" s="176"/>
      <c r="P389" s="176"/>
      <c r="Q389" s="176"/>
      <c r="R389" s="176"/>
      <c r="S389" s="176"/>
      <c r="T389" s="176"/>
      <c r="U389" s="176"/>
      <c r="V389" s="176"/>
      <c r="W389" s="176"/>
      <c r="X389" s="176"/>
      <c r="Y389" s="176"/>
      <c r="Z389" s="176"/>
    </row>
    <row r="390" spans="1:26">
      <c r="A390" s="221">
        <v>408</v>
      </c>
      <c r="B390" s="177" t="s">
        <v>6122</v>
      </c>
      <c r="C390" s="177" t="s">
        <v>6797</v>
      </c>
      <c r="D390" s="177" t="s">
        <v>6124</v>
      </c>
      <c r="E390" s="177" t="s">
        <v>6129</v>
      </c>
      <c r="F390" s="177" t="s">
        <v>6800</v>
      </c>
      <c r="G390" s="176"/>
      <c r="H390" s="176"/>
      <c r="I390" s="176"/>
      <c r="J390" s="176"/>
      <c r="K390" s="176"/>
      <c r="L390" s="176"/>
      <c r="M390" s="176"/>
      <c r="N390" s="176"/>
      <c r="O390" s="176"/>
      <c r="P390" s="176"/>
      <c r="Q390" s="176"/>
      <c r="R390" s="176"/>
      <c r="S390" s="176"/>
      <c r="T390" s="176"/>
      <c r="U390" s="176"/>
      <c r="V390" s="176"/>
      <c r="W390" s="176"/>
      <c r="X390" s="176"/>
      <c r="Y390" s="176"/>
      <c r="Z390" s="176"/>
    </row>
    <row r="391" spans="1:26">
      <c r="A391" s="221">
        <v>409</v>
      </c>
      <c r="B391" s="177" t="s">
        <v>6122</v>
      </c>
      <c r="C391" s="177" t="s">
        <v>6801</v>
      </c>
      <c r="D391" s="177" t="s">
        <v>6124</v>
      </c>
      <c r="E391" s="177" t="s">
        <v>6125</v>
      </c>
      <c r="F391" s="177" t="s">
        <v>6802</v>
      </c>
      <c r="G391" s="176"/>
      <c r="H391" s="176"/>
      <c r="I391" s="176"/>
      <c r="J391" s="176"/>
      <c r="K391" s="176"/>
      <c r="L391" s="176"/>
      <c r="M391" s="176"/>
      <c r="N391" s="176"/>
      <c r="O391" s="176"/>
      <c r="P391" s="176"/>
      <c r="Q391" s="176"/>
      <c r="R391" s="176"/>
      <c r="S391" s="176"/>
      <c r="T391" s="176"/>
      <c r="U391" s="176"/>
      <c r="V391" s="176"/>
      <c r="W391" s="176"/>
      <c r="X391" s="176"/>
      <c r="Y391" s="176"/>
      <c r="Z391" s="176"/>
    </row>
    <row r="392" spans="1:26">
      <c r="A392" s="221">
        <v>410</v>
      </c>
      <c r="B392" s="177" t="s">
        <v>6122</v>
      </c>
      <c r="C392" s="177" t="s">
        <v>6801</v>
      </c>
      <c r="D392" s="177" t="s">
        <v>6124</v>
      </c>
      <c r="E392" s="177" t="s">
        <v>6137</v>
      </c>
      <c r="F392" s="177" t="s">
        <v>6803</v>
      </c>
      <c r="G392" s="176"/>
      <c r="H392" s="176"/>
      <c r="I392" s="176"/>
      <c r="J392" s="176"/>
      <c r="K392" s="176"/>
      <c r="L392" s="176"/>
      <c r="M392" s="176"/>
      <c r="N392" s="176"/>
      <c r="O392" s="176"/>
      <c r="P392" s="176"/>
      <c r="Q392" s="176"/>
      <c r="R392" s="176"/>
      <c r="S392" s="176"/>
      <c r="T392" s="176"/>
      <c r="U392" s="176"/>
      <c r="V392" s="176"/>
      <c r="W392" s="176"/>
      <c r="X392" s="176"/>
      <c r="Y392" s="176"/>
      <c r="Z392" s="176"/>
    </row>
    <row r="393" spans="1:26">
      <c r="A393" s="221">
        <v>411</v>
      </c>
      <c r="B393" s="177" t="s">
        <v>6122</v>
      </c>
      <c r="C393" s="177" t="s">
        <v>6801</v>
      </c>
      <c r="D393" s="177" t="s">
        <v>6124</v>
      </c>
      <c r="E393" s="177" t="s">
        <v>6129</v>
      </c>
      <c r="F393" s="177" t="s">
        <v>6804</v>
      </c>
      <c r="G393" s="176"/>
      <c r="H393" s="176"/>
      <c r="I393" s="176"/>
      <c r="J393" s="176"/>
      <c r="K393" s="176"/>
      <c r="L393" s="176"/>
      <c r="M393" s="176"/>
      <c r="N393" s="176"/>
      <c r="O393" s="176"/>
      <c r="P393" s="176"/>
      <c r="Q393" s="176"/>
      <c r="R393" s="176"/>
      <c r="S393" s="176"/>
      <c r="T393" s="176"/>
      <c r="U393" s="176"/>
      <c r="V393" s="176"/>
      <c r="W393" s="176"/>
      <c r="X393" s="176"/>
      <c r="Y393" s="176"/>
      <c r="Z393" s="176"/>
    </row>
    <row r="394" spans="1:26">
      <c r="A394" s="221">
        <v>412</v>
      </c>
      <c r="B394" s="177" t="s">
        <v>6122</v>
      </c>
      <c r="C394" s="177" t="s">
        <v>6805</v>
      </c>
      <c r="D394" s="177" t="s">
        <v>6124</v>
      </c>
      <c r="E394" s="177" t="s">
        <v>6125</v>
      </c>
      <c r="F394" s="177" t="s">
        <v>6806</v>
      </c>
      <c r="G394" s="176"/>
      <c r="H394" s="176"/>
      <c r="I394" s="176"/>
      <c r="J394" s="176"/>
      <c r="K394" s="176"/>
      <c r="L394" s="176"/>
      <c r="M394" s="176"/>
      <c r="N394" s="176"/>
      <c r="O394" s="176"/>
      <c r="P394" s="176"/>
      <c r="Q394" s="176"/>
      <c r="R394" s="176"/>
      <c r="S394" s="176"/>
      <c r="T394" s="176"/>
      <c r="U394" s="176"/>
      <c r="V394" s="176"/>
      <c r="W394" s="176"/>
      <c r="X394" s="176"/>
      <c r="Y394" s="176"/>
      <c r="Z394" s="176"/>
    </row>
    <row r="395" spans="1:26">
      <c r="A395" s="221">
        <v>413</v>
      </c>
      <c r="B395" s="177" t="s">
        <v>6122</v>
      </c>
      <c r="C395" s="177" t="s">
        <v>6805</v>
      </c>
      <c r="D395" s="177" t="s">
        <v>6124</v>
      </c>
      <c r="E395" s="177" t="s">
        <v>6137</v>
      </c>
      <c r="F395" s="177" t="s">
        <v>6807</v>
      </c>
      <c r="G395" s="176"/>
      <c r="H395" s="176"/>
      <c r="I395" s="176"/>
      <c r="J395" s="176"/>
      <c r="K395" s="176"/>
      <c r="L395" s="176"/>
      <c r="M395" s="176"/>
      <c r="N395" s="176"/>
      <c r="O395" s="176"/>
      <c r="P395" s="176"/>
      <c r="Q395" s="176"/>
      <c r="R395" s="176"/>
      <c r="S395" s="176"/>
      <c r="T395" s="176"/>
      <c r="U395" s="176"/>
      <c r="V395" s="176"/>
      <c r="W395" s="176"/>
      <c r="X395" s="176"/>
      <c r="Y395" s="176"/>
      <c r="Z395" s="176"/>
    </row>
    <row r="396" spans="1:26">
      <c r="A396" s="221">
        <v>414</v>
      </c>
      <c r="B396" s="177" t="s">
        <v>6122</v>
      </c>
      <c r="C396" s="177" t="s">
        <v>6805</v>
      </c>
      <c r="D396" s="177" t="s">
        <v>6124</v>
      </c>
      <c r="E396" s="177" t="s">
        <v>6129</v>
      </c>
      <c r="F396" s="177" t="s">
        <v>6808</v>
      </c>
      <c r="G396" s="176"/>
      <c r="H396" s="176"/>
      <c r="I396" s="176"/>
      <c r="J396" s="176"/>
      <c r="K396" s="176"/>
      <c r="L396" s="176"/>
      <c r="M396" s="176"/>
      <c r="N396" s="176"/>
      <c r="O396" s="176"/>
      <c r="P396" s="176"/>
      <c r="Q396" s="176"/>
      <c r="R396" s="176"/>
      <c r="S396" s="176"/>
      <c r="T396" s="176"/>
      <c r="U396" s="176"/>
      <c r="V396" s="176"/>
      <c r="W396" s="176"/>
      <c r="X396" s="176"/>
      <c r="Y396" s="176"/>
      <c r="Z396" s="176"/>
    </row>
    <row r="397" spans="1:26">
      <c r="A397" s="221">
        <v>415</v>
      </c>
      <c r="B397" s="177" t="s">
        <v>6122</v>
      </c>
      <c r="C397" s="177" t="s">
        <v>6809</v>
      </c>
      <c r="D397" s="177" t="s">
        <v>6124</v>
      </c>
      <c r="E397" s="177" t="s">
        <v>6125</v>
      </c>
      <c r="F397" s="177" t="s">
        <v>6810</v>
      </c>
      <c r="G397" s="176"/>
      <c r="H397" s="176"/>
      <c r="I397" s="176"/>
      <c r="J397" s="176"/>
      <c r="K397" s="176"/>
      <c r="L397" s="176"/>
      <c r="M397" s="176"/>
      <c r="N397" s="176"/>
      <c r="O397" s="176"/>
      <c r="P397" s="176"/>
      <c r="Q397" s="176"/>
      <c r="R397" s="176"/>
      <c r="S397" s="176"/>
      <c r="T397" s="176"/>
      <c r="U397" s="176"/>
      <c r="V397" s="176"/>
      <c r="W397" s="176"/>
      <c r="X397" s="176"/>
      <c r="Y397" s="176"/>
      <c r="Z397" s="176"/>
    </row>
    <row r="398" spans="1:26">
      <c r="A398" s="221">
        <v>416</v>
      </c>
      <c r="B398" s="177" t="s">
        <v>6122</v>
      </c>
      <c r="C398" s="177" t="s">
        <v>6809</v>
      </c>
      <c r="D398" s="177" t="s">
        <v>6124</v>
      </c>
      <c r="E398" s="177" t="s">
        <v>6137</v>
      </c>
      <c r="F398" s="177" t="s">
        <v>6811</v>
      </c>
      <c r="G398" s="176"/>
      <c r="H398" s="176"/>
      <c r="I398" s="176"/>
      <c r="J398" s="176"/>
      <c r="K398" s="176"/>
      <c r="L398" s="176"/>
      <c r="M398" s="176"/>
      <c r="N398" s="176"/>
      <c r="O398" s="176"/>
      <c r="P398" s="176"/>
      <c r="Q398" s="176"/>
      <c r="R398" s="176"/>
      <c r="S398" s="176"/>
      <c r="T398" s="176"/>
      <c r="U398" s="176"/>
      <c r="V398" s="176"/>
      <c r="W398" s="176"/>
      <c r="X398" s="176"/>
      <c r="Y398" s="176"/>
      <c r="Z398" s="176"/>
    </row>
    <row r="399" spans="1:26">
      <c r="A399" s="221">
        <v>417</v>
      </c>
      <c r="B399" s="177" t="s">
        <v>6122</v>
      </c>
      <c r="C399" s="177" t="s">
        <v>6809</v>
      </c>
      <c r="D399" s="177" t="s">
        <v>6124</v>
      </c>
      <c r="E399" s="177" t="s">
        <v>6129</v>
      </c>
      <c r="F399" s="177" t="s">
        <v>6812</v>
      </c>
      <c r="G399" s="176"/>
      <c r="H399" s="176"/>
      <c r="I399" s="176"/>
      <c r="J399" s="176"/>
      <c r="K399" s="176"/>
      <c r="L399" s="176"/>
      <c r="M399" s="176"/>
      <c r="N399" s="176"/>
      <c r="O399" s="176"/>
      <c r="P399" s="176"/>
      <c r="Q399" s="176"/>
      <c r="R399" s="176"/>
      <c r="S399" s="176"/>
      <c r="T399" s="176"/>
      <c r="U399" s="176"/>
      <c r="V399" s="176"/>
      <c r="W399" s="176"/>
      <c r="X399" s="176"/>
      <c r="Y399" s="176"/>
      <c r="Z399" s="176"/>
    </row>
    <row r="400" spans="1:26">
      <c r="A400" s="221">
        <v>418</v>
      </c>
      <c r="B400" s="177" t="s">
        <v>6122</v>
      </c>
      <c r="C400" s="177" t="s">
        <v>6813</v>
      </c>
      <c r="D400" s="177" t="s">
        <v>6124</v>
      </c>
      <c r="E400" s="177" t="s">
        <v>6125</v>
      </c>
      <c r="F400" s="177" t="s">
        <v>6814</v>
      </c>
      <c r="G400" s="176"/>
      <c r="H400" s="176"/>
      <c r="I400" s="176"/>
      <c r="J400" s="176"/>
      <c r="K400" s="176"/>
      <c r="L400" s="176"/>
      <c r="M400" s="176"/>
      <c r="N400" s="176"/>
      <c r="O400" s="176"/>
      <c r="P400" s="176"/>
      <c r="Q400" s="176"/>
      <c r="R400" s="176"/>
      <c r="S400" s="176"/>
      <c r="T400" s="176"/>
      <c r="U400" s="176"/>
      <c r="V400" s="176"/>
      <c r="W400" s="176"/>
      <c r="X400" s="176"/>
      <c r="Y400" s="176"/>
      <c r="Z400" s="176"/>
    </row>
    <row r="401" spans="1:26">
      <c r="A401" s="221">
        <v>419</v>
      </c>
      <c r="B401" s="177" t="s">
        <v>6122</v>
      </c>
      <c r="C401" s="177" t="s">
        <v>6813</v>
      </c>
      <c r="D401" s="177" t="s">
        <v>6124</v>
      </c>
      <c r="E401" s="177" t="s">
        <v>6137</v>
      </c>
      <c r="F401" s="177" t="s">
        <v>6815</v>
      </c>
      <c r="G401" s="176"/>
      <c r="H401" s="176"/>
      <c r="I401" s="176"/>
      <c r="J401" s="176"/>
      <c r="K401" s="176"/>
      <c r="L401" s="176"/>
      <c r="M401" s="176"/>
      <c r="N401" s="176"/>
      <c r="O401" s="176"/>
      <c r="P401" s="176"/>
      <c r="Q401" s="176"/>
      <c r="R401" s="176"/>
      <c r="S401" s="176"/>
      <c r="T401" s="176"/>
      <c r="U401" s="176"/>
      <c r="V401" s="176"/>
      <c r="W401" s="176"/>
      <c r="X401" s="176"/>
      <c r="Y401" s="176"/>
      <c r="Z401" s="176"/>
    </row>
    <row r="402" spans="1:26">
      <c r="A402" s="221">
        <v>420</v>
      </c>
      <c r="B402" s="177" t="s">
        <v>6122</v>
      </c>
      <c r="C402" s="177" t="s">
        <v>6813</v>
      </c>
      <c r="D402" s="177" t="s">
        <v>6124</v>
      </c>
      <c r="E402" s="177" t="s">
        <v>6129</v>
      </c>
      <c r="F402" s="177" t="s">
        <v>6816</v>
      </c>
      <c r="G402" s="176"/>
      <c r="H402" s="176"/>
      <c r="I402" s="176"/>
      <c r="J402" s="176"/>
      <c r="K402" s="176"/>
      <c r="L402" s="176"/>
      <c r="M402" s="176"/>
      <c r="N402" s="176"/>
      <c r="O402" s="176"/>
      <c r="P402" s="176"/>
      <c r="Q402" s="176"/>
      <c r="R402" s="176"/>
      <c r="S402" s="176"/>
      <c r="T402" s="176"/>
      <c r="U402" s="176"/>
      <c r="V402" s="176"/>
      <c r="W402" s="176"/>
      <c r="X402" s="176"/>
      <c r="Y402" s="176"/>
      <c r="Z402" s="176"/>
    </row>
    <row r="403" spans="1:26">
      <c r="A403" s="221">
        <v>421</v>
      </c>
      <c r="B403" s="177" t="s">
        <v>6122</v>
      </c>
      <c r="C403" s="177" t="s">
        <v>6817</v>
      </c>
      <c r="D403" s="177" t="s">
        <v>6124</v>
      </c>
      <c r="E403" s="177" t="s">
        <v>6125</v>
      </c>
      <c r="F403" s="177" t="s">
        <v>6818</v>
      </c>
      <c r="G403" s="176"/>
      <c r="H403" s="176"/>
      <c r="I403" s="176"/>
      <c r="J403" s="176"/>
      <c r="K403" s="176"/>
      <c r="L403" s="176"/>
      <c r="M403" s="176"/>
      <c r="N403" s="176"/>
      <c r="O403" s="176"/>
      <c r="P403" s="176"/>
      <c r="Q403" s="176"/>
      <c r="R403" s="176"/>
      <c r="S403" s="176"/>
      <c r="T403" s="176"/>
      <c r="U403" s="176"/>
      <c r="V403" s="176"/>
      <c r="W403" s="176"/>
      <c r="X403" s="176"/>
      <c r="Y403" s="176"/>
      <c r="Z403" s="176"/>
    </row>
    <row r="404" spans="1:26">
      <c r="A404" s="221">
        <v>422</v>
      </c>
      <c r="B404" s="177" t="s">
        <v>6122</v>
      </c>
      <c r="C404" s="177" t="s">
        <v>6817</v>
      </c>
      <c r="D404" s="177" t="s">
        <v>6124</v>
      </c>
      <c r="E404" s="177" t="s">
        <v>6137</v>
      </c>
      <c r="F404" s="177" t="s">
        <v>6819</v>
      </c>
      <c r="G404" s="176"/>
      <c r="H404" s="176"/>
      <c r="I404" s="176"/>
      <c r="J404" s="176"/>
      <c r="K404" s="176"/>
      <c r="L404" s="176"/>
      <c r="M404" s="176"/>
      <c r="N404" s="176"/>
      <c r="O404" s="176"/>
      <c r="P404" s="176"/>
      <c r="Q404" s="176"/>
      <c r="R404" s="176"/>
      <c r="S404" s="176"/>
      <c r="T404" s="176"/>
      <c r="U404" s="176"/>
      <c r="V404" s="176"/>
      <c r="W404" s="176"/>
      <c r="X404" s="176"/>
      <c r="Y404" s="176"/>
      <c r="Z404" s="176"/>
    </row>
    <row r="405" spans="1:26">
      <c r="A405" s="221">
        <v>423</v>
      </c>
      <c r="B405" s="177" t="s">
        <v>6122</v>
      </c>
      <c r="C405" s="177" t="s">
        <v>6817</v>
      </c>
      <c r="D405" s="177" t="s">
        <v>6124</v>
      </c>
      <c r="E405" s="177" t="s">
        <v>6129</v>
      </c>
      <c r="F405" s="177" t="s">
        <v>6820</v>
      </c>
      <c r="G405" s="176"/>
      <c r="H405" s="176"/>
      <c r="I405" s="176"/>
      <c r="J405" s="176"/>
      <c r="K405" s="176"/>
      <c r="L405" s="176"/>
      <c r="M405" s="176"/>
      <c r="N405" s="176"/>
      <c r="O405" s="176"/>
      <c r="P405" s="176"/>
      <c r="Q405" s="176"/>
      <c r="R405" s="176"/>
      <c r="S405" s="176"/>
      <c r="T405" s="176"/>
      <c r="U405" s="176"/>
      <c r="V405" s="176"/>
      <c r="W405" s="176"/>
      <c r="X405" s="176"/>
      <c r="Y405" s="176"/>
      <c r="Z405" s="176"/>
    </row>
    <row r="406" spans="1:26">
      <c r="A406" s="221">
        <v>424</v>
      </c>
      <c r="B406" s="177" t="s">
        <v>6534</v>
      </c>
      <c r="C406" s="177" t="s">
        <v>6821</v>
      </c>
      <c r="D406" s="177" t="s">
        <v>6218</v>
      </c>
      <c r="E406" s="177" t="s">
        <v>1261</v>
      </c>
      <c r="F406" s="177" t="s">
        <v>1262</v>
      </c>
      <c r="G406" s="176"/>
      <c r="H406" s="176"/>
      <c r="I406" s="176"/>
      <c r="J406" s="176"/>
      <c r="K406" s="176"/>
      <c r="L406" s="176"/>
      <c r="M406" s="176"/>
      <c r="N406" s="176"/>
      <c r="O406" s="176"/>
      <c r="P406" s="176"/>
      <c r="Q406" s="176"/>
      <c r="R406" s="176"/>
      <c r="S406" s="176"/>
      <c r="T406" s="176"/>
      <c r="U406" s="176"/>
      <c r="V406" s="176"/>
      <c r="W406" s="176"/>
      <c r="X406" s="176"/>
      <c r="Y406" s="176"/>
      <c r="Z406" s="176"/>
    </row>
    <row r="407" spans="1:26">
      <c r="A407" s="221">
        <v>425</v>
      </c>
      <c r="B407" s="177" t="s">
        <v>6534</v>
      </c>
      <c r="C407" s="177" t="s">
        <v>6821</v>
      </c>
      <c r="D407" s="177" t="s">
        <v>6218</v>
      </c>
      <c r="E407" s="177" t="s">
        <v>1263</v>
      </c>
      <c r="F407" s="177" t="s">
        <v>1264</v>
      </c>
      <c r="G407" s="176"/>
      <c r="H407" s="176"/>
      <c r="I407" s="176"/>
      <c r="J407" s="176"/>
      <c r="K407" s="176"/>
      <c r="L407" s="176"/>
      <c r="M407" s="176"/>
      <c r="N407" s="176"/>
      <c r="O407" s="176"/>
      <c r="P407" s="176"/>
      <c r="Q407" s="176"/>
      <c r="R407" s="176"/>
      <c r="S407" s="176"/>
      <c r="T407" s="176"/>
      <c r="U407" s="176"/>
      <c r="V407" s="176"/>
      <c r="W407" s="176"/>
      <c r="X407" s="176"/>
      <c r="Y407" s="176"/>
      <c r="Z407" s="176"/>
    </row>
    <row r="408" spans="1:26">
      <c r="A408" s="221">
        <v>426</v>
      </c>
      <c r="B408" s="177" t="s">
        <v>6534</v>
      </c>
      <c r="C408" s="177" t="s">
        <v>6821</v>
      </c>
      <c r="D408" s="177" t="s">
        <v>6218</v>
      </c>
      <c r="E408" s="177" t="s">
        <v>1265</v>
      </c>
      <c r="F408" s="177" t="s">
        <v>1266</v>
      </c>
      <c r="G408" s="176"/>
      <c r="H408" s="176"/>
      <c r="I408" s="176"/>
      <c r="J408" s="176"/>
      <c r="K408" s="176"/>
      <c r="L408" s="176"/>
      <c r="M408" s="176"/>
      <c r="N408" s="176"/>
      <c r="O408" s="176"/>
      <c r="P408" s="176"/>
      <c r="Q408" s="176"/>
      <c r="R408" s="176"/>
      <c r="S408" s="176"/>
      <c r="T408" s="176"/>
      <c r="U408" s="176"/>
      <c r="V408" s="176"/>
      <c r="W408" s="176"/>
      <c r="X408" s="176"/>
      <c r="Y408" s="176"/>
      <c r="Z408" s="176"/>
    </row>
    <row r="409" spans="1:26">
      <c r="A409" s="221">
        <v>427</v>
      </c>
      <c r="B409" s="177" t="s">
        <v>6534</v>
      </c>
      <c r="C409" s="177" t="s">
        <v>6821</v>
      </c>
      <c r="D409" s="177" t="s">
        <v>6218</v>
      </c>
      <c r="E409" s="177" t="s">
        <v>1267</v>
      </c>
      <c r="F409" s="177" t="s">
        <v>1268</v>
      </c>
      <c r="G409" s="176"/>
      <c r="H409" s="176"/>
      <c r="I409" s="176"/>
      <c r="J409" s="176"/>
      <c r="K409" s="176"/>
      <c r="L409" s="176"/>
      <c r="M409" s="176"/>
      <c r="N409" s="176"/>
      <c r="O409" s="176"/>
      <c r="P409" s="176"/>
      <c r="Q409" s="176"/>
      <c r="R409" s="176"/>
      <c r="S409" s="176"/>
      <c r="T409" s="176"/>
      <c r="U409" s="176"/>
      <c r="V409" s="176"/>
      <c r="W409" s="176"/>
      <c r="X409" s="176"/>
      <c r="Y409" s="176"/>
      <c r="Z409" s="176"/>
    </row>
    <row r="410" spans="1:26">
      <c r="A410" s="221">
        <v>428</v>
      </c>
      <c r="B410" s="177" t="s">
        <v>6534</v>
      </c>
      <c r="C410" s="177" t="s">
        <v>6821</v>
      </c>
      <c r="D410" s="177" t="s">
        <v>6218</v>
      </c>
      <c r="E410" s="177" t="s">
        <v>1269</v>
      </c>
      <c r="F410" s="177" t="s">
        <v>1270</v>
      </c>
      <c r="G410" s="176"/>
      <c r="H410" s="176"/>
      <c r="I410" s="176"/>
      <c r="J410" s="176"/>
      <c r="K410" s="176"/>
      <c r="L410" s="176"/>
      <c r="M410" s="176"/>
      <c r="N410" s="176"/>
      <c r="O410" s="176"/>
      <c r="P410" s="176"/>
      <c r="Q410" s="176"/>
      <c r="R410" s="176"/>
      <c r="S410" s="176"/>
      <c r="T410" s="176"/>
      <c r="U410" s="176"/>
      <c r="V410" s="176"/>
      <c r="W410" s="176"/>
      <c r="X410" s="176"/>
      <c r="Y410" s="176"/>
      <c r="Z410" s="176"/>
    </row>
    <row r="411" spans="1:26">
      <c r="A411" s="221">
        <v>431</v>
      </c>
      <c r="B411" s="177" t="s">
        <v>6822</v>
      </c>
      <c r="C411" s="177" t="s">
        <v>6823</v>
      </c>
      <c r="D411" s="177" t="s">
        <v>6218</v>
      </c>
      <c r="E411" s="177" t="s">
        <v>1165</v>
      </c>
      <c r="F411" s="177" t="s">
        <v>6824</v>
      </c>
      <c r="G411" s="176"/>
      <c r="H411" s="176"/>
      <c r="I411" s="176"/>
      <c r="J411" s="176"/>
      <c r="K411" s="176"/>
      <c r="L411" s="176"/>
      <c r="M411" s="176"/>
      <c r="N411" s="176"/>
      <c r="O411" s="176"/>
      <c r="P411" s="176"/>
      <c r="Q411" s="176"/>
      <c r="R411" s="176"/>
      <c r="S411" s="176"/>
      <c r="T411" s="176"/>
      <c r="U411" s="176"/>
      <c r="V411" s="176"/>
      <c r="W411" s="176"/>
      <c r="X411" s="176"/>
      <c r="Y411" s="176"/>
      <c r="Z411" s="176"/>
    </row>
    <row r="412" spans="1:26">
      <c r="A412" s="221">
        <v>430</v>
      </c>
      <c r="B412" s="177" t="s">
        <v>6822</v>
      </c>
      <c r="C412" s="177" t="s">
        <v>6825</v>
      </c>
      <c r="D412" s="177" t="s">
        <v>6218</v>
      </c>
      <c r="E412" s="177" t="s">
        <v>1167</v>
      </c>
      <c r="F412" s="177" t="s">
        <v>1168</v>
      </c>
      <c r="G412" s="176"/>
      <c r="H412" s="176"/>
      <c r="I412" s="176"/>
      <c r="J412" s="176"/>
      <c r="K412" s="176"/>
      <c r="L412" s="176"/>
      <c r="M412" s="176"/>
      <c r="N412" s="176"/>
      <c r="O412" s="176"/>
      <c r="P412" s="176"/>
      <c r="Q412" s="176"/>
      <c r="R412" s="176"/>
      <c r="S412" s="176"/>
      <c r="T412" s="176"/>
      <c r="U412" s="176"/>
      <c r="V412" s="176"/>
      <c r="W412" s="176"/>
      <c r="X412" s="176"/>
      <c r="Y412" s="176"/>
      <c r="Z412" s="176"/>
    </row>
    <row r="413" spans="1:26">
      <c r="A413" s="221">
        <v>432</v>
      </c>
      <c r="B413" s="177" t="s">
        <v>6822</v>
      </c>
      <c r="C413" s="177" t="s">
        <v>6823</v>
      </c>
      <c r="D413" s="177" t="s">
        <v>6218</v>
      </c>
      <c r="E413" s="177" t="s">
        <v>1167</v>
      </c>
      <c r="F413" s="177" t="s">
        <v>6826</v>
      </c>
      <c r="G413" s="176"/>
      <c r="H413" s="176"/>
      <c r="I413" s="176"/>
      <c r="J413" s="176"/>
      <c r="K413" s="176"/>
      <c r="L413" s="176"/>
      <c r="M413" s="176"/>
      <c r="N413" s="176"/>
      <c r="O413" s="176"/>
      <c r="P413" s="176"/>
      <c r="Q413" s="176"/>
      <c r="R413" s="176"/>
      <c r="S413" s="176"/>
      <c r="T413" s="176"/>
      <c r="U413" s="176"/>
      <c r="V413" s="176"/>
      <c r="W413" s="176"/>
      <c r="X413" s="176"/>
      <c r="Y413" s="176"/>
      <c r="Z413" s="176"/>
    </row>
    <row r="414" spans="1:26">
      <c r="A414" s="221">
        <v>433</v>
      </c>
      <c r="B414" s="177" t="s">
        <v>6822</v>
      </c>
      <c r="C414" s="177" t="s">
        <v>6827</v>
      </c>
      <c r="D414" s="177" t="s">
        <v>6218</v>
      </c>
      <c r="E414" s="177" t="s">
        <v>1165</v>
      </c>
      <c r="F414" s="177" t="s">
        <v>6828</v>
      </c>
      <c r="G414" s="176"/>
      <c r="H414" s="176"/>
      <c r="I414" s="176"/>
      <c r="J414" s="176"/>
      <c r="K414" s="176"/>
      <c r="L414" s="176"/>
      <c r="M414" s="176"/>
      <c r="N414" s="176"/>
      <c r="O414" s="176"/>
      <c r="P414" s="176"/>
      <c r="Q414" s="176"/>
      <c r="R414" s="176"/>
      <c r="S414" s="176"/>
      <c r="T414" s="176"/>
      <c r="U414" s="176"/>
      <c r="V414" s="176"/>
      <c r="W414" s="176"/>
      <c r="X414" s="176"/>
      <c r="Y414" s="176"/>
      <c r="Z414" s="176"/>
    </row>
    <row r="415" spans="1:26">
      <c r="A415" s="221">
        <v>434</v>
      </c>
      <c r="B415" s="177" t="s">
        <v>6822</v>
      </c>
      <c r="C415" s="177" t="s">
        <v>6827</v>
      </c>
      <c r="D415" s="177" t="s">
        <v>6218</v>
      </c>
      <c r="E415" s="177" t="s">
        <v>1167</v>
      </c>
      <c r="F415" s="177" t="s">
        <v>6829</v>
      </c>
      <c r="G415" s="176"/>
      <c r="H415" s="176"/>
      <c r="I415" s="176"/>
      <c r="J415" s="176"/>
      <c r="K415" s="176"/>
      <c r="L415" s="176"/>
      <c r="M415" s="176"/>
      <c r="N415" s="176"/>
      <c r="O415" s="176"/>
      <c r="P415" s="176"/>
      <c r="Q415" s="176"/>
      <c r="R415" s="176"/>
      <c r="S415" s="176"/>
      <c r="T415" s="176"/>
      <c r="U415" s="176"/>
      <c r="V415" s="176"/>
      <c r="W415" s="176"/>
      <c r="X415" s="176"/>
      <c r="Y415" s="176"/>
      <c r="Z415" s="176"/>
    </row>
    <row r="416" spans="1:26">
      <c r="A416" s="221">
        <v>435</v>
      </c>
      <c r="B416" s="177" t="s">
        <v>6822</v>
      </c>
      <c r="C416" s="177" t="s">
        <v>6830</v>
      </c>
      <c r="D416" s="177" t="s">
        <v>6218</v>
      </c>
      <c r="E416" s="177" t="s">
        <v>1165</v>
      </c>
      <c r="F416" s="177" t="s">
        <v>6831</v>
      </c>
      <c r="G416" s="176"/>
      <c r="H416" s="176"/>
      <c r="I416" s="176"/>
      <c r="J416" s="176"/>
      <c r="K416" s="176"/>
      <c r="L416" s="176"/>
      <c r="M416" s="176"/>
      <c r="N416" s="176"/>
      <c r="O416" s="176"/>
      <c r="P416" s="176"/>
      <c r="Q416" s="176"/>
      <c r="R416" s="176"/>
      <c r="S416" s="176"/>
      <c r="T416" s="176"/>
      <c r="U416" s="176"/>
      <c r="V416" s="176"/>
      <c r="W416" s="176"/>
      <c r="X416" s="176"/>
      <c r="Y416" s="176"/>
      <c r="Z416" s="176"/>
    </row>
    <row r="417" spans="1:26">
      <c r="A417" s="221">
        <v>436</v>
      </c>
      <c r="B417" s="177" t="s">
        <v>6822</v>
      </c>
      <c r="C417" s="177" t="s">
        <v>6830</v>
      </c>
      <c r="D417" s="177" t="s">
        <v>6218</v>
      </c>
      <c r="E417" s="177" t="s">
        <v>1167</v>
      </c>
      <c r="F417" s="177" t="s">
        <v>6832</v>
      </c>
      <c r="G417" s="176"/>
      <c r="H417" s="176"/>
      <c r="I417" s="176"/>
      <c r="J417" s="176"/>
      <c r="K417" s="176"/>
      <c r="L417" s="176"/>
      <c r="M417" s="176"/>
      <c r="N417" s="176"/>
      <c r="O417" s="176"/>
      <c r="P417" s="176"/>
      <c r="Q417" s="176"/>
      <c r="R417" s="176"/>
      <c r="S417" s="176"/>
      <c r="T417" s="176"/>
      <c r="U417" s="176"/>
      <c r="V417" s="176"/>
      <c r="W417" s="176"/>
      <c r="X417" s="176"/>
      <c r="Y417" s="176"/>
      <c r="Z417" s="176"/>
    </row>
    <row r="418" spans="1:26">
      <c r="A418" s="221">
        <v>429</v>
      </c>
      <c r="B418" s="177" t="s">
        <v>6822</v>
      </c>
      <c r="C418" s="177" t="s">
        <v>6825</v>
      </c>
      <c r="D418" s="177" t="s">
        <v>6218</v>
      </c>
      <c r="E418" s="177" t="s">
        <v>1165</v>
      </c>
      <c r="F418" s="177" t="s">
        <v>1166</v>
      </c>
      <c r="G418" s="176"/>
      <c r="H418" s="176"/>
      <c r="I418" s="176"/>
      <c r="J418" s="176"/>
      <c r="K418" s="176"/>
      <c r="L418" s="176"/>
      <c r="M418" s="176"/>
      <c r="N418" s="176"/>
      <c r="O418" s="176"/>
      <c r="P418" s="176"/>
      <c r="Q418" s="176"/>
      <c r="R418" s="176"/>
      <c r="S418" s="176"/>
      <c r="T418" s="176"/>
      <c r="U418" s="176"/>
      <c r="V418" s="176"/>
      <c r="W418" s="176"/>
      <c r="X418" s="176"/>
      <c r="Y418" s="176"/>
      <c r="Z418" s="176"/>
    </row>
    <row r="419" spans="1:26">
      <c r="A419" s="221">
        <v>438</v>
      </c>
      <c r="B419" s="177" t="s">
        <v>6833</v>
      </c>
      <c r="C419" s="177" t="s">
        <v>6834</v>
      </c>
      <c r="D419" s="177" t="s">
        <v>6218</v>
      </c>
      <c r="E419" s="177" t="s">
        <v>1585</v>
      </c>
      <c r="F419" s="177" t="s">
        <v>1586</v>
      </c>
      <c r="G419" s="176"/>
      <c r="H419" s="176"/>
      <c r="I419" s="176"/>
      <c r="J419" s="176"/>
      <c r="K419" s="176"/>
      <c r="L419" s="176"/>
      <c r="M419" s="176"/>
      <c r="N419" s="176"/>
      <c r="O419" s="176"/>
      <c r="P419" s="176"/>
      <c r="Q419" s="176"/>
      <c r="R419" s="176"/>
      <c r="S419" s="176"/>
      <c r="T419" s="176"/>
      <c r="U419" s="176"/>
      <c r="V419" s="176"/>
      <c r="W419" s="176"/>
      <c r="X419" s="176"/>
      <c r="Y419" s="176"/>
      <c r="Z419" s="176"/>
    </row>
    <row r="420" spans="1:26">
      <c r="A420" s="221">
        <v>439</v>
      </c>
      <c r="B420" s="177" t="s">
        <v>6833</v>
      </c>
      <c r="C420" s="177" t="s">
        <v>6834</v>
      </c>
      <c r="D420" s="177" t="s">
        <v>6218</v>
      </c>
      <c r="E420" s="177" t="s">
        <v>1587</v>
      </c>
      <c r="F420" s="177" t="s">
        <v>1588</v>
      </c>
      <c r="G420" s="176"/>
      <c r="H420" s="176"/>
      <c r="I420" s="176"/>
      <c r="J420" s="176"/>
      <c r="K420" s="176"/>
      <c r="L420" s="176"/>
      <c r="M420" s="176"/>
      <c r="N420" s="176"/>
      <c r="O420" s="176"/>
      <c r="P420" s="176"/>
      <c r="Q420" s="176"/>
      <c r="R420" s="176"/>
      <c r="S420" s="176"/>
      <c r="T420" s="176"/>
      <c r="U420" s="176"/>
      <c r="V420" s="176"/>
      <c r="W420" s="176"/>
      <c r="X420" s="176"/>
      <c r="Y420" s="176"/>
      <c r="Z420" s="176"/>
    </row>
    <row r="421" spans="1:26">
      <c r="A421" s="221">
        <v>440</v>
      </c>
      <c r="B421" s="177" t="s">
        <v>6833</v>
      </c>
      <c r="C421" s="177" t="s">
        <v>6834</v>
      </c>
      <c r="D421" s="177" t="s">
        <v>6218</v>
      </c>
      <c r="E421" s="177" t="s">
        <v>1589</v>
      </c>
      <c r="F421" s="177" t="s">
        <v>1590</v>
      </c>
      <c r="G421" s="176"/>
      <c r="H421" s="176"/>
      <c r="I421" s="176"/>
      <c r="J421" s="176"/>
      <c r="K421" s="176"/>
      <c r="L421" s="176"/>
      <c r="M421" s="176"/>
      <c r="N421" s="176"/>
      <c r="O421" s="176"/>
      <c r="P421" s="176"/>
      <c r="Q421" s="176"/>
      <c r="R421" s="176"/>
      <c r="S421" s="176"/>
      <c r="T421" s="176"/>
      <c r="U421" s="176"/>
      <c r="V421" s="176"/>
      <c r="W421" s="176"/>
      <c r="X421" s="176"/>
      <c r="Y421" s="176"/>
      <c r="Z421" s="176"/>
    </row>
    <row r="422" spans="1:26">
      <c r="A422" s="221">
        <v>441</v>
      </c>
      <c r="B422" s="177" t="s">
        <v>6833</v>
      </c>
      <c r="C422" s="177" t="s">
        <v>6834</v>
      </c>
      <c r="D422" s="177" t="s">
        <v>6218</v>
      </c>
      <c r="E422" s="177" t="s">
        <v>1591</v>
      </c>
      <c r="F422" s="177" t="s">
        <v>1592</v>
      </c>
      <c r="G422" s="176"/>
      <c r="H422" s="176"/>
      <c r="I422" s="176"/>
      <c r="J422" s="176"/>
      <c r="K422" s="176"/>
      <c r="L422" s="176"/>
      <c r="M422" s="176"/>
      <c r="N422" s="176"/>
      <c r="O422" s="176"/>
      <c r="P422" s="176"/>
      <c r="Q422" s="176"/>
      <c r="R422" s="176"/>
      <c r="S422" s="176"/>
      <c r="T422" s="176"/>
      <c r="U422" s="176"/>
      <c r="V422" s="176"/>
      <c r="W422" s="176"/>
      <c r="X422" s="176"/>
      <c r="Y422" s="176"/>
      <c r="Z422" s="176"/>
    </row>
    <row r="423" spans="1:26">
      <c r="A423" s="221">
        <v>442</v>
      </c>
      <c r="B423" s="177" t="s">
        <v>6833</v>
      </c>
      <c r="C423" s="177" t="s">
        <v>6835</v>
      </c>
      <c r="D423" s="177" t="s">
        <v>6218</v>
      </c>
      <c r="E423" s="177" t="s">
        <v>1585</v>
      </c>
      <c r="F423" s="177" t="s">
        <v>6836</v>
      </c>
      <c r="G423" s="176"/>
      <c r="H423" s="176"/>
      <c r="I423" s="176"/>
      <c r="J423" s="176"/>
      <c r="K423" s="176"/>
      <c r="L423" s="176"/>
      <c r="M423" s="176"/>
      <c r="N423" s="176"/>
      <c r="O423" s="176"/>
      <c r="P423" s="176"/>
      <c r="Q423" s="176"/>
      <c r="R423" s="176"/>
      <c r="S423" s="176"/>
      <c r="T423" s="176"/>
      <c r="U423" s="176"/>
      <c r="V423" s="176"/>
      <c r="W423" s="176"/>
      <c r="X423" s="176"/>
      <c r="Y423" s="176"/>
      <c r="Z423" s="176"/>
    </row>
    <row r="424" spans="1:26">
      <c r="A424" s="221">
        <v>443</v>
      </c>
      <c r="B424" s="177" t="s">
        <v>6833</v>
      </c>
      <c r="C424" s="177" t="s">
        <v>6835</v>
      </c>
      <c r="D424" s="177" t="s">
        <v>6218</v>
      </c>
      <c r="E424" s="177" t="s">
        <v>1587</v>
      </c>
      <c r="F424" s="177" t="s">
        <v>6837</v>
      </c>
      <c r="G424" s="176"/>
      <c r="H424" s="176"/>
      <c r="I424" s="176"/>
      <c r="J424" s="176"/>
      <c r="K424" s="176"/>
      <c r="L424" s="176"/>
      <c r="M424" s="176"/>
      <c r="N424" s="176"/>
      <c r="O424" s="176"/>
      <c r="P424" s="176"/>
      <c r="Q424" s="176"/>
      <c r="R424" s="176"/>
      <c r="S424" s="176"/>
      <c r="T424" s="176"/>
      <c r="U424" s="176"/>
      <c r="V424" s="176"/>
      <c r="W424" s="176"/>
      <c r="X424" s="176"/>
      <c r="Y424" s="176"/>
      <c r="Z424" s="176"/>
    </row>
    <row r="425" spans="1:26">
      <c r="A425" s="221">
        <v>444</v>
      </c>
      <c r="B425" s="177" t="s">
        <v>6833</v>
      </c>
      <c r="C425" s="177" t="s">
        <v>6835</v>
      </c>
      <c r="D425" s="177" t="s">
        <v>6218</v>
      </c>
      <c r="E425" s="177" t="s">
        <v>1589</v>
      </c>
      <c r="F425" s="177" t="s">
        <v>6838</v>
      </c>
      <c r="G425" s="176"/>
      <c r="H425" s="176"/>
      <c r="I425" s="176"/>
      <c r="J425" s="176"/>
      <c r="K425" s="176"/>
      <c r="L425" s="176"/>
      <c r="M425" s="176"/>
      <c r="N425" s="176"/>
      <c r="O425" s="176"/>
      <c r="P425" s="176"/>
      <c r="Q425" s="176"/>
      <c r="R425" s="176"/>
      <c r="S425" s="176"/>
      <c r="T425" s="176"/>
      <c r="U425" s="176"/>
      <c r="V425" s="176"/>
      <c r="W425" s="176"/>
      <c r="X425" s="176"/>
      <c r="Y425" s="176"/>
      <c r="Z425" s="176"/>
    </row>
    <row r="426" spans="1:26">
      <c r="A426" s="221">
        <v>445</v>
      </c>
      <c r="B426" s="177" t="s">
        <v>6833</v>
      </c>
      <c r="C426" s="177" t="s">
        <v>6835</v>
      </c>
      <c r="D426" s="177" t="s">
        <v>6218</v>
      </c>
      <c r="E426" s="177" t="s">
        <v>1591</v>
      </c>
      <c r="F426" s="177" t="s">
        <v>6839</v>
      </c>
      <c r="G426" s="176"/>
      <c r="H426" s="176"/>
      <c r="I426" s="176"/>
      <c r="J426" s="176"/>
      <c r="K426" s="176"/>
      <c r="L426" s="176"/>
      <c r="M426" s="176"/>
      <c r="N426" s="176"/>
      <c r="O426" s="176"/>
      <c r="P426" s="176"/>
      <c r="Q426" s="176"/>
      <c r="R426" s="176"/>
      <c r="S426" s="176"/>
      <c r="T426" s="176"/>
      <c r="U426" s="176"/>
      <c r="V426" s="176"/>
      <c r="W426" s="176"/>
      <c r="X426" s="176"/>
      <c r="Y426" s="176"/>
      <c r="Z426" s="176"/>
    </row>
    <row r="427" spans="1:26">
      <c r="A427" s="221">
        <v>446</v>
      </c>
      <c r="B427" s="177" t="s">
        <v>6833</v>
      </c>
      <c r="C427" s="177" t="s">
        <v>6840</v>
      </c>
      <c r="D427" s="177" t="s">
        <v>6218</v>
      </c>
      <c r="E427" s="177" t="s">
        <v>1587</v>
      </c>
      <c r="F427" s="177" t="s">
        <v>6841</v>
      </c>
      <c r="G427" s="176"/>
      <c r="H427" s="176"/>
      <c r="I427" s="176"/>
      <c r="J427" s="176"/>
      <c r="K427" s="176"/>
      <c r="L427" s="176"/>
      <c r="M427" s="176"/>
      <c r="N427" s="176"/>
      <c r="O427" s="176"/>
      <c r="P427" s="176"/>
      <c r="Q427" s="176"/>
      <c r="R427" s="176"/>
      <c r="S427" s="176"/>
      <c r="T427" s="176"/>
      <c r="U427" s="176"/>
      <c r="V427" s="176"/>
      <c r="W427" s="176"/>
      <c r="X427" s="176"/>
      <c r="Y427" s="176"/>
      <c r="Z427" s="176"/>
    </row>
    <row r="428" spans="1:26">
      <c r="A428" s="221">
        <v>447</v>
      </c>
      <c r="B428" s="177" t="s">
        <v>6833</v>
      </c>
      <c r="C428" s="177" t="s">
        <v>6840</v>
      </c>
      <c r="D428" s="177" t="s">
        <v>6218</v>
      </c>
      <c r="E428" s="177" t="s">
        <v>1585</v>
      </c>
      <c r="F428" s="177" t="s">
        <v>6842</v>
      </c>
      <c r="G428" s="176"/>
      <c r="H428" s="176"/>
      <c r="I428" s="176"/>
      <c r="J428" s="176"/>
      <c r="K428" s="176"/>
      <c r="L428" s="176"/>
      <c r="M428" s="176"/>
      <c r="N428" s="176"/>
      <c r="O428" s="176"/>
      <c r="P428" s="176"/>
      <c r="Q428" s="176"/>
      <c r="R428" s="176"/>
      <c r="S428" s="176"/>
      <c r="T428" s="176"/>
      <c r="U428" s="176"/>
      <c r="V428" s="176"/>
      <c r="W428" s="176"/>
      <c r="X428" s="176"/>
      <c r="Y428" s="176"/>
      <c r="Z428" s="176"/>
    </row>
    <row r="429" spans="1:26">
      <c r="A429" s="221">
        <v>448</v>
      </c>
      <c r="B429" s="177" t="s">
        <v>6833</v>
      </c>
      <c r="C429" s="177" t="s">
        <v>6840</v>
      </c>
      <c r="D429" s="177" t="s">
        <v>6218</v>
      </c>
      <c r="E429" s="177" t="s">
        <v>1589</v>
      </c>
      <c r="F429" s="177" t="s">
        <v>6843</v>
      </c>
      <c r="G429" s="176"/>
      <c r="H429" s="176"/>
      <c r="I429" s="176"/>
      <c r="J429" s="176"/>
      <c r="K429" s="176"/>
      <c r="L429" s="176"/>
      <c r="M429" s="176"/>
      <c r="N429" s="176"/>
      <c r="O429" s="176"/>
      <c r="P429" s="176"/>
      <c r="Q429" s="176"/>
      <c r="R429" s="176"/>
      <c r="S429" s="176"/>
      <c r="T429" s="176"/>
      <c r="U429" s="176"/>
      <c r="V429" s="176"/>
      <c r="W429" s="176"/>
      <c r="X429" s="176"/>
      <c r="Y429" s="176"/>
      <c r="Z429" s="176"/>
    </row>
    <row r="430" spans="1:26">
      <c r="A430" s="221">
        <v>449</v>
      </c>
      <c r="B430" s="177" t="s">
        <v>6833</v>
      </c>
      <c r="C430" s="177" t="s">
        <v>6840</v>
      </c>
      <c r="D430" s="177" t="s">
        <v>6218</v>
      </c>
      <c r="E430" s="177" t="s">
        <v>1591</v>
      </c>
      <c r="F430" s="177" t="s">
        <v>6844</v>
      </c>
      <c r="G430" s="176"/>
      <c r="H430" s="176"/>
      <c r="I430" s="176"/>
      <c r="J430" s="176"/>
      <c r="K430" s="176"/>
      <c r="L430" s="176"/>
      <c r="M430" s="176"/>
      <c r="N430" s="176"/>
      <c r="O430" s="176"/>
      <c r="P430" s="176"/>
      <c r="Q430" s="176"/>
      <c r="R430" s="176"/>
      <c r="S430" s="176"/>
      <c r="T430" s="176"/>
      <c r="U430" s="176"/>
      <c r="V430" s="176"/>
      <c r="W430" s="176"/>
      <c r="X430" s="176"/>
      <c r="Y430" s="176"/>
      <c r="Z430" s="176"/>
    </row>
    <row r="431" spans="1:26">
      <c r="A431" s="221">
        <v>450</v>
      </c>
      <c r="B431" s="177" t="s">
        <v>6833</v>
      </c>
      <c r="C431" s="177" t="s">
        <v>6845</v>
      </c>
      <c r="D431" s="177" t="s">
        <v>6218</v>
      </c>
      <c r="E431" s="177" t="s">
        <v>1585</v>
      </c>
      <c r="F431" s="177" t="s">
        <v>6846</v>
      </c>
      <c r="G431" s="176"/>
      <c r="H431" s="176"/>
      <c r="I431" s="176"/>
      <c r="J431" s="176"/>
      <c r="K431" s="176"/>
      <c r="L431" s="176"/>
      <c r="M431" s="176"/>
      <c r="N431" s="176"/>
      <c r="O431" s="176"/>
      <c r="P431" s="176"/>
      <c r="Q431" s="176"/>
      <c r="R431" s="176"/>
      <c r="S431" s="176"/>
      <c r="T431" s="176"/>
      <c r="U431" s="176"/>
      <c r="V431" s="176"/>
      <c r="W431" s="176"/>
      <c r="X431" s="176"/>
      <c r="Y431" s="176"/>
      <c r="Z431" s="176"/>
    </row>
    <row r="432" spans="1:26">
      <c r="A432" s="221">
        <v>451</v>
      </c>
      <c r="B432" s="177" t="s">
        <v>6833</v>
      </c>
      <c r="C432" s="177" t="s">
        <v>6845</v>
      </c>
      <c r="D432" s="177" t="s">
        <v>6218</v>
      </c>
      <c r="E432" s="177" t="s">
        <v>1587</v>
      </c>
      <c r="F432" s="177" t="s">
        <v>6847</v>
      </c>
      <c r="G432" s="176"/>
      <c r="H432" s="176"/>
      <c r="I432" s="176"/>
      <c r="J432" s="176"/>
      <c r="K432" s="176"/>
      <c r="L432" s="176"/>
      <c r="M432" s="176"/>
      <c r="N432" s="176"/>
      <c r="O432" s="176"/>
      <c r="P432" s="176"/>
      <c r="Q432" s="176"/>
      <c r="R432" s="176"/>
      <c r="S432" s="176"/>
      <c r="T432" s="176"/>
      <c r="U432" s="176"/>
      <c r="V432" s="176"/>
      <c r="W432" s="176"/>
      <c r="X432" s="176"/>
      <c r="Y432" s="176"/>
      <c r="Z432" s="176"/>
    </row>
    <row r="433" spans="1:26">
      <c r="A433" s="221">
        <v>452</v>
      </c>
      <c r="B433" s="177" t="s">
        <v>6833</v>
      </c>
      <c r="C433" s="177" t="s">
        <v>6845</v>
      </c>
      <c r="D433" s="177" t="s">
        <v>6218</v>
      </c>
      <c r="E433" s="177" t="s">
        <v>1589</v>
      </c>
      <c r="F433" s="177" t="s">
        <v>6848</v>
      </c>
      <c r="G433" s="176"/>
      <c r="H433" s="176"/>
      <c r="I433" s="176"/>
      <c r="J433" s="176"/>
      <c r="K433" s="176"/>
      <c r="L433" s="176"/>
      <c r="M433" s="176"/>
      <c r="N433" s="176"/>
      <c r="O433" s="176"/>
      <c r="P433" s="176"/>
      <c r="Q433" s="176"/>
      <c r="R433" s="176"/>
      <c r="S433" s="176"/>
      <c r="T433" s="176"/>
      <c r="U433" s="176"/>
      <c r="V433" s="176"/>
      <c r="W433" s="176"/>
      <c r="X433" s="176"/>
      <c r="Y433" s="176"/>
      <c r="Z433" s="176"/>
    </row>
    <row r="434" spans="1:26">
      <c r="A434" s="221">
        <v>453</v>
      </c>
      <c r="B434" s="177" t="s">
        <v>6833</v>
      </c>
      <c r="C434" s="177" t="s">
        <v>6845</v>
      </c>
      <c r="D434" s="177" t="s">
        <v>6218</v>
      </c>
      <c r="E434" s="177" t="s">
        <v>1591</v>
      </c>
      <c r="F434" s="177" t="s">
        <v>6849</v>
      </c>
      <c r="G434" s="176"/>
      <c r="H434" s="176"/>
      <c r="I434" s="176"/>
      <c r="J434" s="176"/>
      <c r="K434" s="176"/>
      <c r="L434" s="176"/>
      <c r="M434" s="176"/>
      <c r="N434" s="176"/>
      <c r="O434" s="176"/>
      <c r="P434" s="176"/>
      <c r="Q434" s="176"/>
      <c r="R434" s="176"/>
      <c r="S434" s="176"/>
      <c r="T434" s="176"/>
      <c r="U434" s="176"/>
      <c r="V434" s="176"/>
      <c r="W434" s="176"/>
      <c r="X434" s="176"/>
      <c r="Y434" s="176"/>
      <c r="Z434" s="176"/>
    </row>
    <row r="435" spans="1:26">
      <c r="A435" s="221">
        <v>454</v>
      </c>
      <c r="B435" s="177" t="s">
        <v>6833</v>
      </c>
      <c r="C435" s="177" t="s">
        <v>6850</v>
      </c>
      <c r="D435" s="177" t="s">
        <v>6218</v>
      </c>
      <c r="E435" s="177" t="s">
        <v>1565</v>
      </c>
      <c r="F435" s="177" t="s">
        <v>1566</v>
      </c>
      <c r="G435" s="176"/>
      <c r="H435" s="176"/>
      <c r="I435" s="176"/>
      <c r="J435" s="176"/>
      <c r="K435" s="176"/>
      <c r="L435" s="176"/>
      <c r="M435" s="176"/>
      <c r="N435" s="176"/>
      <c r="O435" s="176"/>
      <c r="P435" s="176"/>
      <c r="Q435" s="176"/>
      <c r="R435" s="176"/>
      <c r="S435" s="176"/>
      <c r="T435" s="176"/>
      <c r="U435" s="176"/>
      <c r="V435" s="176"/>
      <c r="W435" s="176"/>
      <c r="X435" s="176"/>
      <c r="Y435" s="176"/>
      <c r="Z435" s="176"/>
    </row>
    <row r="436" spans="1:26">
      <c r="A436" s="221">
        <v>455</v>
      </c>
      <c r="B436" s="177" t="s">
        <v>6833</v>
      </c>
      <c r="C436" s="177" t="s">
        <v>6850</v>
      </c>
      <c r="D436" s="177" t="s">
        <v>6218</v>
      </c>
      <c r="E436" s="177" t="s">
        <v>1567</v>
      </c>
      <c r="F436" s="177" t="s">
        <v>1568</v>
      </c>
      <c r="G436" s="176"/>
      <c r="H436" s="176"/>
      <c r="I436" s="176"/>
      <c r="J436" s="176"/>
      <c r="K436" s="176"/>
      <c r="L436" s="176"/>
      <c r="M436" s="176"/>
      <c r="N436" s="176"/>
      <c r="O436" s="176"/>
      <c r="P436" s="176"/>
      <c r="Q436" s="176"/>
      <c r="R436" s="176"/>
      <c r="S436" s="176"/>
      <c r="T436" s="176"/>
      <c r="U436" s="176"/>
      <c r="V436" s="176"/>
      <c r="W436" s="176"/>
      <c r="X436" s="176"/>
      <c r="Y436" s="176"/>
      <c r="Z436" s="176"/>
    </row>
    <row r="437" spans="1:26">
      <c r="A437" s="221">
        <v>456</v>
      </c>
      <c r="B437" s="177" t="s">
        <v>6833</v>
      </c>
      <c r="C437" s="177" t="s">
        <v>6850</v>
      </c>
      <c r="D437" s="177" t="s">
        <v>6218</v>
      </c>
      <c r="E437" s="177" t="s">
        <v>1569</v>
      </c>
      <c r="F437" s="177" t="s">
        <v>1570</v>
      </c>
      <c r="G437" s="176"/>
      <c r="H437" s="176"/>
      <c r="I437" s="176"/>
      <c r="J437" s="176"/>
      <c r="K437" s="176"/>
      <c r="L437" s="176"/>
      <c r="M437" s="176"/>
      <c r="N437" s="176"/>
      <c r="O437" s="176"/>
      <c r="P437" s="176"/>
      <c r="Q437" s="176"/>
      <c r="R437" s="176"/>
      <c r="S437" s="176"/>
      <c r="T437" s="176"/>
      <c r="U437" s="176"/>
      <c r="V437" s="176"/>
      <c r="W437" s="176"/>
      <c r="X437" s="176"/>
      <c r="Y437" s="176"/>
      <c r="Z437" s="176"/>
    </row>
    <row r="438" spans="1:26">
      <c r="A438" s="221">
        <v>457</v>
      </c>
      <c r="B438" s="177" t="s">
        <v>6833</v>
      </c>
      <c r="C438" s="177" t="s">
        <v>6850</v>
      </c>
      <c r="D438" s="177" t="s">
        <v>6218</v>
      </c>
      <c r="E438" s="177" t="s">
        <v>1571</v>
      </c>
      <c r="F438" s="177" t="s">
        <v>1572</v>
      </c>
      <c r="G438" s="176"/>
      <c r="H438" s="176"/>
      <c r="I438" s="176"/>
      <c r="J438" s="176"/>
      <c r="K438" s="176"/>
      <c r="L438" s="176"/>
      <c r="M438" s="176"/>
      <c r="N438" s="176"/>
      <c r="O438" s="176"/>
      <c r="P438" s="176"/>
      <c r="Q438" s="176"/>
      <c r="R438" s="176"/>
      <c r="S438" s="176"/>
      <c r="T438" s="176"/>
      <c r="U438" s="176"/>
      <c r="V438" s="176"/>
      <c r="W438" s="176"/>
      <c r="X438" s="176"/>
      <c r="Y438" s="176"/>
      <c r="Z438" s="176"/>
    </row>
    <row r="439" spans="1:26">
      <c r="A439" s="221">
        <v>458</v>
      </c>
      <c r="B439" s="177" t="s">
        <v>6833</v>
      </c>
      <c r="C439" s="177" t="s">
        <v>6850</v>
      </c>
      <c r="D439" s="177" t="s">
        <v>6218</v>
      </c>
      <c r="E439" s="177" t="s">
        <v>1573</v>
      </c>
      <c r="F439" s="177" t="s">
        <v>6851</v>
      </c>
      <c r="G439" s="176"/>
      <c r="H439" s="176"/>
      <c r="I439" s="176"/>
      <c r="J439" s="176"/>
      <c r="K439" s="176"/>
      <c r="L439" s="176"/>
      <c r="M439" s="176"/>
      <c r="N439" s="176"/>
      <c r="O439" s="176"/>
      <c r="P439" s="176"/>
      <c r="Q439" s="176"/>
      <c r="R439" s="176"/>
      <c r="S439" s="176"/>
      <c r="T439" s="176"/>
      <c r="U439" s="176"/>
      <c r="V439" s="176"/>
      <c r="W439" s="176"/>
      <c r="X439" s="176"/>
      <c r="Y439" s="176"/>
      <c r="Z439" s="176"/>
    </row>
    <row r="440" spans="1:26">
      <c r="A440" s="221">
        <v>459</v>
      </c>
      <c r="B440" s="177" t="s">
        <v>6833</v>
      </c>
      <c r="C440" s="177" t="s">
        <v>6850</v>
      </c>
      <c r="D440" s="177" t="s">
        <v>6218</v>
      </c>
      <c r="E440" s="177" t="s">
        <v>1573</v>
      </c>
      <c r="F440" s="177" t="s">
        <v>1574</v>
      </c>
      <c r="G440" s="176"/>
      <c r="H440" s="176"/>
      <c r="I440" s="176"/>
      <c r="J440" s="176"/>
      <c r="K440" s="176"/>
      <c r="L440" s="176"/>
      <c r="M440" s="176"/>
      <c r="N440" s="176"/>
      <c r="O440" s="176"/>
      <c r="P440" s="176"/>
      <c r="Q440" s="176"/>
      <c r="R440" s="176"/>
      <c r="S440" s="176"/>
      <c r="T440" s="176"/>
      <c r="U440" s="176"/>
      <c r="V440" s="176"/>
      <c r="W440" s="176"/>
      <c r="X440" s="176"/>
      <c r="Y440" s="176"/>
      <c r="Z440" s="176"/>
    </row>
    <row r="441" spans="1:26">
      <c r="A441" s="221">
        <v>460</v>
      </c>
      <c r="B441" s="177" t="s">
        <v>6852</v>
      </c>
      <c r="C441" s="177" t="s">
        <v>6853</v>
      </c>
      <c r="D441" s="177" t="s">
        <v>6218</v>
      </c>
      <c r="E441" s="177" t="s">
        <v>1293</v>
      </c>
      <c r="F441" s="177" t="s">
        <v>1294</v>
      </c>
      <c r="G441" s="176"/>
      <c r="H441" s="176"/>
      <c r="I441" s="176"/>
      <c r="J441" s="176"/>
      <c r="K441" s="176"/>
      <c r="L441" s="176"/>
      <c r="M441" s="176"/>
      <c r="N441" s="176"/>
      <c r="O441" s="176"/>
      <c r="P441" s="176"/>
      <c r="Q441" s="176"/>
      <c r="R441" s="176"/>
      <c r="S441" s="176"/>
      <c r="T441" s="176"/>
      <c r="U441" s="176"/>
      <c r="V441" s="176"/>
      <c r="W441" s="176"/>
      <c r="X441" s="176"/>
      <c r="Y441" s="176"/>
      <c r="Z441" s="176"/>
    </row>
    <row r="442" spans="1:26">
      <c r="A442" s="221">
        <v>461</v>
      </c>
      <c r="B442" s="177" t="s">
        <v>6852</v>
      </c>
      <c r="C442" s="177" t="s">
        <v>6853</v>
      </c>
      <c r="D442" s="177" t="s">
        <v>6218</v>
      </c>
      <c r="E442" s="177" t="s">
        <v>1295</v>
      </c>
      <c r="F442" s="177" t="s">
        <v>1296</v>
      </c>
      <c r="G442" s="176"/>
      <c r="H442" s="176"/>
      <c r="I442" s="176"/>
      <c r="J442" s="176"/>
      <c r="K442" s="176"/>
      <c r="L442" s="176"/>
      <c r="M442" s="176"/>
      <c r="N442" s="176"/>
      <c r="O442" s="176"/>
      <c r="P442" s="176"/>
      <c r="Q442" s="176"/>
      <c r="R442" s="176"/>
      <c r="S442" s="176"/>
      <c r="T442" s="176"/>
      <c r="U442" s="176"/>
      <c r="V442" s="176"/>
      <c r="W442" s="176"/>
      <c r="X442" s="176"/>
      <c r="Y442" s="176"/>
      <c r="Z442" s="176"/>
    </row>
    <row r="443" spans="1:26">
      <c r="A443" s="221">
        <v>462</v>
      </c>
      <c r="B443" s="177" t="s">
        <v>6852</v>
      </c>
      <c r="C443" s="177" t="s">
        <v>6853</v>
      </c>
      <c r="D443" s="177" t="s">
        <v>6218</v>
      </c>
      <c r="E443" s="177" t="s">
        <v>1297</v>
      </c>
      <c r="F443" s="177" t="s">
        <v>1298</v>
      </c>
      <c r="G443" s="176"/>
      <c r="H443" s="176"/>
      <c r="I443" s="176"/>
      <c r="J443" s="176"/>
      <c r="K443" s="176"/>
      <c r="L443" s="176"/>
      <c r="M443" s="176"/>
      <c r="N443" s="176"/>
      <c r="O443" s="176"/>
      <c r="P443" s="176"/>
      <c r="Q443" s="176"/>
      <c r="R443" s="176"/>
      <c r="S443" s="176"/>
      <c r="T443" s="176"/>
      <c r="U443" s="176"/>
      <c r="V443" s="176"/>
      <c r="W443" s="176"/>
      <c r="X443" s="176"/>
      <c r="Y443" s="176"/>
      <c r="Z443" s="176"/>
    </row>
    <row r="444" spans="1:26">
      <c r="A444" s="221">
        <v>463</v>
      </c>
      <c r="B444" s="177" t="s">
        <v>6854</v>
      </c>
      <c r="C444" s="177" t="s">
        <v>6855</v>
      </c>
      <c r="D444" s="177" t="s">
        <v>6218</v>
      </c>
      <c r="E444" s="177" t="s">
        <v>1293</v>
      </c>
      <c r="F444" s="177" t="s">
        <v>6856</v>
      </c>
      <c r="G444" s="176"/>
      <c r="H444" s="176"/>
      <c r="I444" s="176"/>
      <c r="J444" s="176"/>
      <c r="K444" s="176"/>
      <c r="L444" s="176"/>
      <c r="M444" s="176"/>
      <c r="N444" s="176"/>
      <c r="O444" s="176"/>
      <c r="P444" s="176"/>
      <c r="Q444" s="176"/>
      <c r="R444" s="176"/>
      <c r="S444" s="176"/>
      <c r="T444" s="176"/>
      <c r="U444" s="176"/>
      <c r="V444" s="176"/>
      <c r="W444" s="176"/>
      <c r="X444" s="176"/>
      <c r="Y444" s="176"/>
      <c r="Z444" s="176"/>
    </row>
    <row r="445" spans="1:26">
      <c r="A445" s="221">
        <v>464</v>
      </c>
      <c r="B445" s="177" t="s">
        <v>6854</v>
      </c>
      <c r="C445" s="177" t="s">
        <v>6855</v>
      </c>
      <c r="D445" s="177" t="s">
        <v>6218</v>
      </c>
      <c r="E445" s="177" t="s">
        <v>1295</v>
      </c>
      <c r="F445" s="177" t="s">
        <v>6857</v>
      </c>
      <c r="G445" s="176"/>
      <c r="H445" s="176"/>
      <c r="I445" s="176"/>
      <c r="J445" s="176"/>
      <c r="K445" s="176"/>
      <c r="L445" s="176"/>
      <c r="M445" s="176"/>
      <c r="N445" s="176"/>
      <c r="O445" s="176"/>
      <c r="P445" s="176"/>
      <c r="Q445" s="176"/>
      <c r="R445" s="176"/>
      <c r="S445" s="176"/>
      <c r="T445" s="176"/>
      <c r="U445" s="176"/>
      <c r="V445" s="176"/>
      <c r="W445" s="176"/>
      <c r="X445" s="176"/>
      <c r="Y445" s="176"/>
      <c r="Z445" s="176"/>
    </row>
    <row r="446" spans="1:26">
      <c r="A446" s="221">
        <v>465</v>
      </c>
      <c r="B446" s="177" t="s">
        <v>6854</v>
      </c>
      <c r="C446" s="177" t="s">
        <v>6855</v>
      </c>
      <c r="D446" s="177" t="s">
        <v>6218</v>
      </c>
      <c r="E446" s="177" t="s">
        <v>1297</v>
      </c>
      <c r="F446" s="177" t="s">
        <v>6858</v>
      </c>
      <c r="G446" s="176"/>
      <c r="H446" s="176"/>
      <c r="I446" s="176"/>
      <c r="J446" s="176"/>
      <c r="K446" s="176"/>
      <c r="L446" s="176"/>
      <c r="M446" s="176"/>
      <c r="N446" s="176"/>
      <c r="O446" s="176"/>
      <c r="P446" s="176"/>
      <c r="Q446" s="176"/>
      <c r="R446" s="176"/>
      <c r="S446" s="176"/>
      <c r="T446" s="176"/>
      <c r="U446" s="176"/>
      <c r="V446" s="176"/>
      <c r="W446" s="176"/>
      <c r="X446" s="176"/>
      <c r="Y446" s="176"/>
      <c r="Z446" s="176"/>
    </row>
    <row r="447" spans="1:26">
      <c r="A447" s="221">
        <v>466</v>
      </c>
      <c r="B447" s="177" t="s">
        <v>6859</v>
      </c>
      <c r="C447" s="177" t="s">
        <v>6860</v>
      </c>
      <c r="D447" s="177" t="s">
        <v>6218</v>
      </c>
      <c r="E447" s="177" t="s">
        <v>1363</v>
      </c>
      <c r="F447" s="177" t="s">
        <v>1364</v>
      </c>
      <c r="G447" s="176"/>
      <c r="H447" s="176"/>
      <c r="I447" s="176"/>
      <c r="J447" s="176"/>
      <c r="K447" s="176"/>
      <c r="L447" s="176"/>
      <c r="M447" s="176"/>
      <c r="N447" s="176"/>
      <c r="O447" s="176"/>
      <c r="P447" s="176"/>
      <c r="Q447" s="176"/>
      <c r="R447" s="176"/>
      <c r="S447" s="176"/>
      <c r="T447" s="176"/>
      <c r="U447" s="176"/>
      <c r="V447" s="176"/>
      <c r="W447" s="176"/>
      <c r="X447" s="176"/>
      <c r="Y447" s="176"/>
      <c r="Z447" s="176"/>
    </row>
    <row r="448" spans="1:26">
      <c r="A448" s="221">
        <v>467</v>
      </c>
      <c r="B448" s="177" t="s">
        <v>6859</v>
      </c>
      <c r="C448" s="177" t="s">
        <v>6860</v>
      </c>
      <c r="D448" s="177" t="s">
        <v>6218</v>
      </c>
      <c r="E448" s="177" t="s">
        <v>1365</v>
      </c>
      <c r="F448" s="177" t="s">
        <v>1366</v>
      </c>
      <c r="G448" s="176"/>
      <c r="H448" s="176"/>
      <c r="I448" s="176"/>
      <c r="J448" s="176"/>
      <c r="K448" s="176"/>
      <c r="L448" s="176"/>
      <c r="M448" s="176"/>
      <c r="N448" s="176"/>
      <c r="O448" s="176"/>
      <c r="P448" s="176"/>
      <c r="Q448" s="176"/>
      <c r="R448" s="176"/>
      <c r="S448" s="176"/>
      <c r="T448" s="176"/>
      <c r="U448" s="176"/>
      <c r="V448" s="176"/>
      <c r="W448" s="176"/>
      <c r="X448" s="176"/>
      <c r="Y448" s="176"/>
      <c r="Z448" s="176"/>
    </row>
    <row r="449" spans="1:26">
      <c r="A449" s="221">
        <v>468</v>
      </c>
      <c r="B449" s="177" t="s">
        <v>6859</v>
      </c>
      <c r="C449" s="177" t="s">
        <v>6860</v>
      </c>
      <c r="D449" s="177" t="s">
        <v>6218</v>
      </c>
      <c r="E449" s="177" t="s">
        <v>1367</v>
      </c>
      <c r="F449" s="177" t="s">
        <v>1368</v>
      </c>
      <c r="G449" s="176"/>
      <c r="H449" s="176"/>
      <c r="I449" s="176"/>
      <c r="J449" s="176"/>
      <c r="K449" s="176"/>
      <c r="L449" s="176"/>
      <c r="M449" s="176"/>
      <c r="N449" s="176"/>
      <c r="O449" s="176"/>
      <c r="P449" s="176"/>
      <c r="Q449" s="176"/>
      <c r="R449" s="176"/>
      <c r="S449" s="176"/>
      <c r="T449" s="176"/>
      <c r="U449" s="176"/>
      <c r="V449" s="176"/>
      <c r="W449" s="176"/>
      <c r="X449" s="176"/>
      <c r="Y449" s="176"/>
      <c r="Z449" s="176"/>
    </row>
    <row r="450" spans="1:26">
      <c r="A450" s="221">
        <v>469</v>
      </c>
      <c r="B450" s="177" t="s">
        <v>6859</v>
      </c>
      <c r="C450" s="177" t="s">
        <v>6860</v>
      </c>
      <c r="D450" s="177" t="s">
        <v>6218</v>
      </c>
      <c r="E450" s="177" t="s">
        <v>1369</v>
      </c>
      <c r="F450" s="177" t="s">
        <v>1370</v>
      </c>
      <c r="G450" s="176"/>
      <c r="H450" s="176"/>
      <c r="I450" s="176"/>
      <c r="J450" s="176"/>
      <c r="K450" s="176"/>
      <c r="L450" s="176"/>
      <c r="M450" s="176"/>
      <c r="N450" s="176"/>
      <c r="O450" s="176"/>
      <c r="P450" s="176"/>
      <c r="Q450" s="176"/>
      <c r="R450" s="176"/>
      <c r="S450" s="176"/>
      <c r="T450" s="176"/>
      <c r="U450" s="176"/>
      <c r="V450" s="176"/>
      <c r="W450" s="176"/>
      <c r="X450" s="176"/>
      <c r="Y450" s="176"/>
      <c r="Z450" s="176"/>
    </row>
    <row r="451" spans="1:26">
      <c r="A451" s="221">
        <v>470</v>
      </c>
      <c r="B451" s="177" t="s">
        <v>6859</v>
      </c>
      <c r="C451" s="177" t="s">
        <v>6860</v>
      </c>
      <c r="D451" s="177" t="s">
        <v>6218</v>
      </c>
      <c r="E451" s="177" t="s">
        <v>1371</v>
      </c>
      <c r="F451" s="177" t="s">
        <v>1372</v>
      </c>
      <c r="G451" s="176"/>
      <c r="H451" s="176"/>
      <c r="I451" s="176"/>
      <c r="J451" s="176"/>
      <c r="K451" s="176"/>
      <c r="L451" s="176"/>
      <c r="M451" s="176"/>
      <c r="N451" s="176"/>
      <c r="O451" s="176"/>
      <c r="P451" s="176"/>
      <c r="Q451" s="176"/>
      <c r="R451" s="176"/>
      <c r="S451" s="176"/>
      <c r="T451" s="176"/>
      <c r="U451" s="176"/>
      <c r="V451" s="176"/>
      <c r="W451" s="176"/>
      <c r="X451" s="176"/>
      <c r="Y451" s="176"/>
      <c r="Z451" s="176"/>
    </row>
    <row r="452" spans="1:26">
      <c r="A452" s="221">
        <v>471</v>
      </c>
      <c r="B452" s="177" t="s">
        <v>6859</v>
      </c>
      <c r="C452" s="177" t="s">
        <v>6860</v>
      </c>
      <c r="D452" s="177" t="s">
        <v>6218</v>
      </c>
      <c r="E452" s="177" t="s">
        <v>1373</v>
      </c>
      <c r="F452" s="177" t="s">
        <v>1374</v>
      </c>
      <c r="G452" s="176"/>
      <c r="H452" s="176"/>
      <c r="I452" s="176"/>
      <c r="J452" s="176"/>
      <c r="K452" s="176"/>
      <c r="L452" s="176"/>
      <c r="M452" s="176"/>
      <c r="N452" s="176"/>
      <c r="O452" s="176"/>
      <c r="P452" s="176"/>
      <c r="Q452" s="176"/>
      <c r="R452" s="176"/>
      <c r="S452" s="176"/>
      <c r="T452" s="176"/>
      <c r="U452" s="176"/>
      <c r="V452" s="176"/>
      <c r="W452" s="176"/>
      <c r="X452" s="176"/>
      <c r="Y452" s="176"/>
      <c r="Z452" s="176"/>
    </row>
    <row r="453" spans="1:26">
      <c r="A453" s="221">
        <v>472</v>
      </c>
      <c r="B453" s="177" t="s">
        <v>6859</v>
      </c>
      <c r="C453" s="177" t="s">
        <v>6860</v>
      </c>
      <c r="D453" s="177" t="s">
        <v>6218</v>
      </c>
      <c r="E453" s="177" t="s">
        <v>1375</v>
      </c>
      <c r="F453" s="177" t="s">
        <v>1376</v>
      </c>
      <c r="G453" s="176"/>
      <c r="H453" s="176"/>
      <c r="I453" s="176"/>
      <c r="J453" s="176"/>
      <c r="K453" s="176"/>
      <c r="L453" s="176"/>
      <c r="M453" s="176"/>
      <c r="N453" s="176"/>
      <c r="O453" s="176"/>
      <c r="P453" s="176"/>
      <c r="Q453" s="176"/>
      <c r="R453" s="176"/>
      <c r="S453" s="176"/>
      <c r="T453" s="176"/>
      <c r="U453" s="176"/>
      <c r="V453" s="176"/>
      <c r="W453" s="176"/>
      <c r="X453" s="176"/>
      <c r="Y453" s="176"/>
      <c r="Z453" s="176"/>
    </row>
    <row r="454" spans="1:26">
      <c r="A454" s="221">
        <v>473</v>
      </c>
      <c r="B454" s="177" t="s">
        <v>6861</v>
      </c>
      <c r="C454" s="177" t="s">
        <v>6862</v>
      </c>
      <c r="D454" s="177" t="s">
        <v>6218</v>
      </c>
      <c r="E454" s="177" t="s">
        <v>1736</v>
      </c>
      <c r="F454" s="177" t="s">
        <v>1737</v>
      </c>
      <c r="G454" s="176"/>
      <c r="H454" s="176"/>
      <c r="I454" s="176"/>
      <c r="J454" s="176"/>
      <c r="K454" s="176"/>
      <c r="L454" s="176"/>
      <c r="M454" s="176"/>
      <c r="N454" s="176"/>
      <c r="O454" s="176"/>
      <c r="P454" s="176"/>
      <c r="Q454" s="176"/>
      <c r="R454" s="176"/>
      <c r="S454" s="176"/>
      <c r="T454" s="176"/>
      <c r="U454" s="176"/>
      <c r="V454" s="176"/>
      <c r="W454" s="176"/>
      <c r="X454" s="176"/>
      <c r="Y454" s="176"/>
      <c r="Z454" s="176"/>
    </row>
    <row r="455" spans="1:26">
      <c r="A455" s="221">
        <v>474</v>
      </c>
      <c r="B455" s="177" t="s">
        <v>6861</v>
      </c>
      <c r="C455" s="177" t="s">
        <v>6862</v>
      </c>
      <c r="D455" s="177" t="s">
        <v>6218</v>
      </c>
      <c r="E455" s="177" t="s">
        <v>1738</v>
      </c>
      <c r="F455" s="177" t="s">
        <v>1739</v>
      </c>
      <c r="G455" s="176"/>
      <c r="H455" s="176"/>
      <c r="I455" s="176"/>
      <c r="J455" s="176"/>
      <c r="K455" s="176"/>
      <c r="L455" s="176"/>
      <c r="M455" s="176"/>
      <c r="N455" s="176"/>
      <c r="O455" s="176"/>
      <c r="P455" s="176"/>
      <c r="Q455" s="176"/>
      <c r="R455" s="176"/>
      <c r="S455" s="176"/>
      <c r="T455" s="176"/>
      <c r="U455" s="176"/>
      <c r="V455" s="176"/>
      <c r="W455" s="176"/>
      <c r="X455" s="176"/>
      <c r="Y455" s="176"/>
      <c r="Z455" s="176"/>
    </row>
    <row r="456" spans="1:26">
      <c r="A456" s="221">
        <v>475</v>
      </c>
      <c r="B456" s="177" t="s">
        <v>6861</v>
      </c>
      <c r="C456" s="177" t="s">
        <v>6862</v>
      </c>
      <c r="D456" s="177" t="s">
        <v>6218</v>
      </c>
      <c r="E456" s="177" t="s">
        <v>1740</v>
      </c>
      <c r="F456" s="177" t="s">
        <v>1741</v>
      </c>
      <c r="G456" s="176"/>
      <c r="H456" s="176"/>
      <c r="I456" s="176"/>
      <c r="J456" s="176"/>
      <c r="K456" s="176"/>
      <c r="L456" s="176"/>
      <c r="M456" s="176"/>
      <c r="N456" s="176"/>
      <c r="O456" s="176"/>
      <c r="P456" s="176"/>
      <c r="Q456" s="176"/>
      <c r="R456" s="176"/>
      <c r="S456" s="176"/>
      <c r="T456" s="176"/>
      <c r="U456" s="176"/>
      <c r="V456" s="176"/>
      <c r="W456" s="176"/>
      <c r="X456" s="176"/>
      <c r="Y456" s="176"/>
      <c r="Z456" s="176"/>
    </row>
    <row r="457" spans="1:26">
      <c r="A457" s="221">
        <v>476</v>
      </c>
      <c r="B457" s="177" t="s">
        <v>6861</v>
      </c>
      <c r="C457" s="177" t="s">
        <v>6862</v>
      </c>
      <c r="D457" s="177" t="s">
        <v>6218</v>
      </c>
      <c r="E457" s="177" t="s">
        <v>1742</v>
      </c>
      <c r="F457" s="177" t="s">
        <v>1743</v>
      </c>
      <c r="G457" s="176"/>
      <c r="H457" s="176"/>
      <c r="I457" s="176"/>
      <c r="J457" s="176"/>
      <c r="K457" s="176"/>
      <c r="L457" s="176"/>
      <c r="M457" s="176"/>
      <c r="N457" s="176"/>
      <c r="O457" s="176"/>
      <c r="P457" s="176"/>
      <c r="Q457" s="176"/>
      <c r="R457" s="176"/>
      <c r="S457" s="176"/>
      <c r="T457" s="176"/>
      <c r="U457" s="176"/>
      <c r="V457" s="176"/>
      <c r="W457" s="176"/>
      <c r="X457" s="176"/>
      <c r="Y457" s="176"/>
      <c r="Z457" s="176"/>
    </row>
    <row r="458" spans="1:26">
      <c r="A458" s="221">
        <v>477</v>
      </c>
      <c r="B458" s="177" t="s">
        <v>6861</v>
      </c>
      <c r="C458" s="177" t="s">
        <v>6862</v>
      </c>
      <c r="D458" s="177" t="s">
        <v>6218</v>
      </c>
      <c r="E458" s="177" t="s">
        <v>1744</v>
      </c>
      <c r="F458" s="177" t="s">
        <v>1745</v>
      </c>
      <c r="G458" s="176"/>
      <c r="H458" s="176"/>
      <c r="I458" s="176"/>
      <c r="J458" s="176"/>
      <c r="K458" s="176"/>
      <c r="L458" s="176"/>
      <c r="M458" s="176"/>
      <c r="N458" s="176"/>
      <c r="O458" s="176"/>
      <c r="P458" s="176"/>
      <c r="Q458" s="176"/>
      <c r="R458" s="176"/>
      <c r="S458" s="176"/>
      <c r="T458" s="176"/>
      <c r="U458" s="176"/>
      <c r="V458" s="176"/>
      <c r="W458" s="176"/>
      <c r="X458" s="176"/>
      <c r="Y458" s="176"/>
      <c r="Z458" s="176"/>
    </row>
    <row r="459" spans="1:26">
      <c r="A459" s="221">
        <v>478</v>
      </c>
      <c r="B459" s="177" t="s">
        <v>6861</v>
      </c>
      <c r="C459" s="177" t="s">
        <v>6862</v>
      </c>
      <c r="D459" s="177" t="s">
        <v>6218</v>
      </c>
      <c r="E459" s="177" t="s">
        <v>1229</v>
      </c>
      <c r="F459" s="177" t="s">
        <v>1746</v>
      </c>
      <c r="G459" s="176"/>
      <c r="H459" s="176"/>
      <c r="I459" s="176"/>
      <c r="J459" s="176"/>
      <c r="K459" s="176"/>
      <c r="L459" s="176"/>
      <c r="M459" s="176"/>
      <c r="N459" s="176"/>
      <c r="O459" s="176"/>
      <c r="P459" s="176"/>
      <c r="Q459" s="176"/>
      <c r="R459" s="176"/>
      <c r="S459" s="176"/>
      <c r="T459" s="176"/>
      <c r="U459" s="176"/>
      <c r="V459" s="176"/>
      <c r="W459" s="176"/>
      <c r="X459" s="176"/>
      <c r="Y459" s="176"/>
      <c r="Z459" s="176"/>
    </row>
    <row r="460" spans="1:26">
      <c r="A460" s="221">
        <v>479</v>
      </c>
      <c r="B460" s="177" t="s">
        <v>6861</v>
      </c>
      <c r="C460" s="177" t="s">
        <v>6862</v>
      </c>
      <c r="D460" s="177" t="s">
        <v>6218</v>
      </c>
      <c r="E460" s="177" t="s">
        <v>1747</v>
      </c>
      <c r="F460" s="177" t="s">
        <v>1748</v>
      </c>
      <c r="G460" s="176"/>
      <c r="H460" s="176"/>
      <c r="I460" s="176"/>
      <c r="J460" s="176"/>
      <c r="K460" s="176"/>
      <c r="L460" s="176"/>
      <c r="M460" s="176"/>
      <c r="N460" s="176"/>
      <c r="O460" s="176"/>
      <c r="P460" s="176"/>
      <c r="Q460" s="176"/>
      <c r="R460" s="176"/>
      <c r="S460" s="176"/>
      <c r="T460" s="176"/>
      <c r="U460" s="176"/>
      <c r="V460" s="176"/>
      <c r="W460" s="176"/>
      <c r="X460" s="176"/>
      <c r="Y460" s="176"/>
      <c r="Z460" s="176"/>
    </row>
    <row r="461" spans="1:26">
      <c r="A461" s="221">
        <v>480</v>
      </c>
      <c r="B461" s="177" t="s">
        <v>6861</v>
      </c>
      <c r="C461" s="177" t="s">
        <v>6862</v>
      </c>
      <c r="D461" s="177" t="s">
        <v>6218</v>
      </c>
      <c r="E461" s="177" t="s">
        <v>6863</v>
      </c>
      <c r="F461" s="177" t="s">
        <v>6864</v>
      </c>
      <c r="G461" s="176"/>
      <c r="H461" s="176"/>
      <c r="I461" s="176"/>
      <c r="J461" s="176"/>
      <c r="K461" s="176"/>
      <c r="L461" s="176"/>
      <c r="M461" s="176"/>
      <c r="N461" s="176"/>
      <c r="O461" s="176"/>
      <c r="P461" s="176"/>
      <c r="Q461" s="176"/>
      <c r="R461" s="176"/>
      <c r="S461" s="176"/>
      <c r="T461" s="176"/>
      <c r="U461" s="176"/>
      <c r="V461" s="176"/>
      <c r="W461" s="176"/>
      <c r="X461" s="176"/>
      <c r="Y461" s="176"/>
      <c r="Z461" s="176"/>
    </row>
    <row r="462" spans="1:26">
      <c r="A462" s="221">
        <v>481</v>
      </c>
      <c r="B462" s="177" t="s">
        <v>6861</v>
      </c>
      <c r="C462" s="177" t="s">
        <v>6862</v>
      </c>
      <c r="D462" s="177" t="s">
        <v>6218</v>
      </c>
      <c r="E462" s="177" t="s">
        <v>6865</v>
      </c>
      <c r="F462" s="177" t="s">
        <v>6866</v>
      </c>
      <c r="G462" s="176"/>
      <c r="H462" s="176"/>
      <c r="I462" s="176"/>
      <c r="J462" s="176"/>
      <c r="K462" s="176"/>
      <c r="L462" s="176"/>
      <c r="M462" s="176"/>
      <c r="N462" s="176"/>
      <c r="O462" s="176"/>
      <c r="P462" s="176"/>
      <c r="Q462" s="176"/>
      <c r="R462" s="176"/>
      <c r="S462" s="176"/>
      <c r="T462" s="176"/>
      <c r="U462" s="176"/>
      <c r="V462" s="176"/>
      <c r="W462" s="176"/>
      <c r="X462" s="176"/>
      <c r="Y462" s="176"/>
      <c r="Z462" s="176"/>
    </row>
    <row r="463" spans="1:26">
      <c r="A463" s="221">
        <v>482</v>
      </c>
      <c r="B463" s="177" t="s">
        <v>6867</v>
      </c>
      <c r="C463" s="177" t="s">
        <v>6868</v>
      </c>
      <c r="D463" s="177" t="s">
        <v>6218</v>
      </c>
      <c r="E463" s="177" t="s">
        <v>1788</v>
      </c>
      <c r="F463" s="177" t="s">
        <v>1789</v>
      </c>
      <c r="G463" s="176"/>
      <c r="H463" s="176"/>
      <c r="I463" s="176"/>
      <c r="J463" s="176"/>
      <c r="K463" s="176"/>
      <c r="L463" s="176"/>
      <c r="M463" s="176"/>
      <c r="N463" s="176"/>
      <c r="O463" s="176"/>
      <c r="P463" s="176"/>
      <c r="Q463" s="176"/>
      <c r="R463" s="176"/>
      <c r="S463" s="176"/>
      <c r="T463" s="176"/>
      <c r="U463" s="176"/>
      <c r="V463" s="176"/>
      <c r="W463" s="176"/>
      <c r="X463" s="176"/>
      <c r="Y463" s="176"/>
      <c r="Z463" s="176"/>
    </row>
    <row r="464" spans="1:26">
      <c r="A464" s="221">
        <v>483</v>
      </c>
      <c r="B464" s="177" t="s">
        <v>6867</v>
      </c>
      <c r="C464" s="177" t="s">
        <v>6868</v>
      </c>
      <c r="D464" s="177" t="s">
        <v>6218</v>
      </c>
      <c r="E464" s="177" t="s">
        <v>1790</v>
      </c>
      <c r="F464" s="177" t="s">
        <v>1791</v>
      </c>
      <c r="G464" s="176"/>
      <c r="H464" s="176"/>
      <c r="I464" s="176"/>
      <c r="J464" s="176"/>
      <c r="K464" s="176"/>
      <c r="L464" s="176"/>
      <c r="M464" s="176"/>
      <c r="N464" s="176"/>
      <c r="O464" s="176"/>
      <c r="P464" s="176"/>
      <c r="Q464" s="176"/>
      <c r="R464" s="176"/>
      <c r="S464" s="176"/>
      <c r="T464" s="176"/>
      <c r="U464" s="176"/>
      <c r="V464" s="176"/>
      <c r="W464" s="176"/>
      <c r="X464" s="176"/>
      <c r="Y464" s="176"/>
      <c r="Z464" s="176"/>
    </row>
    <row r="465" spans="1:26">
      <c r="A465" s="221">
        <v>484</v>
      </c>
      <c r="B465" s="177" t="s">
        <v>6867</v>
      </c>
      <c r="C465" s="177" t="s">
        <v>6868</v>
      </c>
      <c r="D465" s="177" t="s">
        <v>6218</v>
      </c>
      <c r="E465" s="177" t="s">
        <v>1792</v>
      </c>
      <c r="F465" s="177" t="s">
        <v>1793</v>
      </c>
      <c r="G465" s="176"/>
      <c r="H465" s="176"/>
      <c r="I465" s="176"/>
      <c r="J465" s="176"/>
      <c r="K465" s="176"/>
      <c r="L465" s="176"/>
      <c r="M465" s="176"/>
      <c r="N465" s="176"/>
      <c r="O465" s="176"/>
      <c r="P465" s="176"/>
      <c r="Q465" s="176"/>
      <c r="R465" s="176"/>
      <c r="S465" s="176"/>
      <c r="T465" s="176"/>
      <c r="U465" s="176"/>
      <c r="V465" s="176"/>
      <c r="W465" s="176"/>
      <c r="X465" s="176"/>
      <c r="Y465" s="176"/>
      <c r="Z465" s="176"/>
    </row>
    <row r="466" spans="1:26">
      <c r="A466" s="221">
        <v>485</v>
      </c>
      <c r="B466" s="177" t="s">
        <v>6867</v>
      </c>
      <c r="C466" s="177" t="s">
        <v>6868</v>
      </c>
      <c r="D466" s="177" t="s">
        <v>6218</v>
      </c>
      <c r="E466" s="177" t="s">
        <v>1794</v>
      </c>
      <c r="F466" s="177" t="s">
        <v>1795</v>
      </c>
      <c r="G466" s="176"/>
      <c r="H466" s="176"/>
      <c r="I466" s="176"/>
      <c r="J466" s="176"/>
      <c r="K466" s="176"/>
      <c r="L466" s="176"/>
      <c r="M466" s="176"/>
      <c r="N466" s="176"/>
      <c r="O466" s="176"/>
      <c r="P466" s="176"/>
      <c r="Q466" s="176"/>
      <c r="R466" s="176"/>
      <c r="S466" s="176"/>
      <c r="T466" s="176"/>
      <c r="U466" s="176"/>
      <c r="V466" s="176"/>
      <c r="W466" s="176"/>
      <c r="X466" s="176"/>
      <c r="Y466" s="176"/>
      <c r="Z466" s="176"/>
    </row>
    <row r="467" spans="1:26">
      <c r="A467" s="221">
        <v>486</v>
      </c>
      <c r="B467" s="177" t="s">
        <v>6869</v>
      </c>
      <c r="C467" s="177" t="s">
        <v>6870</v>
      </c>
      <c r="D467" s="177" t="s">
        <v>6218</v>
      </c>
      <c r="E467" s="177" t="s">
        <v>1806</v>
      </c>
      <c r="F467" s="177" t="s">
        <v>1807</v>
      </c>
      <c r="G467" s="176"/>
      <c r="H467" s="176"/>
      <c r="I467" s="176"/>
      <c r="J467" s="176"/>
      <c r="K467" s="176"/>
      <c r="L467" s="176"/>
      <c r="M467" s="176"/>
      <c r="N467" s="176"/>
      <c r="O467" s="176"/>
      <c r="P467" s="176"/>
      <c r="Q467" s="176"/>
      <c r="R467" s="176"/>
      <c r="S467" s="176"/>
      <c r="T467" s="176"/>
      <c r="U467" s="176"/>
      <c r="V467" s="176"/>
      <c r="W467" s="176"/>
      <c r="X467" s="176"/>
      <c r="Y467" s="176"/>
      <c r="Z467" s="176"/>
    </row>
    <row r="468" spans="1:26">
      <c r="A468" s="221">
        <v>487</v>
      </c>
      <c r="B468" s="177" t="s">
        <v>6869</v>
      </c>
      <c r="C468" s="177" t="s">
        <v>6870</v>
      </c>
      <c r="D468" s="177" t="s">
        <v>6218</v>
      </c>
      <c r="E468" s="177" t="s">
        <v>1808</v>
      </c>
      <c r="F468" s="177" t="s">
        <v>1809</v>
      </c>
      <c r="G468" s="176"/>
      <c r="H468" s="176"/>
      <c r="I468" s="176"/>
      <c r="J468" s="176"/>
      <c r="K468" s="176"/>
      <c r="L468" s="176"/>
      <c r="M468" s="176"/>
      <c r="N468" s="176"/>
      <c r="O468" s="176"/>
      <c r="P468" s="176"/>
      <c r="Q468" s="176"/>
      <c r="R468" s="176"/>
      <c r="S468" s="176"/>
      <c r="T468" s="176"/>
      <c r="U468" s="176"/>
      <c r="V468" s="176"/>
      <c r="W468" s="176"/>
      <c r="X468" s="176"/>
      <c r="Y468" s="176"/>
      <c r="Z468" s="176"/>
    </row>
    <row r="469" spans="1:26">
      <c r="A469" s="221">
        <v>488</v>
      </c>
      <c r="B469" s="177" t="s">
        <v>6869</v>
      </c>
      <c r="C469" s="177" t="s">
        <v>6870</v>
      </c>
      <c r="D469" s="177" t="s">
        <v>6218</v>
      </c>
      <c r="E469" s="177" t="s">
        <v>1810</v>
      </c>
      <c r="F469" s="177" t="s">
        <v>1811</v>
      </c>
      <c r="G469" s="176"/>
      <c r="H469" s="176"/>
      <c r="I469" s="176"/>
      <c r="J469" s="176"/>
      <c r="K469" s="176"/>
      <c r="L469" s="176"/>
      <c r="M469" s="176"/>
      <c r="N469" s="176"/>
      <c r="O469" s="176"/>
      <c r="P469" s="176"/>
      <c r="Q469" s="176"/>
      <c r="R469" s="176"/>
      <c r="S469" s="176"/>
      <c r="T469" s="176"/>
      <c r="U469" s="176"/>
      <c r="V469" s="176"/>
      <c r="W469" s="176"/>
      <c r="X469" s="176"/>
      <c r="Y469" s="176"/>
      <c r="Z469" s="176"/>
    </row>
    <row r="470" spans="1:26">
      <c r="A470" s="221">
        <v>489</v>
      </c>
      <c r="B470" s="177" t="s">
        <v>6869</v>
      </c>
      <c r="C470" s="177" t="s">
        <v>6870</v>
      </c>
      <c r="D470" s="177" t="s">
        <v>6218</v>
      </c>
      <c r="E470" s="177" t="s">
        <v>1812</v>
      </c>
      <c r="F470" s="177" t="s">
        <v>1813</v>
      </c>
      <c r="G470" s="176"/>
      <c r="H470" s="176"/>
      <c r="I470" s="176"/>
      <c r="J470" s="176"/>
      <c r="K470" s="176"/>
      <c r="L470" s="176"/>
      <c r="M470" s="176"/>
      <c r="N470" s="176"/>
      <c r="O470" s="176"/>
      <c r="P470" s="176"/>
      <c r="Q470" s="176"/>
      <c r="R470" s="176"/>
      <c r="S470" s="176"/>
      <c r="T470" s="176"/>
      <c r="U470" s="176"/>
      <c r="V470" s="176"/>
      <c r="W470" s="176"/>
      <c r="X470" s="176"/>
      <c r="Y470" s="176"/>
      <c r="Z470" s="176"/>
    </row>
    <row r="471" spans="1:26">
      <c r="A471" s="221">
        <v>490</v>
      </c>
      <c r="B471" s="177" t="s">
        <v>6869</v>
      </c>
      <c r="C471" s="177" t="s">
        <v>6870</v>
      </c>
      <c r="D471" s="177" t="s">
        <v>6218</v>
      </c>
      <c r="E471" s="177" t="s">
        <v>1814</v>
      </c>
      <c r="F471" s="177" t="s">
        <v>1815</v>
      </c>
      <c r="G471" s="176"/>
      <c r="H471" s="176"/>
      <c r="I471" s="176"/>
      <c r="J471" s="176"/>
      <c r="K471" s="176"/>
      <c r="L471" s="176"/>
      <c r="M471" s="176"/>
      <c r="N471" s="176"/>
      <c r="O471" s="176"/>
      <c r="P471" s="176"/>
      <c r="Q471" s="176"/>
      <c r="R471" s="176"/>
      <c r="S471" s="176"/>
      <c r="T471" s="176"/>
      <c r="U471" s="176"/>
      <c r="V471" s="176"/>
      <c r="W471" s="176"/>
      <c r="X471" s="176"/>
      <c r="Y471" s="176"/>
      <c r="Z471" s="176"/>
    </row>
    <row r="472" spans="1:26">
      <c r="A472" s="221">
        <v>491</v>
      </c>
      <c r="B472" s="177" t="s">
        <v>6869</v>
      </c>
      <c r="C472" s="177" t="s">
        <v>6870</v>
      </c>
      <c r="D472" s="177" t="s">
        <v>6218</v>
      </c>
      <c r="E472" s="177" t="s">
        <v>1816</v>
      </c>
      <c r="F472" s="177" t="s">
        <v>1817</v>
      </c>
      <c r="G472" s="176"/>
      <c r="H472" s="176"/>
      <c r="I472" s="176"/>
      <c r="J472" s="176"/>
      <c r="K472" s="176"/>
      <c r="L472" s="176"/>
      <c r="M472" s="176"/>
      <c r="N472" s="176"/>
      <c r="O472" s="176"/>
      <c r="P472" s="176"/>
      <c r="Q472" s="176"/>
      <c r="R472" s="176"/>
      <c r="S472" s="176"/>
      <c r="T472" s="176"/>
      <c r="U472" s="176"/>
      <c r="V472" s="176"/>
      <c r="W472" s="176"/>
      <c r="X472" s="176"/>
      <c r="Y472" s="176"/>
      <c r="Z472" s="176"/>
    </row>
    <row r="473" spans="1:26">
      <c r="A473" s="221">
        <v>492</v>
      </c>
      <c r="B473" s="177" t="s">
        <v>6869</v>
      </c>
      <c r="C473" s="177" t="s">
        <v>6870</v>
      </c>
      <c r="D473" s="177" t="s">
        <v>6218</v>
      </c>
      <c r="E473" s="177" t="s">
        <v>1818</v>
      </c>
      <c r="F473" s="177" t="s">
        <v>1819</v>
      </c>
      <c r="G473" s="176"/>
      <c r="H473" s="176"/>
      <c r="I473" s="176"/>
      <c r="J473" s="176"/>
      <c r="K473" s="176"/>
      <c r="L473" s="176"/>
      <c r="M473" s="176"/>
      <c r="N473" s="176"/>
      <c r="O473" s="176"/>
      <c r="P473" s="176"/>
      <c r="Q473" s="176"/>
      <c r="R473" s="176"/>
      <c r="S473" s="176"/>
      <c r="T473" s="176"/>
      <c r="U473" s="176"/>
      <c r="V473" s="176"/>
      <c r="W473" s="176"/>
      <c r="X473" s="176"/>
      <c r="Y473" s="176"/>
      <c r="Z473" s="176"/>
    </row>
    <row r="474" spans="1:26">
      <c r="A474" s="221">
        <v>493</v>
      </c>
      <c r="B474" s="177" t="s">
        <v>6122</v>
      </c>
      <c r="C474" s="177" t="s">
        <v>6871</v>
      </c>
      <c r="D474" s="177" t="s">
        <v>6124</v>
      </c>
      <c r="E474" s="177" t="s">
        <v>6125</v>
      </c>
      <c r="F474" s="177" t="s">
        <v>6872</v>
      </c>
      <c r="G474" s="176"/>
      <c r="H474" s="176"/>
      <c r="I474" s="176"/>
      <c r="J474" s="176"/>
      <c r="K474" s="176"/>
      <c r="L474" s="176"/>
      <c r="M474" s="176"/>
      <c r="N474" s="176"/>
      <c r="O474" s="176"/>
      <c r="P474" s="176"/>
      <c r="Q474" s="176"/>
      <c r="R474" s="176"/>
      <c r="S474" s="176"/>
      <c r="T474" s="176"/>
      <c r="U474" s="176"/>
      <c r="V474" s="176"/>
      <c r="W474" s="176"/>
      <c r="X474" s="176"/>
      <c r="Y474" s="176"/>
      <c r="Z474" s="176"/>
    </row>
    <row r="475" spans="1:26">
      <c r="A475" s="221">
        <v>494</v>
      </c>
      <c r="B475" s="177" t="s">
        <v>6122</v>
      </c>
      <c r="C475" s="177" t="s">
        <v>6871</v>
      </c>
      <c r="D475" s="177" t="s">
        <v>6124</v>
      </c>
      <c r="E475" s="177" t="s">
        <v>6137</v>
      </c>
      <c r="F475" s="177" t="s">
        <v>6873</v>
      </c>
      <c r="G475" s="176"/>
      <c r="H475" s="176"/>
      <c r="I475" s="176"/>
      <c r="J475" s="176"/>
      <c r="K475" s="176"/>
      <c r="L475" s="176"/>
      <c r="M475" s="176"/>
      <c r="N475" s="176"/>
      <c r="O475" s="176"/>
      <c r="P475" s="176"/>
      <c r="Q475" s="176"/>
      <c r="R475" s="176"/>
      <c r="S475" s="176"/>
      <c r="T475" s="176"/>
      <c r="U475" s="176"/>
      <c r="V475" s="176"/>
      <c r="W475" s="176"/>
      <c r="X475" s="176"/>
      <c r="Y475" s="176"/>
      <c r="Z475" s="176"/>
    </row>
    <row r="476" spans="1:26">
      <c r="A476" s="221">
        <v>495</v>
      </c>
      <c r="B476" s="177" t="s">
        <v>6122</v>
      </c>
      <c r="C476" s="177" t="s">
        <v>6871</v>
      </c>
      <c r="D476" s="177" t="s">
        <v>6124</v>
      </c>
      <c r="E476" s="177" t="s">
        <v>6129</v>
      </c>
      <c r="F476" s="177" t="s">
        <v>6874</v>
      </c>
      <c r="G476" s="176"/>
      <c r="H476" s="176"/>
      <c r="I476" s="176"/>
      <c r="J476" s="176"/>
      <c r="K476" s="176"/>
      <c r="L476" s="176"/>
      <c r="M476" s="176"/>
      <c r="N476" s="176"/>
      <c r="O476" s="176"/>
      <c r="P476" s="176"/>
      <c r="Q476" s="176"/>
      <c r="R476" s="176"/>
      <c r="S476" s="176"/>
      <c r="T476" s="176"/>
      <c r="U476" s="176"/>
      <c r="V476" s="176"/>
      <c r="W476" s="176"/>
      <c r="X476" s="176"/>
      <c r="Y476" s="176"/>
      <c r="Z476" s="176"/>
    </row>
    <row r="477" spans="1:26">
      <c r="A477" s="221">
        <v>496</v>
      </c>
      <c r="B477" s="177" t="s">
        <v>6122</v>
      </c>
      <c r="C477" s="177" t="s">
        <v>6875</v>
      </c>
      <c r="D477" s="177" t="s">
        <v>6124</v>
      </c>
      <c r="E477" s="177" t="s">
        <v>6125</v>
      </c>
      <c r="F477" s="177" t="s">
        <v>6876</v>
      </c>
      <c r="G477" s="176"/>
      <c r="H477" s="176"/>
      <c r="I477" s="176"/>
      <c r="J477" s="176"/>
      <c r="K477" s="176"/>
      <c r="L477" s="176"/>
      <c r="M477" s="176"/>
      <c r="N477" s="176"/>
      <c r="O477" s="176"/>
      <c r="P477" s="176"/>
      <c r="Q477" s="176"/>
      <c r="R477" s="176"/>
      <c r="S477" s="176"/>
      <c r="T477" s="176"/>
      <c r="U477" s="176"/>
      <c r="V477" s="176"/>
      <c r="W477" s="176"/>
      <c r="X477" s="176"/>
      <c r="Y477" s="176"/>
      <c r="Z477" s="176"/>
    </row>
    <row r="478" spans="1:26">
      <c r="A478" s="221">
        <v>497</v>
      </c>
      <c r="B478" s="177" t="s">
        <v>6122</v>
      </c>
      <c r="C478" s="177" t="s">
        <v>6875</v>
      </c>
      <c r="D478" s="177" t="s">
        <v>6124</v>
      </c>
      <c r="E478" s="177" t="s">
        <v>6137</v>
      </c>
      <c r="F478" s="177" t="s">
        <v>6877</v>
      </c>
      <c r="G478" s="176"/>
      <c r="H478" s="176"/>
      <c r="I478" s="176"/>
      <c r="J478" s="176"/>
      <c r="K478" s="176"/>
      <c r="L478" s="176"/>
      <c r="M478" s="176"/>
      <c r="N478" s="176"/>
      <c r="O478" s="176"/>
      <c r="P478" s="176"/>
      <c r="Q478" s="176"/>
      <c r="R478" s="176"/>
      <c r="S478" s="176"/>
      <c r="T478" s="176"/>
      <c r="U478" s="176"/>
      <c r="V478" s="176"/>
      <c r="W478" s="176"/>
      <c r="X478" s="176"/>
      <c r="Y478" s="176"/>
      <c r="Z478" s="176"/>
    </row>
    <row r="479" spans="1:26">
      <c r="A479" s="221">
        <v>498</v>
      </c>
      <c r="B479" s="177" t="s">
        <v>6122</v>
      </c>
      <c r="C479" s="177" t="s">
        <v>6875</v>
      </c>
      <c r="D479" s="177" t="s">
        <v>6124</v>
      </c>
      <c r="E479" s="177" t="s">
        <v>6129</v>
      </c>
      <c r="F479" s="177" t="s">
        <v>6878</v>
      </c>
      <c r="G479" s="176"/>
      <c r="H479" s="176"/>
      <c r="I479" s="176"/>
      <c r="J479" s="176"/>
      <c r="K479" s="176"/>
      <c r="L479" s="176"/>
      <c r="M479" s="176"/>
      <c r="N479" s="176"/>
      <c r="O479" s="176"/>
      <c r="P479" s="176"/>
      <c r="Q479" s="176"/>
      <c r="R479" s="176"/>
      <c r="S479" s="176"/>
      <c r="T479" s="176"/>
      <c r="U479" s="176"/>
      <c r="V479" s="176"/>
      <c r="W479" s="176"/>
      <c r="X479" s="176"/>
      <c r="Y479" s="176"/>
      <c r="Z479" s="176"/>
    </row>
    <row r="480" spans="1:26">
      <c r="A480" s="221">
        <v>499</v>
      </c>
      <c r="B480" s="177" t="s">
        <v>6122</v>
      </c>
      <c r="C480" s="177" t="s">
        <v>6879</v>
      </c>
      <c r="D480" s="177" t="s">
        <v>6124</v>
      </c>
      <c r="E480" s="177" t="s">
        <v>6125</v>
      </c>
      <c r="F480" s="177" t="s">
        <v>6880</v>
      </c>
      <c r="G480" s="176"/>
      <c r="H480" s="176"/>
      <c r="I480" s="176"/>
      <c r="J480" s="176"/>
      <c r="K480" s="176"/>
      <c r="L480" s="176"/>
      <c r="M480" s="176"/>
      <c r="N480" s="176"/>
      <c r="O480" s="176"/>
      <c r="P480" s="176"/>
      <c r="Q480" s="176"/>
      <c r="R480" s="176"/>
      <c r="S480" s="176"/>
      <c r="T480" s="176"/>
      <c r="U480" s="176"/>
      <c r="V480" s="176"/>
      <c r="W480" s="176"/>
      <c r="X480" s="176"/>
      <c r="Y480" s="176"/>
      <c r="Z480" s="176"/>
    </row>
    <row r="481" spans="1:26">
      <c r="A481" s="221">
        <v>500</v>
      </c>
      <c r="B481" s="177" t="s">
        <v>6122</v>
      </c>
      <c r="C481" s="177" t="s">
        <v>6879</v>
      </c>
      <c r="D481" s="177" t="s">
        <v>6124</v>
      </c>
      <c r="E481" s="177" t="s">
        <v>6137</v>
      </c>
      <c r="F481" s="177" t="s">
        <v>6881</v>
      </c>
      <c r="G481" s="176"/>
      <c r="H481" s="176"/>
      <c r="I481" s="176"/>
      <c r="J481" s="176"/>
      <c r="K481" s="176"/>
      <c r="L481" s="176"/>
      <c r="M481" s="176"/>
      <c r="N481" s="176"/>
      <c r="O481" s="176"/>
      <c r="P481" s="176"/>
      <c r="Q481" s="176"/>
      <c r="R481" s="176"/>
      <c r="S481" s="176"/>
      <c r="T481" s="176"/>
      <c r="U481" s="176"/>
      <c r="V481" s="176"/>
      <c r="W481" s="176"/>
      <c r="X481" s="176"/>
      <c r="Y481" s="176"/>
      <c r="Z481" s="176"/>
    </row>
    <row r="482" spans="1:26">
      <c r="A482" s="221">
        <v>501</v>
      </c>
      <c r="B482" s="177" t="s">
        <v>6122</v>
      </c>
      <c r="C482" s="177" t="s">
        <v>6879</v>
      </c>
      <c r="D482" s="177" t="s">
        <v>6124</v>
      </c>
      <c r="E482" s="177" t="s">
        <v>6129</v>
      </c>
      <c r="F482" s="177" t="s">
        <v>6882</v>
      </c>
      <c r="G482" s="176"/>
      <c r="H482" s="176"/>
      <c r="I482" s="176"/>
      <c r="J482" s="176"/>
      <c r="K482" s="176"/>
      <c r="L482" s="176"/>
      <c r="M482" s="176"/>
      <c r="N482" s="176"/>
      <c r="O482" s="176"/>
      <c r="P482" s="176"/>
      <c r="Q482" s="176"/>
      <c r="R482" s="176"/>
      <c r="S482" s="176"/>
      <c r="T482" s="176"/>
      <c r="U482" s="176"/>
      <c r="V482" s="176"/>
      <c r="W482" s="176"/>
      <c r="X482" s="176"/>
      <c r="Y482" s="176"/>
      <c r="Z482" s="176"/>
    </row>
    <row r="483" spans="1:26">
      <c r="A483" s="221">
        <v>502</v>
      </c>
      <c r="B483" s="177" t="s">
        <v>6122</v>
      </c>
      <c r="C483" s="177" t="s">
        <v>6883</v>
      </c>
      <c r="D483" s="177" t="s">
        <v>6124</v>
      </c>
      <c r="E483" s="177" t="s">
        <v>6125</v>
      </c>
      <c r="F483" s="177" t="s">
        <v>6884</v>
      </c>
      <c r="G483" s="176"/>
      <c r="H483" s="176"/>
      <c r="I483" s="176"/>
      <c r="J483" s="176"/>
      <c r="K483" s="176"/>
      <c r="L483" s="176"/>
      <c r="M483" s="176"/>
      <c r="N483" s="176"/>
      <c r="O483" s="176"/>
      <c r="P483" s="176"/>
      <c r="Q483" s="176"/>
      <c r="R483" s="176"/>
      <c r="S483" s="176"/>
      <c r="T483" s="176"/>
      <c r="U483" s="176"/>
      <c r="V483" s="176"/>
      <c r="W483" s="176"/>
      <c r="X483" s="176"/>
      <c r="Y483" s="176"/>
      <c r="Z483" s="176"/>
    </row>
    <row r="484" spans="1:26">
      <c r="A484" s="221">
        <v>503</v>
      </c>
      <c r="B484" s="177" t="s">
        <v>6122</v>
      </c>
      <c r="C484" s="177" t="s">
        <v>6883</v>
      </c>
      <c r="D484" s="177" t="s">
        <v>6124</v>
      </c>
      <c r="E484" s="177" t="s">
        <v>6137</v>
      </c>
      <c r="F484" s="177" t="s">
        <v>6885</v>
      </c>
      <c r="G484" s="176"/>
      <c r="H484" s="176"/>
      <c r="I484" s="176"/>
      <c r="J484" s="176"/>
      <c r="K484" s="176"/>
      <c r="L484" s="176"/>
      <c r="M484" s="176"/>
      <c r="N484" s="176"/>
      <c r="O484" s="176"/>
      <c r="P484" s="176"/>
      <c r="Q484" s="176"/>
      <c r="R484" s="176"/>
      <c r="S484" s="176"/>
      <c r="T484" s="176"/>
      <c r="U484" s="176"/>
      <c r="V484" s="176"/>
      <c r="W484" s="176"/>
      <c r="X484" s="176"/>
      <c r="Y484" s="176"/>
      <c r="Z484" s="176"/>
    </row>
    <row r="485" spans="1:26">
      <c r="A485" s="221">
        <v>504</v>
      </c>
      <c r="B485" s="177" t="s">
        <v>6122</v>
      </c>
      <c r="C485" s="177" t="s">
        <v>6883</v>
      </c>
      <c r="D485" s="177" t="s">
        <v>6124</v>
      </c>
      <c r="E485" s="177" t="s">
        <v>6129</v>
      </c>
      <c r="F485" s="177" t="s">
        <v>6886</v>
      </c>
      <c r="G485" s="176"/>
      <c r="H485" s="176"/>
      <c r="I485" s="176"/>
      <c r="J485" s="176"/>
      <c r="K485" s="176"/>
      <c r="L485" s="176"/>
      <c r="M485" s="176"/>
      <c r="N485" s="176"/>
      <c r="O485" s="176"/>
      <c r="P485" s="176"/>
      <c r="Q485" s="176"/>
      <c r="R485" s="176"/>
      <c r="S485" s="176"/>
      <c r="T485" s="176"/>
      <c r="U485" s="176"/>
      <c r="V485" s="176"/>
      <c r="W485" s="176"/>
      <c r="X485" s="176"/>
      <c r="Y485" s="176"/>
      <c r="Z485" s="176"/>
    </row>
    <row r="486" spans="1:26">
      <c r="A486" s="221">
        <v>505</v>
      </c>
      <c r="B486" s="177" t="s">
        <v>6122</v>
      </c>
      <c r="C486" s="177" t="s">
        <v>6887</v>
      </c>
      <c r="D486" s="177" t="s">
        <v>6124</v>
      </c>
      <c r="E486" s="177" t="s">
        <v>6125</v>
      </c>
      <c r="F486" s="177" t="s">
        <v>6888</v>
      </c>
      <c r="G486" s="176"/>
      <c r="H486" s="176"/>
      <c r="I486" s="176"/>
      <c r="J486" s="176"/>
      <c r="K486" s="176"/>
      <c r="L486" s="176"/>
      <c r="M486" s="176"/>
      <c r="N486" s="176"/>
      <c r="O486" s="176"/>
      <c r="P486" s="176"/>
      <c r="Q486" s="176"/>
      <c r="R486" s="176"/>
      <c r="S486" s="176"/>
      <c r="T486" s="176"/>
      <c r="U486" s="176"/>
      <c r="V486" s="176"/>
      <c r="W486" s="176"/>
      <c r="X486" s="176"/>
      <c r="Y486" s="176"/>
      <c r="Z486" s="176"/>
    </row>
    <row r="487" spans="1:26">
      <c r="A487" s="221">
        <v>506</v>
      </c>
      <c r="B487" s="177" t="s">
        <v>6122</v>
      </c>
      <c r="C487" s="177" t="s">
        <v>6887</v>
      </c>
      <c r="D487" s="177" t="s">
        <v>6124</v>
      </c>
      <c r="E487" s="177" t="s">
        <v>6137</v>
      </c>
      <c r="F487" s="177" t="s">
        <v>6889</v>
      </c>
      <c r="G487" s="176"/>
      <c r="H487" s="176"/>
      <c r="I487" s="176"/>
      <c r="J487" s="176"/>
      <c r="K487" s="176"/>
      <c r="L487" s="176"/>
      <c r="M487" s="176"/>
      <c r="N487" s="176"/>
      <c r="O487" s="176"/>
      <c r="P487" s="176"/>
      <c r="Q487" s="176"/>
      <c r="R487" s="176"/>
      <c r="S487" s="176"/>
      <c r="T487" s="176"/>
      <c r="U487" s="176"/>
      <c r="V487" s="176"/>
      <c r="W487" s="176"/>
      <c r="X487" s="176"/>
      <c r="Y487" s="176"/>
      <c r="Z487" s="176"/>
    </row>
    <row r="488" spans="1:26">
      <c r="A488" s="221">
        <v>507</v>
      </c>
      <c r="B488" s="177" t="s">
        <v>6122</v>
      </c>
      <c r="C488" s="177" t="s">
        <v>6887</v>
      </c>
      <c r="D488" s="177" t="s">
        <v>6124</v>
      </c>
      <c r="E488" s="177" t="s">
        <v>6129</v>
      </c>
      <c r="F488" s="177" t="s">
        <v>6890</v>
      </c>
      <c r="G488" s="176"/>
      <c r="H488" s="176"/>
      <c r="I488" s="176"/>
      <c r="J488" s="176"/>
      <c r="K488" s="176"/>
      <c r="L488" s="176"/>
      <c r="M488" s="176"/>
      <c r="N488" s="176"/>
      <c r="O488" s="176"/>
      <c r="P488" s="176"/>
      <c r="Q488" s="176"/>
      <c r="R488" s="176"/>
      <c r="S488" s="176"/>
      <c r="T488" s="176"/>
      <c r="U488" s="176"/>
      <c r="V488" s="176"/>
      <c r="W488" s="176"/>
      <c r="X488" s="176"/>
      <c r="Y488" s="176"/>
      <c r="Z488" s="176"/>
    </row>
    <row r="489" spans="1:26">
      <c r="A489" s="221">
        <v>508</v>
      </c>
      <c r="B489" s="177" t="s">
        <v>6122</v>
      </c>
      <c r="C489" s="177" t="s">
        <v>6891</v>
      </c>
      <c r="D489" s="177" t="s">
        <v>6124</v>
      </c>
      <c r="E489" s="177" t="s">
        <v>6125</v>
      </c>
      <c r="F489" s="177" t="s">
        <v>6892</v>
      </c>
      <c r="G489" s="176"/>
      <c r="H489" s="176"/>
      <c r="I489" s="176"/>
      <c r="J489" s="176"/>
      <c r="K489" s="176"/>
      <c r="L489" s="176"/>
      <c r="M489" s="176"/>
      <c r="N489" s="176"/>
      <c r="O489" s="176"/>
      <c r="P489" s="176"/>
      <c r="Q489" s="176"/>
      <c r="R489" s="176"/>
      <c r="S489" s="176"/>
      <c r="T489" s="176"/>
      <c r="U489" s="176"/>
      <c r="V489" s="176"/>
      <c r="W489" s="176"/>
      <c r="X489" s="176"/>
      <c r="Y489" s="176"/>
      <c r="Z489" s="176"/>
    </row>
    <row r="490" spans="1:26">
      <c r="A490" s="221">
        <v>509</v>
      </c>
      <c r="B490" s="177" t="s">
        <v>6122</v>
      </c>
      <c r="C490" s="177" t="s">
        <v>6891</v>
      </c>
      <c r="D490" s="177" t="s">
        <v>6124</v>
      </c>
      <c r="E490" s="177" t="s">
        <v>6137</v>
      </c>
      <c r="F490" s="177" t="s">
        <v>6893</v>
      </c>
      <c r="G490" s="176"/>
      <c r="H490" s="176"/>
      <c r="I490" s="176"/>
      <c r="J490" s="176"/>
      <c r="K490" s="176"/>
      <c r="L490" s="176"/>
      <c r="M490" s="176"/>
      <c r="N490" s="176"/>
      <c r="O490" s="176"/>
      <c r="P490" s="176"/>
      <c r="Q490" s="176"/>
      <c r="R490" s="176"/>
      <c r="S490" s="176"/>
      <c r="T490" s="176"/>
      <c r="U490" s="176"/>
      <c r="V490" s="176"/>
      <c r="W490" s="176"/>
      <c r="X490" s="176"/>
      <c r="Y490" s="176"/>
      <c r="Z490" s="176"/>
    </row>
    <row r="491" spans="1:26">
      <c r="A491" s="221">
        <v>510</v>
      </c>
      <c r="B491" s="177" t="s">
        <v>6122</v>
      </c>
      <c r="C491" s="177" t="s">
        <v>6891</v>
      </c>
      <c r="D491" s="177" t="s">
        <v>6124</v>
      </c>
      <c r="E491" s="177" t="s">
        <v>6129</v>
      </c>
      <c r="F491" s="177" t="s">
        <v>6894</v>
      </c>
      <c r="G491" s="176"/>
      <c r="H491" s="176"/>
      <c r="I491" s="176"/>
      <c r="J491" s="176"/>
      <c r="K491" s="176"/>
      <c r="L491" s="176"/>
      <c r="M491" s="176"/>
      <c r="N491" s="176"/>
      <c r="O491" s="176"/>
      <c r="P491" s="176"/>
      <c r="Q491" s="176"/>
      <c r="R491" s="176"/>
      <c r="S491" s="176"/>
      <c r="T491" s="176"/>
      <c r="U491" s="176"/>
      <c r="V491" s="176"/>
      <c r="W491" s="176"/>
      <c r="X491" s="176"/>
      <c r="Y491" s="176"/>
      <c r="Z491" s="176"/>
    </row>
    <row r="492" spans="1:26">
      <c r="A492" s="221">
        <v>511</v>
      </c>
      <c r="B492" s="177" t="s">
        <v>6122</v>
      </c>
      <c r="C492" s="177" t="s">
        <v>6895</v>
      </c>
      <c r="D492" s="177" t="s">
        <v>6124</v>
      </c>
      <c r="E492" s="177" t="s">
        <v>6125</v>
      </c>
      <c r="F492" s="177" t="s">
        <v>6896</v>
      </c>
      <c r="G492" s="176"/>
      <c r="H492" s="176"/>
      <c r="I492" s="176"/>
      <c r="J492" s="176"/>
      <c r="K492" s="176"/>
      <c r="L492" s="176"/>
      <c r="M492" s="176"/>
      <c r="N492" s="176"/>
      <c r="O492" s="176"/>
      <c r="P492" s="176"/>
      <c r="Q492" s="176"/>
      <c r="R492" s="176"/>
      <c r="S492" s="176"/>
      <c r="T492" s="176"/>
      <c r="U492" s="176"/>
      <c r="V492" s="176"/>
      <c r="W492" s="176"/>
      <c r="X492" s="176"/>
      <c r="Y492" s="176"/>
      <c r="Z492" s="176"/>
    </row>
    <row r="493" spans="1:26">
      <c r="A493" s="221">
        <v>512</v>
      </c>
      <c r="B493" s="177" t="s">
        <v>6122</v>
      </c>
      <c r="C493" s="177" t="s">
        <v>6895</v>
      </c>
      <c r="D493" s="177" t="s">
        <v>6124</v>
      </c>
      <c r="E493" s="177" t="s">
        <v>6137</v>
      </c>
      <c r="F493" s="177" t="s">
        <v>6897</v>
      </c>
      <c r="G493" s="176"/>
      <c r="H493" s="176"/>
      <c r="I493" s="176"/>
      <c r="J493" s="176"/>
      <c r="K493" s="176"/>
      <c r="L493" s="176"/>
      <c r="M493" s="176"/>
      <c r="N493" s="176"/>
      <c r="O493" s="176"/>
      <c r="P493" s="176"/>
      <c r="Q493" s="176"/>
      <c r="R493" s="176"/>
      <c r="S493" s="176"/>
      <c r="T493" s="176"/>
      <c r="U493" s="176"/>
      <c r="V493" s="176"/>
      <c r="W493" s="176"/>
      <c r="X493" s="176"/>
      <c r="Y493" s="176"/>
      <c r="Z493" s="176"/>
    </row>
    <row r="494" spans="1:26">
      <c r="A494" s="221">
        <v>513</v>
      </c>
      <c r="B494" s="177" t="s">
        <v>6122</v>
      </c>
      <c r="C494" s="177" t="s">
        <v>6895</v>
      </c>
      <c r="D494" s="177" t="s">
        <v>6124</v>
      </c>
      <c r="E494" s="177" t="s">
        <v>6129</v>
      </c>
      <c r="F494" s="177" t="s">
        <v>6898</v>
      </c>
      <c r="G494" s="176"/>
      <c r="H494" s="176"/>
      <c r="I494" s="176"/>
      <c r="J494" s="176"/>
      <c r="K494" s="176"/>
      <c r="L494" s="176"/>
      <c r="M494" s="176"/>
      <c r="N494" s="176"/>
      <c r="O494" s="176"/>
      <c r="P494" s="176"/>
      <c r="Q494" s="176"/>
      <c r="R494" s="176"/>
      <c r="S494" s="176"/>
      <c r="T494" s="176"/>
      <c r="U494" s="176"/>
      <c r="V494" s="176"/>
      <c r="W494" s="176"/>
      <c r="X494" s="176"/>
      <c r="Y494" s="176"/>
      <c r="Z494" s="176"/>
    </row>
    <row r="495" spans="1:26">
      <c r="A495" s="221">
        <v>514</v>
      </c>
      <c r="B495" s="177" t="s">
        <v>6122</v>
      </c>
      <c r="C495" s="177" t="s">
        <v>6899</v>
      </c>
      <c r="D495" s="177" t="s">
        <v>6124</v>
      </c>
      <c r="E495" s="177" t="s">
        <v>6125</v>
      </c>
      <c r="F495" s="177" t="s">
        <v>6900</v>
      </c>
      <c r="G495" s="176"/>
      <c r="H495" s="176"/>
      <c r="I495" s="176"/>
      <c r="J495" s="176"/>
      <c r="K495" s="176"/>
      <c r="L495" s="176"/>
      <c r="M495" s="176"/>
      <c r="N495" s="176"/>
      <c r="O495" s="176"/>
      <c r="P495" s="176"/>
      <c r="Q495" s="176"/>
      <c r="R495" s="176"/>
      <c r="S495" s="176"/>
      <c r="T495" s="176"/>
      <c r="U495" s="176"/>
      <c r="V495" s="176"/>
      <c r="W495" s="176"/>
      <c r="X495" s="176"/>
      <c r="Y495" s="176"/>
      <c r="Z495" s="176"/>
    </row>
    <row r="496" spans="1:26">
      <c r="A496" s="221">
        <v>515</v>
      </c>
      <c r="B496" s="177" t="s">
        <v>6122</v>
      </c>
      <c r="C496" s="177" t="s">
        <v>6899</v>
      </c>
      <c r="D496" s="177" t="s">
        <v>6124</v>
      </c>
      <c r="E496" s="177" t="s">
        <v>6137</v>
      </c>
      <c r="F496" s="177" t="s">
        <v>6901</v>
      </c>
      <c r="G496" s="176"/>
      <c r="H496" s="176"/>
      <c r="I496" s="176"/>
      <c r="J496" s="176"/>
      <c r="K496" s="176"/>
      <c r="L496" s="176"/>
      <c r="M496" s="176"/>
      <c r="N496" s="176"/>
      <c r="O496" s="176"/>
      <c r="P496" s="176"/>
      <c r="Q496" s="176"/>
      <c r="R496" s="176"/>
      <c r="S496" s="176"/>
      <c r="T496" s="176"/>
      <c r="U496" s="176"/>
      <c r="V496" s="176"/>
      <c r="W496" s="176"/>
      <c r="X496" s="176"/>
      <c r="Y496" s="176"/>
      <c r="Z496" s="176"/>
    </row>
    <row r="497" spans="1:26">
      <c r="A497" s="221">
        <v>516</v>
      </c>
      <c r="B497" s="177" t="s">
        <v>6122</v>
      </c>
      <c r="C497" s="177" t="s">
        <v>6899</v>
      </c>
      <c r="D497" s="177" t="s">
        <v>6124</v>
      </c>
      <c r="E497" s="177" t="s">
        <v>6129</v>
      </c>
      <c r="F497" s="177" t="s">
        <v>6902</v>
      </c>
      <c r="G497" s="176"/>
      <c r="H497" s="176"/>
      <c r="I497" s="176"/>
      <c r="J497" s="176"/>
      <c r="K497" s="176"/>
      <c r="L497" s="176"/>
      <c r="M497" s="176"/>
      <c r="N497" s="176"/>
      <c r="O497" s="176"/>
      <c r="P497" s="176"/>
      <c r="Q497" s="176"/>
      <c r="R497" s="176"/>
      <c r="S497" s="176"/>
      <c r="T497" s="176"/>
      <c r="U497" s="176"/>
      <c r="V497" s="176"/>
      <c r="W497" s="176"/>
      <c r="X497" s="176"/>
      <c r="Y497" s="176"/>
      <c r="Z497" s="176"/>
    </row>
    <row r="498" spans="1:26">
      <c r="A498" s="221">
        <v>517</v>
      </c>
      <c r="B498" s="177" t="s">
        <v>6122</v>
      </c>
      <c r="C498" s="177" t="s">
        <v>6903</v>
      </c>
      <c r="D498" s="177" t="s">
        <v>6124</v>
      </c>
      <c r="E498" s="177" t="s">
        <v>6125</v>
      </c>
      <c r="F498" s="177" t="s">
        <v>6904</v>
      </c>
      <c r="G498" s="176"/>
      <c r="H498" s="176"/>
      <c r="I498" s="176"/>
      <c r="J498" s="176"/>
      <c r="K498" s="176"/>
      <c r="L498" s="176"/>
      <c r="M498" s="176"/>
      <c r="N498" s="176"/>
      <c r="O498" s="176"/>
      <c r="P498" s="176"/>
      <c r="Q498" s="176"/>
      <c r="R498" s="176"/>
      <c r="S498" s="176"/>
      <c r="T498" s="176"/>
      <c r="U498" s="176"/>
      <c r="V498" s="176"/>
      <c r="W498" s="176"/>
      <c r="X498" s="176"/>
      <c r="Y498" s="176"/>
      <c r="Z498" s="176"/>
    </row>
    <row r="499" spans="1:26">
      <c r="A499" s="221">
        <v>518</v>
      </c>
      <c r="B499" s="177" t="s">
        <v>6122</v>
      </c>
      <c r="C499" s="177" t="s">
        <v>6903</v>
      </c>
      <c r="D499" s="177" t="s">
        <v>6124</v>
      </c>
      <c r="E499" s="177" t="s">
        <v>6137</v>
      </c>
      <c r="F499" s="177" t="s">
        <v>6905</v>
      </c>
      <c r="G499" s="176"/>
      <c r="H499" s="176"/>
      <c r="I499" s="176"/>
      <c r="J499" s="176"/>
      <c r="K499" s="176"/>
      <c r="L499" s="176"/>
      <c r="M499" s="176"/>
      <c r="N499" s="176"/>
      <c r="O499" s="176"/>
      <c r="P499" s="176"/>
      <c r="Q499" s="176"/>
      <c r="R499" s="176"/>
      <c r="S499" s="176"/>
      <c r="T499" s="176"/>
      <c r="U499" s="176"/>
      <c r="V499" s="176"/>
      <c r="W499" s="176"/>
      <c r="X499" s="176"/>
      <c r="Y499" s="176"/>
      <c r="Z499" s="176"/>
    </row>
    <row r="500" spans="1:26">
      <c r="A500" s="221">
        <v>519</v>
      </c>
      <c r="B500" s="177" t="s">
        <v>6122</v>
      </c>
      <c r="C500" s="177" t="s">
        <v>6903</v>
      </c>
      <c r="D500" s="177" t="s">
        <v>6124</v>
      </c>
      <c r="E500" s="177" t="s">
        <v>6129</v>
      </c>
      <c r="F500" s="177" t="s">
        <v>6906</v>
      </c>
      <c r="G500" s="176"/>
      <c r="H500" s="176"/>
      <c r="I500" s="176"/>
      <c r="J500" s="176"/>
      <c r="K500" s="176"/>
      <c r="L500" s="176"/>
      <c r="M500" s="176"/>
      <c r="N500" s="176"/>
      <c r="O500" s="176"/>
      <c r="P500" s="176"/>
      <c r="Q500" s="176"/>
      <c r="R500" s="176"/>
      <c r="S500" s="176"/>
      <c r="T500" s="176"/>
      <c r="U500" s="176"/>
      <c r="V500" s="176"/>
      <c r="W500" s="176"/>
      <c r="X500" s="176"/>
      <c r="Y500" s="176"/>
      <c r="Z500" s="176"/>
    </row>
    <row r="501" spans="1:26">
      <c r="A501" s="221">
        <v>520</v>
      </c>
      <c r="B501" s="177" t="s">
        <v>6122</v>
      </c>
      <c r="C501" s="177" t="s">
        <v>6907</v>
      </c>
      <c r="D501" s="177" t="s">
        <v>6124</v>
      </c>
      <c r="E501" s="177" t="s">
        <v>6125</v>
      </c>
      <c r="F501" s="177" t="s">
        <v>6908</v>
      </c>
      <c r="G501" s="176"/>
      <c r="H501" s="176"/>
      <c r="I501" s="176"/>
      <c r="J501" s="176"/>
      <c r="K501" s="176"/>
      <c r="L501" s="176"/>
      <c r="M501" s="176"/>
      <c r="N501" s="176"/>
      <c r="O501" s="176"/>
      <c r="P501" s="176"/>
      <c r="Q501" s="176"/>
      <c r="R501" s="176"/>
      <c r="S501" s="176"/>
      <c r="T501" s="176"/>
      <c r="U501" s="176"/>
      <c r="V501" s="176"/>
      <c r="W501" s="176"/>
      <c r="X501" s="176"/>
      <c r="Y501" s="176"/>
      <c r="Z501" s="176"/>
    </row>
    <row r="502" spans="1:26">
      <c r="A502" s="221">
        <v>521</v>
      </c>
      <c r="B502" s="177" t="s">
        <v>6122</v>
      </c>
      <c r="C502" s="177" t="s">
        <v>6907</v>
      </c>
      <c r="D502" s="177" t="s">
        <v>6124</v>
      </c>
      <c r="E502" s="177" t="s">
        <v>6137</v>
      </c>
      <c r="F502" s="177" t="s">
        <v>6909</v>
      </c>
      <c r="G502" s="176"/>
      <c r="H502" s="176"/>
      <c r="I502" s="176"/>
      <c r="J502" s="176"/>
      <c r="K502" s="176"/>
      <c r="L502" s="176"/>
      <c r="M502" s="176"/>
      <c r="N502" s="176"/>
      <c r="O502" s="176"/>
      <c r="P502" s="176"/>
      <c r="Q502" s="176"/>
      <c r="R502" s="176"/>
      <c r="S502" s="176"/>
      <c r="T502" s="176"/>
      <c r="U502" s="176"/>
      <c r="V502" s="176"/>
      <c r="W502" s="176"/>
      <c r="X502" s="176"/>
      <c r="Y502" s="176"/>
      <c r="Z502" s="176"/>
    </row>
    <row r="503" spans="1:26">
      <c r="A503" s="221">
        <v>522</v>
      </c>
      <c r="B503" s="177" t="s">
        <v>6122</v>
      </c>
      <c r="C503" s="177" t="s">
        <v>6907</v>
      </c>
      <c r="D503" s="177" t="s">
        <v>6124</v>
      </c>
      <c r="E503" s="177" t="s">
        <v>6129</v>
      </c>
      <c r="F503" s="177" t="s">
        <v>6910</v>
      </c>
      <c r="G503" s="176"/>
      <c r="H503" s="176"/>
      <c r="I503" s="176"/>
      <c r="J503" s="176"/>
      <c r="K503" s="176"/>
      <c r="L503" s="176"/>
      <c r="M503" s="176"/>
      <c r="N503" s="176"/>
      <c r="O503" s="176"/>
      <c r="P503" s="176"/>
      <c r="Q503" s="176"/>
      <c r="R503" s="176"/>
      <c r="S503" s="176"/>
      <c r="T503" s="176"/>
      <c r="U503" s="176"/>
      <c r="V503" s="176"/>
      <c r="W503" s="176"/>
      <c r="X503" s="176"/>
      <c r="Y503" s="176"/>
      <c r="Z503" s="176"/>
    </row>
    <row r="504" spans="1:26">
      <c r="A504" s="221">
        <v>523</v>
      </c>
      <c r="B504" s="177" t="s">
        <v>6122</v>
      </c>
      <c r="C504" s="177" t="s">
        <v>6911</v>
      </c>
      <c r="D504" s="177" t="s">
        <v>6124</v>
      </c>
      <c r="E504" s="177" t="s">
        <v>6125</v>
      </c>
      <c r="F504" s="177" t="s">
        <v>6912</v>
      </c>
      <c r="G504" s="176"/>
      <c r="H504" s="176"/>
      <c r="I504" s="176"/>
      <c r="J504" s="176"/>
      <c r="K504" s="176"/>
      <c r="L504" s="176"/>
      <c r="M504" s="176"/>
      <c r="N504" s="176"/>
      <c r="O504" s="176"/>
      <c r="P504" s="176"/>
      <c r="Q504" s="176"/>
      <c r="R504" s="176"/>
      <c r="S504" s="176"/>
      <c r="T504" s="176"/>
      <c r="U504" s="176"/>
      <c r="V504" s="176"/>
      <c r="W504" s="176"/>
      <c r="X504" s="176"/>
      <c r="Y504" s="176"/>
      <c r="Z504" s="176"/>
    </row>
    <row r="505" spans="1:26">
      <c r="A505" s="221">
        <v>524</v>
      </c>
      <c r="B505" s="177" t="s">
        <v>6122</v>
      </c>
      <c r="C505" s="177" t="s">
        <v>6911</v>
      </c>
      <c r="D505" s="177" t="s">
        <v>6124</v>
      </c>
      <c r="E505" s="177" t="s">
        <v>6137</v>
      </c>
      <c r="F505" s="177" t="s">
        <v>6913</v>
      </c>
      <c r="G505" s="176"/>
      <c r="H505" s="176"/>
      <c r="I505" s="176"/>
      <c r="J505" s="176"/>
      <c r="K505" s="176"/>
      <c r="L505" s="176"/>
      <c r="M505" s="176"/>
      <c r="N505" s="176"/>
      <c r="O505" s="176"/>
      <c r="P505" s="176"/>
      <c r="Q505" s="176"/>
      <c r="R505" s="176"/>
      <c r="S505" s="176"/>
      <c r="T505" s="176"/>
      <c r="U505" s="176"/>
      <c r="V505" s="176"/>
      <c r="W505" s="176"/>
      <c r="X505" s="176"/>
      <c r="Y505" s="176"/>
      <c r="Z505" s="176"/>
    </row>
    <row r="506" spans="1:26">
      <c r="A506" s="221">
        <v>525</v>
      </c>
      <c r="B506" s="177" t="s">
        <v>6122</v>
      </c>
      <c r="C506" s="177" t="s">
        <v>6911</v>
      </c>
      <c r="D506" s="177" t="s">
        <v>6124</v>
      </c>
      <c r="E506" s="177" t="s">
        <v>6129</v>
      </c>
      <c r="F506" s="177" t="s">
        <v>6914</v>
      </c>
      <c r="G506" s="176"/>
      <c r="H506" s="176"/>
      <c r="I506" s="176"/>
      <c r="J506" s="176"/>
      <c r="K506" s="176"/>
      <c r="L506" s="176"/>
      <c r="M506" s="176"/>
      <c r="N506" s="176"/>
      <c r="O506" s="176"/>
      <c r="P506" s="176"/>
      <c r="Q506" s="176"/>
      <c r="R506" s="176"/>
      <c r="S506" s="176"/>
      <c r="T506" s="176"/>
      <c r="U506" s="176"/>
      <c r="V506" s="176"/>
      <c r="W506" s="176"/>
      <c r="X506" s="176"/>
      <c r="Y506" s="176"/>
      <c r="Z506" s="176"/>
    </row>
    <row r="507" spans="1:26">
      <c r="A507" s="221">
        <v>526</v>
      </c>
      <c r="B507" s="177" t="s">
        <v>6122</v>
      </c>
      <c r="C507" s="177" t="s">
        <v>6915</v>
      </c>
      <c r="D507" s="177" t="s">
        <v>6124</v>
      </c>
      <c r="E507" s="177" t="s">
        <v>6125</v>
      </c>
      <c r="F507" s="177" t="s">
        <v>6916</v>
      </c>
      <c r="G507" s="176"/>
      <c r="H507" s="176"/>
      <c r="I507" s="176"/>
      <c r="J507" s="176"/>
      <c r="K507" s="176"/>
      <c r="L507" s="176"/>
      <c r="M507" s="176"/>
      <c r="N507" s="176"/>
      <c r="O507" s="176"/>
      <c r="P507" s="176"/>
      <c r="Q507" s="176"/>
      <c r="R507" s="176"/>
      <c r="S507" s="176"/>
      <c r="T507" s="176"/>
      <c r="U507" s="176"/>
      <c r="V507" s="176"/>
      <c r="W507" s="176"/>
      <c r="X507" s="176"/>
      <c r="Y507" s="176"/>
      <c r="Z507" s="176"/>
    </row>
    <row r="508" spans="1:26">
      <c r="A508" s="221">
        <v>527</v>
      </c>
      <c r="B508" s="177" t="s">
        <v>6122</v>
      </c>
      <c r="C508" s="177" t="s">
        <v>6915</v>
      </c>
      <c r="D508" s="177" t="s">
        <v>6124</v>
      </c>
      <c r="E508" s="177" t="s">
        <v>6137</v>
      </c>
      <c r="F508" s="177" t="s">
        <v>6917</v>
      </c>
      <c r="G508" s="176"/>
      <c r="H508" s="176"/>
      <c r="I508" s="176"/>
      <c r="J508" s="176"/>
      <c r="K508" s="176"/>
      <c r="L508" s="176"/>
      <c r="M508" s="176"/>
      <c r="N508" s="176"/>
      <c r="O508" s="176"/>
      <c r="P508" s="176"/>
      <c r="Q508" s="176"/>
      <c r="R508" s="176"/>
      <c r="S508" s="176"/>
      <c r="T508" s="176"/>
      <c r="U508" s="176"/>
      <c r="V508" s="176"/>
      <c r="W508" s="176"/>
      <c r="X508" s="176"/>
      <c r="Y508" s="176"/>
      <c r="Z508" s="176"/>
    </row>
    <row r="509" spans="1:26">
      <c r="A509" s="221">
        <v>528</v>
      </c>
      <c r="B509" s="177" t="s">
        <v>6122</v>
      </c>
      <c r="C509" s="177" t="s">
        <v>6915</v>
      </c>
      <c r="D509" s="177" t="s">
        <v>6124</v>
      </c>
      <c r="E509" s="177" t="s">
        <v>6129</v>
      </c>
      <c r="F509" s="177" t="s">
        <v>6918</v>
      </c>
      <c r="G509" s="176"/>
      <c r="H509" s="176"/>
      <c r="I509" s="176"/>
      <c r="J509" s="176"/>
      <c r="K509" s="176"/>
      <c r="L509" s="176"/>
      <c r="M509" s="176"/>
      <c r="N509" s="176"/>
      <c r="O509" s="176"/>
      <c r="P509" s="176"/>
      <c r="Q509" s="176"/>
      <c r="R509" s="176"/>
      <c r="S509" s="176"/>
      <c r="T509" s="176"/>
      <c r="U509" s="176"/>
      <c r="V509" s="176"/>
      <c r="W509" s="176"/>
      <c r="X509" s="176"/>
      <c r="Y509" s="176"/>
      <c r="Z509" s="176"/>
    </row>
    <row r="510" spans="1:26">
      <c r="A510" s="221">
        <v>529</v>
      </c>
      <c r="B510" s="177" t="s">
        <v>6122</v>
      </c>
      <c r="C510" s="177" t="s">
        <v>6919</v>
      </c>
      <c r="D510" s="177" t="s">
        <v>6124</v>
      </c>
      <c r="E510" s="177" t="s">
        <v>6125</v>
      </c>
      <c r="F510" s="177" t="s">
        <v>6920</v>
      </c>
      <c r="G510" s="176"/>
      <c r="H510" s="176"/>
      <c r="I510" s="176"/>
      <c r="J510" s="176"/>
      <c r="K510" s="176"/>
      <c r="L510" s="176"/>
      <c r="M510" s="176"/>
      <c r="N510" s="176"/>
      <c r="O510" s="176"/>
      <c r="P510" s="176"/>
      <c r="Q510" s="176"/>
      <c r="R510" s="176"/>
      <c r="S510" s="176"/>
      <c r="T510" s="176"/>
      <c r="U510" s="176"/>
      <c r="V510" s="176"/>
      <c r="W510" s="176"/>
      <c r="X510" s="176"/>
      <c r="Y510" s="176"/>
      <c r="Z510" s="176"/>
    </row>
    <row r="511" spans="1:26">
      <c r="A511" s="221">
        <v>530</v>
      </c>
      <c r="B511" s="177" t="s">
        <v>6122</v>
      </c>
      <c r="C511" s="177" t="s">
        <v>6919</v>
      </c>
      <c r="D511" s="177" t="s">
        <v>6124</v>
      </c>
      <c r="E511" s="177" t="s">
        <v>6137</v>
      </c>
      <c r="F511" s="177" t="s">
        <v>6921</v>
      </c>
      <c r="G511" s="176"/>
      <c r="H511" s="176"/>
      <c r="I511" s="176"/>
      <c r="J511" s="176"/>
      <c r="K511" s="176"/>
      <c r="L511" s="176"/>
      <c r="M511" s="176"/>
      <c r="N511" s="176"/>
      <c r="O511" s="176"/>
      <c r="P511" s="176"/>
      <c r="Q511" s="176"/>
      <c r="R511" s="176"/>
      <c r="S511" s="176"/>
      <c r="T511" s="176"/>
      <c r="U511" s="176"/>
      <c r="V511" s="176"/>
      <c r="W511" s="176"/>
      <c r="X511" s="176"/>
      <c r="Y511" s="176"/>
      <c r="Z511" s="176"/>
    </row>
    <row r="512" spans="1:26">
      <c r="A512" s="221">
        <v>531</v>
      </c>
      <c r="B512" s="177" t="s">
        <v>6122</v>
      </c>
      <c r="C512" s="177" t="s">
        <v>6919</v>
      </c>
      <c r="D512" s="177" t="s">
        <v>6124</v>
      </c>
      <c r="E512" s="177" t="s">
        <v>6129</v>
      </c>
      <c r="F512" s="177" t="s">
        <v>6922</v>
      </c>
      <c r="G512" s="176"/>
      <c r="H512" s="176"/>
      <c r="I512" s="176"/>
      <c r="J512" s="176"/>
      <c r="K512" s="176"/>
      <c r="L512" s="176"/>
      <c r="M512" s="176"/>
      <c r="N512" s="176"/>
      <c r="O512" s="176"/>
      <c r="P512" s="176"/>
      <c r="Q512" s="176"/>
      <c r="R512" s="176"/>
      <c r="S512" s="176"/>
      <c r="T512" s="176"/>
      <c r="U512" s="176"/>
      <c r="V512" s="176"/>
      <c r="W512" s="176"/>
      <c r="X512" s="176"/>
      <c r="Y512" s="176"/>
      <c r="Z512" s="176"/>
    </row>
    <row r="513" spans="1:26">
      <c r="A513" s="221">
        <v>532</v>
      </c>
      <c r="B513" s="177" t="s">
        <v>6122</v>
      </c>
      <c r="C513" s="177" t="s">
        <v>6923</v>
      </c>
      <c r="D513" s="177" t="s">
        <v>6124</v>
      </c>
      <c r="E513" s="177" t="s">
        <v>6125</v>
      </c>
      <c r="F513" s="177" t="s">
        <v>6924</v>
      </c>
      <c r="G513" s="176"/>
      <c r="H513" s="176"/>
      <c r="I513" s="176"/>
      <c r="J513" s="176"/>
      <c r="K513" s="176"/>
      <c r="L513" s="176"/>
      <c r="M513" s="176"/>
      <c r="N513" s="176"/>
      <c r="O513" s="176"/>
      <c r="P513" s="176"/>
      <c r="Q513" s="176"/>
      <c r="R513" s="176"/>
      <c r="S513" s="176"/>
      <c r="T513" s="176"/>
      <c r="U513" s="176"/>
      <c r="V513" s="176"/>
      <c r="W513" s="176"/>
      <c r="X513" s="176"/>
      <c r="Y513" s="176"/>
      <c r="Z513" s="176"/>
    </row>
    <row r="514" spans="1:26">
      <c r="A514" s="221">
        <v>533</v>
      </c>
      <c r="B514" s="177" t="s">
        <v>6122</v>
      </c>
      <c r="C514" s="177" t="s">
        <v>6923</v>
      </c>
      <c r="D514" s="177" t="s">
        <v>6124</v>
      </c>
      <c r="E514" s="177" t="s">
        <v>6137</v>
      </c>
      <c r="F514" s="177" t="s">
        <v>6925</v>
      </c>
      <c r="G514" s="176"/>
      <c r="H514" s="176"/>
      <c r="I514" s="176"/>
      <c r="J514" s="176"/>
      <c r="K514" s="176"/>
      <c r="L514" s="176"/>
      <c r="M514" s="176"/>
      <c r="N514" s="176"/>
      <c r="O514" s="176"/>
      <c r="P514" s="176"/>
      <c r="Q514" s="176"/>
      <c r="R514" s="176"/>
      <c r="S514" s="176"/>
      <c r="T514" s="176"/>
      <c r="U514" s="176"/>
      <c r="V514" s="176"/>
      <c r="W514" s="176"/>
      <c r="X514" s="176"/>
      <c r="Y514" s="176"/>
      <c r="Z514" s="176"/>
    </row>
    <row r="515" spans="1:26">
      <c r="A515" s="221">
        <v>534</v>
      </c>
      <c r="B515" s="177" t="s">
        <v>6122</v>
      </c>
      <c r="C515" s="177" t="s">
        <v>6923</v>
      </c>
      <c r="D515" s="177" t="s">
        <v>6124</v>
      </c>
      <c r="E515" s="177" t="s">
        <v>6129</v>
      </c>
      <c r="F515" s="177" t="s">
        <v>6926</v>
      </c>
      <c r="G515" s="176"/>
      <c r="H515" s="176"/>
      <c r="I515" s="176"/>
      <c r="J515" s="176"/>
      <c r="K515" s="176"/>
      <c r="L515" s="176"/>
      <c r="M515" s="176"/>
      <c r="N515" s="176"/>
      <c r="O515" s="176"/>
      <c r="P515" s="176"/>
      <c r="Q515" s="176"/>
      <c r="R515" s="176"/>
      <c r="S515" s="176"/>
      <c r="T515" s="176"/>
      <c r="U515" s="176"/>
      <c r="V515" s="176"/>
      <c r="W515" s="176"/>
      <c r="X515" s="176"/>
      <c r="Y515" s="176"/>
      <c r="Z515" s="176"/>
    </row>
    <row r="516" spans="1:26">
      <c r="A516" s="221">
        <v>535</v>
      </c>
      <c r="B516" s="177" t="s">
        <v>6122</v>
      </c>
      <c r="C516" s="177" t="s">
        <v>6927</v>
      </c>
      <c r="D516" s="177" t="s">
        <v>6124</v>
      </c>
      <c r="E516" s="177" t="s">
        <v>6125</v>
      </c>
      <c r="F516" s="177" t="s">
        <v>6928</v>
      </c>
      <c r="G516" s="176"/>
      <c r="H516" s="176"/>
      <c r="I516" s="176"/>
      <c r="J516" s="176"/>
      <c r="K516" s="176"/>
      <c r="L516" s="176"/>
      <c r="M516" s="176"/>
      <c r="N516" s="176"/>
      <c r="O516" s="176"/>
      <c r="P516" s="176"/>
      <c r="Q516" s="176"/>
      <c r="R516" s="176"/>
      <c r="S516" s="176"/>
      <c r="T516" s="176"/>
      <c r="U516" s="176"/>
      <c r="V516" s="176"/>
      <c r="W516" s="176"/>
      <c r="X516" s="176"/>
      <c r="Y516" s="176"/>
      <c r="Z516" s="176"/>
    </row>
    <row r="517" spans="1:26">
      <c r="A517" s="221">
        <v>536</v>
      </c>
      <c r="B517" s="177" t="s">
        <v>6122</v>
      </c>
      <c r="C517" s="177" t="s">
        <v>6927</v>
      </c>
      <c r="D517" s="177" t="s">
        <v>6124</v>
      </c>
      <c r="E517" s="177" t="s">
        <v>6137</v>
      </c>
      <c r="F517" s="177" t="s">
        <v>6929</v>
      </c>
      <c r="G517" s="176"/>
      <c r="H517" s="176"/>
      <c r="I517" s="176"/>
      <c r="J517" s="176"/>
      <c r="K517" s="176"/>
      <c r="L517" s="176"/>
      <c r="M517" s="176"/>
      <c r="N517" s="176"/>
      <c r="O517" s="176"/>
      <c r="P517" s="176"/>
      <c r="Q517" s="176"/>
      <c r="R517" s="176"/>
      <c r="S517" s="176"/>
      <c r="T517" s="176"/>
      <c r="U517" s="176"/>
      <c r="V517" s="176"/>
      <c r="W517" s="176"/>
      <c r="X517" s="176"/>
      <c r="Y517" s="176"/>
      <c r="Z517" s="176"/>
    </row>
    <row r="518" spans="1:26">
      <c r="A518" s="221">
        <v>537</v>
      </c>
      <c r="B518" s="177" t="s">
        <v>6122</v>
      </c>
      <c r="C518" s="177" t="s">
        <v>6927</v>
      </c>
      <c r="D518" s="177" t="s">
        <v>6124</v>
      </c>
      <c r="E518" s="177" t="s">
        <v>6129</v>
      </c>
      <c r="F518" s="177" t="s">
        <v>6930</v>
      </c>
      <c r="G518" s="176"/>
      <c r="H518" s="176"/>
      <c r="I518" s="176"/>
      <c r="J518" s="176"/>
      <c r="K518" s="176"/>
      <c r="L518" s="176"/>
      <c r="M518" s="176"/>
      <c r="N518" s="176"/>
      <c r="O518" s="176"/>
      <c r="P518" s="176"/>
      <c r="Q518" s="176"/>
      <c r="R518" s="176"/>
      <c r="S518" s="176"/>
      <c r="T518" s="176"/>
      <c r="U518" s="176"/>
      <c r="V518" s="176"/>
      <c r="W518" s="176"/>
      <c r="X518" s="176"/>
      <c r="Y518" s="176"/>
      <c r="Z518" s="176"/>
    </row>
    <row r="519" spans="1:26">
      <c r="A519" s="221">
        <v>538</v>
      </c>
      <c r="B519" s="177" t="s">
        <v>6122</v>
      </c>
      <c r="C519" s="177" t="s">
        <v>6931</v>
      </c>
      <c r="D519" s="177" t="s">
        <v>6124</v>
      </c>
      <c r="E519" s="177" t="s">
        <v>6125</v>
      </c>
      <c r="F519" s="177" t="s">
        <v>6932</v>
      </c>
      <c r="G519" s="176"/>
      <c r="H519" s="176"/>
      <c r="I519" s="176"/>
      <c r="J519" s="176"/>
      <c r="K519" s="176"/>
      <c r="L519" s="176"/>
      <c r="M519" s="176"/>
      <c r="N519" s="176"/>
      <c r="O519" s="176"/>
      <c r="P519" s="176"/>
      <c r="Q519" s="176"/>
      <c r="R519" s="176"/>
      <c r="S519" s="176"/>
      <c r="T519" s="176"/>
      <c r="U519" s="176"/>
      <c r="V519" s="176"/>
      <c r="W519" s="176"/>
      <c r="X519" s="176"/>
      <c r="Y519" s="176"/>
      <c r="Z519" s="176"/>
    </row>
    <row r="520" spans="1:26">
      <c r="A520" s="221">
        <v>539</v>
      </c>
      <c r="B520" s="177" t="s">
        <v>6122</v>
      </c>
      <c r="C520" s="177" t="s">
        <v>6931</v>
      </c>
      <c r="D520" s="177" t="s">
        <v>6124</v>
      </c>
      <c r="E520" s="177" t="s">
        <v>6137</v>
      </c>
      <c r="F520" s="177" t="s">
        <v>6933</v>
      </c>
      <c r="G520" s="176"/>
      <c r="H520" s="176"/>
      <c r="I520" s="176"/>
      <c r="J520" s="176"/>
      <c r="K520" s="176"/>
      <c r="L520" s="176"/>
      <c r="M520" s="176"/>
      <c r="N520" s="176"/>
      <c r="O520" s="176"/>
      <c r="P520" s="176"/>
      <c r="Q520" s="176"/>
      <c r="R520" s="176"/>
      <c r="S520" s="176"/>
      <c r="T520" s="176"/>
      <c r="U520" s="176"/>
      <c r="V520" s="176"/>
      <c r="W520" s="176"/>
      <c r="X520" s="176"/>
      <c r="Y520" s="176"/>
      <c r="Z520" s="176"/>
    </row>
    <row r="521" spans="1:26">
      <c r="A521" s="221">
        <v>540</v>
      </c>
      <c r="B521" s="177" t="s">
        <v>6122</v>
      </c>
      <c r="C521" s="177" t="s">
        <v>6931</v>
      </c>
      <c r="D521" s="177" t="s">
        <v>6124</v>
      </c>
      <c r="E521" s="177" t="s">
        <v>6129</v>
      </c>
      <c r="F521" s="177" t="s">
        <v>6934</v>
      </c>
      <c r="G521" s="176"/>
      <c r="H521" s="176"/>
      <c r="I521" s="176"/>
      <c r="J521" s="176"/>
      <c r="K521" s="176"/>
      <c r="L521" s="176"/>
      <c r="M521" s="176"/>
      <c r="N521" s="176"/>
      <c r="O521" s="176"/>
      <c r="P521" s="176"/>
      <c r="Q521" s="176"/>
      <c r="R521" s="176"/>
      <c r="S521" s="176"/>
      <c r="T521" s="176"/>
      <c r="U521" s="176"/>
      <c r="V521" s="176"/>
      <c r="W521" s="176"/>
      <c r="X521" s="176"/>
      <c r="Y521" s="176"/>
      <c r="Z521" s="176"/>
    </row>
    <row r="522" spans="1:26">
      <c r="A522" s="221">
        <v>541</v>
      </c>
      <c r="B522" s="177" t="s">
        <v>6122</v>
      </c>
      <c r="C522" s="177" t="s">
        <v>6935</v>
      </c>
      <c r="D522" s="177" t="s">
        <v>6124</v>
      </c>
      <c r="E522" s="177" t="s">
        <v>6125</v>
      </c>
      <c r="F522" s="177" t="s">
        <v>6936</v>
      </c>
      <c r="G522" s="176"/>
      <c r="H522" s="176"/>
      <c r="I522" s="176"/>
      <c r="J522" s="176"/>
      <c r="K522" s="176"/>
      <c r="L522" s="176"/>
      <c r="M522" s="176"/>
      <c r="N522" s="176"/>
      <c r="O522" s="176"/>
      <c r="P522" s="176"/>
      <c r="Q522" s="176"/>
      <c r="R522" s="176"/>
      <c r="S522" s="176"/>
      <c r="T522" s="176"/>
      <c r="U522" s="176"/>
      <c r="V522" s="176"/>
      <c r="W522" s="176"/>
      <c r="X522" s="176"/>
      <c r="Y522" s="176"/>
      <c r="Z522" s="176"/>
    </row>
    <row r="523" spans="1:26">
      <c r="A523" s="221">
        <v>542</v>
      </c>
      <c r="B523" s="177" t="s">
        <v>6122</v>
      </c>
      <c r="C523" s="177" t="s">
        <v>6935</v>
      </c>
      <c r="D523" s="177" t="s">
        <v>6124</v>
      </c>
      <c r="E523" s="177" t="s">
        <v>6137</v>
      </c>
      <c r="F523" s="177" t="s">
        <v>6937</v>
      </c>
      <c r="G523" s="176"/>
      <c r="H523" s="176"/>
      <c r="I523" s="176"/>
      <c r="J523" s="176"/>
      <c r="K523" s="176"/>
      <c r="L523" s="176"/>
      <c r="M523" s="176"/>
      <c r="N523" s="176"/>
      <c r="O523" s="176"/>
      <c r="P523" s="176"/>
      <c r="Q523" s="176"/>
      <c r="R523" s="176"/>
      <c r="S523" s="176"/>
      <c r="T523" s="176"/>
      <c r="U523" s="176"/>
      <c r="V523" s="176"/>
      <c r="W523" s="176"/>
      <c r="X523" s="176"/>
      <c r="Y523" s="176"/>
      <c r="Z523" s="176"/>
    </row>
    <row r="524" spans="1:26">
      <c r="A524" s="221">
        <v>543</v>
      </c>
      <c r="B524" s="177" t="s">
        <v>6122</v>
      </c>
      <c r="C524" s="177" t="s">
        <v>6935</v>
      </c>
      <c r="D524" s="177" t="s">
        <v>6124</v>
      </c>
      <c r="E524" s="177" t="s">
        <v>6129</v>
      </c>
      <c r="F524" s="177" t="s">
        <v>6938</v>
      </c>
      <c r="G524" s="176"/>
      <c r="H524" s="176"/>
      <c r="I524" s="176"/>
      <c r="J524" s="176"/>
      <c r="K524" s="176"/>
      <c r="L524" s="176"/>
      <c r="M524" s="176"/>
      <c r="N524" s="176"/>
      <c r="O524" s="176"/>
      <c r="P524" s="176"/>
      <c r="Q524" s="176"/>
      <c r="R524" s="176"/>
      <c r="S524" s="176"/>
      <c r="T524" s="176"/>
      <c r="U524" s="176"/>
      <c r="V524" s="176"/>
      <c r="W524" s="176"/>
      <c r="X524" s="176"/>
      <c r="Y524" s="176"/>
      <c r="Z524" s="176"/>
    </row>
    <row r="525" spans="1:26">
      <c r="A525" s="221">
        <v>544</v>
      </c>
      <c r="B525" s="177" t="s">
        <v>6939</v>
      </c>
      <c r="C525" s="177" t="s">
        <v>6940</v>
      </c>
      <c r="D525" s="177" t="s">
        <v>6124</v>
      </c>
      <c r="E525" s="177" t="s">
        <v>2219</v>
      </c>
      <c r="F525" s="177" t="s">
        <v>2220</v>
      </c>
      <c r="G525" s="176"/>
      <c r="H525" s="176"/>
      <c r="I525" s="176"/>
      <c r="J525" s="176"/>
      <c r="K525" s="176"/>
      <c r="L525" s="176"/>
      <c r="M525" s="176"/>
      <c r="N525" s="176"/>
      <c r="O525" s="176"/>
      <c r="P525" s="176"/>
      <c r="Q525" s="176"/>
      <c r="R525" s="176"/>
      <c r="S525" s="176"/>
      <c r="T525" s="176"/>
      <c r="U525" s="176"/>
      <c r="V525" s="176"/>
      <c r="W525" s="176"/>
      <c r="X525" s="176"/>
      <c r="Y525" s="176"/>
      <c r="Z525" s="176"/>
    </row>
    <row r="526" spans="1:26">
      <c r="A526" s="221">
        <v>545</v>
      </c>
      <c r="B526" s="177" t="s">
        <v>6939</v>
      </c>
      <c r="C526" s="177" t="s">
        <v>6940</v>
      </c>
      <c r="D526" s="177" t="s">
        <v>6124</v>
      </c>
      <c r="E526" s="177" t="s">
        <v>2221</v>
      </c>
      <c r="F526" s="177" t="s">
        <v>2222</v>
      </c>
      <c r="G526" s="176"/>
      <c r="H526" s="176"/>
      <c r="I526" s="176"/>
      <c r="J526" s="176"/>
      <c r="K526" s="176"/>
      <c r="L526" s="176"/>
      <c r="M526" s="176"/>
      <c r="N526" s="176"/>
      <c r="O526" s="176"/>
      <c r="P526" s="176"/>
      <c r="Q526" s="176"/>
      <c r="R526" s="176"/>
      <c r="S526" s="176"/>
      <c r="T526" s="176"/>
      <c r="U526" s="176"/>
      <c r="V526" s="176"/>
      <c r="W526" s="176"/>
      <c r="X526" s="176"/>
      <c r="Y526" s="176"/>
      <c r="Z526" s="176"/>
    </row>
    <row r="527" spans="1:26">
      <c r="A527" s="221">
        <v>546</v>
      </c>
      <c r="B527" s="177" t="s">
        <v>6939</v>
      </c>
      <c r="C527" s="177" t="s">
        <v>6940</v>
      </c>
      <c r="D527" s="177" t="s">
        <v>6124</v>
      </c>
      <c r="E527" s="177" t="s">
        <v>2223</v>
      </c>
      <c r="F527" s="177" t="s">
        <v>2224</v>
      </c>
      <c r="G527" s="176"/>
      <c r="H527" s="176"/>
      <c r="I527" s="176"/>
      <c r="J527" s="176"/>
      <c r="K527" s="176"/>
      <c r="L527" s="176"/>
      <c r="M527" s="176"/>
      <c r="N527" s="176"/>
      <c r="O527" s="176"/>
      <c r="P527" s="176"/>
      <c r="Q527" s="176"/>
      <c r="R527" s="176"/>
      <c r="S527" s="176"/>
      <c r="T527" s="176"/>
      <c r="U527" s="176"/>
      <c r="V527" s="176"/>
      <c r="W527" s="176"/>
      <c r="X527" s="176"/>
      <c r="Y527" s="176"/>
      <c r="Z527" s="176"/>
    </row>
    <row r="528" spans="1:26">
      <c r="A528" s="221">
        <v>547</v>
      </c>
      <c r="B528" s="177" t="s">
        <v>6939</v>
      </c>
      <c r="C528" s="177" t="s">
        <v>6940</v>
      </c>
      <c r="D528" s="177" t="s">
        <v>6124</v>
      </c>
      <c r="E528" s="177" t="s">
        <v>2225</v>
      </c>
      <c r="F528" s="177" t="s">
        <v>2226</v>
      </c>
      <c r="G528" s="176"/>
      <c r="H528" s="176"/>
      <c r="I528" s="176"/>
      <c r="J528" s="176"/>
      <c r="K528" s="176"/>
      <c r="L528" s="176"/>
      <c r="M528" s="176"/>
      <c r="N528" s="176"/>
      <c r="O528" s="176"/>
      <c r="P528" s="176"/>
      <c r="Q528" s="176"/>
      <c r="R528" s="176"/>
      <c r="S528" s="176"/>
      <c r="T528" s="176"/>
      <c r="U528" s="176"/>
      <c r="V528" s="176"/>
      <c r="W528" s="176"/>
      <c r="X528" s="176"/>
      <c r="Y528" s="176"/>
      <c r="Z528" s="176"/>
    </row>
    <row r="529" spans="1:26">
      <c r="A529" s="221">
        <v>548</v>
      </c>
      <c r="B529" s="177" t="s">
        <v>6939</v>
      </c>
      <c r="C529" s="177" t="s">
        <v>6940</v>
      </c>
      <c r="D529" s="177" t="s">
        <v>6124</v>
      </c>
      <c r="E529" s="177" t="s">
        <v>2227</v>
      </c>
      <c r="F529" s="177" t="s">
        <v>2228</v>
      </c>
      <c r="G529" s="176"/>
      <c r="H529" s="176"/>
      <c r="I529" s="176"/>
      <c r="J529" s="176"/>
      <c r="K529" s="176"/>
      <c r="L529" s="176"/>
      <c r="M529" s="176"/>
      <c r="N529" s="176"/>
      <c r="O529" s="176"/>
      <c r="P529" s="176"/>
      <c r="Q529" s="176"/>
      <c r="R529" s="176"/>
      <c r="S529" s="176"/>
      <c r="T529" s="176"/>
      <c r="U529" s="176"/>
      <c r="V529" s="176"/>
      <c r="W529" s="176"/>
      <c r="X529" s="176"/>
      <c r="Y529" s="176"/>
      <c r="Z529" s="176"/>
    </row>
    <row r="530" spans="1:26">
      <c r="A530" s="221">
        <v>549</v>
      </c>
      <c r="B530" s="177" t="s">
        <v>6939</v>
      </c>
      <c r="C530" s="177" t="s">
        <v>6940</v>
      </c>
      <c r="D530" s="177" t="s">
        <v>6218</v>
      </c>
      <c r="E530" s="177" t="s">
        <v>2229</v>
      </c>
      <c r="F530" s="177" t="s">
        <v>2230</v>
      </c>
      <c r="G530" s="176"/>
      <c r="H530" s="176"/>
      <c r="I530" s="176"/>
      <c r="J530" s="176"/>
      <c r="K530" s="176"/>
      <c r="L530" s="176"/>
      <c r="M530" s="176"/>
      <c r="N530" s="176"/>
      <c r="O530" s="176"/>
      <c r="P530" s="176"/>
      <c r="Q530" s="176"/>
      <c r="R530" s="176"/>
      <c r="S530" s="176"/>
      <c r="T530" s="176"/>
      <c r="U530" s="176"/>
      <c r="V530" s="176"/>
      <c r="W530" s="176"/>
      <c r="X530" s="176"/>
      <c r="Y530" s="176"/>
      <c r="Z530" s="176"/>
    </row>
    <row r="531" spans="1:26">
      <c r="A531" s="221">
        <v>550</v>
      </c>
      <c r="B531" s="177" t="s">
        <v>6939</v>
      </c>
      <c r="C531" s="177" t="s">
        <v>6940</v>
      </c>
      <c r="D531" s="177" t="s">
        <v>6218</v>
      </c>
      <c r="E531" s="177" t="s">
        <v>2231</v>
      </c>
      <c r="F531" s="177" t="s">
        <v>2232</v>
      </c>
      <c r="G531" s="176"/>
      <c r="H531" s="176"/>
      <c r="I531" s="176"/>
      <c r="J531" s="176"/>
      <c r="K531" s="176"/>
      <c r="L531" s="176"/>
      <c r="M531" s="176"/>
      <c r="N531" s="176"/>
      <c r="O531" s="176"/>
      <c r="P531" s="176"/>
      <c r="Q531" s="176"/>
      <c r="R531" s="176"/>
      <c r="S531" s="176"/>
      <c r="T531" s="176"/>
      <c r="U531" s="176"/>
      <c r="V531" s="176"/>
      <c r="W531" s="176"/>
      <c r="X531" s="176"/>
      <c r="Y531" s="176"/>
      <c r="Z531" s="176"/>
    </row>
    <row r="532" spans="1:26">
      <c r="A532" s="221">
        <v>551</v>
      </c>
      <c r="B532" s="177" t="s">
        <v>6939</v>
      </c>
      <c r="C532" s="177" t="s">
        <v>6940</v>
      </c>
      <c r="D532" s="177" t="s">
        <v>6218</v>
      </c>
      <c r="E532" s="177" t="s">
        <v>6941</v>
      </c>
      <c r="F532" s="177" t="s">
        <v>6942</v>
      </c>
      <c r="G532" s="176"/>
      <c r="H532" s="176"/>
      <c r="I532" s="176"/>
      <c r="J532" s="176"/>
      <c r="K532" s="176"/>
      <c r="L532" s="176"/>
      <c r="M532" s="176"/>
      <c r="N532" s="176"/>
      <c r="O532" s="176"/>
      <c r="P532" s="176"/>
      <c r="Q532" s="176"/>
      <c r="R532" s="176"/>
      <c r="S532" s="176"/>
      <c r="T532" s="176"/>
      <c r="U532" s="176"/>
      <c r="V532" s="176"/>
      <c r="W532" s="176"/>
      <c r="X532" s="176"/>
      <c r="Y532" s="176"/>
      <c r="Z532" s="176"/>
    </row>
    <row r="533" spans="1:26">
      <c r="A533" s="221">
        <v>552</v>
      </c>
      <c r="B533" s="177" t="s">
        <v>6939</v>
      </c>
      <c r="C533" s="177" t="s">
        <v>6940</v>
      </c>
      <c r="D533" s="177" t="s">
        <v>6218</v>
      </c>
      <c r="E533" s="177" t="s">
        <v>6943</v>
      </c>
      <c r="F533" s="177" t="s">
        <v>6944</v>
      </c>
      <c r="G533" s="176"/>
      <c r="H533" s="176"/>
      <c r="I533" s="176"/>
      <c r="J533" s="176"/>
      <c r="K533" s="176"/>
      <c r="L533" s="176"/>
      <c r="M533" s="176"/>
      <c r="N533" s="176"/>
      <c r="O533" s="176"/>
      <c r="P533" s="176"/>
      <c r="Q533" s="176"/>
      <c r="R533" s="176"/>
      <c r="S533" s="176"/>
      <c r="T533" s="176"/>
      <c r="U533" s="176"/>
      <c r="V533" s="176"/>
      <c r="W533" s="176"/>
      <c r="X533" s="176"/>
      <c r="Y533" s="176"/>
      <c r="Z533" s="176"/>
    </row>
    <row r="534" spans="1:26">
      <c r="A534" s="221">
        <v>553</v>
      </c>
      <c r="B534" s="177" t="s">
        <v>6939</v>
      </c>
      <c r="C534" s="177" t="s">
        <v>6940</v>
      </c>
      <c r="D534" s="177" t="s">
        <v>6218</v>
      </c>
      <c r="E534" s="177" t="s">
        <v>6945</v>
      </c>
      <c r="F534" s="177" t="s">
        <v>6946</v>
      </c>
      <c r="G534" s="176"/>
      <c r="H534" s="176"/>
      <c r="I534" s="176"/>
      <c r="J534" s="176"/>
      <c r="K534" s="176"/>
      <c r="L534" s="176"/>
      <c r="M534" s="176"/>
      <c r="N534" s="176"/>
      <c r="O534" s="176"/>
      <c r="P534" s="176"/>
      <c r="Q534" s="176"/>
      <c r="R534" s="176"/>
      <c r="S534" s="176"/>
      <c r="T534" s="176"/>
      <c r="U534" s="176"/>
      <c r="V534" s="176"/>
      <c r="W534" s="176"/>
      <c r="X534" s="176"/>
      <c r="Y534" s="176"/>
      <c r="Z534" s="176"/>
    </row>
    <row r="535" spans="1:26">
      <c r="A535" s="221">
        <v>554</v>
      </c>
      <c r="B535" s="177" t="s">
        <v>6947</v>
      </c>
      <c r="C535" s="177" t="s">
        <v>6948</v>
      </c>
      <c r="D535" s="177" t="s">
        <v>6124</v>
      </c>
      <c r="E535" s="177" t="s">
        <v>2219</v>
      </c>
      <c r="F535" s="177" t="s">
        <v>6949</v>
      </c>
      <c r="G535" s="176"/>
      <c r="H535" s="176"/>
      <c r="I535" s="176"/>
      <c r="J535" s="176"/>
      <c r="K535" s="176"/>
      <c r="L535" s="176"/>
      <c r="M535" s="176"/>
      <c r="N535" s="176"/>
      <c r="O535" s="176"/>
      <c r="P535" s="176"/>
      <c r="Q535" s="176"/>
      <c r="R535" s="176"/>
      <c r="S535" s="176"/>
      <c r="T535" s="176"/>
      <c r="U535" s="176"/>
      <c r="V535" s="176"/>
      <c r="W535" s="176"/>
      <c r="X535" s="176"/>
      <c r="Y535" s="176"/>
      <c r="Z535" s="176"/>
    </row>
    <row r="536" spans="1:26">
      <c r="A536" s="221">
        <v>555</v>
      </c>
      <c r="B536" s="177" t="s">
        <v>6947</v>
      </c>
      <c r="C536" s="177" t="s">
        <v>6948</v>
      </c>
      <c r="D536" s="177" t="s">
        <v>6124</v>
      </c>
      <c r="E536" s="177" t="s">
        <v>2221</v>
      </c>
      <c r="F536" s="177" t="s">
        <v>6950</v>
      </c>
      <c r="G536" s="176"/>
      <c r="H536" s="176"/>
      <c r="I536" s="176"/>
      <c r="J536" s="176"/>
      <c r="K536" s="176"/>
      <c r="L536" s="176"/>
      <c r="M536" s="176"/>
      <c r="N536" s="176"/>
      <c r="O536" s="176"/>
      <c r="P536" s="176"/>
      <c r="Q536" s="176"/>
      <c r="R536" s="176"/>
      <c r="S536" s="176"/>
      <c r="T536" s="176"/>
      <c r="U536" s="176"/>
      <c r="V536" s="176"/>
      <c r="W536" s="176"/>
      <c r="X536" s="176"/>
      <c r="Y536" s="176"/>
      <c r="Z536" s="176"/>
    </row>
    <row r="537" spans="1:26">
      <c r="A537" s="221">
        <v>556</v>
      </c>
      <c r="B537" s="177" t="s">
        <v>6947</v>
      </c>
      <c r="C537" s="177" t="s">
        <v>6948</v>
      </c>
      <c r="D537" s="177" t="s">
        <v>6124</v>
      </c>
      <c r="E537" s="177" t="s">
        <v>2223</v>
      </c>
      <c r="F537" s="177" t="s">
        <v>6951</v>
      </c>
      <c r="G537" s="176"/>
      <c r="H537" s="176"/>
      <c r="I537" s="176"/>
      <c r="J537" s="176"/>
      <c r="K537" s="176"/>
      <c r="L537" s="176"/>
      <c r="M537" s="176"/>
      <c r="N537" s="176"/>
      <c r="O537" s="176"/>
      <c r="P537" s="176"/>
      <c r="Q537" s="176"/>
      <c r="R537" s="176"/>
      <c r="S537" s="176"/>
      <c r="T537" s="176"/>
      <c r="U537" s="176"/>
      <c r="V537" s="176"/>
      <c r="W537" s="176"/>
      <c r="X537" s="176"/>
      <c r="Y537" s="176"/>
      <c r="Z537" s="176"/>
    </row>
    <row r="538" spans="1:26">
      <c r="A538" s="221">
        <v>557</v>
      </c>
      <c r="B538" s="177" t="s">
        <v>6947</v>
      </c>
      <c r="C538" s="177" t="s">
        <v>6948</v>
      </c>
      <c r="D538" s="177" t="s">
        <v>6218</v>
      </c>
      <c r="E538" s="177" t="s">
        <v>2225</v>
      </c>
      <c r="F538" s="177" t="s">
        <v>6952</v>
      </c>
      <c r="G538" s="176"/>
      <c r="H538" s="176"/>
      <c r="I538" s="176"/>
      <c r="J538" s="176"/>
      <c r="K538" s="176"/>
      <c r="L538" s="176"/>
      <c r="M538" s="176"/>
      <c r="N538" s="176"/>
      <c r="O538" s="176"/>
      <c r="P538" s="176"/>
      <c r="Q538" s="176"/>
      <c r="R538" s="176"/>
      <c r="S538" s="176"/>
      <c r="T538" s="176"/>
      <c r="U538" s="176"/>
      <c r="V538" s="176"/>
      <c r="W538" s="176"/>
      <c r="X538" s="176"/>
      <c r="Y538" s="176"/>
      <c r="Z538" s="176"/>
    </row>
    <row r="539" spans="1:26">
      <c r="A539" s="221">
        <v>558</v>
      </c>
      <c r="B539" s="177" t="s">
        <v>6947</v>
      </c>
      <c r="C539" s="177" t="s">
        <v>6948</v>
      </c>
      <c r="D539" s="177" t="s">
        <v>6218</v>
      </c>
      <c r="E539" s="177" t="s">
        <v>2227</v>
      </c>
      <c r="F539" s="177" t="s">
        <v>6953</v>
      </c>
      <c r="G539" s="176"/>
      <c r="H539" s="176"/>
      <c r="I539" s="176"/>
      <c r="J539" s="176"/>
      <c r="K539" s="176"/>
      <c r="L539" s="176"/>
      <c r="M539" s="176"/>
      <c r="N539" s="176"/>
      <c r="O539" s="176"/>
      <c r="P539" s="176"/>
      <c r="Q539" s="176"/>
      <c r="R539" s="176"/>
      <c r="S539" s="176"/>
      <c r="T539" s="176"/>
      <c r="U539" s="176"/>
      <c r="V539" s="176"/>
      <c r="W539" s="176"/>
      <c r="X539" s="176"/>
      <c r="Y539" s="176"/>
      <c r="Z539" s="176"/>
    </row>
    <row r="540" spans="1:26">
      <c r="A540" s="221">
        <v>559</v>
      </c>
      <c r="B540" s="177" t="s">
        <v>6947</v>
      </c>
      <c r="C540" s="177" t="s">
        <v>6948</v>
      </c>
      <c r="D540" s="177" t="s">
        <v>6218</v>
      </c>
      <c r="E540" s="177" t="s">
        <v>2229</v>
      </c>
      <c r="F540" s="177" t="s">
        <v>6954</v>
      </c>
      <c r="G540" s="176"/>
      <c r="H540" s="176"/>
      <c r="I540" s="176"/>
      <c r="J540" s="176"/>
      <c r="K540" s="176"/>
      <c r="L540" s="176"/>
      <c r="M540" s="176"/>
      <c r="N540" s="176"/>
      <c r="O540" s="176"/>
      <c r="P540" s="176"/>
      <c r="Q540" s="176"/>
      <c r="R540" s="176"/>
      <c r="S540" s="176"/>
      <c r="T540" s="176"/>
      <c r="U540" s="176"/>
      <c r="V540" s="176"/>
      <c r="W540" s="176"/>
      <c r="X540" s="176"/>
      <c r="Y540" s="176"/>
      <c r="Z540" s="176"/>
    </row>
    <row r="541" spans="1:26">
      <c r="A541" s="221">
        <v>560</v>
      </c>
      <c r="B541" s="177" t="s">
        <v>6947</v>
      </c>
      <c r="C541" s="177" t="s">
        <v>6948</v>
      </c>
      <c r="D541" s="177" t="s">
        <v>6218</v>
      </c>
      <c r="E541" s="177" t="s">
        <v>2231</v>
      </c>
      <c r="F541" s="177" t="s">
        <v>6955</v>
      </c>
      <c r="G541" s="176"/>
      <c r="H541" s="176"/>
      <c r="I541" s="176"/>
      <c r="J541" s="176"/>
      <c r="K541" s="176"/>
      <c r="L541" s="176"/>
      <c r="M541" s="176"/>
      <c r="N541" s="176"/>
      <c r="O541" s="176"/>
      <c r="P541" s="176"/>
      <c r="Q541" s="176"/>
      <c r="R541" s="176"/>
      <c r="S541" s="176"/>
      <c r="T541" s="176"/>
      <c r="U541" s="176"/>
      <c r="V541" s="176"/>
      <c r="W541" s="176"/>
      <c r="X541" s="176"/>
      <c r="Y541" s="176"/>
      <c r="Z541" s="176"/>
    </row>
    <row r="542" spans="1:26">
      <c r="A542" s="221">
        <v>561</v>
      </c>
      <c r="B542" s="177" t="s">
        <v>6947</v>
      </c>
      <c r="C542" s="177" t="s">
        <v>6948</v>
      </c>
      <c r="D542" s="177" t="s">
        <v>6218</v>
      </c>
      <c r="E542" s="177" t="s">
        <v>6941</v>
      </c>
      <c r="F542" s="177" t="s">
        <v>6956</v>
      </c>
      <c r="G542" s="176"/>
      <c r="H542" s="176"/>
      <c r="I542" s="176"/>
      <c r="J542" s="176"/>
      <c r="K542" s="176"/>
      <c r="L542" s="176"/>
      <c r="M542" s="176"/>
      <c r="N542" s="176"/>
      <c r="O542" s="176"/>
      <c r="P542" s="176"/>
      <c r="Q542" s="176"/>
      <c r="R542" s="176"/>
      <c r="S542" s="176"/>
      <c r="T542" s="176"/>
      <c r="U542" s="176"/>
      <c r="V542" s="176"/>
      <c r="W542" s="176"/>
      <c r="X542" s="176"/>
      <c r="Y542" s="176"/>
      <c r="Z542" s="176"/>
    </row>
    <row r="543" spans="1:26">
      <c r="A543" s="221">
        <v>562</v>
      </c>
      <c r="B543" s="177" t="s">
        <v>6947</v>
      </c>
      <c r="C543" s="177" t="s">
        <v>6948</v>
      </c>
      <c r="D543" s="177" t="s">
        <v>6218</v>
      </c>
      <c r="E543" s="177" t="s">
        <v>6943</v>
      </c>
      <c r="F543" s="177" t="s">
        <v>6957</v>
      </c>
      <c r="G543" s="176"/>
      <c r="H543" s="176"/>
      <c r="I543" s="176"/>
      <c r="J543" s="176"/>
      <c r="K543" s="176"/>
      <c r="L543" s="176"/>
      <c r="M543" s="176"/>
      <c r="N543" s="176"/>
      <c r="O543" s="176"/>
      <c r="P543" s="176"/>
      <c r="Q543" s="176"/>
      <c r="R543" s="176"/>
      <c r="S543" s="176"/>
      <c r="T543" s="176"/>
      <c r="U543" s="176"/>
      <c r="V543" s="176"/>
      <c r="W543" s="176"/>
      <c r="X543" s="176"/>
      <c r="Y543" s="176"/>
      <c r="Z543" s="176"/>
    </row>
    <row r="544" spans="1:26">
      <c r="A544" s="221">
        <v>563</v>
      </c>
      <c r="B544" s="177" t="s">
        <v>6947</v>
      </c>
      <c r="C544" s="177" t="s">
        <v>6948</v>
      </c>
      <c r="D544" s="177" t="s">
        <v>6218</v>
      </c>
      <c r="E544" s="177" t="s">
        <v>6945</v>
      </c>
      <c r="F544" s="177" t="s">
        <v>6958</v>
      </c>
      <c r="G544" s="176"/>
      <c r="H544" s="176"/>
      <c r="I544" s="176"/>
      <c r="J544" s="176"/>
      <c r="K544" s="176"/>
      <c r="L544" s="176"/>
      <c r="M544" s="176"/>
      <c r="N544" s="176"/>
      <c r="O544" s="176"/>
      <c r="P544" s="176"/>
      <c r="Q544" s="176"/>
      <c r="R544" s="176"/>
      <c r="S544" s="176"/>
      <c r="T544" s="176"/>
      <c r="U544" s="176"/>
      <c r="V544" s="176"/>
      <c r="W544" s="176"/>
      <c r="X544" s="176"/>
      <c r="Y544" s="176"/>
      <c r="Z544" s="176"/>
    </row>
    <row r="545" spans="1:26">
      <c r="A545" s="221">
        <v>564</v>
      </c>
      <c r="B545" s="177" t="s">
        <v>6959</v>
      </c>
      <c r="C545" s="177" t="s">
        <v>6960</v>
      </c>
      <c r="D545" s="177" t="s">
        <v>6124</v>
      </c>
      <c r="E545" s="177" t="s">
        <v>2257</v>
      </c>
      <c r="F545" s="177" t="s">
        <v>2258</v>
      </c>
      <c r="G545" s="176"/>
      <c r="H545" s="176"/>
      <c r="I545" s="176"/>
      <c r="J545" s="176"/>
      <c r="K545" s="176"/>
      <c r="L545" s="176"/>
      <c r="M545" s="176"/>
      <c r="N545" s="176"/>
      <c r="O545" s="176"/>
      <c r="P545" s="176"/>
      <c r="Q545" s="176"/>
      <c r="R545" s="176"/>
      <c r="S545" s="176"/>
      <c r="T545" s="176"/>
      <c r="U545" s="176"/>
      <c r="V545" s="176"/>
      <c r="W545" s="176"/>
      <c r="X545" s="176"/>
      <c r="Y545" s="176"/>
      <c r="Z545" s="176"/>
    </row>
    <row r="546" spans="1:26">
      <c r="A546" s="221">
        <v>565</v>
      </c>
      <c r="B546" s="177" t="s">
        <v>6959</v>
      </c>
      <c r="C546" s="177" t="s">
        <v>6960</v>
      </c>
      <c r="D546" s="177" t="s">
        <v>6124</v>
      </c>
      <c r="E546" s="177" t="s">
        <v>2259</v>
      </c>
      <c r="F546" s="177" t="s">
        <v>2260</v>
      </c>
      <c r="G546" s="176"/>
      <c r="H546" s="176"/>
      <c r="I546" s="176"/>
      <c r="J546" s="176"/>
      <c r="K546" s="176"/>
      <c r="L546" s="176"/>
      <c r="M546" s="176"/>
      <c r="N546" s="176"/>
      <c r="O546" s="176"/>
      <c r="P546" s="176"/>
      <c r="Q546" s="176"/>
      <c r="R546" s="176"/>
      <c r="S546" s="176"/>
      <c r="T546" s="176"/>
      <c r="U546" s="176"/>
      <c r="V546" s="176"/>
      <c r="W546" s="176"/>
      <c r="X546" s="176"/>
      <c r="Y546" s="176"/>
      <c r="Z546" s="176"/>
    </row>
    <row r="547" spans="1:26">
      <c r="A547" s="221">
        <v>566</v>
      </c>
      <c r="B547" s="177" t="s">
        <v>6959</v>
      </c>
      <c r="C547" s="177" t="s">
        <v>6960</v>
      </c>
      <c r="D547" s="177" t="s">
        <v>6124</v>
      </c>
      <c r="E547" s="177" t="s">
        <v>2261</v>
      </c>
      <c r="F547" s="177" t="s">
        <v>2262</v>
      </c>
      <c r="G547" s="176"/>
      <c r="H547" s="176"/>
      <c r="I547" s="176"/>
      <c r="J547" s="176"/>
      <c r="K547" s="176"/>
      <c r="L547" s="176"/>
      <c r="M547" s="176"/>
      <c r="N547" s="176"/>
      <c r="O547" s="176"/>
      <c r="P547" s="176"/>
      <c r="Q547" s="176"/>
      <c r="R547" s="176"/>
      <c r="S547" s="176"/>
      <c r="T547" s="176"/>
      <c r="U547" s="176"/>
      <c r="V547" s="176"/>
      <c r="W547" s="176"/>
      <c r="X547" s="176"/>
      <c r="Y547" s="176"/>
      <c r="Z547" s="176"/>
    </row>
    <row r="548" spans="1:26">
      <c r="A548" s="221">
        <v>567</v>
      </c>
      <c r="B548" s="177" t="s">
        <v>6959</v>
      </c>
      <c r="C548" s="177" t="s">
        <v>6960</v>
      </c>
      <c r="D548" s="177" t="s">
        <v>6124</v>
      </c>
      <c r="E548" s="177" t="s">
        <v>2263</v>
      </c>
      <c r="F548" s="177" t="s">
        <v>2264</v>
      </c>
      <c r="G548" s="176"/>
      <c r="H548" s="176"/>
      <c r="I548" s="176"/>
      <c r="J548" s="176"/>
      <c r="K548" s="176"/>
      <c r="L548" s="176"/>
      <c r="M548" s="176"/>
      <c r="N548" s="176"/>
      <c r="O548" s="176"/>
      <c r="P548" s="176"/>
      <c r="Q548" s="176"/>
      <c r="R548" s="176"/>
      <c r="S548" s="176"/>
      <c r="T548" s="176"/>
      <c r="U548" s="176"/>
      <c r="V548" s="176"/>
      <c r="W548" s="176"/>
      <c r="X548" s="176"/>
      <c r="Y548" s="176"/>
      <c r="Z548" s="176"/>
    </row>
    <row r="549" spans="1:26">
      <c r="A549" s="221">
        <v>568</v>
      </c>
      <c r="B549" s="177" t="s">
        <v>6959</v>
      </c>
      <c r="C549" s="177" t="s">
        <v>6960</v>
      </c>
      <c r="D549" s="177" t="s">
        <v>6124</v>
      </c>
      <c r="E549" s="177" t="s">
        <v>2265</v>
      </c>
      <c r="F549" s="177" t="s">
        <v>2266</v>
      </c>
      <c r="G549" s="176"/>
      <c r="H549" s="176"/>
      <c r="I549" s="176"/>
      <c r="J549" s="176"/>
      <c r="K549" s="176"/>
      <c r="L549" s="176"/>
      <c r="M549" s="176"/>
      <c r="N549" s="176"/>
      <c r="O549" s="176"/>
      <c r="P549" s="176"/>
      <c r="Q549" s="176"/>
      <c r="R549" s="176"/>
      <c r="S549" s="176"/>
      <c r="T549" s="176"/>
      <c r="U549" s="176"/>
      <c r="V549" s="176"/>
      <c r="W549" s="176"/>
      <c r="X549" s="176"/>
      <c r="Y549" s="176"/>
      <c r="Z549" s="176"/>
    </row>
    <row r="550" spans="1:26">
      <c r="A550" s="221">
        <v>569</v>
      </c>
      <c r="B550" s="177" t="s">
        <v>6959</v>
      </c>
      <c r="C550" s="177" t="s">
        <v>6960</v>
      </c>
      <c r="D550" s="177" t="s">
        <v>6124</v>
      </c>
      <c r="E550" s="177" t="s">
        <v>2267</v>
      </c>
      <c r="F550" s="177" t="s">
        <v>2268</v>
      </c>
      <c r="G550" s="176"/>
      <c r="H550" s="176"/>
      <c r="I550" s="176"/>
      <c r="J550" s="176"/>
      <c r="K550" s="176"/>
      <c r="L550" s="176"/>
      <c r="M550" s="176"/>
      <c r="N550" s="176"/>
      <c r="O550" s="176"/>
      <c r="P550" s="176"/>
      <c r="Q550" s="176"/>
      <c r="R550" s="176"/>
      <c r="S550" s="176"/>
      <c r="T550" s="176"/>
      <c r="U550" s="176"/>
      <c r="V550" s="176"/>
      <c r="W550" s="176"/>
      <c r="X550" s="176"/>
      <c r="Y550" s="176"/>
      <c r="Z550" s="176"/>
    </row>
    <row r="551" spans="1:26">
      <c r="A551" s="221">
        <v>570</v>
      </c>
      <c r="B551" s="177" t="s">
        <v>6961</v>
      </c>
      <c r="C551" s="177" t="s">
        <v>6962</v>
      </c>
      <c r="D551" s="177" t="s">
        <v>6124</v>
      </c>
      <c r="E551" s="177" t="s">
        <v>2276</v>
      </c>
      <c r="F551" s="177" t="s">
        <v>2277</v>
      </c>
      <c r="G551" s="176"/>
      <c r="H551" s="176"/>
      <c r="I551" s="176"/>
      <c r="J551" s="176"/>
      <c r="K551" s="176"/>
      <c r="L551" s="176"/>
      <c r="M551" s="176"/>
      <c r="N551" s="176"/>
      <c r="O551" s="176"/>
      <c r="P551" s="176"/>
      <c r="Q551" s="176"/>
      <c r="R551" s="176"/>
      <c r="S551" s="176"/>
      <c r="T551" s="176"/>
      <c r="U551" s="176"/>
      <c r="V551" s="176"/>
      <c r="W551" s="176"/>
      <c r="X551" s="176"/>
      <c r="Y551" s="176"/>
      <c r="Z551" s="176"/>
    </row>
    <row r="552" spans="1:26">
      <c r="A552" s="221">
        <v>571</v>
      </c>
      <c r="B552" s="177" t="s">
        <v>6961</v>
      </c>
      <c r="C552" s="177" t="s">
        <v>6962</v>
      </c>
      <c r="D552" s="177" t="s">
        <v>6124</v>
      </c>
      <c r="E552" s="177" t="s">
        <v>2278</v>
      </c>
      <c r="F552" s="177" t="s">
        <v>2279</v>
      </c>
      <c r="G552" s="176"/>
      <c r="H552" s="176"/>
      <c r="I552" s="176"/>
      <c r="J552" s="176"/>
      <c r="K552" s="176"/>
      <c r="L552" s="176"/>
      <c r="M552" s="176"/>
      <c r="N552" s="176"/>
      <c r="O552" s="176"/>
      <c r="P552" s="176"/>
      <c r="Q552" s="176"/>
      <c r="R552" s="176"/>
      <c r="S552" s="176"/>
      <c r="T552" s="176"/>
      <c r="U552" s="176"/>
      <c r="V552" s="176"/>
      <c r="W552" s="176"/>
      <c r="X552" s="176"/>
      <c r="Y552" s="176"/>
      <c r="Z552" s="176"/>
    </row>
    <row r="553" spans="1:26">
      <c r="A553" s="221">
        <v>572</v>
      </c>
      <c r="B553" s="177" t="s">
        <v>6961</v>
      </c>
      <c r="C553" s="177" t="s">
        <v>6962</v>
      </c>
      <c r="D553" s="177" t="s">
        <v>6124</v>
      </c>
      <c r="E553" s="177" t="s">
        <v>854</v>
      </c>
      <c r="F553" s="177" t="s">
        <v>2280</v>
      </c>
      <c r="G553" s="176"/>
      <c r="H553" s="176"/>
      <c r="I553" s="176"/>
      <c r="J553" s="176"/>
      <c r="K553" s="176"/>
      <c r="L553" s="176"/>
      <c r="M553" s="176"/>
      <c r="N553" s="176"/>
      <c r="O553" s="176"/>
      <c r="P553" s="176"/>
      <c r="Q553" s="176"/>
      <c r="R553" s="176"/>
      <c r="S553" s="176"/>
      <c r="T553" s="176"/>
      <c r="U553" s="176"/>
      <c r="V553" s="176"/>
      <c r="W553" s="176"/>
      <c r="X553" s="176"/>
      <c r="Y553" s="176"/>
      <c r="Z553" s="176"/>
    </row>
    <row r="554" spans="1:26">
      <c r="A554" s="149">
        <v>573</v>
      </c>
      <c r="B554" s="103" t="s">
        <v>6963</v>
      </c>
      <c r="C554" s="103" t="s">
        <v>6964</v>
      </c>
      <c r="D554" s="103" t="s">
        <v>6218</v>
      </c>
      <c r="E554" s="103" t="s">
        <v>6965</v>
      </c>
      <c r="F554" s="103" t="s">
        <v>6966</v>
      </c>
    </row>
    <row r="555" spans="1:26">
      <c r="A555" s="149">
        <v>574</v>
      </c>
      <c r="B555" s="103" t="s">
        <v>6963</v>
      </c>
      <c r="C555" s="103" t="s">
        <v>6964</v>
      </c>
      <c r="D555" s="103" t="s">
        <v>6218</v>
      </c>
      <c r="E555" s="103" t="s">
        <v>6967</v>
      </c>
      <c r="F555" s="103" t="s">
        <v>6968</v>
      </c>
    </row>
    <row r="556" spans="1:26">
      <c r="A556" s="149">
        <v>575</v>
      </c>
      <c r="B556" s="103" t="s">
        <v>6963</v>
      </c>
      <c r="C556" s="103" t="s">
        <v>6964</v>
      </c>
      <c r="D556" s="103" t="s">
        <v>6218</v>
      </c>
      <c r="E556" s="103" t="s">
        <v>6969</v>
      </c>
      <c r="F556" s="103" t="s">
        <v>6970</v>
      </c>
    </row>
    <row r="557" spans="1:26">
      <c r="A557" s="149">
        <v>576</v>
      </c>
      <c r="B557" s="103" t="s">
        <v>6963</v>
      </c>
      <c r="C557" s="103" t="s">
        <v>6964</v>
      </c>
      <c r="D557" s="103" t="s">
        <v>6124</v>
      </c>
      <c r="E557" s="103" t="s">
        <v>6971</v>
      </c>
      <c r="F557" s="103" t="s">
        <v>6972</v>
      </c>
    </row>
    <row r="558" spans="1:26">
      <c r="A558" s="149">
        <v>577</v>
      </c>
      <c r="B558" s="103" t="s">
        <v>6973</v>
      </c>
      <c r="C558" s="103" t="s">
        <v>6974</v>
      </c>
      <c r="D558" s="103" t="s">
        <v>6218</v>
      </c>
      <c r="E558" s="103" t="s">
        <v>1676</v>
      </c>
      <c r="F558" s="103" t="s">
        <v>6975</v>
      </c>
    </row>
    <row r="559" spans="1:26">
      <c r="A559" s="149">
        <v>578</v>
      </c>
      <c r="B559" s="103" t="s">
        <v>6973</v>
      </c>
      <c r="C559" s="103" t="s">
        <v>6974</v>
      </c>
      <c r="D559" s="103" t="s">
        <v>6218</v>
      </c>
      <c r="E559" s="103" t="s">
        <v>1678</v>
      </c>
      <c r="F559" s="103" t="s">
        <v>6976</v>
      </c>
    </row>
    <row r="560" spans="1:26">
      <c r="A560" s="149">
        <v>579</v>
      </c>
      <c r="B560" s="103" t="s">
        <v>6977</v>
      </c>
      <c r="C560" s="103" t="s">
        <v>6978</v>
      </c>
      <c r="D560" s="103" t="s">
        <v>6218</v>
      </c>
      <c r="E560" s="103" t="s">
        <v>6416</v>
      </c>
      <c r="F560" s="103" t="s">
        <v>6979</v>
      </c>
    </row>
    <row r="561" spans="1:6">
      <c r="A561" s="149">
        <v>580</v>
      </c>
      <c r="B561" s="103" t="s">
        <v>6977</v>
      </c>
      <c r="C561" s="103" t="s">
        <v>6978</v>
      </c>
      <c r="D561" s="103" t="s">
        <v>6218</v>
      </c>
      <c r="E561" s="103" t="s">
        <v>6980</v>
      </c>
      <c r="F561" s="103" t="s">
        <v>6981</v>
      </c>
    </row>
    <row r="562" spans="1:6">
      <c r="A562" s="149">
        <v>581</v>
      </c>
      <c r="B562" s="103" t="s">
        <v>6977</v>
      </c>
      <c r="C562" s="103" t="s">
        <v>6978</v>
      </c>
      <c r="D562" s="103" t="s">
        <v>6218</v>
      </c>
      <c r="E562" s="103" t="s">
        <v>6982</v>
      </c>
      <c r="F562" s="103" t="s">
        <v>6983</v>
      </c>
    </row>
    <row r="563" spans="1:6">
      <c r="A563" s="149">
        <v>582</v>
      </c>
      <c r="B563" s="103" t="s">
        <v>6977</v>
      </c>
      <c r="C563" s="103" t="s">
        <v>6978</v>
      </c>
      <c r="D563" s="103" t="s">
        <v>6218</v>
      </c>
      <c r="E563" s="103" t="s">
        <v>6420</v>
      </c>
      <c r="F563" s="103" t="s">
        <v>6984</v>
      </c>
    </row>
    <row r="564" spans="1:6">
      <c r="A564" s="149">
        <v>583</v>
      </c>
      <c r="B564" s="103" t="s">
        <v>6977</v>
      </c>
      <c r="C564" s="103" t="s">
        <v>6978</v>
      </c>
      <c r="D564" s="103" t="s">
        <v>6218</v>
      </c>
      <c r="E564" s="103" t="s">
        <v>6985</v>
      </c>
      <c r="F564" s="103" t="s">
        <v>6986</v>
      </c>
    </row>
    <row r="565" spans="1:6">
      <c r="A565" s="149">
        <v>584</v>
      </c>
      <c r="B565" s="103" t="s">
        <v>6977</v>
      </c>
      <c r="C565" s="103" t="s">
        <v>6978</v>
      </c>
      <c r="D565" s="103" t="s">
        <v>6218</v>
      </c>
      <c r="E565" s="103" t="s">
        <v>6987</v>
      </c>
      <c r="F565" s="103" t="s">
        <v>6988</v>
      </c>
    </row>
    <row r="566" spans="1:6">
      <c r="A566" s="149">
        <v>585</v>
      </c>
      <c r="B566" s="103" t="s">
        <v>6977</v>
      </c>
      <c r="C566" s="103" t="s">
        <v>6978</v>
      </c>
      <c r="D566" s="103" t="s">
        <v>6218</v>
      </c>
      <c r="E566" s="103" t="s">
        <v>6989</v>
      </c>
      <c r="F566" s="103" t="s">
        <v>6990</v>
      </c>
    </row>
    <row r="567" spans="1:6">
      <c r="A567" s="149">
        <v>586</v>
      </c>
      <c r="B567" s="103" t="s">
        <v>6977</v>
      </c>
      <c r="C567" s="103" t="s">
        <v>6978</v>
      </c>
      <c r="D567" s="103" t="s">
        <v>6218</v>
      </c>
      <c r="E567" s="103" t="s">
        <v>6991</v>
      </c>
      <c r="F567" s="103" t="s">
        <v>6992</v>
      </c>
    </row>
    <row r="568" spans="1:6">
      <c r="A568" s="149">
        <v>587</v>
      </c>
      <c r="B568" s="103" t="s">
        <v>6977</v>
      </c>
      <c r="C568" s="103" t="s">
        <v>6978</v>
      </c>
      <c r="D568" s="103" t="s">
        <v>6218</v>
      </c>
      <c r="E568" s="103" t="s">
        <v>6993</v>
      </c>
      <c r="F568" s="103" t="s">
        <v>6994</v>
      </c>
    </row>
    <row r="569" spans="1:6">
      <c r="A569" s="149">
        <v>588</v>
      </c>
      <c r="B569" s="103" t="s">
        <v>6995</v>
      </c>
      <c r="C569" s="103" t="s">
        <v>6996</v>
      </c>
      <c r="D569" s="103" t="s">
        <v>6218</v>
      </c>
      <c r="E569" s="103" t="s">
        <v>6420</v>
      </c>
      <c r="F569" s="103" t="s">
        <v>6997</v>
      </c>
    </row>
    <row r="570" spans="1:6">
      <c r="A570" s="149">
        <v>589</v>
      </c>
      <c r="B570" s="103" t="s">
        <v>6995</v>
      </c>
      <c r="C570" s="103" t="s">
        <v>6996</v>
      </c>
      <c r="D570" s="103" t="s">
        <v>6218</v>
      </c>
      <c r="E570" s="103" t="s">
        <v>6416</v>
      </c>
      <c r="F570" s="103" t="s">
        <v>6998</v>
      </c>
    </row>
    <row r="571" spans="1:6">
      <c r="A571" s="149">
        <v>590</v>
      </c>
      <c r="B571" s="103" t="s">
        <v>6995</v>
      </c>
      <c r="C571" s="103" t="s">
        <v>6996</v>
      </c>
      <c r="D571" s="103" t="s">
        <v>6218</v>
      </c>
      <c r="E571" s="103" t="s">
        <v>6420</v>
      </c>
      <c r="F571" s="103" t="s">
        <v>6999</v>
      </c>
    </row>
    <row r="572" spans="1:6">
      <c r="A572" s="149">
        <v>591</v>
      </c>
      <c r="B572" s="103" t="s">
        <v>6995</v>
      </c>
      <c r="C572" s="103" t="s">
        <v>6996</v>
      </c>
      <c r="D572" s="103" t="s">
        <v>6218</v>
      </c>
      <c r="E572" s="103" t="s">
        <v>6982</v>
      </c>
      <c r="F572" s="103" t="s">
        <v>7000</v>
      </c>
    </row>
    <row r="573" spans="1:6">
      <c r="A573" s="149">
        <v>592</v>
      </c>
      <c r="B573" s="103" t="s">
        <v>6995</v>
      </c>
      <c r="C573" s="103" t="s">
        <v>6996</v>
      </c>
      <c r="D573" s="103" t="s">
        <v>6218</v>
      </c>
      <c r="E573" s="103" t="s">
        <v>6985</v>
      </c>
      <c r="F573" s="103" t="s">
        <v>7001</v>
      </c>
    </row>
    <row r="574" spans="1:6">
      <c r="A574" s="149">
        <v>593</v>
      </c>
      <c r="B574" s="103" t="s">
        <v>6995</v>
      </c>
      <c r="C574" s="103" t="s">
        <v>6996</v>
      </c>
      <c r="D574" s="103" t="s">
        <v>6218</v>
      </c>
      <c r="E574" s="103" t="s">
        <v>6987</v>
      </c>
      <c r="F574" s="103" t="s">
        <v>7002</v>
      </c>
    </row>
    <row r="575" spans="1:6">
      <c r="A575" s="149">
        <v>594</v>
      </c>
      <c r="B575" s="103" t="s">
        <v>6995</v>
      </c>
      <c r="C575" s="103" t="s">
        <v>6996</v>
      </c>
      <c r="D575" s="103" t="s">
        <v>6218</v>
      </c>
      <c r="E575" s="103" t="s">
        <v>6989</v>
      </c>
      <c r="F575" s="103" t="s">
        <v>7003</v>
      </c>
    </row>
    <row r="576" spans="1:6">
      <c r="A576" s="149">
        <v>595</v>
      </c>
      <c r="B576" s="103" t="s">
        <v>6995</v>
      </c>
      <c r="C576" s="103" t="s">
        <v>6996</v>
      </c>
      <c r="D576" s="103" t="s">
        <v>6218</v>
      </c>
      <c r="E576" s="103" t="s">
        <v>6991</v>
      </c>
      <c r="F576" s="103" t="s">
        <v>7004</v>
      </c>
    </row>
    <row r="577" spans="1:6">
      <c r="A577" s="149">
        <v>596</v>
      </c>
      <c r="B577" s="103" t="s">
        <v>6995</v>
      </c>
      <c r="C577" s="103" t="s">
        <v>6996</v>
      </c>
      <c r="D577" s="103" t="s">
        <v>6218</v>
      </c>
      <c r="E577" s="103" t="s">
        <v>6993</v>
      </c>
      <c r="F577" s="103" t="s">
        <v>7005</v>
      </c>
    </row>
    <row r="578" spans="1:6">
      <c r="A578" s="149">
        <v>597</v>
      </c>
      <c r="B578" s="103" t="s">
        <v>6995</v>
      </c>
      <c r="C578" s="103" t="s">
        <v>6996</v>
      </c>
      <c r="D578" s="103" t="s">
        <v>6218</v>
      </c>
      <c r="E578" s="103" t="s">
        <v>7006</v>
      </c>
      <c r="F578" s="103" t="s">
        <v>7007</v>
      </c>
    </row>
    <row r="579" spans="1:6">
      <c r="A579" s="149">
        <v>598</v>
      </c>
      <c r="B579" s="103" t="s">
        <v>6995</v>
      </c>
      <c r="C579" s="103" t="s">
        <v>6996</v>
      </c>
      <c r="D579" s="103" t="s">
        <v>6218</v>
      </c>
      <c r="E579" s="103" t="s">
        <v>7008</v>
      </c>
      <c r="F579" s="103" t="s">
        <v>7009</v>
      </c>
    </row>
    <row r="580" spans="1:6">
      <c r="A580" s="149">
        <v>599</v>
      </c>
      <c r="B580" s="103" t="s">
        <v>6995</v>
      </c>
      <c r="C580" s="103" t="s">
        <v>6996</v>
      </c>
      <c r="D580" s="103" t="s">
        <v>6218</v>
      </c>
      <c r="E580" s="103" t="s">
        <v>7010</v>
      </c>
      <c r="F580" s="103" t="s">
        <v>7011</v>
      </c>
    </row>
    <row r="581" spans="1:6">
      <c r="A581" s="149">
        <v>600</v>
      </c>
      <c r="B581" s="103" t="s">
        <v>7012</v>
      </c>
      <c r="C581" s="103" t="s">
        <v>7013</v>
      </c>
      <c r="D581" s="103" t="s">
        <v>6218</v>
      </c>
      <c r="E581" s="103" t="s">
        <v>7014</v>
      </c>
      <c r="F581" s="103" t="s">
        <v>7015</v>
      </c>
    </row>
    <row r="582" spans="1:6">
      <c r="A582" s="149">
        <v>601</v>
      </c>
      <c r="B582" s="103" t="s">
        <v>7012</v>
      </c>
      <c r="C582" s="103" t="s">
        <v>7013</v>
      </c>
      <c r="D582" s="103" t="s">
        <v>6218</v>
      </c>
      <c r="E582" s="103" t="s">
        <v>7016</v>
      </c>
      <c r="F582" s="103" t="s">
        <v>7017</v>
      </c>
    </row>
    <row r="583" spans="1:6">
      <c r="A583" s="149">
        <v>602</v>
      </c>
      <c r="B583" s="103" t="s">
        <v>7012</v>
      </c>
      <c r="C583" s="103" t="s">
        <v>7013</v>
      </c>
      <c r="D583" s="103" t="s">
        <v>6218</v>
      </c>
      <c r="E583" s="103" t="s">
        <v>7018</v>
      </c>
      <c r="F583" s="103" t="s">
        <v>7019</v>
      </c>
    </row>
    <row r="584" spans="1:6">
      <c r="A584" s="149">
        <v>603</v>
      </c>
      <c r="B584" s="103" t="s">
        <v>7012</v>
      </c>
      <c r="C584" s="103" t="s">
        <v>7013</v>
      </c>
      <c r="D584" s="103" t="s">
        <v>6218</v>
      </c>
      <c r="E584" s="103" t="s">
        <v>7020</v>
      </c>
      <c r="F584" s="103" t="s">
        <v>7021</v>
      </c>
    </row>
    <row r="585" spans="1:6">
      <c r="A585" s="149">
        <v>604</v>
      </c>
      <c r="B585" s="103" t="s">
        <v>7012</v>
      </c>
      <c r="C585" s="103" t="s">
        <v>7013</v>
      </c>
      <c r="D585" s="103" t="s">
        <v>6218</v>
      </c>
      <c r="E585" s="103" t="s">
        <v>7022</v>
      </c>
      <c r="F585" s="103" t="s">
        <v>7023</v>
      </c>
    </row>
    <row r="586" spans="1:6">
      <c r="A586" s="149">
        <v>605</v>
      </c>
      <c r="B586" s="103" t="s">
        <v>7012</v>
      </c>
      <c r="C586" s="103" t="s">
        <v>7013</v>
      </c>
      <c r="D586" s="103" t="s">
        <v>6218</v>
      </c>
      <c r="E586" s="103" t="s">
        <v>7024</v>
      </c>
      <c r="F586" s="103" t="s">
        <v>7025</v>
      </c>
    </row>
    <row r="587" spans="1:6">
      <c r="A587" s="149">
        <v>606</v>
      </c>
      <c r="B587" s="103" t="s">
        <v>7026</v>
      </c>
      <c r="C587" s="103" t="s">
        <v>7027</v>
      </c>
      <c r="D587" s="103" t="s">
        <v>6218</v>
      </c>
      <c r="E587" s="103" t="s">
        <v>6680</v>
      </c>
      <c r="F587" s="103" t="s">
        <v>7028</v>
      </c>
    </row>
    <row r="588" spans="1:6">
      <c r="A588" s="149">
        <v>607</v>
      </c>
      <c r="B588" s="103" t="s">
        <v>7029</v>
      </c>
      <c r="C588" s="103" t="s">
        <v>7030</v>
      </c>
      <c r="D588" s="103" t="s">
        <v>6124</v>
      </c>
      <c r="E588" s="103" t="s">
        <v>7031</v>
      </c>
      <c r="F588" s="103" t="s">
        <v>7032</v>
      </c>
    </row>
    <row r="589" spans="1:6">
      <c r="A589" s="149">
        <v>608</v>
      </c>
      <c r="B589" s="103" t="s">
        <v>7029</v>
      </c>
      <c r="C589" s="103" t="s">
        <v>7030</v>
      </c>
      <c r="D589" s="103" t="s">
        <v>6124</v>
      </c>
      <c r="E589" s="103" t="s">
        <v>7033</v>
      </c>
      <c r="F589" s="103" t="s">
        <v>7034</v>
      </c>
    </row>
    <row r="590" spans="1:6">
      <c r="A590" s="149">
        <v>609</v>
      </c>
      <c r="B590" s="103" t="s">
        <v>7029</v>
      </c>
      <c r="C590" s="103" t="s">
        <v>7030</v>
      </c>
      <c r="D590" s="103" t="s">
        <v>6124</v>
      </c>
      <c r="E590" s="103" t="s">
        <v>7035</v>
      </c>
      <c r="F590" s="103" t="s">
        <v>7036</v>
      </c>
    </row>
    <row r="591" spans="1:6">
      <c r="A591" s="149">
        <v>610</v>
      </c>
      <c r="B591" s="103" t="s">
        <v>7037</v>
      </c>
      <c r="C591" s="103" t="s">
        <v>7038</v>
      </c>
      <c r="D591" s="103" t="s">
        <v>6218</v>
      </c>
      <c r="E591" s="103" t="s">
        <v>7039</v>
      </c>
      <c r="F591" s="103" t="s">
        <v>7040</v>
      </c>
    </row>
    <row r="592" spans="1:6">
      <c r="A592" s="149">
        <v>611</v>
      </c>
      <c r="B592" s="103" t="s">
        <v>7037</v>
      </c>
      <c r="C592" s="103" t="s">
        <v>7038</v>
      </c>
      <c r="D592" s="103" t="s">
        <v>6218</v>
      </c>
      <c r="E592" s="103" t="s">
        <v>7041</v>
      </c>
      <c r="F592" s="103" t="s">
        <v>7042</v>
      </c>
    </row>
    <row r="593" spans="1:6">
      <c r="A593" s="149">
        <v>612</v>
      </c>
      <c r="B593" s="103" t="s">
        <v>7037</v>
      </c>
      <c r="C593" s="103" t="s">
        <v>7038</v>
      </c>
      <c r="D593" s="103" t="s">
        <v>6218</v>
      </c>
      <c r="E593" s="103" t="s">
        <v>7043</v>
      </c>
      <c r="F593" s="103" t="s">
        <v>7044</v>
      </c>
    </row>
    <row r="594" spans="1:6">
      <c r="A594" s="149">
        <v>613</v>
      </c>
      <c r="B594" s="103" t="s">
        <v>7037</v>
      </c>
      <c r="C594" s="103" t="s">
        <v>7038</v>
      </c>
      <c r="D594" s="103" t="s">
        <v>6218</v>
      </c>
      <c r="E594" s="103" t="s">
        <v>7045</v>
      </c>
      <c r="F594" s="103" t="s">
        <v>7046</v>
      </c>
    </row>
    <row r="595" spans="1:6">
      <c r="A595" s="149">
        <v>614</v>
      </c>
      <c r="B595" s="103" t="s">
        <v>7037</v>
      </c>
      <c r="C595" s="103" t="s">
        <v>7038</v>
      </c>
      <c r="D595" s="103" t="s">
        <v>6218</v>
      </c>
      <c r="E595" s="103" t="s">
        <v>7047</v>
      </c>
      <c r="F595" s="103" t="s">
        <v>7048</v>
      </c>
    </row>
    <row r="596" spans="1:6">
      <c r="A596" s="149">
        <v>615</v>
      </c>
      <c r="B596" s="103" t="s">
        <v>7037</v>
      </c>
      <c r="C596" s="103" t="s">
        <v>7038</v>
      </c>
      <c r="D596" s="103" t="s">
        <v>6218</v>
      </c>
      <c r="E596" s="103" t="s">
        <v>7049</v>
      </c>
      <c r="F596" s="103" t="s">
        <v>7050</v>
      </c>
    </row>
    <row r="597" spans="1:6">
      <c r="A597" s="149">
        <v>616</v>
      </c>
      <c r="B597" s="103" t="s">
        <v>7037</v>
      </c>
      <c r="C597" s="103" t="s">
        <v>7038</v>
      </c>
      <c r="D597" s="103" t="s">
        <v>6218</v>
      </c>
      <c r="E597" s="103" t="s">
        <v>7051</v>
      </c>
      <c r="F597" s="103" t="s">
        <v>7052</v>
      </c>
    </row>
    <row r="598" spans="1:6">
      <c r="A598" s="149">
        <v>617</v>
      </c>
      <c r="B598" s="103" t="s">
        <v>7053</v>
      </c>
      <c r="C598" s="103" t="s">
        <v>7054</v>
      </c>
      <c r="D598" s="103" t="s">
        <v>6218</v>
      </c>
      <c r="E598" s="103" t="s">
        <v>1036</v>
      </c>
      <c r="F598" s="103" t="s">
        <v>7055</v>
      </c>
    </row>
    <row r="599" spans="1:6">
      <c r="A599" s="149">
        <v>618</v>
      </c>
      <c r="B599" s="103" t="s">
        <v>7053</v>
      </c>
      <c r="C599" s="103" t="s">
        <v>7054</v>
      </c>
      <c r="D599" s="103" t="s">
        <v>6218</v>
      </c>
      <c r="E599" s="103" t="s">
        <v>1038</v>
      </c>
      <c r="F599" s="103" t="s">
        <v>7056</v>
      </c>
    </row>
    <row r="600" spans="1:6">
      <c r="A600" s="149">
        <v>619</v>
      </c>
      <c r="B600" s="103" t="s">
        <v>7053</v>
      </c>
      <c r="C600" s="103" t="s">
        <v>7054</v>
      </c>
      <c r="D600" s="103" t="s">
        <v>6218</v>
      </c>
      <c r="E600" s="103" t="s">
        <v>1040</v>
      </c>
      <c r="F600" s="103" t="s">
        <v>7057</v>
      </c>
    </row>
    <row r="601" spans="1:6">
      <c r="A601" s="149">
        <v>620</v>
      </c>
      <c r="B601" s="103" t="s">
        <v>7053</v>
      </c>
      <c r="C601" s="103" t="s">
        <v>7054</v>
      </c>
      <c r="D601" s="103" t="s">
        <v>6218</v>
      </c>
      <c r="E601" s="103" t="s">
        <v>1042</v>
      </c>
      <c r="F601" s="103" t="s">
        <v>7058</v>
      </c>
    </row>
    <row r="602" spans="1:6">
      <c r="A602" s="149">
        <v>621</v>
      </c>
      <c r="B602" s="103" t="s">
        <v>7053</v>
      </c>
      <c r="C602" s="103" t="s">
        <v>7054</v>
      </c>
      <c r="D602" s="103" t="s">
        <v>6218</v>
      </c>
      <c r="E602" s="103" t="s">
        <v>1044</v>
      </c>
      <c r="F602" s="103" t="s">
        <v>7059</v>
      </c>
    </row>
    <row r="603" spans="1:6">
      <c r="A603" s="149">
        <v>622</v>
      </c>
      <c r="B603" s="103" t="s">
        <v>7053</v>
      </c>
      <c r="C603" s="103" t="s">
        <v>7054</v>
      </c>
      <c r="D603" s="103" t="s">
        <v>6218</v>
      </c>
      <c r="E603" s="103" t="s">
        <v>1046</v>
      </c>
      <c r="F603" s="103" t="s">
        <v>7060</v>
      </c>
    </row>
    <row r="604" spans="1:6">
      <c r="A604" s="149">
        <v>623</v>
      </c>
      <c r="B604" s="103" t="s">
        <v>7053</v>
      </c>
      <c r="C604" s="103" t="s">
        <v>7054</v>
      </c>
      <c r="D604" s="103" t="s">
        <v>6218</v>
      </c>
      <c r="E604" s="103" t="s">
        <v>1048</v>
      </c>
      <c r="F604" s="103" t="s">
        <v>7061</v>
      </c>
    </row>
    <row r="605" spans="1:6">
      <c r="A605" s="149">
        <v>624</v>
      </c>
      <c r="B605" s="103" t="s">
        <v>7062</v>
      </c>
      <c r="C605" s="103" t="s">
        <v>7063</v>
      </c>
      <c r="D605" s="103" t="s">
        <v>6218</v>
      </c>
      <c r="E605" s="103" t="s">
        <v>7064</v>
      </c>
      <c r="F605" s="103" t="s">
        <v>7065</v>
      </c>
    </row>
    <row r="606" spans="1:6">
      <c r="A606" s="149">
        <v>625</v>
      </c>
      <c r="B606" s="103" t="s">
        <v>7062</v>
      </c>
      <c r="C606" s="103" t="s">
        <v>7063</v>
      </c>
      <c r="D606" s="103" t="s">
        <v>6218</v>
      </c>
      <c r="E606" s="103" t="s">
        <v>7066</v>
      </c>
      <c r="F606" s="103" t="s">
        <v>7067</v>
      </c>
    </row>
    <row r="607" spans="1:6">
      <c r="A607" s="149">
        <v>626</v>
      </c>
      <c r="B607" s="103" t="s">
        <v>7062</v>
      </c>
      <c r="C607" s="103" t="s">
        <v>7063</v>
      </c>
      <c r="D607" s="103" t="s">
        <v>6218</v>
      </c>
      <c r="E607" s="103" t="s">
        <v>7068</v>
      </c>
      <c r="F607" s="103" t="s">
        <v>7069</v>
      </c>
    </row>
    <row r="608" spans="1:6">
      <c r="A608" s="149">
        <v>627</v>
      </c>
      <c r="B608" s="103" t="s">
        <v>7062</v>
      </c>
      <c r="C608" s="103" t="s">
        <v>7063</v>
      </c>
      <c r="D608" s="103" t="s">
        <v>6218</v>
      </c>
      <c r="E608" s="103" t="s">
        <v>7070</v>
      </c>
      <c r="F608" s="103" t="s">
        <v>7071</v>
      </c>
    </row>
    <row r="609" spans="1:6">
      <c r="A609" s="149">
        <v>628</v>
      </c>
      <c r="B609" s="103" t="s">
        <v>7062</v>
      </c>
      <c r="C609" s="103" t="s">
        <v>7063</v>
      </c>
      <c r="D609" s="103" t="s">
        <v>6218</v>
      </c>
      <c r="E609" s="103" t="s">
        <v>7072</v>
      </c>
      <c r="F609" s="103" t="s">
        <v>7073</v>
      </c>
    </row>
    <row r="610" spans="1:6">
      <c r="A610" s="149">
        <v>629</v>
      </c>
      <c r="B610" s="103" t="s">
        <v>7074</v>
      </c>
      <c r="C610" s="103" t="s">
        <v>7075</v>
      </c>
      <c r="D610" s="103" t="s">
        <v>6218</v>
      </c>
      <c r="E610" s="103" t="s">
        <v>7076</v>
      </c>
      <c r="F610" s="103" t="s">
        <v>7077</v>
      </c>
    </row>
    <row r="611" spans="1:6">
      <c r="A611" s="149">
        <v>630</v>
      </c>
      <c r="B611" s="103" t="s">
        <v>7074</v>
      </c>
      <c r="C611" s="103" t="s">
        <v>7075</v>
      </c>
      <c r="D611" s="103" t="s">
        <v>6218</v>
      </c>
      <c r="E611" s="103" t="s">
        <v>7078</v>
      </c>
      <c r="F611" s="103" t="s">
        <v>7079</v>
      </c>
    </row>
    <row r="612" spans="1:6">
      <c r="A612" s="149">
        <v>631</v>
      </c>
      <c r="B612" s="103" t="s">
        <v>7074</v>
      </c>
      <c r="C612" s="103" t="s">
        <v>7075</v>
      </c>
      <c r="D612" s="103" t="s">
        <v>6218</v>
      </c>
      <c r="E612" s="103" t="s">
        <v>7080</v>
      </c>
      <c r="F612" s="103" t="s">
        <v>7081</v>
      </c>
    </row>
    <row r="613" spans="1:6">
      <c r="A613" s="149">
        <v>632</v>
      </c>
      <c r="B613" s="103" t="s">
        <v>7074</v>
      </c>
      <c r="C613" s="103" t="s">
        <v>7075</v>
      </c>
      <c r="D613" s="103" t="s">
        <v>6218</v>
      </c>
      <c r="E613" s="103" t="s">
        <v>7082</v>
      </c>
      <c r="F613" s="103" t="s">
        <v>7083</v>
      </c>
    </row>
    <row r="614" spans="1:6">
      <c r="A614" s="149">
        <v>633</v>
      </c>
      <c r="B614" s="103" t="s">
        <v>7084</v>
      </c>
      <c r="C614" s="103" t="s">
        <v>7085</v>
      </c>
      <c r="D614" s="103" t="s">
        <v>6124</v>
      </c>
      <c r="E614" s="103" t="s">
        <v>1081</v>
      </c>
      <c r="F614" s="103" t="s">
        <v>7086</v>
      </c>
    </row>
    <row r="615" spans="1:6">
      <c r="A615" s="149">
        <v>634</v>
      </c>
      <c r="B615" s="103" t="s">
        <v>7087</v>
      </c>
      <c r="C615" s="103" t="s">
        <v>7088</v>
      </c>
      <c r="D615" s="103" t="s">
        <v>6218</v>
      </c>
      <c r="E615" s="103" t="s">
        <v>1229</v>
      </c>
      <c r="F615" s="103" t="s">
        <v>7089</v>
      </c>
    </row>
    <row r="616" spans="1:6">
      <c r="A616" s="149">
        <v>635</v>
      </c>
      <c r="B616" s="103" t="s">
        <v>7087</v>
      </c>
      <c r="C616" s="103" t="s">
        <v>7088</v>
      </c>
      <c r="D616" s="103" t="s">
        <v>6218</v>
      </c>
      <c r="E616" s="103" t="s">
        <v>7090</v>
      </c>
      <c r="F616" s="103" t="s">
        <v>7091</v>
      </c>
    </row>
    <row r="617" spans="1:6">
      <c r="A617" s="149">
        <v>636</v>
      </c>
      <c r="B617" s="103" t="s">
        <v>7092</v>
      </c>
      <c r="C617" s="103" t="s">
        <v>7093</v>
      </c>
      <c r="D617" s="103" t="s">
        <v>6218</v>
      </c>
      <c r="E617" s="103" t="s">
        <v>7094</v>
      </c>
      <c r="F617" s="103" t="s">
        <v>7095</v>
      </c>
    </row>
    <row r="618" spans="1:6">
      <c r="A618" s="149">
        <v>637</v>
      </c>
      <c r="B618" s="103" t="s">
        <v>7092</v>
      </c>
      <c r="C618" s="103" t="s">
        <v>7093</v>
      </c>
      <c r="D618" s="103" t="s">
        <v>6218</v>
      </c>
      <c r="E618" s="103" t="s">
        <v>7096</v>
      </c>
      <c r="F618" s="103" t="s">
        <v>7097</v>
      </c>
    </row>
    <row r="619" spans="1:6">
      <c r="A619" s="149">
        <v>638</v>
      </c>
      <c r="B619" s="103" t="s">
        <v>7098</v>
      </c>
      <c r="C619" s="103" t="s">
        <v>7099</v>
      </c>
      <c r="D619" s="103" t="s">
        <v>6218</v>
      </c>
      <c r="E619" s="103" t="s">
        <v>7100</v>
      </c>
      <c r="F619" s="103" t="s">
        <v>7101</v>
      </c>
    </row>
    <row r="620" spans="1:6">
      <c r="A620" s="149">
        <v>639</v>
      </c>
      <c r="B620" s="103" t="s">
        <v>7098</v>
      </c>
      <c r="C620" s="103" t="s">
        <v>7099</v>
      </c>
      <c r="D620" s="103" t="s">
        <v>6218</v>
      </c>
      <c r="E620" s="103" t="s">
        <v>7096</v>
      </c>
      <c r="F620" s="103" t="s">
        <v>7102</v>
      </c>
    </row>
    <row r="621" spans="1:6">
      <c r="A621" s="149">
        <v>640</v>
      </c>
      <c r="B621" s="103" t="s">
        <v>7098</v>
      </c>
      <c r="C621" s="103" t="s">
        <v>7099</v>
      </c>
      <c r="D621" s="103" t="s">
        <v>6218</v>
      </c>
      <c r="E621" s="103" t="s">
        <v>7103</v>
      </c>
      <c r="F621" s="103" t="s">
        <v>7104</v>
      </c>
    </row>
    <row r="622" spans="1:6">
      <c r="A622" s="149">
        <v>641</v>
      </c>
      <c r="B622" s="103" t="s">
        <v>7098</v>
      </c>
      <c r="C622" s="103" t="s">
        <v>7099</v>
      </c>
      <c r="D622" s="103" t="s">
        <v>6218</v>
      </c>
      <c r="E622" s="103" t="s">
        <v>7105</v>
      </c>
      <c r="F622" s="103" t="s">
        <v>7106</v>
      </c>
    </row>
    <row r="623" spans="1:6">
      <c r="A623" s="149">
        <v>642</v>
      </c>
      <c r="B623" s="103" t="s">
        <v>7098</v>
      </c>
      <c r="C623" s="103" t="s">
        <v>7099</v>
      </c>
      <c r="D623" s="103" t="s">
        <v>6218</v>
      </c>
      <c r="E623" s="103" t="s">
        <v>4550</v>
      </c>
      <c r="F623" s="103" t="s">
        <v>7107</v>
      </c>
    </row>
    <row r="624" spans="1:6">
      <c r="A624" s="149">
        <v>643</v>
      </c>
      <c r="B624" s="103" t="s">
        <v>7098</v>
      </c>
      <c r="C624" s="103" t="s">
        <v>7099</v>
      </c>
      <c r="D624" s="103" t="s">
        <v>6218</v>
      </c>
      <c r="E624" s="103" t="s">
        <v>7108</v>
      </c>
      <c r="F624" s="103" t="s">
        <v>7109</v>
      </c>
    </row>
    <row r="625" spans="1:6">
      <c r="A625" s="149">
        <v>644</v>
      </c>
      <c r="B625" s="103" t="s">
        <v>7110</v>
      </c>
      <c r="C625" s="103" t="s">
        <v>7111</v>
      </c>
      <c r="D625" s="103" t="s">
        <v>6218</v>
      </c>
      <c r="E625" s="103" t="s">
        <v>6416</v>
      </c>
      <c r="F625" s="103" t="s">
        <v>7112</v>
      </c>
    </row>
    <row r="626" spans="1:6">
      <c r="A626" s="149">
        <v>645</v>
      </c>
      <c r="B626" s="103" t="s">
        <v>7110</v>
      </c>
      <c r="C626" s="103" t="s">
        <v>7111</v>
      </c>
      <c r="D626" s="103" t="s">
        <v>6218</v>
      </c>
      <c r="E626" s="103" t="s">
        <v>6980</v>
      </c>
      <c r="F626" s="103" t="s">
        <v>7113</v>
      </c>
    </row>
    <row r="627" spans="1:6">
      <c r="A627" s="149">
        <v>646</v>
      </c>
      <c r="B627" s="103" t="s">
        <v>7110</v>
      </c>
      <c r="C627" s="103" t="s">
        <v>7111</v>
      </c>
      <c r="D627" s="103" t="s">
        <v>6218</v>
      </c>
      <c r="E627" s="103" t="s">
        <v>6982</v>
      </c>
      <c r="F627" s="103" t="s">
        <v>7114</v>
      </c>
    </row>
    <row r="628" spans="1:6">
      <c r="A628" s="149">
        <v>647</v>
      </c>
      <c r="B628" s="103" t="s">
        <v>7110</v>
      </c>
      <c r="C628" s="103" t="s">
        <v>7111</v>
      </c>
      <c r="D628" s="103" t="s">
        <v>6218</v>
      </c>
      <c r="E628" s="103" t="s">
        <v>6420</v>
      </c>
      <c r="F628" s="103" t="s">
        <v>7115</v>
      </c>
    </row>
    <row r="629" spans="1:6">
      <c r="A629" s="149">
        <v>648</v>
      </c>
      <c r="B629" s="103" t="s">
        <v>7110</v>
      </c>
      <c r="C629" s="103" t="s">
        <v>7111</v>
      </c>
      <c r="D629" s="103" t="s">
        <v>6218</v>
      </c>
      <c r="E629" s="103" t="s">
        <v>6985</v>
      </c>
      <c r="F629" s="103" t="s">
        <v>7116</v>
      </c>
    </row>
    <row r="630" spans="1:6">
      <c r="A630" s="149">
        <v>649</v>
      </c>
      <c r="B630" s="103" t="s">
        <v>7110</v>
      </c>
      <c r="C630" s="103" t="s">
        <v>7111</v>
      </c>
      <c r="D630" s="103" t="s">
        <v>6218</v>
      </c>
      <c r="E630" s="103" t="s">
        <v>6991</v>
      </c>
      <c r="F630" s="103" t="s">
        <v>7117</v>
      </c>
    </row>
    <row r="631" spans="1:6">
      <c r="A631" s="149">
        <v>650</v>
      </c>
      <c r="B631" s="103" t="s">
        <v>7110</v>
      </c>
      <c r="C631" s="103" t="s">
        <v>7111</v>
      </c>
      <c r="D631" s="103" t="s">
        <v>6218</v>
      </c>
      <c r="E631" s="103" t="s">
        <v>6993</v>
      </c>
      <c r="F631" s="103" t="s">
        <v>7118</v>
      </c>
    </row>
    <row r="632" spans="1:6">
      <c r="A632" s="149">
        <v>651</v>
      </c>
      <c r="B632" s="103" t="s">
        <v>7110</v>
      </c>
      <c r="C632" s="103" t="s">
        <v>7111</v>
      </c>
      <c r="D632" s="103" t="s">
        <v>6218</v>
      </c>
      <c r="E632" s="103" t="s">
        <v>7008</v>
      </c>
      <c r="F632" s="103" t="s">
        <v>7119</v>
      </c>
    </row>
    <row r="633" spans="1:6">
      <c r="A633" s="149">
        <v>652</v>
      </c>
      <c r="B633" s="103" t="s">
        <v>7110</v>
      </c>
      <c r="C633" s="103" t="s">
        <v>7111</v>
      </c>
      <c r="D633" s="103" t="s">
        <v>6218</v>
      </c>
      <c r="E633" s="103" t="s">
        <v>7010</v>
      </c>
      <c r="F633" s="103" t="s">
        <v>7120</v>
      </c>
    </row>
    <row r="634" spans="1:6">
      <c r="A634" s="149">
        <v>653</v>
      </c>
      <c r="B634" s="103" t="s">
        <v>7110</v>
      </c>
      <c r="C634" s="103" t="s">
        <v>7111</v>
      </c>
      <c r="D634" s="103" t="s">
        <v>6218</v>
      </c>
      <c r="E634" s="103" t="s">
        <v>6989</v>
      </c>
      <c r="F634" s="103" t="s">
        <v>7121</v>
      </c>
    </row>
    <row r="635" spans="1:6">
      <c r="A635" s="149">
        <v>654</v>
      </c>
      <c r="B635" s="103" t="s">
        <v>7110</v>
      </c>
      <c r="C635" s="103" t="s">
        <v>7111</v>
      </c>
      <c r="D635" s="103" t="s">
        <v>6218</v>
      </c>
      <c r="E635" s="103" t="s">
        <v>6987</v>
      </c>
      <c r="F635" s="103" t="s">
        <v>7122</v>
      </c>
    </row>
    <row r="636" spans="1:6">
      <c r="A636" s="149">
        <v>655</v>
      </c>
      <c r="B636" s="103" t="s">
        <v>7110</v>
      </c>
      <c r="C636" s="103" t="s">
        <v>7111</v>
      </c>
      <c r="D636" s="103" t="s">
        <v>6218</v>
      </c>
      <c r="E636" s="103" t="s">
        <v>7006</v>
      </c>
      <c r="F636" s="103" t="s">
        <v>7123</v>
      </c>
    </row>
    <row r="637" spans="1:6">
      <c r="A637" s="149">
        <v>656</v>
      </c>
      <c r="B637" s="103" t="s">
        <v>7124</v>
      </c>
      <c r="C637" s="103" t="s">
        <v>7125</v>
      </c>
      <c r="D637" s="103" t="s">
        <v>6218</v>
      </c>
      <c r="E637" s="103" t="s">
        <v>7126</v>
      </c>
      <c r="F637" s="103" t="s">
        <v>7127</v>
      </c>
    </row>
    <row r="638" spans="1:6">
      <c r="A638" s="149">
        <v>657</v>
      </c>
      <c r="B638" s="103" t="s">
        <v>7124</v>
      </c>
      <c r="C638" s="103" t="s">
        <v>7125</v>
      </c>
      <c r="D638" s="103" t="s">
        <v>6218</v>
      </c>
      <c r="E638" s="103" t="s">
        <v>7128</v>
      </c>
      <c r="F638" s="103" t="s">
        <v>7129</v>
      </c>
    </row>
    <row r="639" spans="1:6">
      <c r="A639" s="149">
        <v>658</v>
      </c>
      <c r="B639" s="103" t="s">
        <v>7124</v>
      </c>
      <c r="C639" s="103" t="s">
        <v>7125</v>
      </c>
      <c r="D639" s="103" t="s">
        <v>6218</v>
      </c>
      <c r="E639" s="103" t="s">
        <v>7130</v>
      </c>
      <c r="F639" s="103" t="s">
        <v>7131</v>
      </c>
    </row>
    <row r="640" spans="1:6">
      <c r="A640" s="149">
        <v>659</v>
      </c>
      <c r="B640" s="103" t="s">
        <v>7124</v>
      </c>
      <c r="C640" s="103" t="s">
        <v>7125</v>
      </c>
      <c r="D640" s="103" t="s">
        <v>6218</v>
      </c>
      <c r="E640" s="103" t="s">
        <v>7132</v>
      </c>
      <c r="F640" s="103" t="s">
        <v>7133</v>
      </c>
    </row>
    <row r="641" spans="1:26">
      <c r="A641" s="149">
        <v>660</v>
      </c>
      <c r="B641" s="103" t="s">
        <v>7124</v>
      </c>
      <c r="C641" s="103" t="s">
        <v>7125</v>
      </c>
      <c r="D641" s="103" t="s">
        <v>6218</v>
      </c>
      <c r="E641" s="103" t="s">
        <v>7134</v>
      </c>
      <c r="F641" s="103" t="s">
        <v>7135</v>
      </c>
    </row>
    <row r="642" spans="1:26">
      <c r="A642" s="149">
        <v>661</v>
      </c>
      <c r="B642" s="103" t="s">
        <v>7124</v>
      </c>
      <c r="C642" s="103" t="s">
        <v>7125</v>
      </c>
      <c r="D642" s="103" t="s">
        <v>6218</v>
      </c>
      <c r="E642" s="103" t="s">
        <v>7136</v>
      </c>
      <c r="F642" s="103" t="s">
        <v>7137</v>
      </c>
    </row>
    <row r="643" spans="1:26">
      <c r="A643" s="149">
        <v>662</v>
      </c>
      <c r="B643" s="103" t="s">
        <v>7124</v>
      </c>
      <c r="C643" s="103" t="s">
        <v>7125</v>
      </c>
      <c r="D643" s="103" t="s">
        <v>6218</v>
      </c>
      <c r="E643" s="103" t="s">
        <v>7138</v>
      </c>
      <c r="F643" s="103" t="s">
        <v>7139</v>
      </c>
    </row>
    <row r="644" spans="1:26">
      <c r="A644" s="149">
        <v>663</v>
      </c>
      <c r="B644" s="103" t="s">
        <v>7124</v>
      </c>
      <c r="C644" s="103" t="s">
        <v>7125</v>
      </c>
      <c r="D644" s="103" t="s">
        <v>6218</v>
      </c>
      <c r="E644" s="103" t="s">
        <v>7140</v>
      </c>
      <c r="F644" s="103" t="s">
        <v>7141</v>
      </c>
    </row>
    <row r="645" spans="1:26">
      <c r="A645" s="149">
        <v>664</v>
      </c>
      <c r="B645" s="103" t="s">
        <v>7124</v>
      </c>
      <c r="C645" s="103" t="s">
        <v>7125</v>
      </c>
      <c r="D645" s="103" t="s">
        <v>6218</v>
      </c>
      <c r="E645" s="103" t="s">
        <v>7142</v>
      </c>
      <c r="F645" s="103" t="s">
        <v>7143</v>
      </c>
    </row>
    <row r="646" spans="1:26">
      <c r="A646" s="149">
        <v>665</v>
      </c>
      <c r="B646" s="103" t="s">
        <v>7124</v>
      </c>
      <c r="C646" s="103" t="s">
        <v>7125</v>
      </c>
      <c r="D646" s="103" t="s">
        <v>6218</v>
      </c>
      <c r="E646" s="103" t="s">
        <v>7144</v>
      </c>
      <c r="F646" s="103" t="s">
        <v>7145</v>
      </c>
    </row>
    <row r="647" spans="1:26">
      <c r="A647" s="149">
        <v>666</v>
      </c>
      <c r="B647" s="103" t="s">
        <v>7146</v>
      </c>
      <c r="C647" s="103" t="s">
        <v>7147</v>
      </c>
      <c r="D647" s="103" t="s">
        <v>6218</v>
      </c>
      <c r="E647" s="103" t="s">
        <v>1229</v>
      </c>
      <c r="F647" s="103" t="s">
        <v>7148</v>
      </c>
    </row>
    <row r="648" spans="1:26">
      <c r="A648" s="149">
        <v>667</v>
      </c>
      <c r="B648" s="103" t="s">
        <v>7146</v>
      </c>
      <c r="C648" s="103" t="s">
        <v>7147</v>
      </c>
      <c r="D648" s="103" t="s">
        <v>6218</v>
      </c>
      <c r="E648" s="103" t="s">
        <v>1744</v>
      </c>
      <c r="F648" s="103" t="s">
        <v>7149</v>
      </c>
    </row>
    <row r="649" spans="1:26">
      <c r="A649" s="149">
        <v>668</v>
      </c>
      <c r="B649" s="103" t="s">
        <v>7146</v>
      </c>
      <c r="C649" s="103" t="s">
        <v>7147</v>
      </c>
      <c r="D649" s="103" t="s">
        <v>6218</v>
      </c>
      <c r="E649" s="103" t="s">
        <v>1742</v>
      </c>
      <c r="F649" s="103" t="s">
        <v>7150</v>
      </c>
    </row>
    <row r="650" spans="1:26">
      <c r="A650" s="149">
        <v>669</v>
      </c>
      <c r="B650" s="103" t="s">
        <v>7146</v>
      </c>
      <c r="C650" s="103" t="s">
        <v>7147</v>
      </c>
      <c r="D650" s="103" t="s">
        <v>6218</v>
      </c>
      <c r="E650" s="103" t="s">
        <v>6863</v>
      </c>
      <c r="F650" s="103" t="s">
        <v>7151</v>
      </c>
    </row>
    <row r="651" spans="1:26">
      <c r="A651" s="149">
        <v>670</v>
      </c>
      <c r="B651" s="103" t="s">
        <v>7146</v>
      </c>
      <c r="C651" s="103" t="s">
        <v>7147</v>
      </c>
      <c r="D651" s="103" t="s">
        <v>6218</v>
      </c>
      <c r="E651" s="103" t="s">
        <v>7152</v>
      </c>
      <c r="F651" s="103" t="s">
        <v>7153</v>
      </c>
    </row>
    <row r="652" spans="1:26">
      <c r="A652" s="149">
        <v>671</v>
      </c>
      <c r="B652" s="103" t="s">
        <v>7146</v>
      </c>
      <c r="C652" s="103" t="s">
        <v>7147</v>
      </c>
      <c r="D652" s="103" t="s">
        <v>6218</v>
      </c>
      <c r="E652" s="103" t="s">
        <v>7154</v>
      </c>
      <c r="F652" s="103" t="s">
        <v>7155</v>
      </c>
    </row>
    <row r="653" spans="1:26">
      <c r="A653" s="149">
        <v>672</v>
      </c>
      <c r="B653" s="103" t="s">
        <v>7146</v>
      </c>
      <c r="C653" s="103" t="s">
        <v>7147</v>
      </c>
      <c r="D653" s="103" t="s">
        <v>6218</v>
      </c>
      <c r="E653" s="103" t="s">
        <v>7156</v>
      </c>
      <c r="F653" s="103" t="s">
        <v>7157</v>
      </c>
    </row>
    <row r="654" spans="1:26">
      <c r="A654" s="149">
        <v>673</v>
      </c>
      <c r="B654" s="103" t="s">
        <v>7146</v>
      </c>
      <c r="C654" s="103" t="s">
        <v>7147</v>
      </c>
      <c r="D654" s="103" t="s">
        <v>6218</v>
      </c>
      <c r="E654" s="103" t="s">
        <v>7158</v>
      </c>
      <c r="F654" s="103" t="s">
        <v>7159</v>
      </c>
    </row>
    <row r="655" spans="1:26">
      <c r="A655" s="221">
        <v>688</v>
      </c>
      <c r="B655" s="177" t="s">
        <v>7160</v>
      </c>
      <c r="C655" s="177" t="s">
        <v>7161</v>
      </c>
      <c r="D655" s="177" t="s">
        <v>6218</v>
      </c>
      <c r="E655" s="177" t="s">
        <v>1959</v>
      </c>
      <c r="F655" s="177" t="s">
        <v>1960</v>
      </c>
      <c r="G655" s="176"/>
      <c r="H655" s="176"/>
      <c r="I655" s="176"/>
      <c r="J655" s="176"/>
      <c r="K655" s="176"/>
      <c r="L655" s="176"/>
      <c r="M655" s="176"/>
      <c r="N655" s="176"/>
      <c r="O655" s="176"/>
      <c r="P655" s="176"/>
      <c r="Q655" s="176"/>
      <c r="R655" s="176"/>
      <c r="S655" s="176"/>
      <c r="T655" s="176"/>
      <c r="U655" s="176"/>
      <c r="V655" s="176"/>
      <c r="W655" s="176"/>
      <c r="X655" s="176"/>
      <c r="Y655" s="176"/>
      <c r="Z655" s="176"/>
    </row>
    <row r="656" spans="1:26">
      <c r="A656" s="221">
        <v>689</v>
      </c>
      <c r="B656" s="177" t="s">
        <v>7160</v>
      </c>
      <c r="C656" s="177" t="s">
        <v>7161</v>
      </c>
      <c r="D656" s="177" t="s">
        <v>6218</v>
      </c>
      <c r="E656" s="177" t="s">
        <v>1961</v>
      </c>
      <c r="F656" s="177" t="s">
        <v>1962</v>
      </c>
      <c r="G656" s="176"/>
      <c r="H656" s="176"/>
      <c r="I656" s="176"/>
      <c r="J656" s="176"/>
      <c r="K656" s="176"/>
      <c r="L656" s="176"/>
      <c r="M656" s="176"/>
      <c r="N656" s="176"/>
      <c r="O656" s="176"/>
      <c r="P656" s="176"/>
      <c r="Q656" s="176"/>
      <c r="R656" s="176"/>
      <c r="S656" s="176"/>
      <c r="T656" s="176"/>
      <c r="U656" s="176"/>
      <c r="V656" s="176"/>
      <c r="W656" s="176"/>
      <c r="X656" s="176"/>
      <c r="Y656" s="176"/>
      <c r="Z656" s="176"/>
    </row>
    <row r="657" spans="1:26">
      <c r="A657" s="221">
        <v>690</v>
      </c>
      <c r="B657" s="177" t="s">
        <v>7160</v>
      </c>
      <c r="C657" s="177" t="s">
        <v>7161</v>
      </c>
      <c r="D657" s="177" t="s">
        <v>6124</v>
      </c>
      <c r="E657" s="177" t="s">
        <v>1963</v>
      </c>
      <c r="F657" s="177" t="s">
        <v>1964</v>
      </c>
      <c r="G657" s="176"/>
      <c r="H657" s="176"/>
      <c r="I657" s="176"/>
      <c r="J657" s="176"/>
      <c r="K657" s="176"/>
      <c r="L657" s="176"/>
      <c r="M657" s="176"/>
      <c r="N657" s="176"/>
      <c r="O657" s="176"/>
      <c r="P657" s="176"/>
      <c r="Q657" s="176"/>
      <c r="R657" s="176"/>
      <c r="S657" s="176"/>
      <c r="T657" s="176"/>
      <c r="U657" s="176"/>
      <c r="V657" s="176"/>
      <c r="W657" s="176"/>
      <c r="X657" s="176"/>
      <c r="Y657" s="176"/>
      <c r="Z657" s="176"/>
    </row>
    <row r="658" spans="1:26">
      <c r="A658" s="221">
        <v>691</v>
      </c>
      <c r="B658" s="177" t="s">
        <v>7160</v>
      </c>
      <c r="C658" s="177" t="s">
        <v>7161</v>
      </c>
      <c r="D658" s="177" t="s">
        <v>6124</v>
      </c>
      <c r="E658" s="177" t="s">
        <v>1965</v>
      </c>
      <c r="F658" s="177" t="s">
        <v>1966</v>
      </c>
      <c r="G658" s="176"/>
      <c r="H658" s="176"/>
      <c r="I658" s="176"/>
      <c r="J658" s="176"/>
      <c r="K658" s="176"/>
      <c r="L658" s="176"/>
      <c r="M658" s="176"/>
      <c r="N658" s="176"/>
      <c r="O658" s="176"/>
      <c r="P658" s="176"/>
      <c r="Q658" s="176"/>
      <c r="R658" s="176"/>
      <c r="S658" s="176"/>
      <c r="T658" s="176"/>
      <c r="U658" s="176"/>
      <c r="V658" s="176"/>
      <c r="W658" s="176"/>
      <c r="X658" s="176"/>
      <c r="Y658" s="176"/>
      <c r="Z658" s="176"/>
    </row>
    <row r="659" spans="1:26">
      <c r="A659" s="221">
        <v>692</v>
      </c>
      <c r="B659" s="177" t="s">
        <v>7160</v>
      </c>
      <c r="C659" s="177" t="s">
        <v>7161</v>
      </c>
      <c r="D659" s="177" t="s">
        <v>6124</v>
      </c>
      <c r="E659" s="177" t="s">
        <v>1967</v>
      </c>
      <c r="F659" s="177" t="s">
        <v>1968</v>
      </c>
      <c r="G659" s="176"/>
      <c r="H659" s="176"/>
      <c r="I659" s="176"/>
      <c r="J659" s="176"/>
      <c r="K659" s="176"/>
      <c r="L659" s="176"/>
      <c r="M659" s="176"/>
      <c r="N659" s="176"/>
      <c r="O659" s="176"/>
      <c r="P659" s="176"/>
      <c r="Q659" s="176"/>
      <c r="R659" s="176"/>
      <c r="S659" s="176"/>
      <c r="T659" s="176"/>
      <c r="U659" s="176"/>
      <c r="V659" s="176"/>
      <c r="W659" s="176"/>
      <c r="X659" s="176"/>
      <c r="Y659" s="176"/>
      <c r="Z659" s="176"/>
    </row>
    <row r="660" spans="1:26">
      <c r="A660" s="221">
        <v>693</v>
      </c>
      <c r="B660" s="177" t="s">
        <v>7160</v>
      </c>
      <c r="C660" s="177" t="s">
        <v>7161</v>
      </c>
      <c r="D660" s="177" t="s">
        <v>6124</v>
      </c>
      <c r="E660" s="177" t="s">
        <v>1969</v>
      </c>
      <c r="F660" s="177" t="s">
        <v>1970</v>
      </c>
      <c r="G660" s="176"/>
      <c r="H660" s="176"/>
      <c r="I660" s="176"/>
      <c r="J660" s="176"/>
      <c r="K660" s="176"/>
      <c r="L660" s="176"/>
      <c r="M660" s="176"/>
      <c r="N660" s="176"/>
      <c r="O660" s="176"/>
      <c r="P660" s="176"/>
      <c r="Q660" s="176"/>
      <c r="R660" s="176"/>
      <c r="S660" s="176"/>
      <c r="T660" s="176"/>
      <c r="U660" s="176"/>
      <c r="V660" s="176"/>
      <c r="W660" s="176"/>
      <c r="X660" s="176"/>
      <c r="Y660" s="176"/>
      <c r="Z660" s="176"/>
    </row>
    <row r="661" spans="1:26">
      <c r="A661" s="221">
        <v>694</v>
      </c>
      <c r="B661" s="177" t="s">
        <v>7160</v>
      </c>
      <c r="C661" s="177" t="s">
        <v>7161</v>
      </c>
      <c r="D661" s="177" t="s">
        <v>6124</v>
      </c>
      <c r="E661" s="177" t="s">
        <v>1971</v>
      </c>
      <c r="F661" s="177" t="s">
        <v>1972</v>
      </c>
      <c r="G661" s="176"/>
      <c r="H661" s="176"/>
      <c r="I661" s="176"/>
      <c r="J661" s="176"/>
      <c r="K661" s="176"/>
      <c r="L661" s="176"/>
      <c r="M661" s="176"/>
      <c r="N661" s="176"/>
      <c r="O661" s="176"/>
      <c r="P661" s="176"/>
      <c r="Q661" s="176"/>
      <c r="R661" s="176"/>
      <c r="S661" s="176"/>
      <c r="T661" s="176"/>
      <c r="U661" s="176"/>
      <c r="V661" s="176"/>
      <c r="W661" s="176"/>
      <c r="X661" s="176"/>
      <c r="Y661" s="176"/>
      <c r="Z661" s="176"/>
    </row>
    <row r="662" spans="1:26">
      <c r="A662" s="221">
        <v>695</v>
      </c>
      <c r="B662" s="177" t="s">
        <v>7160</v>
      </c>
      <c r="C662" s="177" t="s">
        <v>7161</v>
      </c>
      <c r="D662" s="177" t="s">
        <v>6124</v>
      </c>
      <c r="E662" s="177" t="s">
        <v>7162</v>
      </c>
      <c r="F662" s="177" t="s">
        <v>7163</v>
      </c>
      <c r="G662" s="176"/>
      <c r="H662" s="176"/>
      <c r="I662" s="176"/>
      <c r="J662" s="176"/>
      <c r="K662" s="176"/>
      <c r="L662" s="176"/>
      <c r="M662" s="176"/>
      <c r="N662" s="176"/>
      <c r="O662" s="176"/>
      <c r="P662" s="176"/>
      <c r="Q662" s="176"/>
      <c r="R662" s="176"/>
      <c r="S662" s="176"/>
      <c r="T662" s="176"/>
      <c r="U662" s="176"/>
      <c r="V662" s="176"/>
      <c r="W662" s="176"/>
      <c r="X662" s="176"/>
      <c r="Y662" s="176"/>
      <c r="Z662" s="176"/>
    </row>
    <row r="663" spans="1:26">
      <c r="A663" s="221">
        <v>696</v>
      </c>
      <c r="B663" s="177" t="s">
        <v>7164</v>
      </c>
      <c r="C663" s="177" t="s">
        <v>7165</v>
      </c>
      <c r="D663" s="177" t="s">
        <v>6218</v>
      </c>
      <c r="E663" s="177" t="s">
        <v>1850</v>
      </c>
      <c r="F663" s="177" t="s">
        <v>1851</v>
      </c>
      <c r="G663" s="176"/>
      <c r="H663" s="176"/>
      <c r="I663" s="176"/>
      <c r="J663" s="176"/>
      <c r="K663" s="176"/>
      <c r="L663" s="176"/>
      <c r="M663" s="176"/>
      <c r="N663" s="176"/>
      <c r="O663" s="176"/>
      <c r="P663" s="176"/>
      <c r="Q663" s="176"/>
      <c r="R663" s="176"/>
      <c r="S663" s="176"/>
      <c r="T663" s="176"/>
      <c r="U663" s="176"/>
      <c r="V663" s="176"/>
      <c r="W663" s="176"/>
      <c r="X663" s="176"/>
      <c r="Y663" s="176"/>
      <c r="Z663" s="176"/>
    </row>
    <row r="664" spans="1:26">
      <c r="A664" s="221">
        <v>697</v>
      </c>
      <c r="B664" s="177" t="s">
        <v>7164</v>
      </c>
      <c r="C664" s="177" t="s">
        <v>7165</v>
      </c>
      <c r="D664" s="177" t="s">
        <v>6218</v>
      </c>
      <c r="E664" s="177" t="s">
        <v>1852</v>
      </c>
      <c r="F664" s="177" t="s">
        <v>1853</v>
      </c>
      <c r="G664" s="176"/>
      <c r="H664" s="176"/>
      <c r="I664" s="176"/>
      <c r="J664" s="176"/>
      <c r="K664" s="176"/>
      <c r="L664" s="176"/>
      <c r="M664" s="176"/>
      <c r="N664" s="176"/>
      <c r="O664" s="176"/>
      <c r="P664" s="176"/>
      <c r="Q664" s="176"/>
      <c r="R664" s="176"/>
      <c r="S664" s="176"/>
      <c r="T664" s="176"/>
      <c r="U664" s="176"/>
      <c r="V664" s="176"/>
      <c r="W664" s="176"/>
      <c r="X664" s="176"/>
      <c r="Y664" s="176"/>
      <c r="Z664" s="176"/>
    </row>
    <row r="665" spans="1:26">
      <c r="A665" s="221">
        <v>698</v>
      </c>
      <c r="B665" s="177" t="s">
        <v>7164</v>
      </c>
      <c r="C665" s="177" t="s">
        <v>7165</v>
      </c>
      <c r="D665" s="177" t="s">
        <v>6218</v>
      </c>
      <c r="E665" s="177" t="s">
        <v>1854</v>
      </c>
      <c r="F665" s="177" t="s">
        <v>1855</v>
      </c>
      <c r="G665" s="176"/>
      <c r="H665" s="176"/>
      <c r="I665" s="176"/>
      <c r="J665" s="176"/>
      <c r="K665" s="176"/>
      <c r="L665" s="176"/>
      <c r="M665" s="176"/>
      <c r="N665" s="176"/>
      <c r="O665" s="176"/>
      <c r="P665" s="176"/>
      <c r="Q665" s="176"/>
      <c r="R665" s="176"/>
      <c r="S665" s="176"/>
      <c r="T665" s="176"/>
      <c r="U665" s="176"/>
      <c r="V665" s="176"/>
      <c r="W665" s="176"/>
      <c r="X665" s="176"/>
      <c r="Y665" s="176"/>
      <c r="Z665" s="176"/>
    </row>
    <row r="666" spans="1:26">
      <c r="A666" s="221">
        <v>700</v>
      </c>
      <c r="B666" s="177" t="s">
        <v>7166</v>
      </c>
      <c r="C666" s="177" t="s">
        <v>7167</v>
      </c>
      <c r="D666" s="177" t="s">
        <v>6218</v>
      </c>
      <c r="E666" s="177" t="s">
        <v>2025</v>
      </c>
      <c r="F666" s="177" t="s">
        <v>2026</v>
      </c>
      <c r="G666" s="176"/>
      <c r="H666" s="176"/>
      <c r="I666" s="176"/>
      <c r="J666" s="176"/>
      <c r="K666" s="176"/>
      <c r="L666" s="176"/>
      <c r="M666" s="176"/>
      <c r="N666" s="176"/>
      <c r="O666" s="176"/>
      <c r="P666" s="176"/>
      <c r="Q666" s="176"/>
      <c r="R666" s="176"/>
      <c r="S666" s="176"/>
      <c r="T666" s="176"/>
      <c r="U666" s="176"/>
      <c r="V666" s="176"/>
      <c r="W666" s="176"/>
      <c r="X666" s="176"/>
      <c r="Y666" s="176"/>
      <c r="Z666" s="176"/>
    </row>
    <row r="667" spans="1:26">
      <c r="A667" s="221">
        <v>701</v>
      </c>
      <c r="B667" s="177" t="s">
        <v>7166</v>
      </c>
      <c r="C667" s="177" t="s">
        <v>7167</v>
      </c>
      <c r="D667" s="177" t="s">
        <v>6218</v>
      </c>
      <c r="E667" s="177" t="s">
        <v>2027</v>
      </c>
      <c r="F667" s="177" t="s">
        <v>2028</v>
      </c>
      <c r="G667" s="176"/>
      <c r="H667" s="176"/>
      <c r="I667" s="176"/>
      <c r="J667" s="176"/>
      <c r="K667" s="176"/>
      <c r="L667" s="176"/>
      <c r="M667" s="176"/>
      <c r="N667" s="176"/>
      <c r="O667" s="176"/>
      <c r="P667" s="176"/>
      <c r="Q667" s="176"/>
      <c r="R667" s="176"/>
      <c r="S667" s="176"/>
      <c r="T667" s="176"/>
      <c r="U667" s="176"/>
      <c r="V667" s="176"/>
      <c r="W667" s="176"/>
      <c r="X667" s="176"/>
      <c r="Y667" s="176"/>
      <c r="Z667" s="176"/>
    </row>
    <row r="668" spans="1:26">
      <c r="A668" s="221">
        <v>702</v>
      </c>
      <c r="B668" s="177" t="s">
        <v>7166</v>
      </c>
      <c r="C668" s="177" t="s">
        <v>7167</v>
      </c>
      <c r="D668" s="177" t="s">
        <v>6218</v>
      </c>
      <c r="E668" s="177" t="s">
        <v>2027</v>
      </c>
      <c r="F668" s="177" t="s">
        <v>2029</v>
      </c>
      <c r="G668" s="176"/>
      <c r="H668" s="176"/>
      <c r="I668" s="176"/>
      <c r="J668" s="176"/>
      <c r="K668" s="176"/>
      <c r="L668" s="176"/>
      <c r="M668" s="176"/>
      <c r="N668" s="176"/>
      <c r="O668" s="176"/>
      <c r="P668" s="176"/>
      <c r="Q668" s="176"/>
      <c r="R668" s="176"/>
      <c r="S668" s="176"/>
      <c r="T668" s="176"/>
      <c r="U668" s="176"/>
      <c r="V668" s="176"/>
      <c r="W668" s="176"/>
      <c r="X668" s="176"/>
      <c r="Y668" s="176"/>
      <c r="Z668" s="176"/>
    </row>
    <row r="669" spans="1:26">
      <c r="A669" s="223">
        <v>703</v>
      </c>
      <c r="B669" s="17" t="s">
        <v>7168</v>
      </c>
      <c r="C669" s="17" t="s">
        <v>7169</v>
      </c>
      <c r="D669" s="17" t="s">
        <v>6124</v>
      </c>
      <c r="E669" s="17" t="s">
        <v>7170</v>
      </c>
      <c r="F669" s="17" t="s">
        <v>7171</v>
      </c>
      <c r="G669" s="6"/>
      <c r="H669" s="6"/>
      <c r="I669" s="6"/>
      <c r="J669" s="6"/>
      <c r="K669" s="6"/>
      <c r="L669" s="6"/>
      <c r="M669" s="6"/>
      <c r="N669" s="6"/>
      <c r="O669" s="6"/>
      <c r="P669" s="6"/>
      <c r="Q669" s="6"/>
      <c r="R669" s="6"/>
      <c r="S669" s="6"/>
      <c r="T669" s="6"/>
      <c r="U669" s="6"/>
      <c r="V669" s="6"/>
      <c r="W669" s="6"/>
      <c r="X669" s="6"/>
      <c r="Y669" s="6"/>
      <c r="Z669" s="6"/>
    </row>
    <row r="670" spans="1:26">
      <c r="A670" s="223">
        <v>704</v>
      </c>
      <c r="B670" s="17" t="s">
        <v>7168</v>
      </c>
      <c r="C670" s="17" t="s">
        <v>7169</v>
      </c>
      <c r="D670" s="17" t="s">
        <v>6124</v>
      </c>
      <c r="E670" s="17" t="s">
        <v>7172</v>
      </c>
      <c r="F670" s="17" t="s">
        <v>7173</v>
      </c>
      <c r="G670" s="6"/>
      <c r="H670" s="6"/>
      <c r="I670" s="6"/>
      <c r="J670" s="6"/>
      <c r="K670" s="6"/>
      <c r="L670" s="6"/>
      <c r="M670" s="6"/>
      <c r="N670" s="6"/>
      <c r="O670" s="6"/>
      <c r="P670" s="6"/>
      <c r="Q670" s="6"/>
      <c r="R670" s="6"/>
      <c r="S670" s="6"/>
      <c r="T670" s="6"/>
      <c r="U670" s="6"/>
      <c r="V670" s="6"/>
      <c r="W670" s="6"/>
      <c r="X670" s="6"/>
      <c r="Y670" s="6"/>
      <c r="Z670" s="6"/>
    </row>
    <row r="671" spans="1:26">
      <c r="A671" s="223">
        <v>705</v>
      </c>
      <c r="B671" s="17" t="s">
        <v>7168</v>
      </c>
      <c r="C671" s="17" t="s">
        <v>7169</v>
      </c>
      <c r="D671" s="17" t="s">
        <v>6124</v>
      </c>
      <c r="E671" s="17" t="s">
        <v>7174</v>
      </c>
      <c r="F671" s="17" t="s">
        <v>7175</v>
      </c>
      <c r="G671" s="6"/>
      <c r="H671" s="6"/>
      <c r="I671" s="6"/>
      <c r="J671" s="6"/>
      <c r="K671" s="6"/>
      <c r="L671" s="6"/>
      <c r="M671" s="6"/>
      <c r="N671" s="6"/>
      <c r="O671" s="6"/>
      <c r="P671" s="6"/>
      <c r="Q671" s="6"/>
      <c r="R671" s="6"/>
      <c r="S671" s="6"/>
      <c r="T671" s="6"/>
      <c r="U671" s="6"/>
      <c r="V671" s="6"/>
      <c r="W671" s="6"/>
      <c r="X671" s="6"/>
      <c r="Y671" s="6"/>
      <c r="Z671" s="6"/>
    </row>
    <row r="672" spans="1:26">
      <c r="A672" s="223">
        <v>706</v>
      </c>
      <c r="B672" s="17" t="s">
        <v>7168</v>
      </c>
      <c r="C672" s="17" t="s">
        <v>7169</v>
      </c>
      <c r="D672" s="17" t="s">
        <v>6124</v>
      </c>
      <c r="E672" s="17" t="s">
        <v>7176</v>
      </c>
      <c r="F672" s="17" t="s">
        <v>7177</v>
      </c>
      <c r="G672" s="6"/>
      <c r="H672" s="6"/>
      <c r="I672" s="6"/>
      <c r="J672" s="6"/>
      <c r="K672" s="6"/>
      <c r="L672" s="6"/>
      <c r="M672" s="6"/>
      <c r="N672" s="6"/>
      <c r="O672" s="6"/>
      <c r="P672" s="6"/>
      <c r="Q672" s="6"/>
      <c r="R672" s="6"/>
      <c r="S672" s="6"/>
      <c r="T672" s="6"/>
      <c r="U672" s="6"/>
      <c r="V672" s="6"/>
      <c r="W672" s="6"/>
      <c r="X672" s="6"/>
      <c r="Y672" s="6"/>
      <c r="Z672" s="6"/>
    </row>
    <row r="673" spans="1:26">
      <c r="A673" s="223">
        <v>707</v>
      </c>
      <c r="B673" s="17" t="s">
        <v>7168</v>
      </c>
      <c r="C673" s="17" t="s">
        <v>7169</v>
      </c>
      <c r="D673" s="17" t="s">
        <v>6124</v>
      </c>
      <c r="E673" s="17" t="s">
        <v>7178</v>
      </c>
      <c r="F673" s="17" t="s">
        <v>7179</v>
      </c>
      <c r="G673" s="6"/>
      <c r="H673" s="6"/>
      <c r="I673" s="6"/>
      <c r="J673" s="6"/>
      <c r="K673" s="6"/>
      <c r="L673" s="6"/>
      <c r="M673" s="6"/>
      <c r="N673" s="6"/>
      <c r="O673" s="6"/>
      <c r="P673" s="6"/>
      <c r="Q673" s="6"/>
      <c r="R673" s="6"/>
      <c r="S673" s="6"/>
      <c r="T673" s="6"/>
      <c r="U673" s="6"/>
      <c r="V673" s="6"/>
      <c r="W673" s="6"/>
      <c r="X673" s="6"/>
      <c r="Y673" s="6"/>
      <c r="Z673" s="6"/>
    </row>
    <row r="674" spans="1:26">
      <c r="A674" s="223">
        <v>708</v>
      </c>
      <c r="B674" s="17" t="s">
        <v>7168</v>
      </c>
      <c r="C674" s="17" t="s">
        <v>7169</v>
      </c>
      <c r="D674" s="17" t="s">
        <v>6124</v>
      </c>
      <c r="E674" s="17" t="s">
        <v>7180</v>
      </c>
      <c r="F674" s="17" t="s">
        <v>7181</v>
      </c>
      <c r="G674" s="6"/>
      <c r="H674" s="6"/>
      <c r="I674" s="6"/>
      <c r="J674" s="6"/>
      <c r="K674" s="6"/>
      <c r="L674" s="6"/>
      <c r="M674" s="6"/>
      <c r="N674" s="6"/>
      <c r="O674" s="6"/>
      <c r="P674" s="6"/>
      <c r="Q674" s="6"/>
      <c r="R674" s="6"/>
      <c r="S674" s="6"/>
      <c r="T674" s="6"/>
      <c r="U674" s="6"/>
      <c r="V674" s="6"/>
      <c r="W674" s="6"/>
      <c r="X674" s="6"/>
      <c r="Y674" s="6"/>
      <c r="Z674" s="6"/>
    </row>
    <row r="675" spans="1:26">
      <c r="A675" s="223">
        <v>709</v>
      </c>
      <c r="B675" s="17" t="s">
        <v>7168</v>
      </c>
      <c r="C675" s="17" t="s">
        <v>7169</v>
      </c>
      <c r="D675" s="17" t="s">
        <v>6124</v>
      </c>
      <c r="E675" s="17" t="s">
        <v>7182</v>
      </c>
      <c r="F675" s="17" t="s">
        <v>7183</v>
      </c>
      <c r="G675" s="6"/>
      <c r="H675" s="6"/>
      <c r="I675" s="6"/>
      <c r="J675" s="6"/>
      <c r="K675" s="6"/>
      <c r="L675" s="6"/>
      <c r="M675" s="6"/>
      <c r="N675" s="6"/>
      <c r="O675" s="6"/>
      <c r="P675" s="6"/>
      <c r="Q675" s="6"/>
      <c r="R675" s="6"/>
      <c r="S675" s="6"/>
      <c r="T675" s="6"/>
      <c r="U675" s="6"/>
      <c r="V675" s="6"/>
      <c r="W675" s="6"/>
      <c r="X675" s="6"/>
      <c r="Y675" s="6"/>
      <c r="Z675" s="6"/>
    </row>
    <row r="676" spans="1:26">
      <c r="A676" s="149">
        <v>717</v>
      </c>
      <c r="B676" s="103" t="s">
        <v>7184</v>
      </c>
      <c r="C676" s="103" t="s">
        <v>7185</v>
      </c>
      <c r="D676" s="103" t="s">
        <v>6218</v>
      </c>
      <c r="E676" s="103" t="s">
        <v>1939</v>
      </c>
      <c r="F676" s="103" t="s">
        <v>7186</v>
      </c>
    </row>
    <row r="677" spans="1:26">
      <c r="A677" s="149">
        <v>718</v>
      </c>
      <c r="B677" s="103" t="s">
        <v>7184</v>
      </c>
      <c r="C677" s="103" t="s">
        <v>7185</v>
      </c>
      <c r="D677" s="103" t="s">
        <v>6218</v>
      </c>
      <c r="E677" s="103" t="s">
        <v>7187</v>
      </c>
      <c r="F677" s="103" t="s">
        <v>7188</v>
      </c>
    </row>
    <row r="678" spans="1:26">
      <c r="A678" s="149">
        <v>719</v>
      </c>
      <c r="B678" s="103" t="s">
        <v>7184</v>
      </c>
      <c r="C678" s="103" t="s">
        <v>7185</v>
      </c>
      <c r="D678" s="103" t="s">
        <v>6218</v>
      </c>
      <c r="E678" s="103" t="s">
        <v>4376</v>
      </c>
      <c r="F678" s="103" t="s">
        <v>7189</v>
      </c>
    </row>
    <row r="679" spans="1:26">
      <c r="A679" s="149">
        <v>720</v>
      </c>
      <c r="B679" s="103" t="s">
        <v>7184</v>
      </c>
      <c r="C679" s="103" t="s">
        <v>7185</v>
      </c>
      <c r="D679" s="103" t="s">
        <v>6218</v>
      </c>
      <c r="E679" s="103" t="s">
        <v>6277</v>
      </c>
      <c r="F679" s="103" t="s">
        <v>7190</v>
      </c>
    </row>
    <row r="680" spans="1:26">
      <c r="A680" s="149">
        <v>721</v>
      </c>
      <c r="B680" s="103" t="s">
        <v>7184</v>
      </c>
      <c r="C680" s="103" t="s">
        <v>7185</v>
      </c>
      <c r="D680" s="103" t="s">
        <v>6218</v>
      </c>
      <c r="E680" s="103" t="s">
        <v>7191</v>
      </c>
      <c r="F680" s="103" t="s">
        <v>7192</v>
      </c>
    </row>
    <row r="681" spans="1:26">
      <c r="A681" s="149">
        <v>722</v>
      </c>
      <c r="B681" s="103" t="s">
        <v>7184</v>
      </c>
      <c r="C681" s="103" t="s">
        <v>7185</v>
      </c>
      <c r="D681" s="103" t="s">
        <v>6218</v>
      </c>
      <c r="E681" s="103" t="s">
        <v>7193</v>
      </c>
      <c r="F681" s="103" t="s">
        <v>7194</v>
      </c>
    </row>
    <row r="682" spans="1:26">
      <c r="A682" s="149">
        <v>723</v>
      </c>
      <c r="B682" s="103" t="s">
        <v>7184</v>
      </c>
      <c r="C682" s="103" t="s">
        <v>7185</v>
      </c>
      <c r="D682" s="103" t="s">
        <v>6218</v>
      </c>
      <c r="E682" s="103" t="s">
        <v>7195</v>
      </c>
      <c r="F682" s="103" t="s">
        <v>7196</v>
      </c>
    </row>
    <row r="683" spans="1:26">
      <c r="A683" s="149">
        <v>728</v>
      </c>
      <c r="B683" s="103" t="s">
        <v>7197</v>
      </c>
      <c r="C683" s="103" t="s">
        <v>7198</v>
      </c>
      <c r="D683" s="103" t="s">
        <v>6124</v>
      </c>
      <c r="E683" s="103" t="s">
        <v>7199</v>
      </c>
      <c r="F683" s="103" t="s">
        <v>44</v>
      </c>
    </row>
    <row r="684" spans="1:26">
      <c r="A684" s="149">
        <v>729</v>
      </c>
      <c r="B684" s="103" t="s">
        <v>7200</v>
      </c>
      <c r="C684" s="103" t="s">
        <v>7201</v>
      </c>
      <c r="D684" s="103" t="s">
        <v>6124</v>
      </c>
      <c r="E684" s="103" t="s">
        <v>7202</v>
      </c>
      <c r="F684" s="103" t="s">
        <v>7203</v>
      </c>
    </row>
    <row r="685" spans="1:26">
      <c r="A685" s="221">
        <v>731</v>
      </c>
      <c r="B685" s="177" t="s">
        <v>7204</v>
      </c>
      <c r="C685" s="177" t="s">
        <v>7205</v>
      </c>
      <c r="D685" s="177" t="s">
        <v>6218</v>
      </c>
      <c r="E685" s="177" t="s">
        <v>7206</v>
      </c>
      <c r="F685" s="177" t="s">
        <v>7207</v>
      </c>
      <c r="G685" s="176"/>
      <c r="H685" s="176"/>
      <c r="I685" s="176"/>
      <c r="J685" s="176"/>
      <c r="K685" s="176"/>
      <c r="L685" s="176"/>
      <c r="M685" s="176"/>
      <c r="N685" s="176"/>
      <c r="O685" s="176"/>
      <c r="P685" s="176"/>
      <c r="Q685" s="176"/>
      <c r="R685" s="176"/>
      <c r="S685" s="176"/>
      <c r="T685" s="176"/>
      <c r="U685" s="176"/>
      <c r="V685" s="176"/>
      <c r="W685" s="176"/>
      <c r="X685" s="176"/>
      <c r="Y685" s="176"/>
      <c r="Z685" s="176"/>
    </row>
    <row r="686" spans="1:26">
      <c r="A686" s="221">
        <v>732</v>
      </c>
      <c r="B686" s="177" t="s">
        <v>7204</v>
      </c>
      <c r="C686" s="177" t="s">
        <v>7205</v>
      </c>
      <c r="D686" s="177" t="s">
        <v>6218</v>
      </c>
      <c r="E686" s="177" t="s">
        <v>7208</v>
      </c>
      <c r="F686" s="177" t="s">
        <v>7209</v>
      </c>
      <c r="G686" s="176"/>
      <c r="H686" s="176"/>
      <c r="I686" s="176"/>
      <c r="J686" s="176"/>
      <c r="K686" s="176"/>
      <c r="L686" s="176"/>
      <c r="M686" s="176"/>
      <c r="N686" s="176"/>
      <c r="O686" s="176"/>
      <c r="P686" s="176"/>
      <c r="Q686" s="176"/>
      <c r="R686" s="176"/>
      <c r="S686" s="176"/>
      <c r="T686" s="176"/>
      <c r="U686" s="176"/>
      <c r="V686" s="176"/>
      <c r="W686" s="176"/>
      <c r="X686" s="176"/>
      <c r="Y686" s="176"/>
      <c r="Z686" s="176"/>
    </row>
    <row r="687" spans="1:26">
      <c r="A687" s="221">
        <v>733</v>
      </c>
      <c r="B687" s="177" t="s">
        <v>7204</v>
      </c>
      <c r="C687" s="177" t="s">
        <v>7205</v>
      </c>
      <c r="D687" s="177" t="s">
        <v>6218</v>
      </c>
      <c r="E687" s="177" t="s">
        <v>7210</v>
      </c>
      <c r="F687" s="177" t="s">
        <v>7211</v>
      </c>
      <c r="G687" s="176"/>
      <c r="H687" s="176"/>
      <c r="I687" s="176"/>
      <c r="J687" s="176"/>
      <c r="K687" s="176"/>
      <c r="L687" s="176"/>
      <c r="M687" s="176"/>
      <c r="N687" s="176"/>
      <c r="O687" s="176"/>
      <c r="P687" s="176"/>
      <c r="Q687" s="176"/>
      <c r="R687" s="176"/>
      <c r="S687" s="176"/>
      <c r="T687" s="176"/>
      <c r="U687" s="176"/>
      <c r="V687" s="176"/>
      <c r="W687" s="176"/>
      <c r="X687" s="176"/>
      <c r="Y687" s="176"/>
      <c r="Z687" s="176"/>
    </row>
    <row r="688" spans="1:26">
      <c r="A688" s="221">
        <v>730</v>
      </c>
      <c r="B688" s="177" t="s">
        <v>7204</v>
      </c>
      <c r="C688" s="177" t="s">
        <v>7205</v>
      </c>
      <c r="D688" s="177" t="s">
        <v>6218</v>
      </c>
      <c r="E688" s="177" t="s">
        <v>7212</v>
      </c>
      <c r="F688" s="177" t="s">
        <v>7213</v>
      </c>
      <c r="G688" s="176"/>
      <c r="H688" s="176"/>
      <c r="I688" s="176"/>
      <c r="J688" s="176"/>
      <c r="K688" s="176"/>
      <c r="L688" s="176"/>
      <c r="M688" s="176"/>
      <c r="N688" s="176"/>
      <c r="O688" s="176"/>
      <c r="P688" s="176"/>
      <c r="Q688" s="176"/>
      <c r="R688" s="176"/>
      <c r="S688" s="176"/>
      <c r="T688" s="176"/>
      <c r="U688" s="176"/>
      <c r="V688" s="176"/>
      <c r="W688" s="176"/>
      <c r="X688" s="176"/>
      <c r="Y688" s="176"/>
      <c r="Z688" s="176"/>
    </row>
    <row r="689" spans="1:26">
      <c r="A689" s="221">
        <v>734</v>
      </c>
      <c r="B689" s="177" t="s">
        <v>7204</v>
      </c>
      <c r="C689" s="177" t="s">
        <v>7205</v>
      </c>
      <c r="D689" s="177" t="s">
        <v>6218</v>
      </c>
      <c r="E689" s="177" t="s">
        <v>7214</v>
      </c>
      <c r="F689" s="177" t="s">
        <v>7215</v>
      </c>
      <c r="G689" s="176"/>
      <c r="H689" s="176"/>
      <c r="I689" s="176"/>
      <c r="J689" s="176"/>
      <c r="K689" s="176"/>
      <c r="L689" s="176"/>
      <c r="M689" s="176"/>
      <c r="N689" s="176"/>
      <c r="O689" s="176"/>
      <c r="P689" s="176"/>
      <c r="Q689" s="176"/>
      <c r="R689" s="176"/>
      <c r="S689" s="176"/>
      <c r="T689" s="176"/>
      <c r="U689" s="176"/>
      <c r="V689" s="176"/>
      <c r="W689" s="176"/>
      <c r="X689" s="176"/>
      <c r="Y689" s="176"/>
      <c r="Z689" s="176"/>
    </row>
    <row r="690" spans="1:26">
      <c r="A690" s="221">
        <v>735</v>
      </c>
      <c r="B690" s="177" t="s">
        <v>7204</v>
      </c>
      <c r="C690" s="177" t="s">
        <v>7205</v>
      </c>
      <c r="D690" s="177" t="s">
        <v>6218</v>
      </c>
      <c r="E690" s="177" t="s">
        <v>7216</v>
      </c>
      <c r="F690" s="177" t="s">
        <v>7217</v>
      </c>
      <c r="G690" s="176"/>
      <c r="H690" s="176"/>
      <c r="I690" s="176"/>
      <c r="J690" s="176"/>
      <c r="K690" s="176"/>
      <c r="L690" s="176"/>
      <c r="M690" s="176"/>
      <c r="N690" s="176"/>
      <c r="O690" s="176"/>
      <c r="P690" s="176"/>
      <c r="Q690" s="176"/>
      <c r="R690" s="176"/>
      <c r="S690" s="176"/>
      <c r="T690" s="176"/>
      <c r="U690" s="176"/>
      <c r="V690" s="176"/>
      <c r="W690" s="176"/>
      <c r="X690" s="176"/>
      <c r="Y690" s="176"/>
      <c r="Z690" s="176"/>
    </row>
    <row r="691" spans="1:26">
      <c r="A691" s="221">
        <v>736</v>
      </c>
      <c r="B691" s="177" t="s">
        <v>7204</v>
      </c>
      <c r="C691" s="177" t="s">
        <v>7205</v>
      </c>
      <c r="D691" s="177" t="s">
        <v>6218</v>
      </c>
      <c r="E691" s="177" t="s">
        <v>7218</v>
      </c>
      <c r="F691" s="177" t="s">
        <v>7219</v>
      </c>
      <c r="G691" s="176"/>
      <c r="H691" s="176"/>
      <c r="I691" s="176"/>
      <c r="J691" s="176"/>
      <c r="K691" s="176"/>
      <c r="L691" s="176"/>
      <c r="M691" s="176"/>
      <c r="N691" s="176"/>
      <c r="O691" s="176"/>
      <c r="P691" s="176"/>
      <c r="Q691" s="176"/>
      <c r="R691" s="176"/>
      <c r="S691" s="176"/>
      <c r="T691" s="176"/>
      <c r="U691" s="176"/>
      <c r="V691" s="176"/>
      <c r="W691" s="176"/>
      <c r="X691" s="176"/>
      <c r="Y691" s="176"/>
      <c r="Z691" s="176"/>
    </row>
    <row r="692" spans="1:26">
      <c r="A692" s="221">
        <v>737</v>
      </c>
      <c r="B692" s="177" t="s">
        <v>7204</v>
      </c>
      <c r="C692" s="177" t="s">
        <v>7205</v>
      </c>
      <c r="D692" s="177" t="s">
        <v>6218</v>
      </c>
      <c r="E692" s="177" t="s">
        <v>635</v>
      </c>
      <c r="F692" s="177" t="s">
        <v>7220</v>
      </c>
      <c r="G692" s="176"/>
      <c r="H692" s="176"/>
      <c r="I692" s="176"/>
      <c r="J692" s="176"/>
      <c r="K692" s="176"/>
      <c r="L692" s="176"/>
      <c r="M692" s="176"/>
      <c r="N692" s="176"/>
      <c r="O692" s="176"/>
      <c r="P692" s="176"/>
      <c r="Q692" s="176"/>
      <c r="R692" s="176"/>
      <c r="S692" s="176"/>
      <c r="T692" s="176"/>
      <c r="U692" s="176"/>
      <c r="V692" s="176"/>
      <c r="W692" s="176"/>
      <c r="X692" s="176"/>
      <c r="Y692" s="176"/>
      <c r="Z692" s="176"/>
    </row>
    <row r="693" spans="1:26">
      <c r="A693" s="221">
        <v>738</v>
      </c>
      <c r="B693" s="177" t="s">
        <v>7204</v>
      </c>
      <c r="C693" s="177" t="s">
        <v>7205</v>
      </c>
      <c r="D693" s="177" t="s">
        <v>6218</v>
      </c>
      <c r="E693" s="177" t="s">
        <v>7221</v>
      </c>
      <c r="F693" s="177" t="s">
        <v>7222</v>
      </c>
      <c r="G693" s="176"/>
      <c r="H693" s="176"/>
      <c r="I693" s="176"/>
      <c r="J693" s="176"/>
      <c r="K693" s="176"/>
      <c r="L693" s="176"/>
      <c r="M693" s="176"/>
      <c r="N693" s="176"/>
      <c r="O693" s="176"/>
      <c r="P693" s="176"/>
      <c r="Q693" s="176"/>
      <c r="R693" s="176"/>
      <c r="S693" s="176"/>
      <c r="T693" s="176"/>
      <c r="U693" s="176"/>
      <c r="V693" s="176"/>
      <c r="W693" s="176"/>
      <c r="X693" s="176"/>
      <c r="Y693" s="176"/>
      <c r="Z693" s="176"/>
    </row>
    <row r="694" spans="1:26">
      <c r="A694" s="221">
        <v>739</v>
      </c>
      <c r="B694" s="177" t="s">
        <v>7204</v>
      </c>
      <c r="C694" s="177" t="s">
        <v>7205</v>
      </c>
      <c r="D694" s="177" t="s">
        <v>6218</v>
      </c>
      <c r="E694" s="177" t="s">
        <v>7223</v>
      </c>
      <c r="F694" s="177" t="s">
        <v>7224</v>
      </c>
      <c r="G694" s="176"/>
      <c r="H694" s="176"/>
      <c r="I694" s="176"/>
      <c r="J694" s="176"/>
      <c r="K694" s="176"/>
      <c r="L694" s="176"/>
      <c r="M694" s="176"/>
      <c r="N694" s="176"/>
      <c r="O694" s="176"/>
      <c r="P694" s="176"/>
      <c r="Q694" s="176"/>
      <c r="R694" s="176"/>
      <c r="S694" s="176"/>
      <c r="T694" s="176"/>
      <c r="U694" s="176"/>
      <c r="V694" s="176"/>
      <c r="W694" s="176"/>
      <c r="X694" s="176"/>
      <c r="Y694" s="176"/>
      <c r="Z694" s="176"/>
    </row>
    <row r="695" spans="1:26">
      <c r="A695" s="221">
        <v>740</v>
      </c>
      <c r="B695" s="177" t="s">
        <v>7204</v>
      </c>
      <c r="C695" s="177" t="s">
        <v>7205</v>
      </c>
      <c r="D695" s="177" t="s">
        <v>6218</v>
      </c>
      <c r="E695" s="177" t="s">
        <v>637</v>
      </c>
      <c r="F695" s="177" t="s">
        <v>7225</v>
      </c>
      <c r="G695" s="176"/>
      <c r="H695" s="176"/>
      <c r="I695" s="176"/>
      <c r="J695" s="176"/>
      <c r="K695" s="176"/>
      <c r="L695" s="176"/>
      <c r="M695" s="176"/>
      <c r="N695" s="176"/>
      <c r="O695" s="176"/>
      <c r="P695" s="176"/>
      <c r="Q695" s="176"/>
      <c r="R695" s="176"/>
      <c r="S695" s="176"/>
      <c r="T695" s="176"/>
      <c r="U695" s="176"/>
      <c r="V695" s="176"/>
      <c r="W695" s="176"/>
      <c r="X695" s="176"/>
      <c r="Y695" s="176"/>
      <c r="Z695" s="176"/>
    </row>
    <row r="696" spans="1:26">
      <c r="A696" s="221">
        <v>741</v>
      </c>
      <c r="B696" s="177" t="s">
        <v>7204</v>
      </c>
      <c r="C696" s="177" t="s">
        <v>7205</v>
      </c>
      <c r="D696" s="177" t="s">
        <v>6218</v>
      </c>
      <c r="E696" s="177" t="s">
        <v>7226</v>
      </c>
      <c r="F696" s="177" t="s">
        <v>7227</v>
      </c>
      <c r="G696" s="176"/>
      <c r="H696" s="176"/>
      <c r="I696" s="176"/>
      <c r="J696" s="176"/>
      <c r="K696" s="176"/>
      <c r="L696" s="176"/>
      <c r="M696" s="176"/>
      <c r="N696" s="176"/>
      <c r="O696" s="176"/>
      <c r="P696" s="176"/>
      <c r="Q696" s="176"/>
      <c r="R696" s="176"/>
      <c r="S696" s="176"/>
      <c r="T696" s="176"/>
      <c r="U696" s="176"/>
      <c r="V696" s="176"/>
      <c r="W696" s="176"/>
      <c r="X696" s="176"/>
      <c r="Y696" s="176"/>
      <c r="Z696" s="176"/>
    </row>
    <row r="697" spans="1:26">
      <c r="A697" s="221">
        <v>742</v>
      </c>
      <c r="B697" s="177" t="s">
        <v>7228</v>
      </c>
      <c r="C697" s="177" t="s">
        <v>7229</v>
      </c>
      <c r="D697" s="177" t="s">
        <v>6124</v>
      </c>
      <c r="E697" s="177" t="s">
        <v>2174</v>
      </c>
      <c r="F697" s="177" t="s">
        <v>2175</v>
      </c>
      <c r="G697" s="176"/>
      <c r="H697" s="176"/>
      <c r="I697" s="176"/>
      <c r="J697" s="176"/>
      <c r="K697" s="176"/>
      <c r="L697" s="176"/>
      <c r="M697" s="176"/>
      <c r="N697" s="176"/>
      <c r="O697" s="176"/>
      <c r="P697" s="176"/>
      <c r="Q697" s="176"/>
      <c r="R697" s="176"/>
      <c r="S697" s="176"/>
      <c r="T697" s="176"/>
      <c r="U697" s="176"/>
      <c r="V697" s="176"/>
      <c r="W697" s="176"/>
      <c r="X697" s="176"/>
      <c r="Y697" s="176"/>
      <c r="Z697" s="176"/>
    </row>
    <row r="698" spans="1:26">
      <c r="A698" s="221">
        <v>743</v>
      </c>
      <c r="B698" s="177" t="s">
        <v>7228</v>
      </c>
      <c r="C698" s="177" t="s">
        <v>7229</v>
      </c>
      <c r="D698" s="177" t="s">
        <v>6124</v>
      </c>
      <c r="E698" s="177" t="s">
        <v>2176</v>
      </c>
      <c r="F698" s="177" t="s">
        <v>2177</v>
      </c>
      <c r="G698" s="176"/>
      <c r="H698" s="176"/>
      <c r="I698" s="176"/>
      <c r="J698" s="176"/>
      <c r="K698" s="176"/>
      <c r="L698" s="176"/>
      <c r="M698" s="176"/>
      <c r="N698" s="176"/>
      <c r="O698" s="176"/>
      <c r="P698" s="176"/>
      <c r="Q698" s="176"/>
      <c r="R698" s="176"/>
      <c r="S698" s="176"/>
      <c r="T698" s="176"/>
      <c r="U698" s="176"/>
      <c r="V698" s="176"/>
      <c r="W698" s="176"/>
      <c r="X698" s="176"/>
      <c r="Y698" s="176"/>
      <c r="Z698" s="176"/>
    </row>
    <row r="699" spans="1:26">
      <c r="A699" s="221">
        <v>744</v>
      </c>
      <c r="B699" s="177" t="s">
        <v>7228</v>
      </c>
      <c r="C699" s="177" t="s">
        <v>7229</v>
      </c>
      <c r="D699" s="177" t="s">
        <v>6124</v>
      </c>
      <c r="E699" s="177" t="s">
        <v>2178</v>
      </c>
      <c r="F699" s="177" t="s">
        <v>2179</v>
      </c>
      <c r="G699" s="176"/>
      <c r="H699" s="176"/>
      <c r="I699" s="176"/>
      <c r="J699" s="176"/>
      <c r="K699" s="176"/>
      <c r="L699" s="176"/>
      <c r="M699" s="176"/>
      <c r="N699" s="176"/>
      <c r="O699" s="176"/>
      <c r="P699" s="176"/>
      <c r="Q699" s="176"/>
      <c r="R699" s="176"/>
      <c r="S699" s="176"/>
      <c r="T699" s="176"/>
      <c r="U699" s="176"/>
      <c r="V699" s="176"/>
      <c r="W699" s="176"/>
      <c r="X699" s="176"/>
      <c r="Y699" s="176"/>
      <c r="Z699" s="176"/>
    </row>
    <row r="700" spans="1:26">
      <c r="A700" s="221">
        <v>745</v>
      </c>
      <c r="B700" s="177" t="s">
        <v>7228</v>
      </c>
      <c r="C700" s="177" t="s">
        <v>7229</v>
      </c>
      <c r="D700" s="177" t="s">
        <v>6218</v>
      </c>
      <c r="E700" s="177" t="s">
        <v>2180</v>
      </c>
      <c r="F700" s="177" t="s">
        <v>2181</v>
      </c>
      <c r="G700" s="176"/>
      <c r="H700" s="176"/>
      <c r="I700" s="176"/>
      <c r="J700" s="176"/>
      <c r="K700" s="176"/>
      <c r="L700" s="176"/>
      <c r="M700" s="176"/>
      <c r="N700" s="176"/>
      <c r="O700" s="176"/>
      <c r="P700" s="176"/>
      <c r="Q700" s="176"/>
      <c r="R700" s="176"/>
      <c r="S700" s="176"/>
      <c r="T700" s="176"/>
      <c r="U700" s="176"/>
      <c r="V700" s="176"/>
      <c r="W700" s="176"/>
      <c r="X700" s="176"/>
      <c r="Y700" s="176"/>
      <c r="Z700" s="176"/>
    </row>
    <row r="701" spans="1:26">
      <c r="A701" s="221">
        <v>746</v>
      </c>
      <c r="B701" s="177" t="s">
        <v>7228</v>
      </c>
      <c r="C701" s="177" t="s">
        <v>7229</v>
      </c>
      <c r="D701" s="177" t="s">
        <v>6124</v>
      </c>
      <c r="E701" s="177" t="s">
        <v>2182</v>
      </c>
      <c r="F701" s="177" t="s">
        <v>2183</v>
      </c>
      <c r="G701" s="176"/>
      <c r="H701" s="176"/>
      <c r="I701" s="176"/>
      <c r="J701" s="176"/>
      <c r="K701" s="176"/>
      <c r="L701" s="176"/>
      <c r="M701" s="176"/>
      <c r="N701" s="176"/>
      <c r="O701" s="176"/>
      <c r="P701" s="176"/>
      <c r="Q701" s="176"/>
      <c r="R701" s="176"/>
      <c r="S701" s="176"/>
      <c r="T701" s="176"/>
      <c r="U701" s="176"/>
      <c r="V701" s="176"/>
      <c r="W701" s="176"/>
      <c r="X701" s="176"/>
      <c r="Y701" s="176"/>
      <c r="Z701" s="176"/>
    </row>
    <row r="702" spans="1:26">
      <c r="A702" s="221">
        <v>747</v>
      </c>
      <c r="B702" s="177" t="s">
        <v>7228</v>
      </c>
      <c r="C702" s="177" t="s">
        <v>7229</v>
      </c>
      <c r="D702" s="177" t="s">
        <v>6124</v>
      </c>
      <c r="E702" s="177" t="s">
        <v>2184</v>
      </c>
      <c r="F702" s="177" t="s">
        <v>2185</v>
      </c>
      <c r="G702" s="176"/>
      <c r="H702" s="176"/>
      <c r="I702" s="176"/>
      <c r="J702" s="176"/>
      <c r="K702" s="176"/>
      <c r="L702" s="176"/>
      <c r="M702" s="176"/>
      <c r="N702" s="176"/>
      <c r="O702" s="176"/>
      <c r="P702" s="176"/>
      <c r="Q702" s="176"/>
      <c r="R702" s="176"/>
      <c r="S702" s="176"/>
      <c r="T702" s="176"/>
      <c r="U702" s="176"/>
      <c r="V702" s="176"/>
      <c r="W702" s="176"/>
      <c r="X702" s="176"/>
      <c r="Y702" s="176"/>
      <c r="Z702" s="176"/>
    </row>
    <row r="703" spans="1:26">
      <c r="A703" s="221">
        <v>748</v>
      </c>
      <c r="B703" s="177" t="s">
        <v>7228</v>
      </c>
      <c r="C703" s="177" t="s">
        <v>7229</v>
      </c>
      <c r="D703" s="177" t="s">
        <v>6124</v>
      </c>
      <c r="E703" s="177" t="s">
        <v>2186</v>
      </c>
      <c r="F703" s="177" t="s">
        <v>2187</v>
      </c>
      <c r="G703" s="176"/>
      <c r="H703" s="176"/>
      <c r="I703" s="176"/>
      <c r="J703" s="176"/>
      <c r="K703" s="176"/>
      <c r="L703" s="176"/>
      <c r="M703" s="176"/>
      <c r="N703" s="176"/>
      <c r="O703" s="176"/>
      <c r="P703" s="176"/>
      <c r="Q703" s="176"/>
      <c r="R703" s="176"/>
      <c r="S703" s="176"/>
      <c r="T703" s="176"/>
      <c r="U703" s="176"/>
      <c r="V703" s="176"/>
      <c r="W703" s="176"/>
      <c r="X703" s="176"/>
      <c r="Y703" s="176"/>
      <c r="Z703" s="176"/>
    </row>
    <row r="704" spans="1:26">
      <c r="A704" s="221">
        <v>749</v>
      </c>
      <c r="B704" s="177" t="s">
        <v>7228</v>
      </c>
      <c r="C704" s="177" t="s">
        <v>7229</v>
      </c>
      <c r="D704" s="177" t="s">
        <v>6124</v>
      </c>
      <c r="E704" s="177" t="s">
        <v>7230</v>
      </c>
      <c r="F704" s="177" t="s">
        <v>7231</v>
      </c>
      <c r="G704" s="176"/>
      <c r="H704" s="176"/>
      <c r="I704" s="176"/>
      <c r="J704" s="176"/>
      <c r="K704" s="176"/>
      <c r="L704" s="176"/>
      <c r="M704" s="176"/>
      <c r="N704" s="176"/>
      <c r="O704" s="176"/>
      <c r="P704" s="176"/>
      <c r="Q704" s="176"/>
      <c r="R704" s="176"/>
      <c r="S704" s="176"/>
      <c r="T704" s="176"/>
      <c r="U704" s="176"/>
      <c r="V704" s="176"/>
      <c r="W704" s="176"/>
      <c r="X704" s="176"/>
      <c r="Y704" s="176"/>
      <c r="Z704" s="176"/>
    </row>
    <row r="705" spans="1:26">
      <c r="A705" s="221">
        <v>750</v>
      </c>
      <c r="B705" s="177" t="s">
        <v>7228</v>
      </c>
      <c r="C705" s="177" t="s">
        <v>7229</v>
      </c>
      <c r="D705" s="177" t="s">
        <v>6218</v>
      </c>
      <c r="E705" s="177" t="s">
        <v>7232</v>
      </c>
      <c r="F705" s="177" t="s">
        <v>7233</v>
      </c>
      <c r="G705" s="176"/>
      <c r="H705" s="176"/>
      <c r="I705" s="176"/>
      <c r="J705" s="176"/>
      <c r="K705" s="176"/>
      <c r="L705" s="176"/>
      <c r="M705" s="176"/>
      <c r="N705" s="176"/>
      <c r="O705" s="176"/>
      <c r="P705" s="176"/>
      <c r="Q705" s="176"/>
      <c r="R705" s="176"/>
      <c r="S705" s="176"/>
      <c r="T705" s="176"/>
      <c r="U705" s="176"/>
      <c r="V705" s="176"/>
      <c r="W705" s="176"/>
      <c r="X705" s="176"/>
      <c r="Y705" s="176"/>
      <c r="Z705" s="176"/>
    </row>
    <row r="706" spans="1:26">
      <c r="A706" s="221">
        <v>751</v>
      </c>
      <c r="B706" s="177" t="s">
        <v>6959</v>
      </c>
      <c r="C706" s="177" t="s">
        <v>6960</v>
      </c>
      <c r="D706" s="177" t="s">
        <v>6124</v>
      </c>
      <c r="E706" s="177" t="s">
        <v>7234</v>
      </c>
      <c r="F706" s="177" t="s">
        <v>7235</v>
      </c>
      <c r="G706" s="176"/>
      <c r="H706" s="176"/>
      <c r="I706" s="176"/>
      <c r="J706" s="176"/>
      <c r="K706" s="176"/>
      <c r="L706" s="176"/>
      <c r="M706" s="176"/>
      <c r="N706" s="176"/>
      <c r="O706" s="176"/>
      <c r="P706" s="176"/>
      <c r="Q706" s="176"/>
      <c r="R706" s="176"/>
      <c r="S706" s="176"/>
      <c r="T706" s="176"/>
      <c r="U706" s="176"/>
      <c r="V706" s="176"/>
      <c r="W706" s="176"/>
      <c r="X706" s="176"/>
      <c r="Y706" s="176"/>
      <c r="Z706" s="176"/>
    </row>
    <row r="707" spans="1:26">
      <c r="A707" s="221">
        <v>752</v>
      </c>
      <c r="B707" s="177" t="s">
        <v>6959</v>
      </c>
      <c r="C707" s="177" t="s">
        <v>6960</v>
      </c>
      <c r="D707" s="177" t="s">
        <v>6124</v>
      </c>
      <c r="E707" s="177" t="s">
        <v>7236</v>
      </c>
      <c r="F707" s="177" t="s">
        <v>7237</v>
      </c>
      <c r="G707" s="176"/>
      <c r="H707" s="176"/>
      <c r="I707" s="176"/>
      <c r="J707" s="176"/>
      <c r="K707" s="176"/>
      <c r="L707" s="176"/>
      <c r="M707" s="176"/>
      <c r="N707" s="176"/>
      <c r="O707" s="176"/>
      <c r="P707" s="176"/>
      <c r="Q707" s="176"/>
      <c r="R707" s="176"/>
      <c r="S707" s="176"/>
      <c r="T707" s="176"/>
      <c r="U707" s="176"/>
      <c r="V707" s="176"/>
      <c r="W707" s="176"/>
      <c r="X707" s="176"/>
      <c r="Y707" s="176"/>
      <c r="Z707" s="176"/>
    </row>
    <row r="708" spans="1:26">
      <c r="A708" s="221">
        <v>753</v>
      </c>
      <c r="B708" s="177" t="s">
        <v>6959</v>
      </c>
      <c r="C708" s="177" t="s">
        <v>6960</v>
      </c>
      <c r="D708" s="177" t="s">
        <v>6124</v>
      </c>
      <c r="E708" s="177" t="s">
        <v>6476</v>
      </c>
      <c r="F708" s="177" t="s">
        <v>7238</v>
      </c>
      <c r="G708" s="176"/>
      <c r="H708" s="176"/>
      <c r="I708" s="176"/>
      <c r="J708" s="176"/>
      <c r="K708" s="176"/>
      <c r="L708" s="176"/>
      <c r="M708" s="176"/>
      <c r="N708" s="176"/>
      <c r="O708" s="176"/>
      <c r="P708" s="176"/>
      <c r="Q708" s="176"/>
      <c r="R708" s="176"/>
      <c r="S708" s="176"/>
      <c r="T708" s="176"/>
      <c r="U708" s="176"/>
      <c r="V708" s="176"/>
      <c r="W708" s="176"/>
      <c r="X708" s="176"/>
      <c r="Y708" s="176"/>
      <c r="Z708" s="176"/>
    </row>
    <row r="709" spans="1:26">
      <c r="A709" s="221">
        <v>754</v>
      </c>
      <c r="B709" s="177" t="s">
        <v>6959</v>
      </c>
      <c r="C709" s="177" t="s">
        <v>6960</v>
      </c>
      <c r="D709" s="177" t="s">
        <v>6124</v>
      </c>
      <c r="E709" s="177" t="s">
        <v>7239</v>
      </c>
      <c r="F709" s="177" t="s">
        <v>7240</v>
      </c>
      <c r="G709" s="176"/>
      <c r="H709" s="176"/>
      <c r="I709" s="176"/>
      <c r="J709" s="176"/>
      <c r="K709" s="176"/>
      <c r="L709" s="176"/>
      <c r="M709" s="176"/>
      <c r="N709" s="176"/>
      <c r="O709" s="176"/>
      <c r="P709" s="176"/>
      <c r="Q709" s="176"/>
      <c r="R709" s="176"/>
      <c r="S709" s="176"/>
      <c r="T709" s="176"/>
      <c r="U709" s="176"/>
      <c r="V709" s="176"/>
      <c r="W709" s="176"/>
      <c r="X709" s="176"/>
      <c r="Y709" s="176"/>
      <c r="Z709" s="176"/>
    </row>
    <row r="710" spans="1:26">
      <c r="A710" s="149">
        <v>756</v>
      </c>
      <c r="B710" s="103" t="s">
        <v>7241</v>
      </c>
      <c r="C710" s="103" t="s">
        <v>7242</v>
      </c>
      <c r="D710" s="103" t="s">
        <v>6124</v>
      </c>
      <c r="E710" s="103" t="s">
        <v>7243</v>
      </c>
      <c r="F710" s="103" t="s">
        <v>7244</v>
      </c>
    </row>
    <row r="711" spans="1:26">
      <c r="A711" s="149">
        <v>757</v>
      </c>
      <c r="B711" s="103" t="s">
        <v>7241</v>
      </c>
      <c r="C711" s="103" t="s">
        <v>7242</v>
      </c>
      <c r="D711" s="103" t="s">
        <v>6124</v>
      </c>
      <c r="E711" s="103" t="s">
        <v>7245</v>
      </c>
      <c r="F711" s="103" t="s">
        <v>7246</v>
      </c>
    </row>
    <row r="712" spans="1:26">
      <c r="A712" s="149">
        <v>758</v>
      </c>
      <c r="B712" s="103" t="s">
        <v>7241</v>
      </c>
      <c r="C712" s="103" t="s">
        <v>7242</v>
      </c>
      <c r="D712" s="103" t="s">
        <v>6218</v>
      </c>
      <c r="E712" s="103" t="s">
        <v>7247</v>
      </c>
      <c r="F712" s="103" t="s">
        <v>7248</v>
      </c>
    </row>
    <row r="713" spans="1:26">
      <c r="A713" s="149">
        <v>759</v>
      </c>
      <c r="B713" s="103" t="s">
        <v>7249</v>
      </c>
      <c r="C713" s="103" t="s">
        <v>7250</v>
      </c>
      <c r="D713" s="103" t="s">
        <v>6218</v>
      </c>
      <c r="E713" s="103" t="s">
        <v>2681</v>
      </c>
      <c r="F713" s="103" t="s">
        <v>2682</v>
      </c>
    </row>
    <row r="714" spans="1:26">
      <c r="A714" s="149">
        <v>760</v>
      </c>
      <c r="B714" s="103" t="s">
        <v>7249</v>
      </c>
      <c r="C714" s="103" t="s">
        <v>7250</v>
      </c>
      <c r="D714" s="103" t="s">
        <v>6218</v>
      </c>
      <c r="E714" s="103" t="s">
        <v>2683</v>
      </c>
      <c r="F714" s="103" t="s">
        <v>2684</v>
      </c>
    </row>
    <row r="715" spans="1:26">
      <c r="A715" s="149">
        <v>761</v>
      </c>
      <c r="B715" s="103" t="s">
        <v>7249</v>
      </c>
      <c r="C715" s="103" t="s">
        <v>7250</v>
      </c>
      <c r="D715" s="103" t="s">
        <v>6218</v>
      </c>
      <c r="E715" s="103" t="s">
        <v>2685</v>
      </c>
      <c r="F715" s="103" t="s">
        <v>2686</v>
      </c>
    </row>
    <row r="716" spans="1:26">
      <c r="A716" s="149">
        <v>762</v>
      </c>
      <c r="B716" s="103" t="s">
        <v>7251</v>
      </c>
      <c r="C716" s="103" t="s">
        <v>7252</v>
      </c>
      <c r="D716" s="103" t="s">
        <v>6124</v>
      </c>
      <c r="E716" s="103" t="s">
        <v>2667</v>
      </c>
      <c r="F716" s="103" t="s">
        <v>2668</v>
      </c>
    </row>
    <row r="717" spans="1:26">
      <c r="A717" s="149">
        <v>763</v>
      </c>
      <c r="B717" s="103" t="s">
        <v>7251</v>
      </c>
      <c r="C717" s="103" t="s">
        <v>7252</v>
      </c>
      <c r="D717" s="103" t="s">
        <v>6124</v>
      </c>
      <c r="E717" s="103" t="s">
        <v>2669</v>
      </c>
      <c r="F717" s="103" t="s">
        <v>2670</v>
      </c>
    </row>
    <row r="718" spans="1:26">
      <c r="A718" s="149">
        <v>764</v>
      </c>
      <c r="B718" s="103" t="s">
        <v>7251</v>
      </c>
      <c r="C718" s="103" t="s">
        <v>7252</v>
      </c>
      <c r="D718" s="103" t="s">
        <v>6124</v>
      </c>
      <c r="E718" s="103" t="s">
        <v>2671</v>
      </c>
      <c r="F718" s="103" t="s">
        <v>2672</v>
      </c>
    </row>
    <row r="719" spans="1:26">
      <c r="A719" s="221">
        <v>773</v>
      </c>
      <c r="B719" s="177" t="s">
        <v>7253</v>
      </c>
      <c r="C719" s="177" t="s">
        <v>7254</v>
      </c>
      <c r="D719" s="177" t="s">
        <v>6218</v>
      </c>
      <c r="E719" s="177" t="s">
        <v>2604</v>
      </c>
      <c r="F719" s="177" t="s">
        <v>2605</v>
      </c>
      <c r="G719" s="176"/>
      <c r="H719" s="176"/>
      <c r="I719" s="176"/>
      <c r="J719" s="176"/>
      <c r="K719" s="176"/>
      <c r="L719" s="176"/>
      <c r="M719" s="176"/>
      <c r="N719" s="176"/>
      <c r="O719" s="176"/>
      <c r="P719" s="176"/>
      <c r="Q719" s="176"/>
      <c r="R719" s="176"/>
      <c r="S719" s="176"/>
      <c r="T719" s="176"/>
      <c r="U719" s="176"/>
      <c r="V719" s="176"/>
      <c r="W719" s="176"/>
      <c r="X719" s="176"/>
      <c r="Y719" s="176"/>
      <c r="Z719" s="176"/>
    </row>
    <row r="720" spans="1:26">
      <c r="A720" s="221">
        <v>774</v>
      </c>
      <c r="B720" s="177" t="s">
        <v>7253</v>
      </c>
      <c r="C720" s="177" t="s">
        <v>7254</v>
      </c>
      <c r="D720" s="177" t="s">
        <v>6218</v>
      </c>
      <c r="E720" s="177" t="s">
        <v>2606</v>
      </c>
      <c r="F720" s="177" t="s">
        <v>2607</v>
      </c>
      <c r="G720" s="176"/>
      <c r="H720" s="176"/>
      <c r="I720" s="176"/>
      <c r="J720" s="176"/>
      <c r="K720" s="176"/>
      <c r="L720" s="176"/>
      <c r="M720" s="176"/>
      <c r="N720" s="176"/>
      <c r="O720" s="176"/>
      <c r="P720" s="176"/>
      <c r="Q720" s="176"/>
      <c r="R720" s="176"/>
      <c r="S720" s="176"/>
      <c r="T720" s="176"/>
      <c r="U720" s="176"/>
      <c r="V720" s="176"/>
      <c r="W720" s="176"/>
      <c r="X720" s="176"/>
      <c r="Y720" s="176"/>
      <c r="Z720" s="176"/>
    </row>
    <row r="721" spans="1:26">
      <c r="A721" s="221">
        <v>775</v>
      </c>
      <c r="B721" s="177" t="s">
        <v>7253</v>
      </c>
      <c r="C721" s="177" t="s">
        <v>7254</v>
      </c>
      <c r="D721" s="177" t="s">
        <v>6218</v>
      </c>
      <c r="E721" s="177" t="s">
        <v>6223</v>
      </c>
      <c r="F721" s="177" t="s">
        <v>7255</v>
      </c>
      <c r="G721" s="176"/>
      <c r="H721" s="176"/>
      <c r="I721" s="176"/>
      <c r="J721" s="176"/>
      <c r="K721" s="176"/>
      <c r="L721" s="176"/>
      <c r="M721" s="176"/>
      <c r="N721" s="176"/>
      <c r="O721" s="176"/>
      <c r="P721" s="176"/>
      <c r="Q721" s="176"/>
      <c r="R721" s="176"/>
      <c r="S721" s="176"/>
      <c r="T721" s="176"/>
      <c r="U721" s="176"/>
      <c r="V721" s="176"/>
      <c r="W721" s="176"/>
      <c r="X721" s="176"/>
      <c r="Y721" s="176"/>
      <c r="Z721" s="176"/>
    </row>
    <row r="722" spans="1:26">
      <c r="A722" s="221">
        <v>776</v>
      </c>
      <c r="B722" s="177" t="s">
        <v>7253</v>
      </c>
      <c r="C722" s="177" t="s">
        <v>7254</v>
      </c>
      <c r="D722" s="177" t="s">
        <v>6218</v>
      </c>
      <c r="E722" s="177" t="s">
        <v>2608</v>
      </c>
      <c r="F722" s="177" t="s">
        <v>2609</v>
      </c>
      <c r="G722" s="176"/>
      <c r="H722" s="176"/>
      <c r="I722" s="176"/>
      <c r="J722" s="176"/>
      <c r="K722" s="176"/>
      <c r="L722" s="176"/>
      <c r="M722" s="176"/>
      <c r="N722" s="176"/>
      <c r="O722" s="176"/>
      <c r="P722" s="176"/>
      <c r="Q722" s="176"/>
      <c r="R722" s="176"/>
      <c r="S722" s="176"/>
      <c r="T722" s="176"/>
      <c r="U722" s="176"/>
      <c r="V722" s="176"/>
      <c r="W722" s="176"/>
      <c r="X722" s="176"/>
      <c r="Y722" s="176"/>
      <c r="Z722" s="176"/>
    </row>
    <row r="723" spans="1:26">
      <c r="A723" s="221">
        <v>777</v>
      </c>
      <c r="B723" s="177" t="s">
        <v>7253</v>
      </c>
      <c r="C723" s="177" t="s">
        <v>7254</v>
      </c>
      <c r="D723" s="177" t="s">
        <v>6218</v>
      </c>
      <c r="E723" s="177" t="s">
        <v>2610</v>
      </c>
      <c r="F723" s="177" t="s">
        <v>2611</v>
      </c>
      <c r="G723" s="176"/>
      <c r="H723" s="176"/>
      <c r="I723" s="176"/>
      <c r="J723" s="176"/>
      <c r="K723" s="176"/>
      <c r="L723" s="176"/>
      <c r="M723" s="176"/>
      <c r="N723" s="176"/>
      <c r="O723" s="176"/>
      <c r="P723" s="176"/>
      <c r="Q723" s="176"/>
      <c r="R723" s="176"/>
      <c r="S723" s="176"/>
      <c r="T723" s="176"/>
      <c r="U723" s="176"/>
      <c r="V723" s="176"/>
      <c r="W723" s="176"/>
      <c r="X723" s="176"/>
      <c r="Y723" s="176"/>
      <c r="Z723" s="176"/>
    </row>
    <row r="724" spans="1:26">
      <c r="A724" s="221">
        <v>778</v>
      </c>
      <c r="B724" s="177" t="s">
        <v>7253</v>
      </c>
      <c r="C724" s="177" t="s">
        <v>7254</v>
      </c>
      <c r="D724" s="177" t="s">
        <v>6218</v>
      </c>
      <c r="E724" s="177" t="s">
        <v>2612</v>
      </c>
      <c r="F724" s="177" t="s">
        <v>2613</v>
      </c>
      <c r="G724" s="176"/>
      <c r="H724" s="176"/>
      <c r="I724" s="176"/>
      <c r="J724" s="176"/>
      <c r="K724" s="176"/>
      <c r="L724" s="176"/>
      <c r="M724" s="176"/>
      <c r="N724" s="176"/>
      <c r="O724" s="176"/>
      <c r="P724" s="176"/>
      <c r="Q724" s="176"/>
      <c r="R724" s="176"/>
      <c r="S724" s="176"/>
      <c r="T724" s="176"/>
      <c r="U724" s="176"/>
      <c r="V724" s="176"/>
      <c r="W724" s="176"/>
      <c r="X724" s="176"/>
      <c r="Y724" s="176"/>
      <c r="Z724" s="176"/>
    </row>
    <row r="725" spans="1:26">
      <c r="A725" s="221">
        <v>779</v>
      </c>
      <c r="B725" s="177" t="s">
        <v>7253</v>
      </c>
      <c r="C725" s="177" t="s">
        <v>7254</v>
      </c>
      <c r="D725" s="177" t="s">
        <v>6218</v>
      </c>
      <c r="E725" s="177" t="s">
        <v>2614</v>
      </c>
      <c r="F725" s="177" t="s">
        <v>2615</v>
      </c>
      <c r="G725" s="176"/>
      <c r="H725" s="176"/>
      <c r="I725" s="176"/>
      <c r="J725" s="176"/>
      <c r="K725" s="176"/>
      <c r="L725" s="176"/>
      <c r="M725" s="176"/>
      <c r="N725" s="176"/>
      <c r="O725" s="176"/>
      <c r="P725" s="176"/>
      <c r="Q725" s="176"/>
      <c r="R725" s="176"/>
      <c r="S725" s="176"/>
      <c r="T725" s="176"/>
      <c r="U725" s="176"/>
      <c r="V725" s="176"/>
      <c r="W725" s="176"/>
      <c r="X725" s="176"/>
      <c r="Y725" s="176"/>
      <c r="Z725" s="176"/>
    </row>
    <row r="726" spans="1:26">
      <c r="A726" s="221">
        <v>780</v>
      </c>
      <c r="B726" s="177" t="s">
        <v>7253</v>
      </c>
      <c r="C726" s="177" t="s">
        <v>7254</v>
      </c>
      <c r="D726" s="177" t="s">
        <v>6218</v>
      </c>
      <c r="E726" s="177" t="s">
        <v>2616</v>
      </c>
      <c r="F726" s="177" t="s">
        <v>2617</v>
      </c>
      <c r="G726" s="176"/>
      <c r="H726" s="176"/>
      <c r="I726" s="176"/>
      <c r="J726" s="176"/>
      <c r="K726" s="176"/>
      <c r="L726" s="176"/>
      <c r="M726" s="176"/>
      <c r="N726" s="176"/>
      <c r="O726" s="176"/>
      <c r="P726" s="176"/>
      <c r="Q726" s="176"/>
      <c r="R726" s="176"/>
      <c r="S726" s="176"/>
      <c r="T726" s="176"/>
      <c r="U726" s="176"/>
      <c r="V726" s="176"/>
      <c r="W726" s="176"/>
      <c r="X726" s="176"/>
      <c r="Y726" s="176"/>
      <c r="Z726" s="176"/>
    </row>
    <row r="727" spans="1:26">
      <c r="A727" s="149">
        <v>781</v>
      </c>
      <c r="B727" s="103" t="s">
        <v>7256</v>
      </c>
      <c r="C727" s="103" t="s">
        <v>7257</v>
      </c>
      <c r="D727" s="103" t="s">
        <v>6124</v>
      </c>
      <c r="E727" s="103" t="s">
        <v>7258</v>
      </c>
      <c r="F727" s="103" t="s">
        <v>7259</v>
      </c>
    </row>
    <row r="728" spans="1:26">
      <c r="A728" s="149">
        <v>782</v>
      </c>
      <c r="B728" s="103" t="s">
        <v>7256</v>
      </c>
      <c r="C728" s="103" t="s">
        <v>7257</v>
      </c>
      <c r="D728" s="103" t="s">
        <v>6124</v>
      </c>
      <c r="E728" s="103" t="s">
        <v>7260</v>
      </c>
      <c r="F728" s="103" t="s">
        <v>7261</v>
      </c>
    </row>
    <row r="729" spans="1:26">
      <c r="A729" s="149">
        <v>783</v>
      </c>
      <c r="B729" s="103" t="s">
        <v>7256</v>
      </c>
      <c r="C729" s="103" t="s">
        <v>7257</v>
      </c>
      <c r="D729" s="103" t="s">
        <v>6124</v>
      </c>
      <c r="E729" s="103" t="s">
        <v>7262</v>
      </c>
      <c r="F729" s="103" t="s">
        <v>7263</v>
      </c>
    </row>
    <row r="730" spans="1:26">
      <c r="A730" s="149">
        <v>784</v>
      </c>
      <c r="B730" s="103" t="s">
        <v>7256</v>
      </c>
      <c r="C730" s="103" t="s">
        <v>7257</v>
      </c>
      <c r="D730" s="103" t="s">
        <v>6124</v>
      </c>
      <c r="E730" s="103" t="s">
        <v>7264</v>
      </c>
      <c r="F730" s="103" t="s">
        <v>7265</v>
      </c>
    </row>
    <row r="731" spans="1:26">
      <c r="A731" s="149">
        <v>785</v>
      </c>
      <c r="B731" s="103" t="s">
        <v>7256</v>
      </c>
      <c r="C731" s="103" t="s">
        <v>7257</v>
      </c>
      <c r="D731" s="103" t="s">
        <v>6124</v>
      </c>
      <c r="E731" s="103" t="s">
        <v>7266</v>
      </c>
      <c r="F731" s="103" t="s">
        <v>7267</v>
      </c>
    </row>
    <row r="732" spans="1:26">
      <c r="A732" s="149">
        <v>786</v>
      </c>
      <c r="B732" s="103" t="s">
        <v>7256</v>
      </c>
      <c r="C732" s="103" t="s">
        <v>7257</v>
      </c>
      <c r="D732" s="103" t="s">
        <v>6124</v>
      </c>
      <c r="E732" s="103" t="s">
        <v>7268</v>
      </c>
      <c r="F732" s="103" t="s">
        <v>7269</v>
      </c>
    </row>
    <row r="733" spans="1:26">
      <c r="A733" s="149">
        <v>787</v>
      </c>
      <c r="B733" s="103" t="s">
        <v>7270</v>
      </c>
      <c r="C733" s="103" t="s">
        <v>7271</v>
      </c>
      <c r="D733" s="103" t="s">
        <v>6124</v>
      </c>
      <c r="E733" s="103" t="s">
        <v>7272</v>
      </c>
      <c r="F733" s="103" t="s">
        <v>7273</v>
      </c>
    </row>
    <row r="734" spans="1:26">
      <c r="A734" s="149">
        <v>788</v>
      </c>
      <c r="B734" s="103" t="s">
        <v>7270</v>
      </c>
      <c r="C734" s="103" t="s">
        <v>7271</v>
      </c>
      <c r="D734" s="103" t="s">
        <v>6124</v>
      </c>
      <c r="E734" s="103" t="s">
        <v>7274</v>
      </c>
      <c r="F734" s="103" t="s">
        <v>7275</v>
      </c>
    </row>
    <row r="735" spans="1:26">
      <c r="A735" s="149">
        <v>789</v>
      </c>
      <c r="B735" s="103" t="s">
        <v>7270</v>
      </c>
      <c r="C735" s="103" t="s">
        <v>7271</v>
      </c>
      <c r="D735" s="103" t="s">
        <v>6124</v>
      </c>
      <c r="E735" s="103" t="s">
        <v>7276</v>
      </c>
      <c r="F735" s="103" t="s">
        <v>7277</v>
      </c>
    </row>
    <row r="736" spans="1:26">
      <c r="A736" s="149">
        <v>790</v>
      </c>
      <c r="B736" s="103" t="s">
        <v>7270</v>
      </c>
      <c r="C736" s="103" t="s">
        <v>7271</v>
      </c>
      <c r="D736" s="103" t="s">
        <v>6124</v>
      </c>
      <c r="E736" s="103" t="s">
        <v>7278</v>
      </c>
      <c r="F736" s="103" t="s">
        <v>7279</v>
      </c>
    </row>
    <row r="737" spans="1:26">
      <c r="A737" s="149">
        <v>791</v>
      </c>
      <c r="B737" s="103" t="s">
        <v>7270</v>
      </c>
      <c r="C737" s="103" t="s">
        <v>7271</v>
      </c>
      <c r="D737" s="103" t="s">
        <v>6124</v>
      </c>
      <c r="E737" s="103" t="s">
        <v>7280</v>
      </c>
      <c r="F737" s="103" t="s">
        <v>7281</v>
      </c>
    </row>
    <row r="738" spans="1:26">
      <c r="A738" s="149">
        <v>792</v>
      </c>
      <c r="B738" s="103" t="s">
        <v>7270</v>
      </c>
      <c r="C738" s="103" t="s">
        <v>7271</v>
      </c>
      <c r="D738" s="103" t="s">
        <v>6124</v>
      </c>
      <c r="E738" s="103" t="s">
        <v>7282</v>
      </c>
      <c r="F738" s="103" t="s">
        <v>7283</v>
      </c>
    </row>
    <row r="739" spans="1:26">
      <c r="A739" s="149">
        <v>793</v>
      </c>
      <c r="B739" s="103" t="s">
        <v>7270</v>
      </c>
      <c r="C739" s="103" t="s">
        <v>7271</v>
      </c>
      <c r="D739" s="103" t="s">
        <v>6124</v>
      </c>
      <c r="E739" s="103" t="s">
        <v>7284</v>
      </c>
      <c r="F739" s="103" t="s">
        <v>7285</v>
      </c>
    </row>
    <row r="740" spans="1:26">
      <c r="A740" s="149">
        <v>794</v>
      </c>
      <c r="B740" s="103" t="s">
        <v>7270</v>
      </c>
      <c r="C740" s="103" t="s">
        <v>7271</v>
      </c>
      <c r="D740" s="103" t="s">
        <v>6124</v>
      </c>
      <c r="E740" s="103" t="s">
        <v>7286</v>
      </c>
      <c r="F740" s="103" t="s">
        <v>7287</v>
      </c>
    </row>
    <row r="741" spans="1:26">
      <c r="A741" s="149">
        <v>795</v>
      </c>
      <c r="B741" s="103" t="s">
        <v>7270</v>
      </c>
      <c r="C741" s="103" t="s">
        <v>7271</v>
      </c>
      <c r="D741" s="103" t="s">
        <v>6124</v>
      </c>
      <c r="E741" s="103" t="s">
        <v>7288</v>
      </c>
      <c r="F741" s="103" t="s">
        <v>7289</v>
      </c>
    </row>
    <row r="742" spans="1:26">
      <c r="A742" s="221">
        <v>796</v>
      </c>
      <c r="B742" s="177" t="s">
        <v>6973</v>
      </c>
      <c r="C742" s="177" t="s">
        <v>6974</v>
      </c>
      <c r="D742" s="177" t="s">
        <v>6218</v>
      </c>
      <c r="E742" s="177" t="s">
        <v>1668</v>
      </c>
      <c r="F742" s="177" t="s">
        <v>1669</v>
      </c>
      <c r="G742" s="176"/>
      <c r="H742" s="176"/>
      <c r="I742" s="176"/>
      <c r="J742" s="176"/>
      <c r="K742" s="176"/>
      <c r="L742" s="176"/>
      <c r="M742" s="176"/>
      <c r="N742" s="176"/>
      <c r="O742" s="176"/>
      <c r="P742" s="176"/>
      <c r="Q742" s="176"/>
      <c r="R742" s="176"/>
      <c r="S742" s="176"/>
      <c r="T742" s="176"/>
      <c r="U742" s="176"/>
      <c r="V742" s="176"/>
      <c r="W742" s="176"/>
      <c r="X742" s="176"/>
      <c r="Y742" s="176"/>
      <c r="Z742" s="176"/>
    </row>
    <row r="743" spans="1:26">
      <c r="A743" s="221">
        <v>797</v>
      </c>
      <c r="B743" s="177" t="s">
        <v>6973</v>
      </c>
      <c r="C743" s="177" t="s">
        <v>6974</v>
      </c>
      <c r="D743" s="177" t="s">
        <v>6218</v>
      </c>
      <c r="E743" s="177" t="s">
        <v>1670</v>
      </c>
      <c r="F743" s="177" t="s">
        <v>1671</v>
      </c>
      <c r="G743" s="176"/>
      <c r="H743" s="176"/>
      <c r="I743" s="176"/>
      <c r="J743" s="176"/>
      <c r="K743" s="176"/>
      <c r="L743" s="176"/>
      <c r="M743" s="176"/>
      <c r="N743" s="176"/>
      <c r="O743" s="176"/>
      <c r="P743" s="176"/>
      <c r="Q743" s="176"/>
      <c r="R743" s="176"/>
      <c r="S743" s="176"/>
      <c r="T743" s="176"/>
      <c r="U743" s="176"/>
      <c r="V743" s="176"/>
      <c r="W743" s="176"/>
      <c r="X743" s="176"/>
      <c r="Y743" s="176"/>
      <c r="Z743" s="176"/>
    </row>
    <row r="744" spans="1:26">
      <c r="A744" s="221">
        <v>798</v>
      </c>
      <c r="B744" s="177" t="s">
        <v>6973</v>
      </c>
      <c r="C744" s="177" t="s">
        <v>6974</v>
      </c>
      <c r="D744" s="177" t="s">
        <v>6218</v>
      </c>
      <c r="E744" s="177" t="s">
        <v>1672</v>
      </c>
      <c r="F744" s="177" t="s">
        <v>1673</v>
      </c>
      <c r="G744" s="176"/>
      <c r="H744" s="176"/>
      <c r="I744" s="176"/>
      <c r="J744" s="176"/>
      <c r="K744" s="176"/>
      <c r="L744" s="176"/>
      <c r="M744" s="176"/>
      <c r="N744" s="176"/>
      <c r="O744" s="176"/>
      <c r="P744" s="176"/>
      <c r="Q744" s="176"/>
      <c r="R744" s="176"/>
      <c r="S744" s="176"/>
      <c r="T744" s="176"/>
      <c r="U744" s="176"/>
      <c r="V744" s="176"/>
      <c r="W744" s="176"/>
      <c r="X744" s="176"/>
      <c r="Y744" s="176"/>
      <c r="Z744" s="176"/>
    </row>
    <row r="745" spans="1:26">
      <c r="A745" s="221">
        <v>799</v>
      </c>
      <c r="B745" s="177" t="s">
        <v>6973</v>
      </c>
      <c r="C745" s="177" t="s">
        <v>6974</v>
      </c>
      <c r="D745" s="177" t="s">
        <v>6218</v>
      </c>
      <c r="E745" s="177" t="s">
        <v>1674</v>
      </c>
      <c r="F745" s="177" t="s">
        <v>1675</v>
      </c>
      <c r="G745" s="176"/>
      <c r="H745" s="176"/>
      <c r="I745" s="176"/>
      <c r="J745" s="176"/>
      <c r="K745" s="176"/>
      <c r="L745" s="176"/>
      <c r="M745" s="176"/>
      <c r="N745" s="176"/>
      <c r="O745" s="176"/>
      <c r="P745" s="176"/>
      <c r="Q745" s="176"/>
      <c r="R745" s="176"/>
      <c r="S745" s="176"/>
      <c r="T745" s="176"/>
      <c r="U745" s="176"/>
      <c r="V745" s="176"/>
      <c r="W745" s="176"/>
      <c r="X745" s="176"/>
      <c r="Y745" s="176"/>
      <c r="Z745" s="176"/>
    </row>
    <row r="746" spans="1:26">
      <c r="A746" s="221">
        <v>800</v>
      </c>
      <c r="B746" s="177" t="s">
        <v>7290</v>
      </c>
      <c r="C746" s="177" t="s">
        <v>7291</v>
      </c>
      <c r="D746" s="177" t="s">
        <v>6218</v>
      </c>
      <c r="E746" s="177" t="s">
        <v>1676</v>
      </c>
      <c r="F746" s="177" t="s">
        <v>1677</v>
      </c>
      <c r="G746" s="176"/>
      <c r="H746" s="176"/>
      <c r="I746" s="176"/>
      <c r="J746" s="176"/>
      <c r="K746" s="176"/>
      <c r="L746" s="176"/>
      <c r="M746" s="176"/>
      <c r="N746" s="176"/>
      <c r="O746" s="176"/>
      <c r="P746" s="176"/>
      <c r="Q746" s="176"/>
      <c r="R746" s="176"/>
      <c r="S746" s="176"/>
      <c r="T746" s="176"/>
      <c r="U746" s="176"/>
      <c r="V746" s="176"/>
      <c r="W746" s="176"/>
      <c r="X746" s="176"/>
      <c r="Y746" s="176"/>
      <c r="Z746" s="176"/>
    </row>
    <row r="747" spans="1:26">
      <c r="A747" s="221">
        <v>801</v>
      </c>
      <c r="B747" s="177" t="s">
        <v>7290</v>
      </c>
      <c r="C747" s="177" t="s">
        <v>7291</v>
      </c>
      <c r="D747" s="177" t="s">
        <v>6218</v>
      </c>
      <c r="E747" s="177" t="s">
        <v>1678</v>
      </c>
      <c r="F747" s="177" t="s">
        <v>1679</v>
      </c>
      <c r="G747" s="176"/>
      <c r="H747" s="176"/>
      <c r="I747" s="176"/>
      <c r="J747" s="176"/>
      <c r="K747" s="176"/>
      <c r="L747" s="176"/>
      <c r="M747" s="176"/>
      <c r="N747" s="176"/>
      <c r="O747" s="176"/>
      <c r="P747" s="176"/>
      <c r="Q747" s="176"/>
      <c r="R747" s="176"/>
      <c r="S747" s="176"/>
      <c r="T747" s="176"/>
      <c r="U747" s="176"/>
      <c r="V747" s="176"/>
      <c r="W747" s="176"/>
      <c r="X747" s="176"/>
      <c r="Y747" s="176"/>
      <c r="Z747" s="176"/>
    </row>
    <row r="748" spans="1:26">
      <c r="A748" s="221">
        <v>802</v>
      </c>
      <c r="B748" s="177" t="s">
        <v>7290</v>
      </c>
      <c r="C748" s="177" t="s">
        <v>7291</v>
      </c>
      <c r="D748" s="177" t="s">
        <v>6218</v>
      </c>
      <c r="E748" s="177" t="s">
        <v>1668</v>
      </c>
      <c r="F748" s="177" t="s">
        <v>7292</v>
      </c>
      <c r="G748" s="176"/>
      <c r="H748" s="176"/>
      <c r="I748" s="176"/>
      <c r="J748" s="176"/>
      <c r="K748" s="176"/>
      <c r="L748" s="176"/>
      <c r="M748" s="176"/>
      <c r="N748" s="176"/>
      <c r="O748" s="176"/>
      <c r="P748" s="176"/>
      <c r="Q748" s="176"/>
      <c r="R748" s="176"/>
      <c r="S748" s="176"/>
      <c r="T748" s="176"/>
      <c r="U748" s="176"/>
      <c r="V748" s="176"/>
      <c r="W748" s="176"/>
      <c r="X748" s="176"/>
      <c r="Y748" s="176"/>
      <c r="Z748" s="176"/>
    </row>
    <row r="749" spans="1:26">
      <c r="A749" s="221">
        <v>803</v>
      </c>
      <c r="B749" s="177" t="s">
        <v>7290</v>
      </c>
      <c r="C749" s="177" t="s">
        <v>7291</v>
      </c>
      <c r="D749" s="177" t="s">
        <v>6218</v>
      </c>
      <c r="E749" s="177" t="s">
        <v>1670</v>
      </c>
      <c r="F749" s="177" t="s">
        <v>7293</v>
      </c>
      <c r="G749" s="176"/>
      <c r="H749" s="176"/>
      <c r="I749" s="176"/>
      <c r="J749" s="176"/>
      <c r="K749" s="176"/>
      <c r="L749" s="176"/>
      <c r="M749" s="176"/>
      <c r="N749" s="176"/>
      <c r="O749" s="176"/>
      <c r="P749" s="176"/>
      <c r="Q749" s="176"/>
      <c r="R749" s="176"/>
      <c r="S749" s="176"/>
      <c r="T749" s="176"/>
      <c r="U749" s="176"/>
      <c r="V749" s="176"/>
      <c r="W749" s="176"/>
      <c r="X749" s="176"/>
      <c r="Y749" s="176"/>
      <c r="Z749" s="176"/>
    </row>
    <row r="750" spans="1:26">
      <c r="A750" s="221">
        <v>804</v>
      </c>
      <c r="B750" s="177" t="s">
        <v>7290</v>
      </c>
      <c r="C750" s="177" t="s">
        <v>7291</v>
      </c>
      <c r="D750" s="177" t="s">
        <v>6218</v>
      </c>
      <c r="E750" s="177" t="s">
        <v>1672</v>
      </c>
      <c r="F750" s="177" t="s">
        <v>7294</v>
      </c>
      <c r="G750" s="176"/>
      <c r="H750" s="176"/>
      <c r="I750" s="176"/>
      <c r="J750" s="176"/>
      <c r="K750" s="176"/>
      <c r="L750" s="176"/>
      <c r="M750" s="176"/>
      <c r="N750" s="176"/>
      <c r="O750" s="176"/>
      <c r="P750" s="176"/>
      <c r="Q750" s="176"/>
      <c r="R750" s="176"/>
      <c r="S750" s="176"/>
      <c r="T750" s="176"/>
      <c r="U750" s="176"/>
      <c r="V750" s="176"/>
      <c r="W750" s="176"/>
      <c r="X750" s="176"/>
      <c r="Y750" s="176"/>
      <c r="Z750" s="176"/>
    </row>
    <row r="751" spans="1:26">
      <c r="A751" s="221">
        <v>805</v>
      </c>
      <c r="B751" s="177" t="s">
        <v>7290</v>
      </c>
      <c r="C751" s="177" t="s">
        <v>7291</v>
      </c>
      <c r="D751" s="177" t="s">
        <v>6218</v>
      </c>
      <c r="E751" s="177" t="s">
        <v>1674</v>
      </c>
      <c r="F751" s="177" t="s">
        <v>7295</v>
      </c>
      <c r="G751" s="176"/>
      <c r="H751" s="176"/>
      <c r="I751" s="176"/>
      <c r="J751" s="176"/>
      <c r="K751" s="176"/>
      <c r="L751" s="176"/>
      <c r="M751" s="176"/>
      <c r="N751" s="176"/>
      <c r="O751" s="176"/>
      <c r="P751" s="176"/>
      <c r="Q751" s="176"/>
      <c r="R751" s="176"/>
      <c r="S751" s="176"/>
      <c r="T751" s="176"/>
      <c r="U751" s="176"/>
      <c r="V751" s="176"/>
      <c r="W751" s="176"/>
      <c r="X751" s="176"/>
      <c r="Y751" s="176"/>
      <c r="Z751" s="176"/>
    </row>
    <row r="752" spans="1:26">
      <c r="A752" s="221">
        <v>806</v>
      </c>
      <c r="B752" s="177" t="s">
        <v>7296</v>
      </c>
      <c r="C752" s="177" t="s">
        <v>7297</v>
      </c>
      <c r="D752" s="177" t="s">
        <v>6124</v>
      </c>
      <c r="E752" s="177" t="s">
        <v>854</v>
      </c>
      <c r="F752" s="177" t="s">
        <v>855</v>
      </c>
      <c r="G752" s="176"/>
      <c r="H752" s="176"/>
      <c r="I752" s="176"/>
      <c r="J752" s="176"/>
      <c r="K752" s="176"/>
      <c r="L752" s="176"/>
      <c r="M752" s="176"/>
      <c r="N752" s="176"/>
      <c r="O752" s="176"/>
      <c r="P752" s="176"/>
      <c r="Q752" s="176"/>
      <c r="R752" s="176"/>
      <c r="S752" s="176"/>
      <c r="T752" s="176"/>
      <c r="U752" s="176"/>
      <c r="V752" s="176"/>
      <c r="W752" s="176"/>
      <c r="X752" s="176"/>
      <c r="Y752" s="176"/>
      <c r="Z752" s="176"/>
    </row>
    <row r="753" spans="1:26">
      <c r="A753" s="221">
        <v>807</v>
      </c>
      <c r="B753" s="177" t="s">
        <v>7296</v>
      </c>
      <c r="C753" s="177" t="s">
        <v>7297</v>
      </c>
      <c r="D753" s="177" t="s">
        <v>6124</v>
      </c>
      <c r="E753" s="177" t="s">
        <v>856</v>
      </c>
      <c r="F753" s="177" t="s">
        <v>857</v>
      </c>
      <c r="G753" s="176"/>
      <c r="H753" s="176"/>
      <c r="I753" s="176"/>
      <c r="J753" s="176"/>
      <c r="K753" s="176"/>
      <c r="L753" s="176"/>
      <c r="M753" s="176"/>
      <c r="N753" s="176"/>
      <c r="O753" s="176"/>
      <c r="P753" s="176"/>
      <c r="Q753" s="176"/>
      <c r="R753" s="176"/>
      <c r="S753" s="176"/>
      <c r="T753" s="176"/>
      <c r="U753" s="176"/>
      <c r="V753" s="176"/>
      <c r="W753" s="176"/>
      <c r="X753" s="176"/>
      <c r="Y753" s="176"/>
      <c r="Z753" s="176"/>
    </row>
    <row r="754" spans="1:26">
      <c r="A754" s="221">
        <v>808</v>
      </c>
      <c r="B754" s="177" t="s">
        <v>7296</v>
      </c>
      <c r="C754" s="177" t="s">
        <v>7297</v>
      </c>
      <c r="D754" s="177" t="s">
        <v>6124</v>
      </c>
      <c r="E754" s="177" t="s">
        <v>858</v>
      </c>
      <c r="F754" s="177" t="s">
        <v>859</v>
      </c>
      <c r="G754" s="176"/>
      <c r="H754" s="176"/>
      <c r="I754" s="176"/>
      <c r="J754" s="176"/>
      <c r="K754" s="176"/>
      <c r="L754" s="176"/>
      <c r="M754" s="176"/>
      <c r="N754" s="176"/>
      <c r="O754" s="176"/>
      <c r="P754" s="176"/>
      <c r="Q754" s="176"/>
      <c r="R754" s="176"/>
      <c r="S754" s="176"/>
      <c r="T754" s="176"/>
      <c r="U754" s="176"/>
      <c r="V754" s="176"/>
      <c r="W754" s="176"/>
      <c r="X754" s="176"/>
      <c r="Y754" s="176"/>
      <c r="Z754" s="176"/>
    </row>
    <row r="755" spans="1:26">
      <c r="A755" s="221">
        <v>810</v>
      </c>
      <c r="B755" s="177" t="s">
        <v>7298</v>
      </c>
      <c r="C755" s="177" t="s">
        <v>7299</v>
      </c>
      <c r="D755" s="177" t="s">
        <v>6218</v>
      </c>
      <c r="E755" s="177" t="s">
        <v>1036</v>
      </c>
      <c r="F755" s="177" t="s">
        <v>1037</v>
      </c>
      <c r="G755" s="176"/>
      <c r="H755" s="176"/>
      <c r="I755" s="176"/>
      <c r="J755" s="176"/>
      <c r="K755" s="176"/>
      <c r="L755" s="176"/>
      <c r="M755" s="176"/>
      <c r="N755" s="176"/>
      <c r="O755" s="176"/>
      <c r="P755" s="176"/>
      <c r="Q755" s="176"/>
      <c r="R755" s="176"/>
      <c r="S755" s="176"/>
      <c r="T755" s="176"/>
      <c r="U755" s="176"/>
      <c r="V755" s="176"/>
      <c r="W755" s="176"/>
      <c r="X755" s="176"/>
      <c r="Y755" s="176"/>
      <c r="Z755" s="176"/>
    </row>
    <row r="756" spans="1:26">
      <c r="A756" s="221">
        <v>811</v>
      </c>
      <c r="B756" s="177" t="s">
        <v>7298</v>
      </c>
      <c r="C756" s="177" t="s">
        <v>7299</v>
      </c>
      <c r="D756" s="177" t="s">
        <v>6218</v>
      </c>
      <c r="E756" s="177" t="s">
        <v>1038</v>
      </c>
      <c r="F756" s="177" t="s">
        <v>1039</v>
      </c>
      <c r="G756" s="176"/>
      <c r="H756" s="176"/>
      <c r="I756" s="176"/>
      <c r="J756" s="176"/>
      <c r="K756" s="176"/>
      <c r="L756" s="176"/>
      <c r="M756" s="176"/>
      <c r="N756" s="176"/>
      <c r="O756" s="176"/>
      <c r="P756" s="176"/>
      <c r="Q756" s="176"/>
      <c r="R756" s="176"/>
      <c r="S756" s="176"/>
      <c r="T756" s="176"/>
      <c r="U756" s="176"/>
      <c r="V756" s="176"/>
      <c r="W756" s="176"/>
      <c r="X756" s="176"/>
      <c r="Y756" s="176"/>
      <c r="Z756" s="176"/>
    </row>
    <row r="757" spans="1:26">
      <c r="A757" s="221">
        <v>812</v>
      </c>
      <c r="B757" s="177" t="s">
        <v>7298</v>
      </c>
      <c r="C757" s="177" t="s">
        <v>7299</v>
      </c>
      <c r="D757" s="177" t="s">
        <v>6218</v>
      </c>
      <c r="E757" s="177" t="s">
        <v>1040</v>
      </c>
      <c r="F757" s="177" t="s">
        <v>1041</v>
      </c>
      <c r="G757" s="176"/>
      <c r="H757" s="176"/>
      <c r="I757" s="176"/>
      <c r="J757" s="176"/>
      <c r="K757" s="176"/>
      <c r="L757" s="176"/>
      <c r="M757" s="176"/>
      <c r="N757" s="176"/>
      <c r="O757" s="176"/>
      <c r="P757" s="176"/>
      <c r="Q757" s="176"/>
      <c r="R757" s="176"/>
      <c r="S757" s="176"/>
      <c r="T757" s="176"/>
      <c r="U757" s="176"/>
      <c r="V757" s="176"/>
      <c r="W757" s="176"/>
      <c r="X757" s="176"/>
      <c r="Y757" s="176"/>
      <c r="Z757" s="176"/>
    </row>
    <row r="758" spans="1:26">
      <c r="A758" s="221">
        <v>813</v>
      </c>
      <c r="B758" s="177" t="s">
        <v>7298</v>
      </c>
      <c r="C758" s="177" t="s">
        <v>7299</v>
      </c>
      <c r="D758" s="177" t="s">
        <v>6218</v>
      </c>
      <c r="E758" s="177" t="s">
        <v>1042</v>
      </c>
      <c r="F758" s="177" t="s">
        <v>1043</v>
      </c>
      <c r="G758" s="176"/>
      <c r="H758" s="176"/>
      <c r="I758" s="176"/>
      <c r="J758" s="176"/>
      <c r="K758" s="176"/>
      <c r="L758" s="176"/>
      <c r="M758" s="176"/>
      <c r="N758" s="176"/>
      <c r="O758" s="176"/>
      <c r="P758" s="176"/>
      <c r="Q758" s="176"/>
      <c r="R758" s="176"/>
      <c r="S758" s="176"/>
      <c r="T758" s="176"/>
      <c r="U758" s="176"/>
      <c r="V758" s="176"/>
      <c r="W758" s="176"/>
      <c r="X758" s="176"/>
      <c r="Y758" s="176"/>
      <c r="Z758" s="176"/>
    </row>
    <row r="759" spans="1:26">
      <c r="A759" s="221">
        <v>814</v>
      </c>
      <c r="B759" s="177" t="s">
        <v>7298</v>
      </c>
      <c r="C759" s="177" t="s">
        <v>7299</v>
      </c>
      <c r="D759" s="177" t="s">
        <v>6218</v>
      </c>
      <c r="E759" s="177" t="s">
        <v>1044</v>
      </c>
      <c r="F759" s="177" t="s">
        <v>1045</v>
      </c>
      <c r="G759" s="176"/>
      <c r="H759" s="176"/>
      <c r="I759" s="176"/>
      <c r="J759" s="176"/>
      <c r="K759" s="176"/>
      <c r="L759" s="176"/>
      <c r="M759" s="176"/>
      <c r="N759" s="176"/>
      <c r="O759" s="176"/>
      <c r="P759" s="176"/>
      <c r="Q759" s="176"/>
      <c r="R759" s="176"/>
      <c r="S759" s="176"/>
      <c r="T759" s="176"/>
      <c r="U759" s="176"/>
      <c r="V759" s="176"/>
      <c r="W759" s="176"/>
      <c r="X759" s="176"/>
      <c r="Y759" s="176"/>
      <c r="Z759" s="176"/>
    </row>
    <row r="760" spans="1:26">
      <c r="A760" s="221">
        <v>815</v>
      </c>
      <c r="B760" s="177" t="s">
        <v>7298</v>
      </c>
      <c r="C760" s="177" t="s">
        <v>7299</v>
      </c>
      <c r="D760" s="177" t="s">
        <v>6218</v>
      </c>
      <c r="E760" s="177" t="s">
        <v>1046</v>
      </c>
      <c r="F760" s="177" t="s">
        <v>1047</v>
      </c>
      <c r="G760" s="176"/>
      <c r="H760" s="176"/>
      <c r="I760" s="176"/>
      <c r="J760" s="176"/>
      <c r="K760" s="176"/>
      <c r="L760" s="176"/>
      <c r="M760" s="176"/>
      <c r="N760" s="176"/>
      <c r="O760" s="176"/>
      <c r="P760" s="176"/>
      <c r="Q760" s="176"/>
      <c r="R760" s="176"/>
      <c r="S760" s="176"/>
      <c r="T760" s="176"/>
      <c r="U760" s="176"/>
      <c r="V760" s="176"/>
      <c r="W760" s="176"/>
      <c r="X760" s="176"/>
      <c r="Y760" s="176"/>
      <c r="Z760" s="176"/>
    </row>
    <row r="761" spans="1:26">
      <c r="A761" s="221">
        <v>816</v>
      </c>
      <c r="B761" s="177" t="s">
        <v>7298</v>
      </c>
      <c r="C761" s="177" t="s">
        <v>7299</v>
      </c>
      <c r="D761" s="177" t="s">
        <v>6218</v>
      </c>
      <c r="E761" s="177" t="s">
        <v>1048</v>
      </c>
      <c r="F761" s="177" t="s">
        <v>1049</v>
      </c>
      <c r="G761" s="176"/>
      <c r="H761" s="176"/>
      <c r="I761" s="176"/>
      <c r="J761" s="176"/>
      <c r="K761" s="176"/>
      <c r="L761" s="176"/>
      <c r="M761" s="176"/>
      <c r="N761" s="176"/>
      <c r="O761" s="176"/>
      <c r="P761" s="176"/>
      <c r="Q761" s="176"/>
      <c r="R761" s="176"/>
      <c r="S761" s="176"/>
      <c r="T761" s="176"/>
      <c r="U761" s="176"/>
      <c r="V761" s="176"/>
      <c r="W761" s="176"/>
      <c r="X761" s="176"/>
      <c r="Y761" s="176"/>
      <c r="Z761" s="176"/>
    </row>
    <row r="762" spans="1:26">
      <c r="A762" s="221">
        <v>817</v>
      </c>
      <c r="B762" s="177" t="s">
        <v>7200</v>
      </c>
      <c r="C762" s="177" t="s">
        <v>7201</v>
      </c>
      <c r="D762" s="177" t="s">
        <v>6124</v>
      </c>
      <c r="E762" s="177" t="s">
        <v>7300</v>
      </c>
      <c r="F762" s="177" t="s">
        <v>7301</v>
      </c>
      <c r="G762" s="176"/>
      <c r="H762" s="176"/>
      <c r="I762" s="176"/>
      <c r="J762" s="176"/>
      <c r="K762" s="176"/>
      <c r="L762" s="176"/>
      <c r="M762" s="176"/>
      <c r="N762" s="176"/>
      <c r="O762" s="176"/>
      <c r="P762" s="176"/>
      <c r="Q762" s="176"/>
      <c r="R762" s="176"/>
      <c r="S762" s="176"/>
      <c r="T762" s="176"/>
      <c r="U762" s="176"/>
      <c r="V762" s="176"/>
      <c r="W762" s="176"/>
      <c r="X762" s="176"/>
      <c r="Y762" s="176"/>
      <c r="Z762" s="176"/>
    </row>
    <row r="763" spans="1:26">
      <c r="A763" s="221">
        <v>818</v>
      </c>
      <c r="B763" s="177" t="s">
        <v>7200</v>
      </c>
      <c r="C763" s="177" t="s">
        <v>7201</v>
      </c>
      <c r="D763" s="177" t="s">
        <v>6124</v>
      </c>
      <c r="E763" s="177" t="s">
        <v>7302</v>
      </c>
      <c r="F763" s="177" t="s">
        <v>7303</v>
      </c>
      <c r="G763" s="176"/>
      <c r="H763" s="176"/>
      <c r="I763" s="176"/>
      <c r="J763" s="176"/>
      <c r="K763" s="176"/>
      <c r="L763" s="176"/>
      <c r="M763" s="176"/>
      <c r="N763" s="176"/>
      <c r="O763" s="176"/>
      <c r="P763" s="176"/>
      <c r="Q763" s="176"/>
      <c r="R763" s="176"/>
      <c r="S763" s="176"/>
      <c r="T763" s="176"/>
      <c r="U763" s="176"/>
      <c r="V763" s="176"/>
      <c r="W763" s="176"/>
      <c r="X763" s="176"/>
      <c r="Y763" s="176"/>
      <c r="Z763" s="176"/>
    </row>
    <row r="764" spans="1:26">
      <c r="A764" s="221">
        <v>819</v>
      </c>
      <c r="B764" s="177" t="s">
        <v>7200</v>
      </c>
      <c r="C764" s="177" t="s">
        <v>7201</v>
      </c>
      <c r="D764" s="177" t="s">
        <v>6124</v>
      </c>
      <c r="E764" s="177" t="s">
        <v>7304</v>
      </c>
      <c r="F764" s="177" t="s">
        <v>7305</v>
      </c>
      <c r="G764" s="176"/>
      <c r="H764" s="176"/>
      <c r="I764" s="176"/>
      <c r="J764" s="176"/>
      <c r="K764" s="176"/>
      <c r="L764" s="176"/>
      <c r="M764" s="176"/>
      <c r="N764" s="176"/>
      <c r="O764" s="176"/>
      <c r="P764" s="176"/>
      <c r="Q764" s="176"/>
      <c r="R764" s="176"/>
      <c r="S764" s="176"/>
      <c r="T764" s="176"/>
      <c r="U764" s="176"/>
      <c r="V764" s="176"/>
      <c r="W764" s="176"/>
      <c r="X764" s="176"/>
      <c r="Y764" s="176"/>
      <c r="Z764" s="176"/>
    </row>
    <row r="765" spans="1:26">
      <c r="A765" s="221">
        <v>820</v>
      </c>
      <c r="B765" s="177" t="s">
        <v>7200</v>
      </c>
      <c r="C765" s="177" t="s">
        <v>7201</v>
      </c>
      <c r="D765" s="177" t="s">
        <v>6124</v>
      </c>
      <c r="E765" s="177" t="s">
        <v>7306</v>
      </c>
      <c r="F765" s="177" t="s">
        <v>7307</v>
      </c>
      <c r="G765" s="176"/>
      <c r="H765" s="176"/>
      <c r="I765" s="176"/>
      <c r="J765" s="176"/>
      <c r="K765" s="176"/>
      <c r="L765" s="176"/>
      <c r="M765" s="176"/>
      <c r="N765" s="176"/>
      <c r="O765" s="176"/>
      <c r="P765" s="176"/>
      <c r="Q765" s="176"/>
      <c r="R765" s="176"/>
      <c r="S765" s="176"/>
      <c r="T765" s="176"/>
      <c r="U765" s="176"/>
      <c r="V765" s="176"/>
      <c r="W765" s="176"/>
      <c r="X765" s="176"/>
      <c r="Y765" s="176"/>
      <c r="Z765" s="176"/>
    </row>
    <row r="766" spans="1:26">
      <c r="A766" s="221">
        <v>824</v>
      </c>
      <c r="B766" s="177" t="s">
        <v>7308</v>
      </c>
      <c r="C766" s="177" t="s">
        <v>7309</v>
      </c>
      <c r="D766" s="177" t="s">
        <v>6124</v>
      </c>
      <c r="E766" s="177" t="s">
        <v>7310</v>
      </c>
      <c r="F766" s="177" t="s">
        <v>7311</v>
      </c>
      <c r="G766" s="176"/>
      <c r="H766" s="176"/>
      <c r="I766" s="176"/>
      <c r="J766" s="176"/>
      <c r="K766" s="176"/>
      <c r="L766" s="176"/>
      <c r="M766" s="176"/>
      <c r="N766" s="176"/>
      <c r="O766" s="176"/>
      <c r="P766" s="176"/>
      <c r="Q766" s="176"/>
      <c r="R766" s="176"/>
      <c r="S766" s="176"/>
      <c r="T766" s="176"/>
      <c r="U766" s="176"/>
      <c r="V766" s="176"/>
      <c r="W766" s="176"/>
      <c r="X766" s="176"/>
      <c r="Y766" s="176"/>
      <c r="Z766" s="176"/>
    </row>
    <row r="767" spans="1:26">
      <c r="A767" s="221">
        <v>825</v>
      </c>
      <c r="B767" s="177" t="s">
        <v>7308</v>
      </c>
      <c r="C767" s="177" t="s">
        <v>7309</v>
      </c>
      <c r="D767" s="177" t="s">
        <v>6124</v>
      </c>
      <c r="E767" s="177" t="s">
        <v>7312</v>
      </c>
      <c r="F767" s="177" t="s">
        <v>7313</v>
      </c>
      <c r="G767" s="176"/>
      <c r="H767" s="176"/>
      <c r="I767" s="176"/>
      <c r="J767" s="176"/>
      <c r="K767" s="176"/>
      <c r="L767" s="176"/>
      <c r="M767" s="176"/>
      <c r="N767" s="176"/>
      <c r="O767" s="176"/>
      <c r="P767" s="176"/>
      <c r="Q767" s="176"/>
      <c r="R767" s="176"/>
      <c r="S767" s="176"/>
      <c r="T767" s="176"/>
      <c r="U767" s="176"/>
      <c r="V767" s="176"/>
      <c r="W767" s="176"/>
      <c r="X767" s="176"/>
      <c r="Y767" s="176"/>
      <c r="Z767" s="176"/>
    </row>
    <row r="768" spans="1:26">
      <c r="A768" s="221">
        <v>826</v>
      </c>
      <c r="B768" s="177" t="s">
        <v>7308</v>
      </c>
      <c r="C768" s="177" t="s">
        <v>7309</v>
      </c>
      <c r="D768" s="177" t="s">
        <v>6124</v>
      </c>
      <c r="E768" s="177" t="s">
        <v>7314</v>
      </c>
      <c r="F768" s="177" t="s">
        <v>7315</v>
      </c>
      <c r="G768" s="176"/>
      <c r="H768" s="176"/>
      <c r="I768" s="176"/>
      <c r="J768" s="176"/>
      <c r="K768" s="176"/>
      <c r="L768" s="176"/>
      <c r="M768" s="176"/>
      <c r="N768" s="176"/>
      <c r="O768" s="176"/>
      <c r="P768" s="176"/>
      <c r="Q768" s="176"/>
      <c r="R768" s="176"/>
      <c r="S768" s="176"/>
      <c r="T768" s="176"/>
      <c r="U768" s="176"/>
      <c r="V768" s="176"/>
      <c r="W768" s="176"/>
      <c r="X768" s="176"/>
      <c r="Y768" s="176"/>
      <c r="Z768" s="176"/>
    </row>
    <row r="769" spans="1:26">
      <c r="A769" s="221">
        <v>827</v>
      </c>
      <c r="B769" s="177" t="s">
        <v>7316</v>
      </c>
      <c r="C769" s="177" t="s">
        <v>7317</v>
      </c>
      <c r="D769" s="177" t="s">
        <v>6218</v>
      </c>
      <c r="E769" s="177" t="s">
        <v>1931</v>
      </c>
      <c r="F769" s="177" t="s">
        <v>1932</v>
      </c>
      <c r="G769" s="176"/>
      <c r="H769" s="176"/>
      <c r="I769" s="176"/>
      <c r="J769" s="176"/>
      <c r="K769" s="176"/>
      <c r="L769" s="176"/>
      <c r="M769" s="176"/>
      <c r="N769" s="176"/>
      <c r="O769" s="176"/>
      <c r="P769" s="176"/>
      <c r="Q769" s="176"/>
      <c r="R769" s="176"/>
      <c r="S769" s="176"/>
      <c r="T769" s="176"/>
      <c r="U769" s="176"/>
      <c r="V769" s="176"/>
      <c r="W769" s="176"/>
      <c r="X769" s="176"/>
      <c r="Y769" s="176"/>
      <c r="Z769" s="176"/>
    </row>
    <row r="770" spans="1:26">
      <c r="A770" s="221">
        <v>828</v>
      </c>
      <c r="B770" s="177" t="s">
        <v>7316</v>
      </c>
      <c r="C770" s="177" t="s">
        <v>7317</v>
      </c>
      <c r="D770" s="177" t="s">
        <v>6218</v>
      </c>
      <c r="E770" s="177" t="s">
        <v>1933</v>
      </c>
      <c r="F770" s="177" t="s">
        <v>1934</v>
      </c>
      <c r="G770" s="176"/>
      <c r="H770" s="176"/>
      <c r="I770" s="176"/>
      <c r="J770" s="176"/>
      <c r="K770" s="176"/>
      <c r="L770" s="176"/>
      <c r="M770" s="176"/>
      <c r="N770" s="176"/>
      <c r="O770" s="176"/>
      <c r="P770" s="176"/>
      <c r="Q770" s="176"/>
      <c r="R770" s="176"/>
      <c r="S770" s="176"/>
      <c r="T770" s="176"/>
      <c r="U770" s="176"/>
      <c r="V770" s="176"/>
      <c r="W770" s="176"/>
      <c r="X770" s="176"/>
      <c r="Y770" s="176"/>
      <c r="Z770" s="176"/>
    </row>
    <row r="771" spans="1:26">
      <c r="A771" s="221">
        <v>829</v>
      </c>
      <c r="B771" s="177" t="s">
        <v>7316</v>
      </c>
      <c r="C771" s="177" t="s">
        <v>7317</v>
      </c>
      <c r="D771" s="177" t="s">
        <v>6218</v>
      </c>
      <c r="E771" s="177" t="s">
        <v>1935</v>
      </c>
      <c r="F771" s="177" t="s">
        <v>1936</v>
      </c>
      <c r="G771" s="176"/>
      <c r="H771" s="176"/>
      <c r="I771" s="176"/>
      <c r="J771" s="176"/>
      <c r="K771" s="176"/>
      <c r="L771" s="176"/>
      <c r="M771" s="176"/>
      <c r="N771" s="176"/>
      <c r="O771" s="176"/>
      <c r="P771" s="176"/>
      <c r="Q771" s="176"/>
      <c r="R771" s="176"/>
      <c r="S771" s="176"/>
      <c r="T771" s="176"/>
      <c r="U771" s="176"/>
      <c r="V771" s="176"/>
      <c r="W771" s="176"/>
      <c r="X771" s="176"/>
      <c r="Y771" s="176"/>
      <c r="Z771" s="176"/>
    </row>
    <row r="772" spans="1:26">
      <c r="A772" s="221">
        <v>831</v>
      </c>
      <c r="B772" s="177" t="s">
        <v>7316</v>
      </c>
      <c r="C772" s="177" t="s">
        <v>7317</v>
      </c>
      <c r="D772" s="177" t="s">
        <v>6218</v>
      </c>
      <c r="E772" s="177" t="s">
        <v>1937</v>
      </c>
      <c r="F772" s="177" t="s">
        <v>1938</v>
      </c>
      <c r="G772" s="176"/>
      <c r="H772" s="176"/>
      <c r="I772" s="176"/>
      <c r="J772" s="176"/>
      <c r="K772" s="176"/>
      <c r="L772" s="176"/>
      <c r="M772" s="176"/>
      <c r="N772" s="176"/>
      <c r="O772" s="176"/>
      <c r="P772" s="176"/>
      <c r="Q772" s="176"/>
      <c r="R772" s="176"/>
      <c r="S772" s="176"/>
      <c r="T772" s="176"/>
      <c r="U772" s="176"/>
      <c r="V772" s="176"/>
      <c r="W772" s="176"/>
      <c r="X772" s="176"/>
      <c r="Y772" s="176"/>
      <c r="Z772" s="176"/>
    </row>
    <row r="773" spans="1:26">
      <c r="A773" s="221">
        <v>832</v>
      </c>
      <c r="B773" s="177" t="s">
        <v>7316</v>
      </c>
      <c r="C773" s="177" t="s">
        <v>7317</v>
      </c>
      <c r="D773" s="177" t="s">
        <v>6218</v>
      </c>
      <c r="E773" s="177" t="s">
        <v>1939</v>
      </c>
      <c r="F773" s="177" t="s">
        <v>1940</v>
      </c>
      <c r="G773" s="176"/>
      <c r="H773" s="176"/>
      <c r="I773" s="176"/>
      <c r="J773" s="176"/>
      <c r="K773" s="176"/>
      <c r="L773" s="176"/>
      <c r="M773" s="176"/>
      <c r="N773" s="176"/>
      <c r="O773" s="176"/>
      <c r="P773" s="176"/>
      <c r="Q773" s="176"/>
      <c r="R773" s="176"/>
      <c r="S773" s="176"/>
      <c r="T773" s="176"/>
      <c r="U773" s="176"/>
      <c r="V773" s="176"/>
      <c r="W773" s="176"/>
      <c r="X773" s="176"/>
      <c r="Y773" s="176"/>
      <c r="Z773" s="176"/>
    </row>
    <row r="774" spans="1:26">
      <c r="A774" s="221">
        <v>834</v>
      </c>
      <c r="B774" s="177" t="s">
        <v>7316</v>
      </c>
      <c r="C774" s="177" t="s">
        <v>7317</v>
      </c>
      <c r="D774" s="177" t="s">
        <v>6218</v>
      </c>
      <c r="E774" s="177" t="s">
        <v>1941</v>
      </c>
      <c r="F774" s="177" t="s">
        <v>1942</v>
      </c>
      <c r="G774" s="176"/>
      <c r="H774" s="176"/>
      <c r="I774" s="176"/>
      <c r="J774" s="176"/>
      <c r="K774" s="176"/>
      <c r="L774" s="176"/>
      <c r="M774" s="176"/>
      <c r="N774" s="176"/>
      <c r="O774" s="176"/>
      <c r="P774" s="176"/>
      <c r="Q774" s="176"/>
      <c r="R774" s="176"/>
      <c r="S774" s="176"/>
      <c r="T774" s="176"/>
      <c r="U774" s="176"/>
      <c r="V774" s="176"/>
      <c r="W774" s="176"/>
      <c r="X774" s="176"/>
      <c r="Y774" s="176"/>
      <c r="Z774" s="176"/>
    </row>
    <row r="775" spans="1:26">
      <c r="A775" s="221">
        <v>835</v>
      </c>
      <c r="B775" s="177" t="s">
        <v>7316</v>
      </c>
      <c r="C775" s="177" t="s">
        <v>7317</v>
      </c>
      <c r="D775" s="177" t="s">
        <v>6218</v>
      </c>
      <c r="E775" s="177" t="s">
        <v>1943</v>
      </c>
      <c r="F775" s="177" t="s">
        <v>1944</v>
      </c>
      <c r="G775" s="176"/>
      <c r="H775" s="176"/>
      <c r="I775" s="176"/>
      <c r="J775" s="176"/>
      <c r="K775" s="176"/>
      <c r="L775" s="176"/>
      <c r="M775" s="176"/>
      <c r="N775" s="176"/>
      <c r="O775" s="176"/>
      <c r="P775" s="176"/>
      <c r="Q775" s="176"/>
      <c r="R775" s="176"/>
      <c r="S775" s="176"/>
      <c r="T775" s="176"/>
      <c r="U775" s="176"/>
      <c r="V775" s="176"/>
      <c r="W775" s="176"/>
      <c r="X775" s="176"/>
      <c r="Y775" s="176"/>
      <c r="Z775" s="176"/>
    </row>
    <row r="776" spans="1:26">
      <c r="A776" s="221">
        <v>836</v>
      </c>
      <c r="B776" s="177" t="s">
        <v>7316</v>
      </c>
      <c r="C776" s="177" t="s">
        <v>7317</v>
      </c>
      <c r="D776" s="177" t="s">
        <v>6218</v>
      </c>
      <c r="E776" s="177" t="s">
        <v>7318</v>
      </c>
      <c r="F776" s="177" t="s">
        <v>7319</v>
      </c>
      <c r="G776" s="176"/>
      <c r="H776" s="176"/>
      <c r="I776" s="176"/>
      <c r="J776" s="176"/>
      <c r="K776" s="176"/>
      <c r="L776" s="176"/>
      <c r="M776" s="176"/>
      <c r="N776" s="176"/>
      <c r="O776" s="176"/>
      <c r="P776" s="176"/>
      <c r="Q776" s="176"/>
      <c r="R776" s="176"/>
      <c r="S776" s="176"/>
      <c r="T776" s="176"/>
      <c r="U776" s="176"/>
      <c r="V776" s="176"/>
      <c r="W776" s="176"/>
      <c r="X776" s="176"/>
      <c r="Y776" s="176"/>
      <c r="Z776" s="176"/>
    </row>
    <row r="777" spans="1:26">
      <c r="A777" s="221">
        <v>837</v>
      </c>
      <c r="B777" s="177" t="s">
        <v>7316</v>
      </c>
      <c r="C777" s="177" t="s">
        <v>7317</v>
      </c>
      <c r="D777" s="177" t="s">
        <v>6218</v>
      </c>
      <c r="E777" s="177" t="s">
        <v>7320</v>
      </c>
      <c r="F777" s="177" t="s">
        <v>7321</v>
      </c>
      <c r="G777" s="176"/>
      <c r="H777" s="176"/>
      <c r="I777" s="176"/>
      <c r="J777" s="176"/>
      <c r="K777" s="176"/>
      <c r="L777" s="176"/>
      <c r="M777" s="176"/>
      <c r="N777" s="176"/>
      <c r="O777" s="176"/>
      <c r="P777" s="176"/>
      <c r="Q777" s="176"/>
      <c r="R777" s="176"/>
      <c r="S777" s="176"/>
      <c r="T777" s="176"/>
      <c r="U777" s="176"/>
      <c r="V777" s="176"/>
      <c r="W777" s="176"/>
      <c r="X777" s="176"/>
      <c r="Y777" s="176"/>
      <c r="Z777" s="176"/>
    </row>
    <row r="778" spans="1:26">
      <c r="A778" s="221">
        <v>838</v>
      </c>
      <c r="B778" s="177" t="s">
        <v>7316</v>
      </c>
      <c r="C778" s="177" t="s">
        <v>7317</v>
      </c>
      <c r="D778" s="177" t="s">
        <v>6218</v>
      </c>
      <c r="E778" s="177" t="s">
        <v>7322</v>
      </c>
      <c r="F778" s="177" t="s">
        <v>7323</v>
      </c>
      <c r="G778" s="176"/>
      <c r="H778" s="176"/>
      <c r="I778" s="176"/>
      <c r="J778" s="176"/>
      <c r="K778" s="176"/>
      <c r="L778" s="176"/>
      <c r="M778" s="176"/>
      <c r="N778" s="176"/>
      <c r="O778" s="176"/>
      <c r="P778" s="176"/>
      <c r="Q778" s="176"/>
      <c r="R778" s="176"/>
      <c r="S778" s="176"/>
      <c r="T778" s="176"/>
      <c r="U778" s="176"/>
      <c r="V778" s="176"/>
      <c r="W778" s="176"/>
      <c r="X778" s="176"/>
      <c r="Y778" s="176"/>
      <c r="Z778" s="176"/>
    </row>
    <row r="779" spans="1:26">
      <c r="A779" s="221">
        <v>839</v>
      </c>
      <c r="B779" s="177" t="s">
        <v>7316</v>
      </c>
      <c r="C779" s="177" t="s">
        <v>7317</v>
      </c>
      <c r="D779" s="177" t="s">
        <v>6218</v>
      </c>
      <c r="E779" s="177" t="s">
        <v>7324</v>
      </c>
      <c r="F779" s="177" t="s">
        <v>7325</v>
      </c>
      <c r="G779" s="176"/>
      <c r="H779" s="176"/>
      <c r="I779" s="176"/>
      <c r="J779" s="176"/>
      <c r="K779" s="176"/>
      <c r="L779" s="176"/>
      <c r="M779" s="176"/>
      <c r="N779" s="176"/>
      <c r="O779" s="176"/>
      <c r="P779" s="176"/>
      <c r="Q779" s="176"/>
      <c r="R779" s="176"/>
      <c r="S779" s="176"/>
      <c r="T779" s="176"/>
      <c r="U779" s="176"/>
      <c r="V779" s="176"/>
      <c r="W779" s="176"/>
      <c r="X779" s="176"/>
      <c r="Y779" s="176"/>
      <c r="Z779" s="176"/>
    </row>
    <row r="780" spans="1:26">
      <c r="A780" s="221">
        <v>840</v>
      </c>
      <c r="B780" s="177" t="s">
        <v>7316</v>
      </c>
      <c r="C780" s="177" t="s">
        <v>7317</v>
      </c>
      <c r="D780" s="177" t="s">
        <v>6218</v>
      </c>
      <c r="E780" s="177" t="s">
        <v>7326</v>
      </c>
      <c r="F780" s="177" t="s">
        <v>7327</v>
      </c>
      <c r="G780" s="176"/>
      <c r="H780" s="176"/>
      <c r="I780" s="176"/>
      <c r="J780" s="176"/>
      <c r="K780" s="176"/>
      <c r="L780" s="176"/>
      <c r="M780" s="176"/>
      <c r="N780" s="176"/>
      <c r="O780" s="176"/>
      <c r="P780" s="176"/>
      <c r="Q780" s="176"/>
      <c r="R780" s="176"/>
      <c r="S780" s="176"/>
      <c r="T780" s="176"/>
      <c r="U780" s="176"/>
      <c r="V780" s="176"/>
      <c r="W780" s="176"/>
      <c r="X780" s="176"/>
      <c r="Y780" s="176"/>
      <c r="Z780" s="176"/>
    </row>
    <row r="781" spans="1:26">
      <c r="A781" s="221">
        <v>841</v>
      </c>
      <c r="B781" s="177" t="s">
        <v>7316</v>
      </c>
      <c r="C781" s="177" t="s">
        <v>7317</v>
      </c>
      <c r="D781" s="177" t="s">
        <v>6218</v>
      </c>
      <c r="E781" s="177" t="s">
        <v>7328</v>
      </c>
      <c r="F781" s="177" t="s">
        <v>7329</v>
      </c>
      <c r="G781" s="176"/>
      <c r="H781" s="176"/>
      <c r="I781" s="176"/>
      <c r="J781" s="176"/>
      <c r="K781" s="176"/>
      <c r="L781" s="176"/>
      <c r="M781" s="176"/>
      <c r="N781" s="176"/>
      <c r="O781" s="176"/>
      <c r="P781" s="176"/>
      <c r="Q781" s="176"/>
      <c r="R781" s="176"/>
      <c r="S781" s="176"/>
      <c r="T781" s="176"/>
      <c r="U781" s="176"/>
      <c r="V781" s="176"/>
      <c r="W781" s="176"/>
      <c r="X781" s="176"/>
      <c r="Y781" s="176"/>
      <c r="Z781" s="176"/>
    </row>
    <row r="782" spans="1:26">
      <c r="A782" s="221">
        <v>842</v>
      </c>
      <c r="B782" s="177" t="s">
        <v>6624</v>
      </c>
      <c r="C782" s="177" t="s">
        <v>7330</v>
      </c>
      <c r="D782" s="177" t="s">
        <v>6124</v>
      </c>
      <c r="E782" s="177" t="s">
        <v>7331</v>
      </c>
      <c r="F782" s="177" t="s">
        <v>7332</v>
      </c>
      <c r="G782" s="176"/>
      <c r="H782" s="176"/>
      <c r="I782" s="176"/>
      <c r="J782" s="176"/>
      <c r="K782" s="176"/>
      <c r="L782" s="176"/>
      <c r="M782" s="176"/>
      <c r="N782" s="176"/>
      <c r="O782" s="176"/>
      <c r="P782" s="176"/>
      <c r="Q782" s="176"/>
      <c r="R782" s="176"/>
      <c r="S782" s="176"/>
      <c r="T782" s="176"/>
      <c r="U782" s="176"/>
      <c r="V782" s="176"/>
      <c r="W782" s="176"/>
      <c r="X782" s="176"/>
      <c r="Y782" s="176"/>
      <c r="Z782" s="176"/>
    </row>
    <row r="783" spans="1:26">
      <c r="A783" s="221">
        <v>843</v>
      </c>
      <c r="B783" s="177" t="s">
        <v>6624</v>
      </c>
      <c r="C783" s="177" t="s">
        <v>7330</v>
      </c>
      <c r="D783" s="177" t="s">
        <v>6124</v>
      </c>
      <c r="E783" s="177" t="s">
        <v>6626</v>
      </c>
      <c r="F783" s="177" t="s">
        <v>7333</v>
      </c>
      <c r="G783" s="176"/>
      <c r="H783" s="176"/>
      <c r="I783" s="176"/>
      <c r="J783" s="176"/>
      <c r="K783" s="176"/>
      <c r="L783" s="176"/>
      <c r="M783" s="176"/>
      <c r="N783" s="176"/>
      <c r="O783" s="176"/>
      <c r="P783" s="176"/>
      <c r="Q783" s="176"/>
      <c r="R783" s="176"/>
      <c r="S783" s="176"/>
      <c r="T783" s="176"/>
      <c r="U783" s="176"/>
      <c r="V783" s="176"/>
      <c r="W783" s="176"/>
      <c r="X783" s="176"/>
      <c r="Y783" s="176"/>
      <c r="Z783" s="176"/>
    </row>
    <row r="784" spans="1:26">
      <c r="A784" s="221">
        <v>844</v>
      </c>
      <c r="B784" s="177" t="s">
        <v>6624</v>
      </c>
      <c r="C784" s="177" t="s">
        <v>7330</v>
      </c>
      <c r="D784" s="177" t="s">
        <v>6124</v>
      </c>
      <c r="E784" s="177" t="s">
        <v>6628</v>
      </c>
      <c r="F784" s="177" t="s">
        <v>7334</v>
      </c>
      <c r="G784" s="176"/>
      <c r="H784" s="176"/>
      <c r="I784" s="176"/>
      <c r="J784" s="176"/>
      <c r="K784" s="176"/>
      <c r="L784" s="176"/>
      <c r="M784" s="176"/>
      <c r="N784" s="176"/>
      <c r="O784" s="176"/>
      <c r="P784" s="176"/>
      <c r="Q784" s="176"/>
      <c r="R784" s="176"/>
      <c r="S784" s="176"/>
      <c r="T784" s="176"/>
      <c r="U784" s="176"/>
      <c r="V784" s="176"/>
      <c r="W784" s="176"/>
      <c r="X784" s="176"/>
      <c r="Y784" s="176"/>
      <c r="Z784" s="176"/>
    </row>
    <row r="785" spans="1:26">
      <c r="A785" s="221">
        <v>845</v>
      </c>
      <c r="B785" s="177" t="s">
        <v>7335</v>
      </c>
      <c r="C785" s="177" t="s">
        <v>7336</v>
      </c>
      <c r="D785" s="177" t="s">
        <v>6124</v>
      </c>
      <c r="E785" s="177" t="s">
        <v>7337</v>
      </c>
      <c r="F785" s="177" t="s">
        <v>7338</v>
      </c>
      <c r="G785" s="176"/>
      <c r="H785" s="176"/>
      <c r="I785" s="176"/>
      <c r="J785" s="176"/>
      <c r="K785" s="176"/>
      <c r="L785" s="176"/>
      <c r="M785" s="176"/>
      <c r="N785" s="176"/>
      <c r="O785" s="176"/>
      <c r="P785" s="176"/>
      <c r="Q785" s="176"/>
      <c r="R785" s="176"/>
      <c r="S785" s="176"/>
      <c r="T785" s="176"/>
      <c r="U785" s="176"/>
      <c r="V785" s="176"/>
      <c r="W785" s="176"/>
      <c r="X785" s="176"/>
      <c r="Y785" s="176"/>
      <c r="Z785" s="176"/>
    </row>
    <row r="786" spans="1:26">
      <c r="A786" s="221">
        <v>846</v>
      </c>
      <c r="B786" s="177" t="s">
        <v>6534</v>
      </c>
      <c r="C786" s="177" t="s">
        <v>7339</v>
      </c>
      <c r="D786" s="177" t="s">
        <v>6218</v>
      </c>
      <c r="E786" s="177" t="s">
        <v>7340</v>
      </c>
      <c r="F786" s="177" t="s">
        <v>7341</v>
      </c>
      <c r="G786" s="176"/>
      <c r="H786" s="176"/>
      <c r="I786" s="176"/>
      <c r="J786" s="176"/>
      <c r="K786" s="176"/>
      <c r="L786" s="176"/>
      <c r="M786" s="176"/>
      <c r="N786" s="176"/>
      <c r="O786" s="176"/>
      <c r="P786" s="176"/>
      <c r="Q786" s="176"/>
      <c r="R786" s="176"/>
      <c r="S786" s="176"/>
      <c r="T786" s="176"/>
      <c r="U786" s="176"/>
      <c r="V786" s="176"/>
      <c r="W786" s="176"/>
      <c r="X786" s="176"/>
      <c r="Y786" s="176"/>
      <c r="Z786" s="176"/>
    </row>
    <row r="787" spans="1:26">
      <c r="A787" s="221">
        <v>847</v>
      </c>
      <c r="B787" s="177" t="s">
        <v>6534</v>
      </c>
      <c r="C787" s="177" t="s">
        <v>7339</v>
      </c>
      <c r="D787" s="177" t="s">
        <v>6124</v>
      </c>
      <c r="E787" s="177" t="s">
        <v>7342</v>
      </c>
      <c r="F787" s="177" t="s">
        <v>7343</v>
      </c>
      <c r="G787" s="176"/>
      <c r="H787" s="176"/>
      <c r="I787" s="176"/>
      <c r="J787" s="176"/>
      <c r="K787" s="176"/>
      <c r="L787" s="176"/>
      <c r="M787" s="176"/>
      <c r="N787" s="176"/>
      <c r="O787" s="176"/>
      <c r="P787" s="176"/>
      <c r="Q787" s="176"/>
      <c r="R787" s="176"/>
      <c r="S787" s="176"/>
      <c r="T787" s="176"/>
      <c r="U787" s="176"/>
      <c r="V787" s="176"/>
      <c r="W787" s="176"/>
      <c r="X787" s="176"/>
      <c r="Y787" s="176"/>
      <c r="Z787" s="176"/>
    </row>
    <row r="788" spans="1:26">
      <c r="A788" s="221">
        <v>848</v>
      </c>
      <c r="B788" s="177" t="s">
        <v>6534</v>
      </c>
      <c r="C788" s="177" t="s">
        <v>7339</v>
      </c>
      <c r="D788" s="177" t="s">
        <v>6124</v>
      </c>
      <c r="E788" s="177" t="s">
        <v>7344</v>
      </c>
      <c r="F788" s="177" t="s">
        <v>7345</v>
      </c>
      <c r="G788" s="176"/>
      <c r="H788" s="176"/>
      <c r="I788" s="176"/>
      <c r="J788" s="176"/>
      <c r="K788" s="176"/>
      <c r="L788" s="176"/>
      <c r="M788" s="176"/>
      <c r="N788" s="176"/>
      <c r="O788" s="176"/>
      <c r="P788" s="176"/>
      <c r="Q788" s="176"/>
      <c r="R788" s="176"/>
      <c r="S788" s="176"/>
      <c r="T788" s="176"/>
      <c r="U788" s="176"/>
      <c r="V788" s="176"/>
      <c r="W788" s="176"/>
      <c r="X788" s="176"/>
      <c r="Y788" s="176"/>
      <c r="Z788" s="176"/>
    </row>
    <row r="789" spans="1:26">
      <c r="A789" s="221">
        <v>849</v>
      </c>
      <c r="B789" s="177" t="s">
        <v>6534</v>
      </c>
      <c r="C789" s="177" t="s">
        <v>7339</v>
      </c>
      <c r="D789" s="177" t="s">
        <v>6124</v>
      </c>
      <c r="E789" s="177" t="s">
        <v>7346</v>
      </c>
      <c r="F789" s="177" t="s">
        <v>7347</v>
      </c>
      <c r="G789" s="176"/>
      <c r="H789" s="176"/>
      <c r="I789" s="176"/>
      <c r="J789" s="176"/>
      <c r="K789" s="176"/>
      <c r="L789" s="176"/>
      <c r="M789" s="176"/>
      <c r="N789" s="176"/>
      <c r="O789" s="176"/>
      <c r="P789" s="176"/>
      <c r="Q789" s="176"/>
      <c r="R789" s="176"/>
      <c r="S789" s="176"/>
      <c r="T789" s="176"/>
      <c r="U789" s="176"/>
      <c r="V789" s="176"/>
      <c r="W789" s="176"/>
      <c r="X789" s="176"/>
      <c r="Y789" s="176"/>
      <c r="Z789" s="176"/>
    </row>
    <row r="790" spans="1:26">
      <c r="A790" s="221">
        <v>850</v>
      </c>
      <c r="B790" s="177" t="s">
        <v>6534</v>
      </c>
      <c r="C790" s="177" t="s">
        <v>7339</v>
      </c>
      <c r="D790" s="177" t="s">
        <v>6124</v>
      </c>
      <c r="E790" s="177" t="s">
        <v>7348</v>
      </c>
      <c r="F790" s="177" t="s">
        <v>7349</v>
      </c>
      <c r="G790" s="176"/>
      <c r="H790" s="176"/>
      <c r="I790" s="176"/>
      <c r="J790" s="176"/>
      <c r="K790" s="176"/>
      <c r="L790" s="176"/>
      <c r="M790" s="176"/>
      <c r="N790" s="176"/>
      <c r="O790" s="176"/>
      <c r="P790" s="176"/>
      <c r="Q790" s="176"/>
      <c r="R790" s="176"/>
      <c r="S790" s="176"/>
      <c r="T790" s="176"/>
      <c r="U790" s="176"/>
      <c r="V790" s="176"/>
      <c r="W790" s="176"/>
      <c r="X790" s="176"/>
      <c r="Y790" s="176"/>
      <c r="Z790" s="176"/>
    </row>
    <row r="791" spans="1:26">
      <c r="A791" s="221">
        <v>851</v>
      </c>
      <c r="B791" s="177" t="s">
        <v>6534</v>
      </c>
      <c r="C791" s="177" t="s">
        <v>7350</v>
      </c>
      <c r="D791" s="177" t="s">
        <v>6218</v>
      </c>
      <c r="E791" s="177" t="s">
        <v>490</v>
      </c>
      <c r="F791" s="177" t="s">
        <v>491</v>
      </c>
      <c r="G791" s="176"/>
      <c r="H791" s="176"/>
      <c r="I791" s="176"/>
      <c r="J791" s="176"/>
      <c r="K791" s="176"/>
      <c r="L791" s="176"/>
      <c r="M791" s="176"/>
      <c r="N791" s="176"/>
      <c r="O791" s="176"/>
      <c r="P791" s="176"/>
      <c r="Q791" s="176"/>
      <c r="R791" s="176"/>
      <c r="S791" s="176"/>
      <c r="T791" s="176"/>
      <c r="U791" s="176"/>
      <c r="V791" s="176"/>
      <c r="W791" s="176"/>
      <c r="X791" s="176"/>
      <c r="Y791" s="176"/>
      <c r="Z791" s="176"/>
    </row>
    <row r="792" spans="1:26">
      <c r="A792" s="221">
        <v>852</v>
      </c>
      <c r="B792" s="177" t="s">
        <v>6534</v>
      </c>
      <c r="C792" s="177" t="s">
        <v>7350</v>
      </c>
      <c r="D792" s="177" t="s">
        <v>6218</v>
      </c>
      <c r="E792" s="177" t="s">
        <v>492</v>
      </c>
      <c r="F792" s="177" t="s">
        <v>493</v>
      </c>
      <c r="G792" s="176"/>
      <c r="H792" s="176"/>
      <c r="I792" s="176"/>
      <c r="J792" s="176"/>
      <c r="K792" s="176"/>
      <c r="L792" s="176"/>
      <c r="M792" s="176"/>
      <c r="N792" s="176"/>
      <c r="O792" s="176"/>
      <c r="P792" s="176"/>
      <c r="Q792" s="176"/>
      <c r="R792" s="176"/>
      <c r="S792" s="176"/>
      <c r="T792" s="176"/>
      <c r="U792" s="176"/>
      <c r="V792" s="176"/>
      <c r="W792" s="176"/>
      <c r="X792" s="176"/>
      <c r="Y792" s="176"/>
      <c r="Z792" s="176"/>
    </row>
    <row r="793" spans="1:26">
      <c r="A793" s="221">
        <v>853</v>
      </c>
      <c r="B793" s="177" t="s">
        <v>6534</v>
      </c>
      <c r="C793" s="177" t="s">
        <v>7350</v>
      </c>
      <c r="D793" s="177" t="s">
        <v>6218</v>
      </c>
      <c r="E793" s="177" t="s">
        <v>494</v>
      </c>
      <c r="F793" s="177" t="s">
        <v>495</v>
      </c>
      <c r="G793" s="176"/>
      <c r="H793" s="176"/>
      <c r="I793" s="176"/>
      <c r="J793" s="176"/>
      <c r="K793" s="176"/>
      <c r="L793" s="176"/>
      <c r="M793" s="176"/>
      <c r="N793" s="176"/>
      <c r="O793" s="176"/>
      <c r="P793" s="176"/>
      <c r="Q793" s="176"/>
      <c r="R793" s="176"/>
      <c r="S793" s="176"/>
      <c r="T793" s="176"/>
      <c r="U793" s="176"/>
      <c r="V793" s="176"/>
      <c r="W793" s="176"/>
      <c r="X793" s="176"/>
      <c r="Y793" s="176"/>
      <c r="Z793" s="176"/>
    </row>
    <row r="794" spans="1:26">
      <c r="A794" s="221">
        <v>854</v>
      </c>
      <c r="B794" s="177" t="s">
        <v>6534</v>
      </c>
      <c r="C794" s="177" t="s">
        <v>7350</v>
      </c>
      <c r="D794" s="177" t="s">
        <v>6218</v>
      </c>
      <c r="E794" s="177" t="s">
        <v>496</v>
      </c>
      <c r="F794" s="177" t="s">
        <v>497</v>
      </c>
      <c r="G794" s="176"/>
      <c r="H794" s="176"/>
      <c r="I794" s="176"/>
      <c r="J794" s="176"/>
      <c r="K794" s="176"/>
      <c r="L794" s="176"/>
      <c r="M794" s="176"/>
      <c r="N794" s="176"/>
      <c r="O794" s="176"/>
      <c r="P794" s="176"/>
      <c r="Q794" s="176"/>
      <c r="R794" s="176"/>
      <c r="S794" s="176"/>
      <c r="T794" s="176"/>
      <c r="U794" s="176"/>
      <c r="V794" s="176"/>
      <c r="W794" s="176"/>
      <c r="X794" s="176"/>
      <c r="Y794" s="176"/>
      <c r="Z794" s="176"/>
    </row>
    <row r="795" spans="1:26">
      <c r="A795" s="221">
        <v>855</v>
      </c>
      <c r="B795" s="177" t="s">
        <v>6534</v>
      </c>
      <c r="C795" s="177" t="s">
        <v>7350</v>
      </c>
      <c r="D795" s="177" t="s">
        <v>6218</v>
      </c>
      <c r="E795" s="177" t="s">
        <v>498</v>
      </c>
      <c r="F795" s="177" t="s">
        <v>499</v>
      </c>
      <c r="G795" s="176"/>
      <c r="H795" s="176"/>
      <c r="I795" s="176"/>
      <c r="J795" s="176"/>
      <c r="K795" s="176"/>
      <c r="L795" s="176"/>
      <c r="M795" s="176"/>
      <c r="N795" s="176"/>
      <c r="O795" s="176"/>
      <c r="P795" s="176"/>
      <c r="Q795" s="176"/>
      <c r="R795" s="176"/>
      <c r="S795" s="176"/>
      <c r="T795" s="176"/>
      <c r="U795" s="176"/>
      <c r="V795" s="176"/>
      <c r="W795" s="176"/>
      <c r="X795" s="176"/>
      <c r="Y795" s="176"/>
      <c r="Z795" s="176"/>
    </row>
    <row r="796" spans="1:26">
      <c r="A796" s="221">
        <v>856</v>
      </c>
      <c r="B796" s="177" t="s">
        <v>7351</v>
      </c>
      <c r="C796" s="177" t="s">
        <v>7352</v>
      </c>
      <c r="D796" s="177" t="s">
        <v>6124</v>
      </c>
      <c r="E796" s="177" t="s">
        <v>7353</v>
      </c>
      <c r="F796" s="177" t="s">
        <v>7354</v>
      </c>
      <c r="G796" s="176"/>
      <c r="H796" s="176"/>
      <c r="I796" s="176"/>
      <c r="J796" s="176"/>
      <c r="K796" s="176"/>
      <c r="L796" s="176"/>
      <c r="M796" s="176"/>
      <c r="N796" s="176"/>
      <c r="O796" s="176"/>
      <c r="P796" s="176"/>
      <c r="Q796" s="176"/>
      <c r="R796" s="176"/>
      <c r="S796" s="176"/>
      <c r="T796" s="176"/>
      <c r="U796" s="176"/>
      <c r="V796" s="176"/>
      <c r="W796" s="176"/>
      <c r="X796" s="176"/>
      <c r="Y796" s="176"/>
      <c r="Z796" s="176"/>
    </row>
    <row r="797" spans="1:26">
      <c r="A797" s="221">
        <v>857</v>
      </c>
      <c r="B797" s="177" t="s">
        <v>6534</v>
      </c>
      <c r="C797" s="177" t="s">
        <v>7355</v>
      </c>
      <c r="D797" s="177" t="s">
        <v>6218</v>
      </c>
      <c r="E797" s="177" t="s">
        <v>490</v>
      </c>
      <c r="F797" s="177" t="s">
        <v>7356</v>
      </c>
      <c r="G797" s="176"/>
      <c r="H797" s="176"/>
      <c r="I797" s="176"/>
      <c r="J797" s="176"/>
      <c r="K797" s="176"/>
      <c r="L797" s="176"/>
      <c r="M797" s="176"/>
      <c r="N797" s="176"/>
      <c r="O797" s="176"/>
      <c r="P797" s="176"/>
      <c r="Q797" s="176"/>
      <c r="R797" s="176"/>
      <c r="S797" s="176"/>
      <c r="T797" s="176"/>
      <c r="U797" s="176"/>
      <c r="V797" s="176"/>
      <c r="W797" s="176"/>
      <c r="X797" s="176"/>
      <c r="Y797" s="176"/>
      <c r="Z797" s="176"/>
    </row>
    <row r="798" spans="1:26">
      <c r="A798" s="221">
        <v>858</v>
      </c>
      <c r="B798" s="177" t="s">
        <v>6534</v>
      </c>
      <c r="C798" s="177" t="s">
        <v>7355</v>
      </c>
      <c r="D798" s="177" t="s">
        <v>6218</v>
      </c>
      <c r="E798" s="177" t="s">
        <v>492</v>
      </c>
      <c r="F798" s="177" t="s">
        <v>7357</v>
      </c>
      <c r="G798" s="176"/>
      <c r="H798" s="176"/>
      <c r="I798" s="176"/>
      <c r="J798" s="176"/>
      <c r="K798" s="176"/>
      <c r="L798" s="176"/>
      <c r="M798" s="176"/>
      <c r="N798" s="176"/>
      <c r="O798" s="176"/>
      <c r="P798" s="176"/>
      <c r="Q798" s="176"/>
      <c r="R798" s="176"/>
      <c r="S798" s="176"/>
      <c r="T798" s="176"/>
      <c r="U798" s="176"/>
      <c r="V798" s="176"/>
      <c r="W798" s="176"/>
      <c r="X798" s="176"/>
      <c r="Y798" s="176"/>
      <c r="Z798" s="176"/>
    </row>
    <row r="799" spans="1:26">
      <c r="A799" s="221">
        <v>859</v>
      </c>
      <c r="B799" s="177" t="s">
        <v>6534</v>
      </c>
      <c r="C799" s="177" t="s">
        <v>7355</v>
      </c>
      <c r="D799" s="177" t="s">
        <v>6218</v>
      </c>
      <c r="E799" s="177" t="s">
        <v>494</v>
      </c>
      <c r="F799" s="177" t="s">
        <v>7358</v>
      </c>
      <c r="G799" s="176"/>
      <c r="H799" s="176"/>
      <c r="I799" s="176"/>
      <c r="J799" s="176"/>
      <c r="K799" s="176"/>
      <c r="L799" s="176"/>
      <c r="M799" s="176"/>
      <c r="N799" s="176"/>
      <c r="O799" s="176"/>
      <c r="P799" s="176"/>
      <c r="Q799" s="176"/>
      <c r="R799" s="176"/>
      <c r="S799" s="176"/>
      <c r="T799" s="176"/>
      <c r="U799" s="176"/>
      <c r="V799" s="176"/>
      <c r="W799" s="176"/>
      <c r="X799" s="176"/>
      <c r="Y799" s="176"/>
      <c r="Z799" s="176"/>
    </row>
    <row r="800" spans="1:26">
      <c r="A800" s="221">
        <v>860</v>
      </c>
      <c r="B800" s="177" t="s">
        <v>6534</v>
      </c>
      <c r="C800" s="177" t="s">
        <v>7355</v>
      </c>
      <c r="D800" s="177" t="s">
        <v>6218</v>
      </c>
      <c r="E800" s="177" t="s">
        <v>496</v>
      </c>
      <c r="F800" s="177" t="s">
        <v>7359</v>
      </c>
      <c r="G800" s="176"/>
      <c r="H800" s="176"/>
      <c r="I800" s="176"/>
      <c r="J800" s="176"/>
      <c r="K800" s="176"/>
      <c r="L800" s="176"/>
      <c r="M800" s="176"/>
      <c r="N800" s="176"/>
      <c r="O800" s="176"/>
      <c r="P800" s="176"/>
      <c r="Q800" s="176"/>
      <c r="R800" s="176"/>
      <c r="S800" s="176"/>
      <c r="T800" s="176"/>
      <c r="U800" s="176"/>
      <c r="V800" s="176"/>
      <c r="W800" s="176"/>
      <c r="X800" s="176"/>
      <c r="Y800" s="176"/>
      <c r="Z800" s="176"/>
    </row>
    <row r="801" spans="1:26">
      <c r="A801" s="221">
        <v>861</v>
      </c>
      <c r="B801" s="177" t="s">
        <v>6534</v>
      </c>
      <c r="C801" s="177" t="s">
        <v>7355</v>
      </c>
      <c r="D801" s="177" t="s">
        <v>6218</v>
      </c>
      <c r="E801" s="177" t="s">
        <v>498</v>
      </c>
      <c r="F801" s="177" t="s">
        <v>7360</v>
      </c>
      <c r="G801" s="176"/>
      <c r="H801" s="176"/>
      <c r="I801" s="176"/>
      <c r="J801" s="176"/>
      <c r="K801" s="176"/>
      <c r="L801" s="176"/>
      <c r="M801" s="176"/>
      <c r="N801" s="176"/>
      <c r="O801" s="176"/>
      <c r="P801" s="176"/>
      <c r="Q801" s="176"/>
      <c r="R801" s="176"/>
      <c r="S801" s="176"/>
      <c r="T801" s="176"/>
      <c r="U801" s="176"/>
      <c r="V801" s="176"/>
      <c r="W801" s="176"/>
      <c r="X801" s="176"/>
      <c r="Y801" s="176"/>
      <c r="Z801" s="176"/>
    </row>
    <row r="802" spans="1:26">
      <c r="A802" s="221">
        <v>862</v>
      </c>
      <c r="B802" s="177" t="s">
        <v>6534</v>
      </c>
      <c r="C802" s="177" t="s">
        <v>7361</v>
      </c>
      <c r="D802" s="177" t="s">
        <v>6218</v>
      </c>
      <c r="E802" s="177" t="s">
        <v>633</v>
      </c>
      <c r="F802" s="177" t="s">
        <v>7362</v>
      </c>
      <c r="G802" s="176"/>
      <c r="H802" s="176"/>
      <c r="I802" s="176"/>
      <c r="J802" s="176"/>
      <c r="K802" s="176"/>
      <c r="L802" s="176"/>
      <c r="M802" s="176"/>
      <c r="N802" s="176"/>
      <c r="O802" s="176"/>
      <c r="P802" s="176"/>
      <c r="Q802" s="176"/>
      <c r="R802" s="176"/>
      <c r="S802" s="176"/>
      <c r="T802" s="176"/>
      <c r="U802" s="176"/>
      <c r="V802" s="176"/>
      <c r="W802" s="176"/>
      <c r="X802" s="176"/>
      <c r="Y802" s="176"/>
      <c r="Z802" s="176"/>
    </row>
    <row r="803" spans="1:26">
      <c r="A803" s="221">
        <v>863</v>
      </c>
      <c r="B803" s="177" t="s">
        <v>6534</v>
      </c>
      <c r="C803" s="177" t="s">
        <v>7361</v>
      </c>
      <c r="D803" s="177" t="s">
        <v>6218</v>
      </c>
      <c r="E803" s="177" t="s">
        <v>635</v>
      </c>
      <c r="F803" s="177" t="s">
        <v>7363</v>
      </c>
      <c r="G803" s="176"/>
      <c r="H803" s="176"/>
      <c r="I803" s="176"/>
      <c r="J803" s="176"/>
      <c r="K803" s="176"/>
      <c r="L803" s="176"/>
      <c r="M803" s="176"/>
      <c r="N803" s="176"/>
      <c r="O803" s="176"/>
      <c r="P803" s="176"/>
      <c r="Q803" s="176"/>
      <c r="R803" s="176"/>
      <c r="S803" s="176"/>
      <c r="T803" s="176"/>
      <c r="U803" s="176"/>
      <c r="V803" s="176"/>
      <c r="W803" s="176"/>
      <c r="X803" s="176"/>
      <c r="Y803" s="176"/>
      <c r="Z803" s="176"/>
    </row>
    <row r="804" spans="1:26">
      <c r="A804" s="221">
        <v>864</v>
      </c>
      <c r="B804" s="177" t="s">
        <v>6534</v>
      </c>
      <c r="C804" s="177" t="s">
        <v>7361</v>
      </c>
      <c r="D804" s="177" t="s">
        <v>6218</v>
      </c>
      <c r="E804" s="177" t="s">
        <v>637</v>
      </c>
      <c r="F804" s="177" t="s">
        <v>7364</v>
      </c>
      <c r="G804" s="176"/>
      <c r="H804" s="176"/>
      <c r="I804" s="176"/>
      <c r="J804" s="176"/>
      <c r="K804" s="176"/>
      <c r="L804" s="176"/>
      <c r="M804" s="176"/>
      <c r="N804" s="176"/>
      <c r="O804" s="176"/>
      <c r="P804" s="176"/>
      <c r="Q804" s="176"/>
      <c r="R804" s="176"/>
      <c r="S804" s="176"/>
      <c r="T804" s="176"/>
      <c r="U804" s="176"/>
      <c r="V804" s="176"/>
      <c r="W804" s="176"/>
      <c r="X804" s="176"/>
      <c r="Y804" s="176"/>
      <c r="Z804" s="176"/>
    </row>
    <row r="805" spans="1:26">
      <c r="A805" s="223">
        <v>876</v>
      </c>
      <c r="B805" s="17" t="s">
        <v>6534</v>
      </c>
      <c r="C805" s="17" t="s">
        <v>7365</v>
      </c>
      <c r="D805" s="17" t="s">
        <v>6218</v>
      </c>
      <c r="E805" s="17" t="s">
        <v>6676</v>
      </c>
      <c r="F805" s="17" t="s">
        <v>7366</v>
      </c>
      <c r="G805" s="6"/>
      <c r="H805" s="6"/>
      <c r="I805" s="6"/>
      <c r="J805" s="6"/>
      <c r="K805" s="6"/>
      <c r="L805" s="6"/>
      <c r="M805" s="6"/>
      <c r="N805" s="6"/>
      <c r="O805" s="6"/>
      <c r="P805" s="6"/>
      <c r="Q805" s="6"/>
      <c r="R805" s="6"/>
      <c r="S805" s="6"/>
      <c r="T805" s="6"/>
      <c r="U805" s="6"/>
      <c r="V805" s="6"/>
      <c r="W805" s="6"/>
      <c r="X805" s="6"/>
      <c r="Y805" s="6"/>
      <c r="Z805" s="6"/>
    </row>
    <row r="806" spans="1:26">
      <c r="A806" s="223">
        <v>877</v>
      </c>
      <c r="B806" s="17" t="s">
        <v>6534</v>
      </c>
      <c r="C806" s="17" t="s">
        <v>7365</v>
      </c>
      <c r="D806" s="17" t="s">
        <v>6218</v>
      </c>
      <c r="E806" s="17" t="s">
        <v>6678</v>
      </c>
      <c r="F806" s="17" t="s">
        <v>7367</v>
      </c>
      <c r="G806" s="6"/>
      <c r="H806" s="6"/>
      <c r="I806" s="6"/>
      <c r="J806" s="6"/>
      <c r="K806" s="6"/>
      <c r="L806" s="6"/>
      <c r="M806" s="6"/>
      <c r="N806" s="6"/>
      <c r="O806" s="6"/>
      <c r="P806" s="6"/>
      <c r="Q806" s="6"/>
      <c r="R806" s="6"/>
      <c r="S806" s="6"/>
      <c r="T806" s="6"/>
      <c r="U806" s="6"/>
      <c r="V806" s="6"/>
      <c r="W806" s="6"/>
      <c r="X806" s="6"/>
      <c r="Y806" s="6"/>
      <c r="Z806" s="6"/>
    </row>
    <row r="807" spans="1:26">
      <c r="A807" s="223">
        <v>878</v>
      </c>
      <c r="B807" s="17" t="s">
        <v>6534</v>
      </c>
      <c r="C807" s="17" t="s">
        <v>7365</v>
      </c>
      <c r="D807" s="17" t="s">
        <v>6218</v>
      </c>
      <c r="E807" s="17" t="s">
        <v>6680</v>
      </c>
      <c r="F807" s="17" t="s">
        <v>7368</v>
      </c>
      <c r="G807" s="6"/>
      <c r="H807" s="6"/>
      <c r="I807" s="6"/>
      <c r="J807" s="6"/>
      <c r="K807" s="6"/>
      <c r="L807" s="6"/>
      <c r="M807" s="6"/>
      <c r="N807" s="6"/>
      <c r="O807" s="6"/>
      <c r="P807" s="6"/>
      <c r="Q807" s="6"/>
      <c r="R807" s="6"/>
      <c r="S807" s="6"/>
      <c r="T807" s="6"/>
      <c r="U807" s="6"/>
      <c r="V807" s="6"/>
      <c r="W807" s="6"/>
      <c r="X807" s="6"/>
      <c r="Y807" s="6"/>
      <c r="Z807" s="6"/>
    </row>
    <row r="808" spans="1:26">
      <c r="A808" s="223">
        <v>879</v>
      </c>
      <c r="B808" s="17" t="s">
        <v>6534</v>
      </c>
      <c r="C808" s="17" t="s">
        <v>7365</v>
      </c>
      <c r="D808" s="17" t="s">
        <v>6218</v>
      </c>
      <c r="E808" s="17" t="s">
        <v>6682</v>
      </c>
      <c r="F808" s="17" t="s">
        <v>7369</v>
      </c>
      <c r="G808" s="6"/>
      <c r="H808" s="6"/>
      <c r="I808" s="6"/>
      <c r="J808" s="6"/>
      <c r="K808" s="6"/>
      <c r="L808" s="6"/>
      <c r="M808" s="6"/>
      <c r="N808" s="6"/>
      <c r="O808" s="6"/>
      <c r="P808" s="6"/>
      <c r="Q808" s="6"/>
      <c r="R808" s="6"/>
      <c r="S808" s="6"/>
      <c r="T808" s="6"/>
      <c r="U808" s="6"/>
      <c r="V808" s="6"/>
      <c r="W808" s="6"/>
      <c r="X808" s="6"/>
      <c r="Y808" s="6"/>
      <c r="Z808" s="6"/>
    </row>
    <row r="809" spans="1:26">
      <c r="A809" s="223">
        <v>880</v>
      </c>
      <c r="B809" s="17" t="s">
        <v>6534</v>
      </c>
      <c r="C809" s="17" t="s">
        <v>7365</v>
      </c>
      <c r="D809" s="17" t="s">
        <v>6218</v>
      </c>
      <c r="E809" s="17" t="s">
        <v>6684</v>
      </c>
      <c r="F809" s="17" t="s">
        <v>7370</v>
      </c>
      <c r="G809" s="6"/>
      <c r="H809" s="6"/>
      <c r="I809" s="6"/>
      <c r="J809" s="6"/>
      <c r="K809" s="6"/>
      <c r="L809" s="6"/>
      <c r="M809" s="6"/>
      <c r="N809" s="6"/>
      <c r="O809" s="6"/>
      <c r="P809" s="6"/>
      <c r="Q809" s="6"/>
      <c r="R809" s="6"/>
      <c r="S809" s="6"/>
      <c r="T809" s="6"/>
      <c r="U809" s="6"/>
      <c r="V809" s="6"/>
      <c r="W809" s="6"/>
      <c r="X809" s="6"/>
      <c r="Y809" s="6"/>
      <c r="Z809" s="6"/>
    </row>
    <row r="810" spans="1:26">
      <c r="A810" s="149">
        <v>881</v>
      </c>
      <c r="B810" s="103" t="s">
        <v>7371</v>
      </c>
      <c r="C810" s="103" t="s">
        <v>7372</v>
      </c>
      <c r="D810" s="103" t="s">
        <v>6124</v>
      </c>
      <c r="E810" s="103" t="s">
        <v>7373</v>
      </c>
      <c r="F810" s="103" t="s">
        <v>7374</v>
      </c>
    </row>
    <row r="811" spans="1:26">
      <c r="A811" s="149">
        <v>882</v>
      </c>
      <c r="B811" s="103" t="s">
        <v>7371</v>
      </c>
      <c r="C811" s="103" t="s">
        <v>7372</v>
      </c>
      <c r="D811" s="103" t="s">
        <v>6124</v>
      </c>
      <c r="E811" s="103" t="s">
        <v>7375</v>
      </c>
      <c r="F811" s="103" t="s">
        <v>44</v>
      </c>
    </row>
    <row r="812" spans="1:26">
      <c r="A812" s="149">
        <v>883</v>
      </c>
      <c r="B812" s="103" t="s">
        <v>7371</v>
      </c>
      <c r="C812" s="103" t="s">
        <v>7372</v>
      </c>
      <c r="D812" s="103" t="s">
        <v>6124</v>
      </c>
      <c r="E812" s="103" t="s">
        <v>7375</v>
      </c>
      <c r="F812" s="103" t="s">
        <v>44</v>
      </c>
    </row>
    <row r="813" spans="1:26">
      <c r="A813" s="149">
        <v>884</v>
      </c>
      <c r="B813" s="103" t="s">
        <v>7376</v>
      </c>
      <c r="C813" s="103" t="s">
        <v>7377</v>
      </c>
      <c r="D813" s="103" t="s">
        <v>6124</v>
      </c>
      <c r="E813" s="103" t="s">
        <v>7378</v>
      </c>
      <c r="F813" s="103" t="s">
        <v>7379</v>
      </c>
    </row>
    <row r="814" spans="1:26">
      <c r="A814" s="149">
        <v>886</v>
      </c>
      <c r="B814" s="103" t="s">
        <v>7376</v>
      </c>
      <c r="C814" s="103" t="s">
        <v>7377</v>
      </c>
      <c r="D814" s="103" t="s">
        <v>6124</v>
      </c>
      <c r="E814" s="103" t="s">
        <v>7378</v>
      </c>
      <c r="F814" s="103" t="s">
        <v>7380</v>
      </c>
    </row>
    <row r="815" spans="1:26">
      <c r="A815" s="149">
        <v>887</v>
      </c>
      <c r="B815" s="103" t="s">
        <v>7376</v>
      </c>
      <c r="C815" s="103" t="s">
        <v>7377</v>
      </c>
      <c r="D815" s="103" t="s">
        <v>6124</v>
      </c>
      <c r="E815" s="103" t="s">
        <v>7378</v>
      </c>
      <c r="F815" s="103" t="s">
        <v>7381</v>
      </c>
    </row>
    <row r="816" spans="1:26">
      <c r="A816" s="149">
        <v>888</v>
      </c>
      <c r="B816" s="103" t="s">
        <v>7376</v>
      </c>
      <c r="C816" s="103" t="s">
        <v>7377</v>
      </c>
      <c r="D816" s="103" t="s">
        <v>6124</v>
      </c>
      <c r="E816" s="103" t="s">
        <v>7378</v>
      </c>
      <c r="F816" s="103" t="s">
        <v>7382</v>
      </c>
    </row>
    <row r="817" spans="1:26">
      <c r="A817" s="149">
        <v>889</v>
      </c>
      <c r="B817" s="103" t="s">
        <v>7376</v>
      </c>
      <c r="C817" s="103" t="s">
        <v>7377</v>
      </c>
      <c r="D817" s="103" t="s">
        <v>6124</v>
      </c>
      <c r="E817" s="103" t="s">
        <v>7383</v>
      </c>
      <c r="F817" s="103" t="s">
        <v>7384</v>
      </c>
    </row>
    <row r="818" spans="1:26">
      <c r="A818" s="149">
        <v>890</v>
      </c>
      <c r="B818" s="103" t="s">
        <v>7376</v>
      </c>
      <c r="C818" s="103" t="s">
        <v>7377</v>
      </c>
      <c r="D818" s="103" t="s">
        <v>6124</v>
      </c>
      <c r="E818" s="103" t="s">
        <v>7383</v>
      </c>
      <c r="F818" s="103" t="s">
        <v>7385</v>
      </c>
    </row>
    <row r="819" spans="1:26">
      <c r="A819" s="149">
        <v>891</v>
      </c>
      <c r="B819" s="103" t="s">
        <v>7376</v>
      </c>
      <c r="C819" s="103" t="s">
        <v>7377</v>
      </c>
      <c r="D819" s="103" t="s">
        <v>6124</v>
      </c>
      <c r="E819" s="103" t="s">
        <v>7383</v>
      </c>
      <c r="F819" s="103" t="s">
        <v>7386</v>
      </c>
    </row>
    <row r="820" spans="1:26">
      <c r="A820" s="149">
        <v>892</v>
      </c>
      <c r="B820" s="103" t="s">
        <v>7387</v>
      </c>
      <c r="C820" s="103" t="s">
        <v>7388</v>
      </c>
      <c r="D820" s="103" t="s">
        <v>6218</v>
      </c>
      <c r="E820" s="103" t="s">
        <v>7076</v>
      </c>
      <c r="F820" s="103" t="s">
        <v>44</v>
      </c>
    </row>
    <row r="821" spans="1:26">
      <c r="A821" s="149">
        <v>893</v>
      </c>
      <c r="B821" s="103" t="s">
        <v>7387</v>
      </c>
      <c r="C821" s="103" t="s">
        <v>7388</v>
      </c>
      <c r="D821" s="103" t="s">
        <v>6218</v>
      </c>
      <c r="E821" s="103" t="s">
        <v>7389</v>
      </c>
      <c r="F821" s="103" t="s">
        <v>44</v>
      </c>
    </row>
    <row r="822" spans="1:26">
      <c r="A822" s="221">
        <v>894</v>
      </c>
      <c r="B822" s="177" t="s">
        <v>7390</v>
      </c>
      <c r="C822" s="177" t="s">
        <v>7391</v>
      </c>
      <c r="D822" s="177" t="s">
        <v>6218</v>
      </c>
      <c r="E822" s="177" t="s">
        <v>2536</v>
      </c>
      <c r="F822" s="177" t="s">
        <v>2537</v>
      </c>
      <c r="G822" s="176"/>
      <c r="H822" s="176"/>
      <c r="I822" s="176"/>
      <c r="J822" s="176"/>
      <c r="K822" s="176"/>
      <c r="L822" s="176"/>
      <c r="M822" s="176"/>
      <c r="N822" s="176"/>
      <c r="O822" s="176"/>
      <c r="P822" s="176"/>
      <c r="Q822" s="176"/>
      <c r="R822" s="176"/>
      <c r="S822" s="176"/>
      <c r="T822" s="176"/>
      <c r="U822" s="176"/>
      <c r="V822" s="176"/>
      <c r="W822" s="176"/>
      <c r="X822" s="176"/>
      <c r="Y822" s="176"/>
      <c r="Z822" s="176"/>
    </row>
    <row r="823" spans="1:26">
      <c r="A823" s="221">
        <v>895</v>
      </c>
      <c r="B823" s="177" t="s">
        <v>7390</v>
      </c>
      <c r="C823" s="177" t="s">
        <v>7391</v>
      </c>
      <c r="D823" s="177" t="s">
        <v>6218</v>
      </c>
      <c r="E823" s="177" t="s">
        <v>2538</v>
      </c>
      <c r="F823" s="177" t="s">
        <v>2539</v>
      </c>
      <c r="G823" s="176"/>
      <c r="H823" s="176"/>
      <c r="I823" s="176"/>
      <c r="J823" s="176"/>
      <c r="K823" s="176"/>
      <c r="L823" s="176"/>
      <c r="M823" s="176"/>
      <c r="N823" s="176"/>
      <c r="O823" s="176"/>
      <c r="P823" s="176"/>
      <c r="Q823" s="176"/>
      <c r="R823" s="176"/>
      <c r="S823" s="176"/>
      <c r="T823" s="176"/>
      <c r="U823" s="176"/>
      <c r="V823" s="176"/>
      <c r="W823" s="176"/>
      <c r="X823" s="176"/>
      <c r="Y823" s="176"/>
      <c r="Z823" s="176"/>
    </row>
    <row r="824" spans="1:26">
      <c r="A824" s="221">
        <v>896</v>
      </c>
      <c r="B824" s="177" t="s">
        <v>7390</v>
      </c>
      <c r="C824" s="177" t="s">
        <v>7391</v>
      </c>
      <c r="D824" s="177" t="s">
        <v>6218</v>
      </c>
      <c r="E824" s="177" t="s">
        <v>2540</v>
      </c>
      <c r="F824" s="177" t="s">
        <v>2541</v>
      </c>
      <c r="G824" s="176"/>
      <c r="H824" s="176"/>
      <c r="I824" s="176"/>
      <c r="J824" s="176"/>
      <c r="K824" s="176"/>
      <c r="L824" s="176"/>
      <c r="M824" s="176"/>
      <c r="N824" s="176"/>
      <c r="O824" s="176"/>
      <c r="P824" s="176"/>
      <c r="Q824" s="176"/>
      <c r="R824" s="176"/>
      <c r="S824" s="176"/>
      <c r="T824" s="176"/>
      <c r="U824" s="176"/>
      <c r="V824" s="176"/>
      <c r="W824" s="176"/>
      <c r="X824" s="176"/>
      <c r="Y824" s="176"/>
      <c r="Z824" s="176"/>
    </row>
    <row r="825" spans="1:26">
      <c r="A825" s="221">
        <v>897</v>
      </c>
      <c r="B825" s="177" t="s">
        <v>7390</v>
      </c>
      <c r="C825" s="177" t="s">
        <v>7391</v>
      </c>
      <c r="D825" s="177" t="s">
        <v>6218</v>
      </c>
      <c r="E825" s="177" t="s">
        <v>2542</v>
      </c>
      <c r="F825" s="177" t="s">
        <v>2543</v>
      </c>
      <c r="G825" s="176"/>
      <c r="H825" s="176"/>
      <c r="I825" s="176"/>
      <c r="J825" s="176"/>
      <c r="K825" s="176"/>
      <c r="L825" s="176"/>
      <c r="M825" s="176"/>
      <c r="N825" s="176"/>
      <c r="O825" s="176"/>
      <c r="P825" s="176"/>
      <c r="Q825" s="176"/>
      <c r="R825" s="176"/>
      <c r="S825" s="176"/>
      <c r="T825" s="176"/>
      <c r="U825" s="176"/>
      <c r="V825" s="176"/>
      <c r="W825" s="176"/>
      <c r="X825" s="176"/>
      <c r="Y825" s="176"/>
      <c r="Z825" s="176"/>
    </row>
    <row r="826" spans="1:26">
      <c r="A826" s="221">
        <v>898</v>
      </c>
      <c r="B826" s="177" t="s">
        <v>7390</v>
      </c>
      <c r="C826" s="177" t="s">
        <v>7391</v>
      </c>
      <c r="D826" s="177" t="s">
        <v>6218</v>
      </c>
      <c r="E826" s="177" t="s">
        <v>2544</v>
      </c>
      <c r="F826" s="177" t="s">
        <v>2545</v>
      </c>
      <c r="G826" s="176"/>
      <c r="H826" s="176"/>
      <c r="I826" s="176"/>
      <c r="J826" s="176"/>
      <c r="K826" s="176"/>
      <c r="L826" s="176"/>
      <c r="M826" s="176"/>
      <c r="N826" s="176"/>
      <c r="O826" s="176"/>
      <c r="P826" s="176"/>
      <c r="Q826" s="176"/>
      <c r="R826" s="176"/>
      <c r="S826" s="176"/>
      <c r="T826" s="176"/>
      <c r="U826" s="176"/>
      <c r="V826" s="176"/>
      <c r="W826" s="176"/>
      <c r="X826" s="176"/>
      <c r="Y826" s="176"/>
      <c r="Z826" s="176"/>
    </row>
    <row r="827" spans="1:26">
      <c r="A827" s="221">
        <v>899</v>
      </c>
      <c r="B827" s="177" t="s">
        <v>6534</v>
      </c>
      <c r="C827" s="177" t="s">
        <v>7392</v>
      </c>
      <c r="D827" s="177" t="s">
        <v>6218</v>
      </c>
      <c r="E827" s="177" t="s">
        <v>2536</v>
      </c>
      <c r="F827" s="177" t="s">
        <v>7393</v>
      </c>
      <c r="G827" s="176"/>
      <c r="H827" s="176"/>
      <c r="I827" s="176"/>
      <c r="J827" s="176"/>
      <c r="K827" s="176"/>
      <c r="L827" s="176"/>
      <c r="M827" s="176"/>
      <c r="N827" s="176"/>
      <c r="O827" s="176"/>
      <c r="P827" s="176"/>
      <c r="Q827" s="176"/>
      <c r="R827" s="176"/>
      <c r="S827" s="176"/>
      <c r="T827" s="176"/>
      <c r="U827" s="176"/>
      <c r="V827" s="176"/>
      <c r="W827" s="176"/>
      <c r="X827" s="176"/>
      <c r="Y827" s="176"/>
      <c r="Z827" s="176"/>
    </row>
    <row r="828" spans="1:26">
      <c r="A828" s="221">
        <v>900</v>
      </c>
      <c r="B828" s="177" t="s">
        <v>6534</v>
      </c>
      <c r="C828" s="177" t="s">
        <v>7392</v>
      </c>
      <c r="D828" s="177" t="s">
        <v>6218</v>
      </c>
      <c r="E828" s="177" t="s">
        <v>2538</v>
      </c>
      <c r="F828" s="177" t="s">
        <v>7394</v>
      </c>
      <c r="G828" s="176"/>
      <c r="H828" s="176"/>
      <c r="I828" s="176"/>
      <c r="J828" s="176"/>
      <c r="K828" s="176"/>
      <c r="L828" s="176"/>
      <c r="M828" s="176"/>
      <c r="N828" s="176"/>
      <c r="O828" s="176"/>
      <c r="P828" s="176"/>
      <c r="Q828" s="176"/>
      <c r="R828" s="176"/>
      <c r="S828" s="176"/>
      <c r="T828" s="176"/>
      <c r="U828" s="176"/>
      <c r="V828" s="176"/>
      <c r="W828" s="176"/>
      <c r="X828" s="176"/>
      <c r="Y828" s="176"/>
      <c r="Z828" s="176"/>
    </row>
    <row r="829" spans="1:26">
      <c r="A829" s="221">
        <v>901</v>
      </c>
      <c r="B829" s="177" t="s">
        <v>6534</v>
      </c>
      <c r="C829" s="177" t="s">
        <v>7392</v>
      </c>
      <c r="D829" s="177" t="s">
        <v>6218</v>
      </c>
      <c r="E829" s="177" t="s">
        <v>2540</v>
      </c>
      <c r="F829" s="177" t="s">
        <v>7395</v>
      </c>
      <c r="G829" s="176"/>
      <c r="H829" s="176"/>
      <c r="I829" s="176"/>
      <c r="J829" s="176"/>
      <c r="K829" s="176"/>
      <c r="L829" s="176"/>
      <c r="M829" s="176"/>
      <c r="N829" s="176"/>
      <c r="O829" s="176"/>
      <c r="P829" s="176"/>
      <c r="Q829" s="176"/>
      <c r="R829" s="176"/>
      <c r="S829" s="176"/>
      <c r="T829" s="176"/>
      <c r="U829" s="176"/>
      <c r="V829" s="176"/>
      <c r="W829" s="176"/>
      <c r="X829" s="176"/>
      <c r="Y829" s="176"/>
      <c r="Z829" s="176"/>
    </row>
    <row r="830" spans="1:26">
      <c r="A830" s="221">
        <v>902</v>
      </c>
      <c r="B830" s="177" t="s">
        <v>6534</v>
      </c>
      <c r="C830" s="177" t="s">
        <v>7392</v>
      </c>
      <c r="D830" s="177" t="s">
        <v>6218</v>
      </c>
      <c r="E830" s="177" t="s">
        <v>2542</v>
      </c>
      <c r="F830" s="177" t="s">
        <v>7396</v>
      </c>
      <c r="G830" s="176"/>
      <c r="H830" s="176"/>
      <c r="I830" s="176"/>
      <c r="J830" s="176"/>
      <c r="K830" s="176"/>
      <c r="L830" s="176"/>
      <c r="M830" s="176"/>
      <c r="N830" s="176"/>
      <c r="O830" s="176"/>
      <c r="P830" s="176"/>
      <c r="Q830" s="176"/>
      <c r="R830" s="176"/>
      <c r="S830" s="176"/>
      <c r="T830" s="176"/>
      <c r="U830" s="176"/>
      <c r="V830" s="176"/>
      <c r="W830" s="176"/>
      <c r="X830" s="176"/>
      <c r="Y830" s="176"/>
      <c r="Z830" s="176"/>
    </row>
    <row r="831" spans="1:26">
      <c r="A831" s="221">
        <v>903</v>
      </c>
      <c r="B831" s="177" t="s">
        <v>6534</v>
      </c>
      <c r="C831" s="177" t="s">
        <v>7392</v>
      </c>
      <c r="D831" s="177" t="s">
        <v>6218</v>
      </c>
      <c r="E831" s="177" t="s">
        <v>2544</v>
      </c>
      <c r="F831" s="177" t="s">
        <v>7397</v>
      </c>
      <c r="G831" s="176"/>
      <c r="H831" s="176"/>
      <c r="I831" s="176"/>
      <c r="J831" s="176"/>
      <c r="K831" s="176"/>
      <c r="L831" s="176"/>
      <c r="M831" s="176"/>
      <c r="N831" s="176"/>
      <c r="O831" s="176"/>
      <c r="P831" s="176"/>
      <c r="Q831" s="176"/>
      <c r="R831" s="176"/>
      <c r="S831" s="176"/>
      <c r="T831" s="176"/>
      <c r="U831" s="176"/>
      <c r="V831" s="176"/>
      <c r="W831" s="176"/>
      <c r="X831" s="176"/>
      <c r="Y831" s="176"/>
      <c r="Z831" s="176"/>
    </row>
    <row r="832" spans="1:26">
      <c r="A832" s="149">
        <v>904</v>
      </c>
      <c r="B832" s="103" t="s">
        <v>6624</v>
      </c>
      <c r="C832" s="103" t="s">
        <v>6625</v>
      </c>
      <c r="D832" s="103" t="s">
        <v>6124</v>
      </c>
      <c r="E832" s="103" t="s">
        <v>7331</v>
      </c>
      <c r="F832" s="103" t="s">
        <v>7398</v>
      </c>
    </row>
    <row r="833" spans="1:6">
      <c r="A833" s="149">
        <v>905</v>
      </c>
      <c r="B833" s="103" t="s">
        <v>7399</v>
      </c>
      <c r="C833" s="103" t="s">
        <v>7400</v>
      </c>
      <c r="D833" s="103" t="s">
        <v>6124</v>
      </c>
      <c r="E833" s="103" t="s">
        <v>7401</v>
      </c>
      <c r="F833" s="103" t="s">
        <v>7402</v>
      </c>
    </row>
    <row r="834" spans="1:6">
      <c r="A834" s="149">
        <v>907</v>
      </c>
      <c r="B834" s="103" t="s">
        <v>7403</v>
      </c>
      <c r="C834" s="103" t="s">
        <v>7404</v>
      </c>
      <c r="D834" s="103" t="s">
        <v>6124</v>
      </c>
      <c r="E834" s="103" t="s">
        <v>7405</v>
      </c>
      <c r="F834" s="103" t="s">
        <v>44</v>
      </c>
    </row>
    <row r="835" spans="1:6">
      <c r="A835" s="149">
        <v>908</v>
      </c>
      <c r="B835" s="103" t="s">
        <v>7406</v>
      </c>
      <c r="C835" s="103" t="s">
        <v>7407</v>
      </c>
      <c r="D835" s="103" t="s">
        <v>6124</v>
      </c>
      <c r="E835" s="103" t="s">
        <v>7408</v>
      </c>
      <c r="F835" s="103" t="s">
        <v>7409</v>
      </c>
    </row>
    <row r="836" spans="1:6">
      <c r="A836" s="149">
        <v>909</v>
      </c>
      <c r="B836" s="103" t="s">
        <v>7406</v>
      </c>
      <c r="C836" s="103" t="s">
        <v>7407</v>
      </c>
      <c r="D836" s="103" t="s">
        <v>6124</v>
      </c>
      <c r="E836" s="103" t="s">
        <v>7410</v>
      </c>
      <c r="F836" s="103" t="s">
        <v>7411</v>
      </c>
    </row>
    <row r="837" spans="1:6">
      <c r="A837" s="149">
        <v>910</v>
      </c>
      <c r="B837" s="103" t="s">
        <v>7406</v>
      </c>
      <c r="C837" s="103" t="s">
        <v>7407</v>
      </c>
      <c r="D837" s="103" t="s">
        <v>6124</v>
      </c>
      <c r="E837" s="103" t="s">
        <v>7412</v>
      </c>
      <c r="F837" s="103" t="s">
        <v>7413</v>
      </c>
    </row>
    <row r="838" spans="1:6">
      <c r="A838" s="149">
        <v>911</v>
      </c>
      <c r="B838" s="103" t="s">
        <v>7406</v>
      </c>
      <c r="C838" s="103" t="s">
        <v>7407</v>
      </c>
      <c r="D838" s="103" t="s">
        <v>6124</v>
      </c>
      <c r="E838" s="103" t="s">
        <v>7414</v>
      </c>
      <c r="F838" s="103" t="s">
        <v>7415</v>
      </c>
    </row>
    <row r="839" spans="1:6">
      <c r="A839" s="149">
        <v>912</v>
      </c>
      <c r="B839" s="103" t="s">
        <v>7406</v>
      </c>
      <c r="C839" s="103" t="s">
        <v>7407</v>
      </c>
      <c r="D839" s="103" t="s">
        <v>6218</v>
      </c>
      <c r="E839" s="103" t="s">
        <v>7416</v>
      </c>
      <c r="F839" s="103" t="s">
        <v>7417</v>
      </c>
    </row>
    <row r="840" spans="1:6">
      <c r="A840" s="149">
        <v>913</v>
      </c>
      <c r="B840" s="103" t="s">
        <v>7418</v>
      </c>
      <c r="C840" s="103" t="s">
        <v>7419</v>
      </c>
      <c r="D840" s="103" t="s">
        <v>6124</v>
      </c>
      <c r="E840" s="103" t="s">
        <v>7420</v>
      </c>
      <c r="F840" s="103" t="s">
        <v>7421</v>
      </c>
    </row>
    <row r="841" spans="1:6">
      <c r="A841" s="149">
        <v>914</v>
      </c>
      <c r="B841" s="103" t="s">
        <v>7418</v>
      </c>
      <c r="C841" s="103" t="s">
        <v>7419</v>
      </c>
      <c r="D841" s="103" t="s">
        <v>6124</v>
      </c>
      <c r="E841" s="103" t="s">
        <v>7422</v>
      </c>
      <c r="F841" s="103" t="s">
        <v>7423</v>
      </c>
    </row>
    <row r="842" spans="1:6">
      <c r="A842" s="149">
        <v>915</v>
      </c>
      <c r="B842" s="103" t="s">
        <v>7418</v>
      </c>
      <c r="C842" s="103" t="s">
        <v>7419</v>
      </c>
      <c r="D842" s="103" t="s">
        <v>6124</v>
      </c>
      <c r="E842" s="103" t="s">
        <v>7424</v>
      </c>
      <c r="F842" s="103" t="s">
        <v>7425</v>
      </c>
    </row>
    <row r="843" spans="1:6">
      <c r="A843" s="149">
        <v>916</v>
      </c>
      <c r="B843" s="103" t="s">
        <v>7418</v>
      </c>
      <c r="C843" s="103" t="s">
        <v>7419</v>
      </c>
      <c r="D843" s="103" t="s">
        <v>6124</v>
      </c>
      <c r="E843" s="103" t="s">
        <v>7426</v>
      </c>
      <c r="F843" s="103" t="s">
        <v>7427</v>
      </c>
    </row>
    <row r="844" spans="1:6">
      <c r="A844" s="149">
        <v>917</v>
      </c>
      <c r="B844" s="103" t="s">
        <v>7418</v>
      </c>
      <c r="C844" s="103" t="s">
        <v>7419</v>
      </c>
      <c r="D844" s="103" t="s">
        <v>6124</v>
      </c>
      <c r="E844" s="103" t="s">
        <v>7428</v>
      </c>
      <c r="F844" s="103" t="s">
        <v>7429</v>
      </c>
    </row>
    <row r="845" spans="1:6">
      <c r="A845" s="149">
        <v>918</v>
      </c>
      <c r="B845" s="103" t="s">
        <v>7430</v>
      </c>
      <c r="C845" s="103" t="s">
        <v>7431</v>
      </c>
      <c r="D845" s="103" t="s">
        <v>6124</v>
      </c>
      <c r="E845" s="103" t="s">
        <v>7300</v>
      </c>
      <c r="F845" s="103" t="s">
        <v>7432</v>
      </c>
    </row>
    <row r="846" spans="1:6">
      <c r="A846" s="149">
        <v>919</v>
      </c>
      <c r="B846" s="103" t="s">
        <v>6612</v>
      </c>
      <c r="C846" s="103" t="s">
        <v>6613</v>
      </c>
      <c r="D846" s="103" t="s">
        <v>6124</v>
      </c>
      <c r="E846" s="103" t="s">
        <v>7433</v>
      </c>
      <c r="F846" s="103" t="s">
        <v>7434</v>
      </c>
    </row>
    <row r="847" spans="1:6">
      <c r="A847" s="149">
        <v>920</v>
      </c>
      <c r="B847" s="103" t="s">
        <v>6612</v>
      </c>
      <c r="C847" s="103" t="s">
        <v>6613</v>
      </c>
      <c r="D847" s="103" t="s">
        <v>6124</v>
      </c>
      <c r="E847" s="103" t="s">
        <v>7202</v>
      </c>
      <c r="F847" s="103" t="s">
        <v>7435</v>
      </c>
    </row>
    <row r="848" spans="1:6">
      <c r="A848" s="149">
        <v>928</v>
      </c>
      <c r="B848" s="103" t="s">
        <v>7436</v>
      </c>
      <c r="C848" s="103" t="s">
        <v>7437</v>
      </c>
      <c r="D848" s="103" t="s">
        <v>6218</v>
      </c>
      <c r="E848" s="103" t="s">
        <v>7438</v>
      </c>
      <c r="F848" s="103" t="s">
        <v>7439</v>
      </c>
    </row>
  </sheetData>
  <hyperlinks>
    <hyperlink ref="A1" r:id="rId1" xr:uid="{00000000-0004-0000-0F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3:W7"/>
  <sheetViews>
    <sheetView workbookViewId="0">
      <selection activeCell="D4" sqref="D4"/>
    </sheetView>
  </sheetViews>
  <sheetFormatPr defaultColWidth="12.6640625" defaultRowHeight="15.75" customHeight="1"/>
  <cols>
    <col min="1" max="1" width="7.109375" bestFit="1" customWidth="1"/>
    <col min="2" max="2" width="60" customWidth="1"/>
    <col min="3" max="3" width="28.44140625" bestFit="1" customWidth="1"/>
    <col min="5" max="5" width="24.77734375" bestFit="1" customWidth="1"/>
    <col min="6" max="6" width="17.6640625" bestFit="1" customWidth="1"/>
    <col min="7" max="7" width="13.44140625" bestFit="1" customWidth="1"/>
    <col min="8" max="8" width="17.44140625" bestFit="1" customWidth="1"/>
    <col min="9" max="9" width="17.21875" bestFit="1" customWidth="1"/>
    <col min="10" max="10" width="13.33203125" bestFit="1" customWidth="1"/>
    <col min="11" max="11" width="31.77734375" customWidth="1"/>
    <col min="12" max="12" width="18.33203125" bestFit="1" customWidth="1"/>
    <col min="13" max="13" width="20.5546875" bestFit="1" customWidth="1"/>
    <col min="14" max="14" width="20.44140625" bestFit="1" customWidth="1"/>
    <col min="15" max="15" width="34.44140625" customWidth="1"/>
    <col min="16" max="16" width="9.77734375" bestFit="1" customWidth="1"/>
    <col min="17" max="17" width="10.33203125" bestFit="1" customWidth="1"/>
    <col min="18" max="18" width="6.6640625" bestFit="1" customWidth="1"/>
    <col min="19" max="19" width="8" bestFit="1" customWidth="1"/>
    <col min="20" max="20" width="10.109375" bestFit="1" customWidth="1"/>
    <col min="21" max="21" width="10.77734375" bestFit="1" customWidth="1"/>
    <col min="22" max="22" width="13.6640625" bestFit="1" customWidth="1"/>
    <col min="23" max="23" width="13.109375" bestFit="1" customWidth="1"/>
  </cols>
  <sheetData>
    <row r="3" spans="1:23" ht="13.8">
      <c r="A3" s="2" t="s">
        <v>1</v>
      </c>
      <c r="B3" t="s">
        <v>8293</v>
      </c>
      <c r="C3" t="s">
        <v>8286</v>
      </c>
      <c r="D3" s="2" t="s">
        <v>8285</v>
      </c>
      <c r="E3" s="2" t="s">
        <v>4</v>
      </c>
      <c r="F3" s="2" t="s">
        <v>5</v>
      </c>
      <c r="G3" s="2" t="s">
        <v>6</v>
      </c>
      <c r="H3" s="2" t="s">
        <v>7</v>
      </c>
      <c r="I3" s="2" t="s">
        <v>8292</v>
      </c>
      <c r="J3" s="2" t="s">
        <v>9</v>
      </c>
      <c r="K3" s="2" t="s">
        <v>8287</v>
      </c>
      <c r="L3" s="2" t="s">
        <v>8284</v>
      </c>
      <c r="M3" s="1" t="s">
        <v>8288</v>
      </c>
      <c r="N3" s="2" t="s">
        <v>8289</v>
      </c>
      <c r="O3" s="2" t="s">
        <v>14</v>
      </c>
      <c r="P3" s="2" t="s">
        <v>15</v>
      </c>
      <c r="Q3" s="2" t="s">
        <v>16</v>
      </c>
      <c r="R3" s="3" t="s">
        <v>17</v>
      </c>
      <c r="S3" s="3" t="s">
        <v>18</v>
      </c>
      <c r="T3" s="3" t="s">
        <v>19</v>
      </c>
      <c r="U3" s="3" t="s">
        <v>20</v>
      </c>
      <c r="V3" s="4" t="s">
        <v>21</v>
      </c>
      <c r="W3" s="4" t="s">
        <v>22</v>
      </c>
    </row>
    <row r="4" spans="1:23" ht="15.75" customHeight="1">
      <c r="A4" s="104">
        <v>103</v>
      </c>
      <c r="B4" s="44" t="s">
        <v>1153</v>
      </c>
      <c r="C4" s="349" t="s">
        <v>8294</v>
      </c>
      <c r="D4" s="6" t="s">
        <v>8309</v>
      </c>
      <c r="E4" s="18" t="s">
        <v>1154</v>
      </c>
      <c r="F4" s="20" t="s">
        <v>1155</v>
      </c>
      <c r="G4" s="18" t="s">
        <v>39</v>
      </c>
      <c r="H4" s="20" t="s">
        <v>1156</v>
      </c>
      <c r="I4" s="20" t="s">
        <v>1157</v>
      </c>
      <c r="J4" s="20" t="s">
        <v>1158</v>
      </c>
      <c r="K4" s="86" t="s">
        <v>1159</v>
      </c>
      <c r="L4" s="20">
        <v>8879316929</v>
      </c>
      <c r="M4" s="61">
        <v>9820045969</v>
      </c>
      <c r="N4" s="20">
        <v>8879316929</v>
      </c>
      <c r="O4" s="22" t="s">
        <v>1160</v>
      </c>
      <c r="P4" s="19" t="s">
        <v>44</v>
      </c>
      <c r="Q4" s="6" t="s">
        <v>47</v>
      </c>
      <c r="R4" s="24" t="s">
        <v>170</v>
      </c>
      <c r="S4" s="24" t="s">
        <v>49</v>
      </c>
      <c r="T4" s="24" t="s">
        <v>1161</v>
      </c>
      <c r="U4" s="24" t="s">
        <v>1162</v>
      </c>
      <c r="V4" s="17" t="s">
        <v>71</v>
      </c>
      <c r="W4" s="17" t="s">
        <v>1163</v>
      </c>
    </row>
    <row r="5" spans="1:23" ht="15.75" customHeight="1">
      <c r="A5" s="93">
        <v>105</v>
      </c>
      <c r="B5" s="99" t="s">
        <v>1169</v>
      </c>
      <c r="C5" s="99" t="s">
        <v>3207</v>
      </c>
      <c r="D5" s="6" t="s">
        <v>8310</v>
      </c>
      <c r="E5" s="100" t="s">
        <v>6065</v>
      </c>
      <c r="F5" s="95" t="s">
        <v>1171</v>
      </c>
      <c r="G5" s="5" t="s">
        <v>39</v>
      </c>
      <c r="H5" s="95" t="s">
        <v>1156</v>
      </c>
      <c r="I5" s="95" t="s">
        <v>1172</v>
      </c>
      <c r="J5" s="95" t="s">
        <v>1173</v>
      </c>
      <c r="K5" s="96" t="s">
        <v>1159</v>
      </c>
      <c r="L5" s="95">
        <v>8369075554</v>
      </c>
      <c r="M5" s="9" t="s">
        <v>44</v>
      </c>
      <c r="N5" s="95">
        <v>8369075554</v>
      </c>
      <c r="O5" s="12" t="s">
        <v>1160</v>
      </c>
      <c r="P5" s="10" t="s">
        <v>44</v>
      </c>
      <c r="Q5" s="2" t="s">
        <v>47</v>
      </c>
      <c r="R5" s="101" t="s">
        <v>170</v>
      </c>
      <c r="S5" s="101" t="s">
        <v>49</v>
      </c>
      <c r="T5" s="101" t="s">
        <v>1161</v>
      </c>
      <c r="U5" s="101" t="s">
        <v>1162</v>
      </c>
      <c r="V5" s="4" t="s">
        <v>71</v>
      </c>
      <c r="W5" s="4" t="s">
        <v>1163</v>
      </c>
    </row>
    <row r="6" spans="1:23" ht="15.75" customHeight="1">
      <c r="A6" s="93">
        <v>106</v>
      </c>
      <c r="B6" s="99" t="s">
        <v>1174</v>
      </c>
      <c r="C6" s="99" t="s">
        <v>3210</v>
      </c>
      <c r="D6" s="6" t="s">
        <v>8311</v>
      </c>
      <c r="E6" s="100" t="s">
        <v>6066</v>
      </c>
      <c r="F6" s="95" t="s">
        <v>1176</v>
      </c>
      <c r="G6" s="5" t="s">
        <v>39</v>
      </c>
      <c r="H6" s="95" t="s">
        <v>1156</v>
      </c>
      <c r="I6" s="95" t="s">
        <v>1177</v>
      </c>
      <c r="J6" s="95" t="s">
        <v>1178</v>
      </c>
      <c r="K6" s="96" t="s">
        <v>1159</v>
      </c>
      <c r="L6" s="95">
        <v>9833629934</v>
      </c>
      <c r="M6" s="9" t="s">
        <v>44</v>
      </c>
      <c r="N6" s="95">
        <v>9833629934</v>
      </c>
      <c r="O6" s="12" t="s">
        <v>1160</v>
      </c>
      <c r="P6" s="10" t="s">
        <v>44</v>
      </c>
      <c r="Q6" s="2" t="s">
        <v>47</v>
      </c>
      <c r="R6" s="101" t="s">
        <v>300</v>
      </c>
      <c r="S6" s="101" t="s">
        <v>301</v>
      </c>
      <c r="T6" s="101" t="s">
        <v>1179</v>
      </c>
      <c r="U6" s="101" t="s">
        <v>1162</v>
      </c>
      <c r="V6" s="4" t="s">
        <v>71</v>
      </c>
      <c r="W6" s="4" t="s">
        <v>1163</v>
      </c>
    </row>
    <row r="7" spans="1:23" ht="15.75" customHeight="1">
      <c r="A7" s="93">
        <v>107</v>
      </c>
      <c r="B7" s="99" t="s">
        <v>1180</v>
      </c>
      <c r="C7" s="7" t="s">
        <v>8295</v>
      </c>
      <c r="D7" s="6" t="s">
        <v>8312</v>
      </c>
      <c r="E7" s="100" t="s">
        <v>6067</v>
      </c>
      <c r="F7" s="95" t="s">
        <v>1182</v>
      </c>
      <c r="G7" s="5" t="s">
        <v>39</v>
      </c>
      <c r="H7" s="95" t="s">
        <v>1156</v>
      </c>
      <c r="I7" s="95" t="s">
        <v>1183</v>
      </c>
      <c r="J7" s="95" t="s">
        <v>1184</v>
      </c>
      <c r="K7" s="96" t="s">
        <v>1159</v>
      </c>
      <c r="L7" s="95">
        <v>8104672056</v>
      </c>
      <c r="M7" s="9" t="s">
        <v>44</v>
      </c>
      <c r="N7" s="95">
        <v>8104672056</v>
      </c>
      <c r="O7" s="12" t="s">
        <v>1160</v>
      </c>
      <c r="P7" s="10" t="s">
        <v>44</v>
      </c>
      <c r="Q7" s="2" t="s">
        <v>47</v>
      </c>
      <c r="R7" s="101" t="s">
        <v>311</v>
      </c>
      <c r="S7" s="101" t="s">
        <v>312</v>
      </c>
      <c r="T7" s="101" t="s">
        <v>1185</v>
      </c>
      <c r="U7" s="101" t="s">
        <v>1162</v>
      </c>
      <c r="V7" s="4" t="s">
        <v>71</v>
      </c>
      <c r="W7" s="4" t="s">
        <v>1163</v>
      </c>
    </row>
  </sheetData>
  <hyperlinks>
    <hyperlink ref="B4" r:id="rId1" xr:uid="{00000000-0004-0000-0900-000000000000}"/>
    <hyperlink ref="O4" r:id="rId2" xr:uid="{00000000-0004-0000-0900-000001000000}"/>
    <hyperlink ref="B5" r:id="rId3" xr:uid="{00000000-0004-0000-0900-000003000000}"/>
    <hyperlink ref="E5" r:id="rId4" xr:uid="{00000000-0004-0000-0900-000004000000}"/>
    <hyperlink ref="O5" r:id="rId5" xr:uid="{00000000-0004-0000-0900-000005000000}"/>
    <hyperlink ref="B6" r:id="rId6" xr:uid="{00000000-0004-0000-0900-000007000000}"/>
    <hyperlink ref="E6" r:id="rId7" xr:uid="{00000000-0004-0000-0900-000008000000}"/>
    <hyperlink ref="O6" r:id="rId8" xr:uid="{00000000-0004-0000-0900-000009000000}"/>
    <hyperlink ref="B7" r:id="rId9" xr:uid="{00000000-0004-0000-0900-00000B000000}"/>
    <hyperlink ref="E7" r:id="rId10" xr:uid="{00000000-0004-0000-0900-00000C000000}"/>
    <hyperlink ref="O7" r:id="rId11" xr:uid="{00000000-0004-0000-0900-00000D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3:AQ7"/>
  <sheetViews>
    <sheetView workbookViewId="0">
      <selection activeCell="Q4" sqref="Q4:Q7"/>
    </sheetView>
  </sheetViews>
  <sheetFormatPr defaultColWidth="12.6640625" defaultRowHeight="15.75" customHeight="1"/>
  <cols>
    <col min="1" max="1" width="7.44140625" bestFit="1" customWidth="1"/>
    <col min="2" max="2" width="7.109375" bestFit="1" customWidth="1"/>
    <col min="3" max="3" width="60.88671875" bestFit="1" customWidth="1"/>
    <col min="4" max="4" width="38" bestFit="1" customWidth="1"/>
    <col min="5" max="5" width="38" customWidth="1"/>
    <col min="6" max="6" width="7.5546875" bestFit="1" customWidth="1"/>
    <col min="7" max="7" width="25.88671875" bestFit="1" customWidth="1"/>
    <col min="8" max="8" width="14.33203125" bestFit="1" customWidth="1"/>
    <col min="9" max="9" width="13.44140625" bestFit="1" customWidth="1"/>
    <col min="10" max="10" width="20.44140625" bestFit="1" customWidth="1"/>
    <col min="11" max="11" width="13.88671875" bestFit="1" customWidth="1"/>
    <col min="12" max="12" width="13.33203125" bestFit="1" customWidth="1"/>
    <col min="13" max="13" width="255.77734375" bestFit="1" customWidth="1"/>
    <col min="14" max="14" width="12.109375" bestFit="1" customWidth="1"/>
    <col min="15" max="15" width="11.33203125" bestFit="1" customWidth="1"/>
    <col min="16" max="16" width="12.109375" bestFit="1" customWidth="1"/>
    <col min="17" max="17" width="9.33203125" bestFit="1" customWidth="1"/>
    <col min="18" max="18" width="9.77734375" bestFit="1" customWidth="1"/>
    <col min="19" max="19" width="10.33203125" bestFit="1" customWidth="1"/>
    <col min="20" max="20" width="7.6640625" bestFit="1" customWidth="1"/>
    <col min="21" max="21" width="8" bestFit="1" customWidth="1"/>
    <col min="22" max="22" width="10.109375" bestFit="1" customWidth="1"/>
    <col min="23" max="23" width="10.77734375" bestFit="1" customWidth="1"/>
    <col min="24" max="24" width="13.6640625" bestFit="1" customWidth="1"/>
    <col min="25" max="25" width="13.109375" bestFit="1" customWidth="1"/>
    <col min="26" max="26" width="11" bestFit="1" customWidth="1"/>
    <col min="27" max="27" width="11.44140625" bestFit="1" customWidth="1"/>
    <col min="28" max="28" width="9.33203125" bestFit="1" customWidth="1"/>
    <col min="29" max="29" width="9.44140625" bestFit="1" customWidth="1"/>
    <col min="30" max="30" width="9.21875" bestFit="1" customWidth="1"/>
    <col min="32" max="32" width="8.6640625" bestFit="1" customWidth="1"/>
    <col min="34" max="34" width="8.6640625" bestFit="1" customWidth="1"/>
    <col min="36" max="36" width="8.6640625" bestFit="1" customWidth="1"/>
    <col min="38" max="38" width="8.6640625" bestFit="1" customWidth="1"/>
    <col min="40" max="40" width="8.6640625" bestFit="1" customWidth="1"/>
    <col min="42" max="42" width="8.6640625" bestFit="1" customWidth="1"/>
  </cols>
  <sheetData>
    <row r="3" spans="1:43" ht="13.8">
      <c r="A3" s="2" t="s">
        <v>0</v>
      </c>
      <c r="B3" s="2" t="s">
        <v>1</v>
      </c>
      <c r="C3" s="367" t="s">
        <v>639</v>
      </c>
      <c r="D3" s="367" t="s">
        <v>8286</v>
      </c>
      <c r="E3" s="367" t="s">
        <v>8285</v>
      </c>
      <c r="F3" s="2" t="s">
        <v>3</v>
      </c>
      <c r="G3" s="2" t="s">
        <v>4</v>
      </c>
      <c r="H3" s="2" t="s">
        <v>5</v>
      </c>
      <c r="I3" s="2" t="s">
        <v>6</v>
      </c>
      <c r="J3" s="2" t="s">
        <v>7</v>
      </c>
      <c r="K3" s="367" t="s">
        <v>8292</v>
      </c>
      <c r="L3" s="2" t="s">
        <v>9</v>
      </c>
      <c r="M3" s="2" t="s">
        <v>10</v>
      </c>
      <c r="N3" s="2" t="s">
        <v>11</v>
      </c>
      <c r="O3" s="1" t="s">
        <v>12</v>
      </c>
      <c r="P3" s="2" t="s">
        <v>13</v>
      </c>
      <c r="Q3" s="2" t="s">
        <v>14</v>
      </c>
      <c r="R3" s="2" t="s">
        <v>15</v>
      </c>
      <c r="S3" s="2" t="s">
        <v>16</v>
      </c>
      <c r="T3" s="3" t="s">
        <v>17</v>
      </c>
      <c r="U3" s="3" t="s">
        <v>18</v>
      </c>
      <c r="V3" s="3" t="s">
        <v>19</v>
      </c>
      <c r="W3" s="3" t="s">
        <v>20</v>
      </c>
      <c r="X3" s="4" t="s">
        <v>21</v>
      </c>
      <c r="Y3" s="4" t="s">
        <v>22</v>
      </c>
      <c r="Z3" s="5" t="s">
        <v>23</v>
      </c>
      <c r="AA3" s="5" t="s">
        <v>24</v>
      </c>
      <c r="AB3" s="5" t="s">
        <v>25</v>
      </c>
      <c r="AC3" s="5" t="s">
        <v>26</v>
      </c>
      <c r="AD3" s="5" t="s">
        <v>27</v>
      </c>
      <c r="AE3" s="5"/>
      <c r="AF3" s="5" t="s">
        <v>28</v>
      </c>
      <c r="AG3" s="5"/>
      <c r="AH3" s="5" t="s">
        <v>29</v>
      </c>
      <c r="AI3" s="5"/>
      <c r="AJ3" s="5" t="s">
        <v>30</v>
      </c>
      <c r="AK3" s="5"/>
      <c r="AL3" s="5" t="s">
        <v>31</v>
      </c>
      <c r="AM3" s="5"/>
      <c r="AN3" s="5" t="s">
        <v>32</v>
      </c>
      <c r="AO3" s="5"/>
      <c r="AP3" s="5" t="s">
        <v>33</v>
      </c>
      <c r="AQ3" s="5"/>
    </row>
    <row r="4" spans="1:43" ht="15.75" customHeight="1">
      <c r="A4" s="176"/>
      <c r="B4" s="176">
        <v>24</v>
      </c>
      <c r="C4" s="15" t="s">
        <v>284</v>
      </c>
      <c r="D4" s="177" t="s">
        <v>285</v>
      </c>
      <c r="E4" s="177" t="s">
        <v>8331</v>
      </c>
      <c r="F4" s="177">
        <v>448</v>
      </c>
      <c r="G4" s="178" t="s">
        <v>286</v>
      </c>
      <c r="H4" s="179" t="s">
        <v>287</v>
      </c>
      <c r="I4" s="178" t="s">
        <v>39</v>
      </c>
      <c r="J4" s="180" t="s">
        <v>288</v>
      </c>
      <c r="K4" s="382" t="s">
        <v>3000</v>
      </c>
      <c r="L4" s="178"/>
      <c r="M4" s="181" t="s">
        <v>6086</v>
      </c>
      <c r="N4" s="179">
        <v>9867308841</v>
      </c>
      <c r="O4" s="178" t="s">
        <v>44</v>
      </c>
      <c r="P4" s="179">
        <v>9867308841</v>
      </c>
      <c r="Q4" s="179" t="s">
        <v>44</v>
      </c>
      <c r="R4" s="179" t="s">
        <v>44</v>
      </c>
      <c r="S4" s="176" t="s">
        <v>47</v>
      </c>
      <c r="T4" s="182" t="s">
        <v>170</v>
      </c>
      <c r="U4" s="182" t="s">
        <v>49</v>
      </c>
      <c r="V4" s="182" t="s">
        <v>291</v>
      </c>
      <c r="W4" s="182" t="s">
        <v>292</v>
      </c>
      <c r="X4" s="177" t="s">
        <v>71</v>
      </c>
      <c r="Y4" s="177" t="s">
        <v>293</v>
      </c>
      <c r="Z4" s="176"/>
      <c r="AA4" s="176"/>
      <c r="AB4" s="176"/>
      <c r="AC4" s="176"/>
      <c r="AD4" s="176"/>
      <c r="AE4" s="176"/>
      <c r="AF4" s="176"/>
      <c r="AG4" s="176"/>
      <c r="AH4" s="176"/>
      <c r="AI4" s="176"/>
      <c r="AJ4" s="176"/>
      <c r="AK4" s="176"/>
      <c r="AL4" s="176"/>
      <c r="AM4" s="176"/>
      <c r="AN4" s="176"/>
      <c r="AO4" s="176"/>
      <c r="AP4" s="176"/>
      <c r="AQ4" s="176"/>
    </row>
    <row r="5" spans="1:43" ht="15.75" customHeight="1">
      <c r="A5" s="176"/>
      <c r="B5" s="176">
        <v>25</v>
      </c>
      <c r="C5" s="15" t="s">
        <v>294</v>
      </c>
      <c r="D5" s="177" t="s">
        <v>295</v>
      </c>
      <c r="E5" s="177" t="s">
        <v>8332</v>
      </c>
      <c r="F5" s="177">
        <v>449</v>
      </c>
      <c r="G5" s="183" t="s">
        <v>6087</v>
      </c>
      <c r="H5" s="179" t="s">
        <v>297</v>
      </c>
      <c r="I5" s="178" t="s">
        <v>39</v>
      </c>
      <c r="J5" s="180" t="s">
        <v>288</v>
      </c>
      <c r="K5" s="180" t="s">
        <v>6088</v>
      </c>
      <c r="L5" s="178"/>
      <c r="M5" s="181" t="s">
        <v>6089</v>
      </c>
      <c r="N5" s="179">
        <v>8850703667</v>
      </c>
      <c r="O5" s="178" t="s">
        <v>44</v>
      </c>
      <c r="P5" s="179">
        <v>8850703667</v>
      </c>
      <c r="Q5" s="179" t="s">
        <v>44</v>
      </c>
      <c r="R5" s="179" t="s">
        <v>44</v>
      </c>
      <c r="S5" s="176" t="s">
        <v>47</v>
      </c>
      <c r="T5" s="182" t="s">
        <v>300</v>
      </c>
      <c r="U5" s="182" t="s">
        <v>301</v>
      </c>
      <c r="V5" s="182" t="s">
        <v>302</v>
      </c>
      <c r="W5" s="182" t="s">
        <v>303</v>
      </c>
      <c r="X5" s="177" t="s">
        <v>71</v>
      </c>
      <c r="Y5" s="177" t="s">
        <v>293</v>
      </c>
      <c r="Z5" s="176"/>
      <c r="AA5" s="176"/>
      <c r="AB5" s="176"/>
      <c r="AC5" s="176"/>
      <c r="AD5" s="176"/>
      <c r="AE5" s="176"/>
      <c r="AF5" s="176"/>
      <c r="AG5" s="176"/>
      <c r="AH5" s="176"/>
      <c r="AI5" s="176"/>
      <c r="AJ5" s="176"/>
      <c r="AK5" s="176"/>
      <c r="AL5" s="176"/>
      <c r="AM5" s="176"/>
      <c r="AN5" s="176"/>
      <c r="AO5" s="176"/>
      <c r="AP5" s="176"/>
      <c r="AQ5" s="176"/>
    </row>
    <row r="6" spans="1:43" ht="15.75" customHeight="1">
      <c r="A6" s="176"/>
      <c r="B6" s="176">
        <v>26</v>
      </c>
      <c r="C6" s="15" t="s">
        <v>304</v>
      </c>
      <c r="D6" s="177" t="s">
        <v>305</v>
      </c>
      <c r="E6" s="177" t="s">
        <v>8333</v>
      </c>
      <c r="F6" s="177">
        <v>450</v>
      </c>
      <c r="G6" s="183" t="s">
        <v>6090</v>
      </c>
      <c r="H6" s="180" t="s">
        <v>307</v>
      </c>
      <c r="I6" s="178" t="s">
        <v>39</v>
      </c>
      <c r="J6" s="180" t="s">
        <v>288</v>
      </c>
      <c r="K6" s="180" t="s">
        <v>308</v>
      </c>
      <c r="L6" s="180" t="s">
        <v>309</v>
      </c>
      <c r="M6" s="181" t="s">
        <v>6091</v>
      </c>
      <c r="N6" s="179">
        <v>8850703667</v>
      </c>
      <c r="O6" s="178" t="s">
        <v>44</v>
      </c>
      <c r="P6" s="179">
        <v>8850703667</v>
      </c>
      <c r="Q6" s="179" t="s">
        <v>44</v>
      </c>
      <c r="R6" s="179" t="s">
        <v>44</v>
      </c>
      <c r="S6" s="176" t="s">
        <v>47</v>
      </c>
      <c r="T6" s="182" t="s">
        <v>311</v>
      </c>
      <c r="U6" s="182" t="s">
        <v>312</v>
      </c>
      <c r="V6" s="182" t="s">
        <v>313</v>
      </c>
      <c r="W6" s="182" t="s">
        <v>314</v>
      </c>
      <c r="X6" s="177" t="s">
        <v>71</v>
      </c>
      <c r="Y6" s="177" t="s">
        <v>293</v>
      </c>
      <c r="Z6" s="176"/>
      <c r="AA6" s="176"/>
      <c r="AB6" s="176"/>
      <c r="AC6" s="176"/>
      <c r="AD6" s="176"/>
      <c r="AE6" s="176"/>
      <c r="AF6" s="176"/>
      <c r="AG6" s="176"/>
      <c r="AH6" s="176"/>
      <c r="AI6" s="176"/>
      <c r="AJ6" s="176"/>
      <c r="AK6" s="176"/>
      <c r="AL6" s="176"/>
      <c r="AM6" s="176"/>
      <c r="AN6" s="176"/>
      <c r="AO6" s="176"/>
      <c r="AP6" s="176"/>
      <c r="AQ6" s="176"/>
    </row>
    <row r="7" spans="1:43" ht="15.75" customHeight="1">
      <c r="A7" s="176"/>
      <c r="B7" s="176">
        <v>27</v>
      </c>
      <c r="C7" s="15" t="s">
        <v>315</v>
      </c>
      <c r="D7" s="177" t="s">
        <v>316</v>
      </c>
      <c r="E7" s="177" t="s">
        <v>8334</v>
      </c>
      <c r="F7" s="177">
        <v>451</v>
      </c>
      <c r="G7" s="183" t="s">
        <v>6092</v>
      </c>
      <c r="H7" s="179" t="s">
        <v>318</v>
      </c>
      <c r="I7" s="178" t="s">
        <v>39</v>
      </c>
      <c r="J7" s="180" t="s">
        <v>288</v>
      </c>
      <c r="K7" s="180" t="s">
        <v>6093</v>
      </c>
      <c r="L7" s="178"/>
      <c r="M7" s="181" t="s">
        <v>6094</v>
      </c>
      <c r="N7" s="179">
        <v>9819042381</v>
      </c>
      <c r="O7" s="178" t="s">
        <v>44</v>
      </c>
      <c r="P7" s="179">
        <v>9819042381</v>
      </c>
      <c r="Q7" s="179" t="s">
        <v>44</v>
      </c>
      <c r="R7" s="179" t="s">
        <v>44</v>
      </c>
      <c r="S7" s="176" t="s">
        <v>47</v>
      </c>
      <c r="T7" s="182" t="s">
        <v>321</v>
      </c>
      <c r="U7" s="182" t="s">
        <v>322</v>
      </c>
      <c r="V7" s="182" t="s">
        <v>323</v>
      </c>
      <c r="W7" s="182" t="s">
        <v>324</v>
      </c>
      <c r="X7" s="177" t="s">
        <v>71</v>
      </c>
      <c r="Y7" s="177" t="s">
        <v>293</v>
      </c>
      <c r="Z7" s="176"/>
      <c r="AA7" s="176"/>
      <c r="AB7" s="176"/>
      <c r="AC7" s="176"/>
      <c r="AD7" s="176"/>
      <c r="AE7" s="176"/>
      <c r="AF7" s="176"/>
      <c r="AG7" s="176"/>
      <c r="AH7" s="176"/>
      <c r="AI7" s="176"/>
      <c r="AJ7" s="176"/>
      <c r="AK7" s="176"/>
      <c r="AL7" s="176"/>
      <c r="AM7" s="176"/>
      <c r="AN7" s="176"/>
      <c r="AO7" s="176"/>
      <c r="AP7" s="176"/>
      <c r="AQ7" s="176"/>
    </row>
  </sheetData>
  <hyperlinks>
    <hyperlink ref="G5" r:id="rId1" xr:uid="{00000000-0004-0000-0B00-000000000000}"/>
    <hyperlink ref="G6" r:id="rId2" xr:uid="{00000000-0004-0000-0B00-000001000000}"/>
    <hyperlink ref="G7" r:id="rId3" xr:uid="{00000000-0004-0000-0B00-000002000000}"/>
    <hyperlink ref="C4" r:id="rId4" xr:uid="{51372D90-2751-4BC6-8605-5FF45D17C311}"/>
    <hyperlink ref="C5" r:id="rId5" xr:uid="{62085460-41D7-40B5-A1B7-6C551F74DF6D}"/>
    <hyperlink ref="C6" r:id="rId6" xr:uid="{32C63F22-864B-4B41-AC0A-231B27B6EF33}"/>
    <hyperlink ref="C7" r:id="rId7" xr:uid="{EBB11ADD-8595-4107-A91E-3C79D7640FB9}"/>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4:AO9"/>
  <sheetViews>
    <sheetView workbookViewId="0">
      <selection activeCell="F17" sqref="F17"/>
    </sheetView>
  </sheetViews>
  <sheetFormatPr defaultColWidth="12.6640625" defaultRowHeight="15.75" customHeight="1"/>
  <cols>
    <col min="1" max="1" width="7.44140625" bestFit="1" customWidth="1"/>
    <col min="2" max="2" width="7.109375" bestFit="1" customWidth="1"/>
    <col min="3" max="3" width="36.6640625" bestFit="1" customWidth="1"/>
    <col min="4" max="4" width="7.5546875" bestFit="1" customWidth="1"/>
    <col min="5" max="5" width="24.77734375" bestFit="1" customWidth="1"/>
    <col min="6" max="6" width="21" bestFit="1" customWidth="1"/>
    <col min="7" max="7" width="13.44140625" bestFit="1" customWidth="1"/>
    <col min="8" max="8" width="17.77734375" bestFit="1" customWidth="1"/>
    <col min="9" max="9" width="22.44140625" bestFit="1" customWidth="1"/>
    <col min="10" max="10" width="19.5546875" bestFit="1" customWidth="1"/>
    <col min="11" max="11" width="255.77734375" bestFit="1" customWidth="1"/>
    <col min="12" max="12" width="12.109375" bestFit="1" customWidth="1"/>
    <col min="13" max="13" width="11.33203125" bestFit="1" customWidth="1"/>
    <col min="14" max="14" width="12.109375" bestFit="1" customWidth="1"/>
    <col min="15" max="15" width="22.109375" bestFit="1" customWidth="1"/>
    <col min="16" max="16" width="75.33203125" bestFit="1" customWidth="1"/>
    <col min="17" max="17" width="10.33203125" bestFit="1" customWidth="1"/>
    <col min="18" max="19" width="8" bestFit="1" customWidth="1"/>
    <col min="20" max="20" width="10.109375" bestFit="1" customWidth="1"/>
    <col min="21" max="21" width="10.77734375" bestFit="1" customWidth="1"/>
    <col min="22" max="22" width="13.6640625" bestFit="1" customWidth="1"/>
    <col min="23" max="23" width="13.109375" bestFit="1" customWidth="1"/>
    <col min="24" max="24" width="61.5546875" bestFit="1" customWidth="1"/>
    <col min="25" max="25" width="38.21875" bestFit="1" customWidth="1"/>
    <col min="26" max="26" width="9.33203125" bestFit="1" customWidth="1"/>
    <col min="27" max="27" width="9.44140625" bestFit="1" customWidth="1"/>
    <col min="28" max="28" width="9.21875" bestFit="1" customWidth="1"/>
    <col min="29" max="29" width="255.6640625" customWidth="1"/>
    <col min="30" max="30" width="8.6640625" bestFit="1" customWidth="1"/>
    <col min="31" max="31" width="255.6640625" customWidth="1"/>
    <col min="32" max="32" width="8.6640625" bestFit="1" customWidth="1"/>
    <col min="33" max="33" width="255.6640625" customWidth="1"/>
    <col min="34" max="34" width="8.6640625" bestFit="1" customWidth="1"/>
    <col min="35" max="35" width="255.6640625" customWidth="1"/>
    <col min="36" max="36" width="8.6640625" bestFit="1" customWidth="1"/>
    <col min="37" max="37" width="255.6640625" customWidth="1"/>
    <col min="38" max="38" width="8.6640625" bestFit="1" customWidth="1"/>
    <col min="39" max="39" width="255.6640625" customWidth="1"/>
    <col min="40" max="40" width="8.6640625" bestFit="1" customWidth="1"/>
    <col min="41" max="41" width="255.6640625" customWidth="1"/>
  </cols>
  <sheetData>
    <row r="4" spans="1:41" ht="13.8">
      <c r="A4" s="2" t="s">
        <v>0</v>
      </c>
      <c r="B4" s="2" t="s">
        <v>1</v>
      </c>
      <c r="C4" s="2" t="s">
        <v>2</v>
      </c>
      <c r="D4" s="2" t="s">
        <v>3</v>
      </c>
      <c r="E4" s="2" t="s">
        <v>4</v>
      </c>
      <c r="F4" s="2" t="s">
        <v>5</v>
      </c>
      <c r="G4" s="2" t="s">
        <v>6</v>
      </c>
      <c r="H4" s="2" t="s">
        <v>7</v>
      </c>
      <c r="I4" s="2" t="s">
        <v>8</v>
      </c>
      <c r="J4" s="2" t="s">
        <v>9</v>
      </c>
      <c r="K4" s="2" t="s">
        <v>10</v>
      </c>
      <c r="L4" s="2" t="s">
        <v>11</v>
      </c>
      <c r="M4" s="1" t="s">
        <v>12</v>
      </c>
      <c r="N4" s="2" t="s">
        <v>13</v>
      </c>
      <c r="O4" s="2" t="s">
        <v>14</v>
      </c>
      <c r="P4" s="2" t="s">
        <v>15</v>
      </c>
      <c r="Q4" s="2" t="s">
        <v>16</v>
      </c>
      <c r="R4" s="3" t="s">
        <v>17</v>
      </c>
      <c r="S4" s="3" t="s">
        <v>18</v>
      </c>
      <c r="T4" s="3" t="s">
        <v>19</v>
      </c>
      <c r="U4" s="3" t="s">
        <v>20</v>
      </c>
      <c r="V4" s="4" t="s">
        <v>21</v>
      </c>
      <c r="W4" s="4" t="s">
        <v>22</v>
      </c>
      <c r="X4" s="5" t="s">
        <v>23</v>
      </c>
      <c r="Y4" s="5" t="s">
        <v>24</v>
      </c>
      <c r="Z4" s="5" t="s">
        <v>25</v>
      </c>
      <c r="AA4" s="5" t="s">
        <v>26</v>
      </c>
      <c r="AB4" s="5" t="s">
        <v>27</v>
      </c>
      <c r="AC4" s="5"/>
      <c r="AD4" s="5" t="s">
        <v>28</v>
      </c>
      <c r="AE4" s="5"/>
      <c r="AF4" s="5" t="s">
        <v>29</v>
      </c>
      <c r="AG4" s="5"/>
      <c r="AH4" s="5" t="s">
        <v>30</v>
      </c>
      <c r="AI4" s="5"/>
      <c r="AJ4" s="5" t="s">
        <v>31</v>
      </c>
      <c r="AK4" s="5"/>
      <c r="AL4" s="5" t="s">
        <v>32</v>
      </c>
      <c r="AM4" s="5"/>
      <c r="AN4" s="5" t="s">
        <v>33</v>
      </c>
      <c r="AO4" s="5"/>
    </row>
    <row r="5" spans="1:41" ht="15.75" customHeight="1">
      <c r="A5" s="5"/>
      <c r="B5" s="184">
        <v>16</v>
      </c>
      <c r="C5" s="185" t="s">
        <v>132</v>
      </c>
      <c r="D5" s="186">
        <v>326</v>
      </c>
      <c r="E5" s="99" t="s">
        <v>6095</v>
      </c>
      <c r="F5" s="10" t="s">
        <v>134</v>
      </c>
      <c r="G5" s="5" t="s">
        <v>39</v>
      </c>
      <c r="H5" s="10" t="s">
        <v>135</v>
      </c>
      <c r="I5" s="187" t="s">
        <v>6096</v>
      </c>
      <c r="J5" s="187" t="s">
        <v>137</v>
      </c>
      <c r="K5" s="10" t="s">
        <v>138</v>
      </c>
      <c r="L5" s="188">
        <v>9167372039</v>
      </c>
      <c r="M5" s="9" t="s">
        <v>44</v>
      </c>
      <c r="N5" s="188">
        <v>9167372039</v>
      </c>
      <c r="O5" s="99" t="s">
        <v>139</v>
      </c>
      <c r="P5" s="9" t="s">
        <v>140</v>
      </c>
      <c r="Q5" s="5" t="s">
        <v>47</v>
      </c>
      <c r="R5" s="101" t="s">
        <v>141</v>
      </c>
      <c r="S5" s="101" t="s">
        <v>49</v>
      </c>
      <c r="T5" s="101" t="s">
        <v>142</v>
      </c>
      <c r="U5" s="101" t="s">
        <v>143</v>
      </c>
      <c r="V5" s="185" t="s">
        <v>71</v>
      </c>
      <c r="W5" s="185" t="s">
        <v>144</v>
      </c>
      <c r="X5" s="189" t="s">
        <v>6097</v>
      </c>
      <c r="Y5" s="189" t="s">
        <v>6098</v>
      </c>
      <c r="Z5" s="5"/>
      <c r="AA5" s="5"/>
      <c r="AB5" s="5"/>
      <c r="AC5" s="5"/>
      <c r="AD5" s="5"/>
      <c r="AE5" s="5"/>
      <c r="AF5" s="5"/>
      <c r="AG5" s="5"/>
      <c r="AH5" s="5"/>
      <c r="AI5" s="5"/>
      <c r="AJ5" s="5"/>
      <c r="AK5" s="5"/>
      <c r="AL5" s="5"/>
      <c r="AM5" s="5"/>
      <c r="AN5" s="5"/>
      <c r="AO5" s="5"/>
    </row>
    <row r="6" spans="1:41" ht="15.75" customHeight="1">
      <c r="A6" s="178"/>
      <c r="B6" s="190">
        <v>19</v>
      </c>
      <c r="C6" s="191" t="s">
        <v>249</v>
      </c>
      <c r="D6" s="192">
        <v>403</v>
      </c>
      <c r="E6" s="193" t="s">
        <v>6099</v>
      </c>
      <c r="F6" s="179" t="s">
        <v>251</v>
      </c>
      <c r="G6" s="178" t="s">
        <v>39</v>
      </c>
      <c r="H6" s="179" t="s">
        <v>135</v>
      </c>
      <c r="I6" s="180" t="s">
        <v>6100</v>
      </c>
      <c r="J6" s="180" t="s">
        <v>253</v>
      </c>
      <c r="K6" s="179" t="s">
        <v>138</v>
      </c>
      <c r="L6" s="194">
        <v>9662336578</v>
      </c>
      <c r="M6" s="178" t="s">
        <v>44</v>
      </c>
      <c r="N6" s="194">
        <v>9662336578</v>
      </c>
      <c r="O6" s="193" t="s">
        <v>139</v>
      </c>
      <c r="P6" s="178" t="s">
        <v>254</v>
      </c>
      <c r="Q6" s="178" t="s">
        <v>47</v>
      </c>
      <c r="R6" s="182" t="s">
        <v>141</v>
      </c>
      <c r="S6" s="182" t="s">
        <v>49</v>
      </c>
      <c r="T6" s="182" t="s">
        <v>142</v>
      </c>
      <c r="U6" s="182" t="s">
        <v>143</v>
      </c>
      <c r="V6" s="191" t="s">
        <v>71</v>
      </c>
      <c r="W6" s="191" t="s">
        <v>144</v>
      </c>
      <c r="X6" s="189" t="s">
        <v>6097</v>
      </c>
      <c r="Y6" s="189" t="s">
        <v>6098</v>
      </c>
      <c r="Z6" s="178"/>
      <c r="AA6" s="178"/>
      <c r="AB6" s="178"/>
      <c r="AC6" s="178"/>
      <c r="AD6" s="178"/>
      <c r="AE6" s="178"/>
      <c r="AF6" s="178"/>
      <c r="AG6" s="178"/>
      <c r="AH6" s="178"/>
      <c r="AI6" s="178"/>
      <c r="AJ6" s="178"/>
      <c r="AK6" s="178"/>
      <c r="AL6" s="178"/>
      <c r="AM6" s="178"/>
      <c r="AN6" s="178"/>
      <c r="AO6" s="178"/>
    </row>
    <row r="7" spans="1:41" ht="15.75" customHeight="1">
      <c r="A7" s="178"/>
      <c r="B7" s="190">
        <v>20</v>
      </c>
      <c r="C7" s="191" t="s">
        <v>256</v>
      </c>
      <c r="D7" s="192">
        <v>404</v>
      </c>
      <c r="E7" s="193" t="s">
        <v>6101</v>
      </c>
      <c r="F7" s="179" t="s">
        <v>258</v>
      </c>
      <c r="G7" s="178" t="s">
        <v>39</v>
      </c>
      <c r="H7" s="179" t="s">
        <v>135</v>
      </c>
      <c r="I7" s="180" t="s">
        <v>6102</v>
      </c>
      <c r="J7" s="180" t="s">
        <v>260</v>
      </c>
      <c r="K7" s="179" t="s">
        <v>138</v>
      </c>
      <c r="L7" s="194">
        <v>9324226442</v>
      </c>
      <c r="M7" s="178" t="s">
        <v>44</v>
      </c>
      <c r="N7" s="194">
        <v>9324226442</v>
      </c>
      <c r="O7" s="193" t="s">
        <v>139</v>
      </c>
      <c r="P7" s="178" t="s">
        <v>254</v>
      </c>
      <c r="Q7" s="178" t="s">
        <v>47</v>
      </c>
      <c r="R7" s="182" t="s">
        <v>141</v>
      </c>
      <c r="S7" s="182" t="s">
        <v>49</v>
      </c>
      <c r="T7" s="182" t="s">
        <v>142</v>
      </c>
      <c r="U7" s="182" t="s">
        <v>143</v>
      </c>
      <c r="V7" s="191" t="s">
        <v>71</v>
      </c>
      <c r="W7" s="191" t="s">
        <v>144</v>
      </c>
      <c r="X7" s="189" t="s">
        <v>6097</v>
      </c>
      <c r="Y7" s="189" t="s">
        <v>6098</v>
      </c>
      <c r="Z7" s="178"/>
      <c r="AA7" s="178"/>
      <c r="AB7" s="178"/>
      <c r="AC7" s="178"/>
      <c r="AD7" s="178"/>
      <c r="AE7" s="178"/>
      <c r="AF7" s="178"/>
      <c r="AG7" s="178"/>
      <c r="AH7" s="178"/>
      <c r="AI7" s="178"/>
      <c r="AJ7" s="178"/>
      <c r="AK7" s="178"/>
      <c r="AL7" s="178"/>
      <c r="AM7" s="178"/>
      <c r="AN7" s="178"/>
      <c r="AO7" s="178"/>
    </row>
    <row r="8" spans="1:41" ht="15.75" customHeight="1">
      <c r="A8" s="178"/>
      <c r="B8" s="190">
        <v>21</v>
      </c>
      <c r="C8" s="191" t="s">
        <v>262</v>
      </c>
      <c r="D8" s="192">
        <v>405</v>
      </c>
      <c r="E8" s="193" t="s">
        <v>6103</v>
      </c>
      <c r="F8" s="179" t="s">
        <v>264</v>
      </c>
      <c r="G8" s="178" t="s">
        <v>39</v>
      </c>
      <c r="H8" s="179" t="s">
        <v>135</v>
      </c>
      <c r="I8" s="195" t="s">
        <v>6104</v>
      </c>
      <c r="J8" s="180" t="s">
        <v>260</v>
      </c>
      <c r="K8" s="179" t="s">
        <v>138</v>
      </c>
      <c r="L8" s="194">
        <v>9821004738</v>
      </c>
      <c r="M8" s="178" t="s">
        <v>44</v>
      </c>
      <c r="N8" s="194">
        <v>9821004738</v>
      </c>
      <c r="O8" s="193" t="s">
        <v>139</v>
      </c>
      <c r="P8" s="178" t="s">
        <v>254</v>
      </c>
      <c r="Q8" s="178" t="s">
        <v>47</v>
      </c>
      <c r="R8" s="182" t="s">
        <v>141</v>
      </c>
      <c r="S8" s="182" t="s">
        <v>49</v>
      </c>
      <c r="T8" s="182" t="s">
        <v>142</v>
      </c>
      <c r="U8" s="182" t="s">
        <v>143</v>
      </c>
      <c r="V8" s="191" t="s">
        <v>71</v>
      </c>
      <c r="W8" s="191" t="s">
        <v>144</v>
      </c>
      <c r="X8" s="189" t="s">
        <v>6097</v>
      </c>
      <c r="Y8" s="189" t="s">
        <v>6098</v>
      </c>
      <c r="Z8" s="178"/>
      <c r="AA8" s="178"/>
      <c r="AB8" s="178"/>
      <c r="AC8" s="178"/>
      <c r="AD8" s="178"/>
      <c r="AE8" s="178"/>
      <c r="AF8" s="178"/>
      <c r="AG8" s="178"/>
      <c r="AH8" s="178"/>
      <c r="AI8" s="178"/>
      <c r="AJ8" s="178"/>
      <c r="AK8" s="178"/>
      <c r="AL8" s="178"/>
      <c r="AM8" s="178"/>
      <c r="AN8" s="178"/>
      <c r="AO8" s="178"/>
    </row>
    <row r="9" spans="1:41" ht="15.75" customHeight="1">
      <c r="A9" s="178"/>
      <c r="B9" s="190">
        <v>22</v>
      </c>
      <c r="C9" s="191" t="s">
        <v>267</v>
      </c>
      <c r="D9" s="192">
        <v>406</v>
      </c>
      <c r="E9" s="193" t="s">
        <v>6105</v>
      </c>
      <c r="F9" s="179" t="s">
        <v>269</v>
      </c>
      <c r="G9" s="178" t="s">
        <v>39</v>
      </c>
      <c r="H9" s="179" t="s">
        <v>135</v>
      </c>
      <c r="I9" s="180" t="s">
        <v>6106</v>
      </c>
      <c r="J9" s="180" t="s">
        <v>271</v>
      </c>
      <c r="K9" s="179" t="s">
        <v>138</v>
      </c>
      <c r="L9" s="194">
        <v>7738294928</v>
      </c>
      <c r="M9" s="178" t="s">
        <v>44</v>
      </c>
      <c r="N9" s="194">
        <v>7738294928</v>
      </c>
      <c r="O9" s="193" t="s">
        <v>139</v>
      </c>
      <c r="P9" s="178" t="s">
        <v>254</v>
      </c>
      <c r="Q9" s="178" t="s">
        <v>47</v>
      </c>
      <c r="R9" s="182" t="s">
        <v>141</v>
      </c>
      <c r="S9" s="182" t="s">
        <v>49</v>
      </c>
      <c r="T9" s="182" t="s">
        <v>142</v>
      </c>
      <c r="U9" s="182" t="s">
        <v>143</v>
      </c>
      <c r="V9" s="191" t="s">
        <v>71</v>
      </c>
      <c r="W9" s="191" t="s">
        <v>144</v>
      </c>
      <c r="X9" s="189" t="s">
        <v>6097</v>
      </c>
      <c r="Y9" s="189" t="s">
        <v>6098</v>
      </c>
      <c r="Z9" s="178"/>
      <c r="AA9" s="178"/>
      <c r="AB9" s="178"/>
      <c r="AC9" s="178"/>
      <c r="AD9" s="178"/>
      <c r="AE9" s="178"/>
      <c r="AF9" s="178"/>
      <c r="AG9" s="178"/>
      <c r="AH9" s="178"/>
      <c r="AI9" s="178"/>
      <c r="AJ9" s="178"/>
      <c r="AK9" s="178"/>
      <c r="AL9" s="178"/>
      <c r="AM9" s="178"/>
      <c r="AN9" s="178"/>
      <c r="AO9" s="178"/>
    </row>
  </sheetData>
  <hyperlinks>
    <hyperlink ref="E5" r:id="rId1" xr:uid="{00000000-0004-0000-0C00-000000000000}"/>
    <hyperlink ref="O5" r:id="rId2" xr:uid="{00000000-0004-0000-0C00-000001000000}"/>
    <hyperlink ref="X5" r:id="rId3" xr:uid="{00000000-0004-0000-0C00-000002000000}"/>
    <hyperlink ref="Y5" r:id="rId4" xr:uid="{00000000-0004-0000-0C00-000003000000}"/>
    <hyperlink ref="E6" r:id="rId5" xr:uid="{00000000-0004-0000-0C00-000004000000}"/>
    <hyperlink ref="O6" r:id="rId6" xr:uid="{00000000-0004-0000-0C00-000005000000}"/>
    <hyperlink ref="X6" r:id="rId7" xr:uid="{00000000-0004-0000-0C00-000006000000}"/>
    <hyperlink ref="Y6" r:id="rId8" xr:uid="{00000000-0004-0000-0C00-000007000000}"/>
    <hyperlink ref="E7" r:id="rId9" xr:uid="{00000000-0004-0000-0C00-000008000000}"/>
    <hyperlink ref="O7" r:id="rId10" xr:uid="{00000000-0004-0000-0C00-000009000000}"/>
    <hyperlink ref="X7" r:id="rId11" xr:uid="{00000000-0004-0000-0C00-00000A000000}"/>
    <hyperlink ref="Y7" r:id="rId12" xr:uid="{00000000-0004-0000-0C00-00000B000000}"/>
    <hyperlink ref="E8" r:id="rId13" xr:uid="{00000000-0004-0000-0C00-00000C000000}"/>
    <hyperlink ref="O8" r:id="rId14" xr:uid="{00000000-0004-0000-0C00-00000D000000}"/>
    <hyperlink ref="X8" r:id="rId15" xr:uid="{00000000-0004-0000-0C00-00000E000000}"/>
    <hyperlink ref="Y8" r:id="rId16" xr:uid="{00000000-0004-0000-0C00-00000F000000}"/>
    <hyperlink ref="E9" r:id="rId17" xr:uid="{00000000-0004-0000-0C00-000010000000}"/>
    <hyperlink ref="O9" r:id="rId18" xr:uid="{00000000-0004-0000-0C00-000011000000}"/>
    <hyperlink ref="X9" r:id="rId19" xr:uid="{00000000-0004-0000-0C00-000012000000}"/>
    <hyperlink ref="Y9" r:id="rId20" xr:uid="{00000000-0004-0000-0C00-000013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3:AA39"/>
  <sheetViews>
    <sheetView topLeftCell="B19" workbookViewId="0">
      <selection activeCell="R4" sqref="R4:U39"/>
    </sheetView>
  </sheetViews>
  <sheetFormatPr defaultColWidth="12.6640625" defaultRowHeight="15.75" customHeight="1"/>
  <cols>
    <col min="1" max="1" width="7.109375" bestFit="1" customWidth="1"/>
    <col min="2" max="2" width="68.44140625" bestFit="1" customWidth="1"/>
    <col min="3" max="3" width="5.77734375" bestFit="1" customWidth="1"/>
    <col min="4" max="4" width="22.33203125" bestFit="1" customWidth="1"/>
    <col min="5" max="5" width="30.6640625" bestFit="1" customWidth="1"/>
    <col min="6" max="6" width="8.33203125" bestFit="1" customWidth="1"/>
    <col min="7" max="7" width="13.44140625" bestFit="1" customWidth="1"/>
    <col min="8" max="8" width="15.77734375" bestFit="1" customWidth="1"/>
    <col min="9" max="9" width="21.5546875" bestFit="1" customWidth="1"/>
    <col min="10" max="10" width="13.33203125" bestFit="1" customWidth="1"/>
    <col min="11" max="11" width="255.77734375" bestFit="1" customWidth="1"/>
    <col min="12" max="12" width="15" bestFit="1" customWidth="1"/>
    <col min="13" max="13" width="11.33203125" bestFit="1" customWidth="1"/>
    <col min="14" max="14" width="15" bestFit="1" customWidth="1"/>
    <col min="15" max="15" width="22.44140625" bestFit="1" customWidth="1"/>
    <col min="16" max="16" width="92.109375" bestFit="1" customWidth="1"/>
    <col min="17" max="17" width="10.33203125" bestFit="1" customWidth="1"/>
    <col min="18" max="18" width="8.21875" bestFit="1" customWidth="1"/>
    <col min="19" max="19" width="8.6640625" bestFit="1" customWidth="1"/>
    <col min="20" max="20" width="10.109375" bestFit="1" customWidth="1"/>
    <col min="21" max="21" width="10.77734375" bestFit="1" customWidth="1"/>
    <col min="22" max="22" width="38.88671875" bestFit="1" customWidth="1"/>
    <col min="23" max="23" width="13.109375" bestFit="1" customWidth="1"/>
    <col min="24" max="24" width="11" bestFit="1" customWidth="1"/>
    <col min="25" max="25" width="11.44140625" bestFit="1" customWidth="1"/>
    <col min="26" max="26" width="115.77734375" bestFit="1" customWidth="1"/>
    <col min="27" max="27" width="9.44140625" bestFit="1" customWidth="1"/>
  </cols>
  <sheetData>
    <row r="3" spans="1:27" ht="13.8">
      <c r="A3" s="90" t="s">
        <v>1</v>
      </c>
      <c r="B3" s="2" t="s">
        <v>639</v>
      </c>
      <c r="C3" s="2" t="s">
        <v>640</v>
      </c>
      <c r="D3" s="2" t="s">
        <v>1050</v>
      </c>
      <c r="E3" s="2" t="s">
        <v>4</v>
      </c>
      <c r="F3" s="2" t="s">
        <v>5</v>
      </c>
      <c r="G3" s="2" t="s">
        <v>6</v>
      </c>
      <c r="H3" s="2" t="s">
        <v>7</v>
      </c>
      <c r="I3" s="2" t="s">
        <v>8</v>
      </c>
      <c r="J3" s="2" t="s">
        <v>9</v>
      </c>
      <c r="K3" s="2" t="s">
        <v>10</v>
      </c>
      <c r="L3" s="2" t="s">
        <v>11</v>
      </c>
      <c r="M3" s="1" t="s">
        <v>12</v>
      </c>
      <c r="N3" s="2" t="s">
        <v>13</v>
      </c>
      <c r="O3" s="2" t="s">
        <v>14</v>
      </c>
      <c r="P3" s="2" t="s">
        <v>15</v>
      </c>
      <c r="Q3" s="2" t="s">
        <v>16</v>
      </c>
      <c r="R3" s="3" t="s">
        <v>17</v>
      </c>
      <c r="S3" s="3" t="s">
        <v>18</v>
      </c>
      <c r="T3" s="3" t="s">
        <v>19</v>
      </c>
      <c r="U3" s="3" t="s">
        <v>20</v>
      </c>
      <c r="V3" s="4" t="s">
        <v>21</v>
      </c>
      <c r="W3" s="4" t="s">
        <v>22</v>
      </c>
      <c r="X3" s="5" t="s">
        <v>23</v>
      </c>
      <c r="Y3" s="5" t="s">
        <v>24</v>
      </c>
      <c r="Z3" s="5" t="s">
        <v>25</v>
      </c>
      <c r="AA3" s="5" t="s">
        <v>26</v>
      </c>
    </row>
    <row r="4" spans="1:27" ht="14.4">
      <c r="B4" s="302" t="s">
        <v>7842</v>
      </c>
      <c r="D4" s="303" t="s">
        <v>4916</v>
      </c>
      <c r="E4" s="304" t="s">
        <v>7843</v>
      </c>
      <c r="F4" s="305" t="s">
        <v>7844</v>
      </c>
      <c r="G4" s="5" t="s">
        <v>39</v>
      </c>
      <c r="H4" s="306" t="s">
        <v>4913</v>
      </c>
      <c r="I4" s="306" t="s">
        <v>4914</v>
      </c>
      <c r="J4" s="10" t="s">
        <v>44</v>
      </c>
      <c r="K4" s="307" t="s">
        <v>4915</v>
      </c>
      <c r="L4" s="308" t="str">
        <f t="shared" ref="L4:L39" si="0">N4</f>
        <v>+91 98203 53314</v>
      </c>
      <c r="M4" s="9" t="s">
        <v>44</v>
      </c>
      <c r="N4" s="309" t="s">
        <v>7845</v>
      </c>
      <c r="O4" s="310" t="s">
        <v>4918</v>
      </c>
      <c r="P4" s="311" t="s">
        <v>4917</v>
      </c>
      <c r="Q4" s="311" t="s">
        <v>47</v>
      </c>
      <c r="R4" s="5" t="s">
        <v>7846</v>
      </c>
      <c r="S4" s="5" t="s">
        <v>7847</v>
      </c>
      <c r="T4" s="5" t="s">
        <v>7848</v>
      </c>
      <c r="U4" s="5" t="s">
        <v>49</v>
      </c>
      <c r="V4" s="4" t="s">
        <v>4912</v>
      </c>
      <c r="W4" s="4" t="s">
        <v>4912</v>
      </c>
      <c r="Z4" s="312" t="s">
        <v>7849</v>
      </c>
    </row>
    <row r="5" spans="1:27" ht="14.4">
      <c r="B5" s="302" t="s">
        <v>7850</v>
      </c>
      <c r="D5" s="303" t="s">
        <v>4916</v>
      </c>
      <c r="E5" s="313" t="s">
        <v>7851</v>
      </c>
      <c r="F5" s="305" t="s">
        <v>7844</v>
      </c>
      <c r="G5" s="5" t="s">
        <v>39</v>
      </c>
      <c r="H5" s="295" t="s">
        <v>4913</v>
      </c>
      <c r="I5" s="295" t="s">
        <v>4922</v>
      </c>
      <c r="J5" s="10" t="s">
        <v>44</v>
      </c>
      <c r="K5" s="314" t="s">
        <v>7852</v>
      </c>
      <c r="L5" s="315" t="str">
        <f t="shared" si="0"/>
        <v>+91 91671 42325</v>
      </c>
      <c r="M5" s="9" t="s">
        <v>44</v>
      </c>
      <c r="N5" s="315" t="s">
        <v>7853</v>
      </c>
      <c r="O5" s="316" t="s">
        <v>4918</v>
      </c>
      <c r="P5" s="317" t="s">
        <v>4923</v>
      </c>
      <c r="Q5" s="317" t="s">
        <v>47</v>
      </c>
      <c r="R5" s="5" t="s">
        <v>7846</v>
      </c>
      <c r="S5" s="5" t="s">
        <v>7847</v>
      </c>
      <c r="T5" s="5" t="s">
        <v>7848</v>
      </c>
      <c r="U5" s="5" t="s">
        <v>49</v>
      </c>
      <c r="V5" s="4" t="s">
        <v>4921</v>
      </c>
      <c r="W5" s="4" t="s">
        <v>4912</v>
      </c>
      <c r="Z5" s="318" t="s">
        <v>7854</v>
      </c>
    </row>
    <row r="6" spans="1:27" ht="14.4">
      <c r="B6" s="302" t="s">
        <v>7855</v>
      </c>
      <c r="D6" s="303" t="s">
        <v>4916</v>
      </c>
      <c r="E6" s="313" t="s">
        <v>7856</v>
      </c>
      <c r="F6" s="305" t="s">
        <v>7844</v>
      </c>
      <c r="G6" s="5" t="s">
        <v>39</v>
      </c>
      <c r="H6" s="319" t="s">
        <v>4913</v>
      </c>
      <c r="I6" s="319" t="s">
        <v>4927</v>
      </c>
      <c r="J6" s="10" t="s">
        <v>44</v>
      </c>
      <c r="K6" s="320" t="s">
        <v>7857</v>
      </c>
      <c r="L6" s="309" t="str">
        <f t="shared" si="0"/>
        <v>+91 99308 74875</v>
      </c>
      <c r="M6" s="9" t="s">
        <v>44</v>
      </c>
      <c r="N6" s="321" t="s">
        <v>7858</v>
      </c>
      <c r="O6" s="310" t="s">
        <v>4918</v>
      </c>
      <c r="P6" s="311" t="s">
        <v>4917</v>
      </c>
      <c r="Q6" s="311" t="s">
        <v>47</v>
      </c>
      <c r="R6" s="5" t="s">
        <v>7846</v>
      </c>
      <c r="S6" s="5" t="s">
        <v>7847</v>
      </c>
      <c r="T6" s="5" t="s">
        <v>7848</v>
      </c>
      <c r="U6" s="5" t="s">
        <v>49</v>
      </c>
      <c r="V6" s="4" t="s">
        <v>4926</v>
      </c>
      <c r="W6" s="4" t="s">
        <v>4912</v>
      </c>
      <c r="Z6" s="322" t="s">
        <v>7859</v>
      </c>
    </row>
    <row r="7" spans="1:27" ht="24.75" customHeight="1">
      <c r="B7" s="302" t="s">
        <v>7860</v>
      </c>
      <c r="D7" s="303" t="s">
        <v>4916</v>
      </c>
      <c r="E7" s="313" t="s">
        <v>7861</v>
      </c>
      <c r="F7" s="305" t="s">
        <v>7844</v>
      </c>
      <c r="G7" s="5" t="s">
        <v>39</v>
      </c>
      <c r="H7" s="323" t="s">
        <v>4913</v>
      </c>
      <c r="I7" s="323" t="s">
        <v>7862</v>
      </c>
      <c r="J7" s="10" t="s">
        <v>44</v>
      </c>
      <c r="K7" s="314" t="s">
        <v>7863</v>
      </c>
      <c r="L7" s="315" t="str">
        <f t="shared" si="0"/>
        <v>+91 99251 19995</v>
      </c>
      <c r="M7" s="9" t="s">
        <v>44</v>
      </c>
      <c r="N7" s="324" t="s">
        <v>7864</v>
      </c>
      <c r="O7" s="316" t="s">
        <v>4918</v>
      </c>
      <c r="P7" s="303" t="s">
        <v>7865</v>
      </c>
      <c r="Q7" s="317" t="s">
        <v>47</v>
      </c>
      <c r="R7" s="5" t="s">
        <v>7846</v>
      </c>
      <c r="S7" s="5" t="s">
        <v>7847</v>
      </c>
      <c r="T7" s="5" t="s">
        <v>7848</v>
      </c>
      <c r="U7" s="5" t="s">
        <v>49</v>
      </c>
      <c r="V7" s="4" t="s">
        <v>4931</v>
      </c>
      <c r="W7" s="4" t="s">
        <v>4912</v>
      </c>
      <c r="Z7" s="325" t="s">
        <v>7866</v>
      </c>
    </row>
    <row r="8" spans="1:27" ht="14.4">
      <c r="B8" s="302" t="s">
        <v>7867</v>
      </c>
      <c r="D8" s="303" t="s">
        <v>4916</v>
      </c>
      <c r="E8" s="313" t="s">
        <v>7868</v>
      </c>
      <c r="F8" s="305" t="s">
        <v>7844</v>
      </c>
      <c r="G8" s="5" t="s">
        <v>39</v>
      </c>
      <c r="H8" s="319" t="s">
        <v>4913</v>
      </c>
      <c r="I8" s="306" t="s">
        <v>4938</v>
      </c>
      <c r="J8" s="10" t="s">
        <v>44</v>
      </c>
      <c r="K8" s="307" t="s">
        <v>7869</v>
      </c>
      <c r="L8" s="309" t="str">
        <f t="shared" si="0"/>
        <v>+91 98671 04247</v>
      </c>
      <c r="M8" s="9" t="s">
        <v>44</v>
      </c>
      <c r="N8" s="321" t="s">
        <v>7870</v>
      </c>
      <c r="O8" s="310" t="s">
        <v>4918</v>
      </c>
      <c r="P8" s="326" t="s">
        <v>7871</v>
      </c>
      <c r="Q8" s="311" t="s">
        <v>47</v>
      </c>
      <c r="R8" s="5" t="s">
        <v>7846</v>
      </c>
      <c r="S8" s="5" t="s">
        <v>7847</v>
      </c>
      <c r="T8" s="5" t="s">
        <v>7848</v>
      </c>
      <c r="U8" s="5" t="s">
        <v>49</v>
      </c>
      <c r="V8" s="4" t="s">
        <v>4937</v>
      </c>
      <c r="W8" s="4" t="s">
        <v>4912</v>
      </c>
      <c r="Z8" s="322" t="s">
        <v>7872</v>
      </c>
    </row>
    <row r="9" spans="1:27" ht="14.4">
      <c r="B9" s="302" t="s">
        <v>7873</v>
      </c>
      <c r="D9" s="303" t="s">
        <v>4916</v>
      </c>
      <c r="E9" s="304" t="s">
        <v>7874</v>
      </c>
      <c r="F9" s="305" t="s">
        <v>7844</v>
      </c>
      <c r="G9" s="5" t="s">
        <v>39</v>
      </c>
      <c r="H9" s="323" t="s">
        <v>4913</v>
      </c>
      <c r="I9" s="295" t="s">
        <v>4943</v>
      </c>
      <c r="J9" s="10" t="s">
        <v>44</v>
      </c>
      <c r="K9" s="314" t="s">
        <v>7875</v>
      </c>
      <c r="L9" s="315" t="str">
        <f t="shared" si="0"/>
        <v>88841 77414</v>
      </c>
      <c r="M9" s="9" t="s">
        <v>44</v>
      </c>
      <c r="N9" s="324" t="s">
        <v>7876</v>
      </c>
      <c r="O9" s="316" t="s">
        <v>4918</v>
      </c>
      <c r="P9" s="303" t="s">
        <v>7877</v>
      </c>
      <c r="Q9" s="311" t="s">
        <v>47</v>
      </c>
      <c r="R9" s="5" t="s">
        <v>7846</v>
      </c>
      <c r="S9" s="5" t="s">
        <v>7847</v>
      </c>
      <c r="T9" s="5" t="s">
        <v>7848</v>
      </c>
      <c r="U9" s="5" t="s">
        <v>49</v>
      </c>
      <c r="V9" s="4" t="s">
        <v>4942</v>
      </c>
      <c r="W9" s="4" t="s">
        <v>4912</v>
      </c>
      <c r="Z9" s="327" t="s">
        <v>7878</v>
      </c>
    </row>
    <row r="10" spans="1:27" ht="14.4">
      <c r="B10" s="302" t="s">
        <v>7879</v>
      </c>
      <c r="D10" s="303" t="s">
        <v>4916</v>
      </c>
      <c r="E10" s="304" t="s">
        <v>7880</v>
      </c>
      <c r="F10" s="305" t="s">
        <v>7844</v>
      </c>
      <c r="G10" s="5" t="s">
        <v>39</v>
      </c>
      <c r="H10" s="319" t="s">
        <v>4913</v>
      </c>
      <c r="I10" s="319" t="s">
        <v>7881</v>
      </c>
      <c r="J10" s="10" t="s">
        <v>44</v>
      </c>
      <c r="K10" s="307" t="s">
        <v>7882</v>
      </c>
      <c r="L10" s="309" t="str">
        <f t="shared" si="0"/>
        <v>+91 94570 57008</v>
      </c>
      <c r="M10" s="9" t="s">
        <v>44</v>
      </c>
      <c r="N10" s="321" t="s">
        <v>7883</v>
      </c>
      <c r="O10" s="310" t="s">
        <v>4918</v>
      </c>
      <c r="P10" s="311" t="s">
        <v>4923</v>
      </c>
      <c r="Q10" s="317" t="s">
        <v>47</v>
      </c>
      <c r="R10" s="5" t="s">
        <v>7846</v>
      </c>
      <c r="S10" s="5" t="s">
        <v>7847</v>
      </c>
      <c r="T10" s="5" t="s">
        <v>7848</v>
      </c>
      <c r="U10" s="5" t="s">
        <v>49</v>
      </c>
      <c r="V10" s="4" t="s">
        <v>4948</v>
      </c>
      <c r="W10" s="4" t="s">
        <v>4912</v>
      </c>
      <c r="Z10" s="328" t="s">
        <v>7884</v>
      </c>
    </row>
    <row r="11" spans="1:27" ht="14.4">
      <c r="B11" s="302" t="s">
        <v>7885</v>
      </c>
      <c r="D11" s="303" t="s">
        <v>4916</v>
      </c>
      <c r="E11" s="313" t="s">
        <v>7886</v>
      </c>
      <c r="F11" s="305" t="s">
        <v>7844</v>
      </c>
      <c r="G11" s="5" t="s">
        <v>39</v>
      </c>
      <c r="H11" s="323" t="s">
        <v>4913</v>
      </c>
      <c r="I11" s="323" t="s">
        <v>7887</v>
      </c>
      <c r="J11" s="10" t="s">
        <v>44</v>
      </c>
      <c r="K11" s="314" t="s">
        <v>7888</v>
      </c>
      <c r="L11" s="315" t="str">
        <f t="shared" si="0"/>
        <v>+917289099961</v>
      </c>
      <c r="M11" s="9" t="s">
        <v>44</v>
      </c>
      <c r="N11" s="329" t="s">
        <v>7889</v>
      </c>
      <c r="O11" s="316" t="s">
        <v>4918</v>
      </c>
      <c r="P11" s="303" t="s">
        <v>4923</v>
      </c>
      <c r="Q11" s="311" t="s">
        <v>47</v>
      </c>
      <c r="R11" s="5" t="s">
        <v>7846</v>
      </c>
      <c r="S11" s="5" t="s">
        <v>7847</v>
      </c>
      <c r="T11" s="5" t="s">
        <v>7848</v>
      </c>
      <c r="U11" s="5" t="s">
        <v>49</v>
      </c>
      <c r="V11" s="4" t="s">
        <v>4953</v>
      </c>
      <c r="W11" s="4" t="s">
        <v>4912</v>
      </c>
      <c r="Z11" s="318" t="s">
        <v>7890</v>
      </c>
    </row>
    <row r="12" spans="1:27" ht="14.4">
      <c r="B12" s="302" t="s">
        <v>7891</v>
      </c>
      <c r="D12" s="303" t="s">
        <v>4916</v>
      </c>
      <c r="E12" s="304" t="s">
        <v>7892</v>
      </c>
      <c r="F12" s="305" t="s">
        <v>7844</v>
      </c>
      <c r="G12" s="5" t="s">
        <v>39</v>
      </c>
      <c r="H12" s="319" t="s">
        <v>4913</v>
      </c>
      <c r="I12" s="306" t="s">
        <v>4959</v>
      </c>
      <c r="J12" s="10" t="s">
        <v>44</v>
      </c>
      <c r="K12" s="307" t="s">
        <v>7893</v>
      </c>
      <c r="L12" s="309">
        <f t="shared" si="0"/>
        <v>9008461183</v>
      </c>
      <c r="M12" s="9" t="s">
        <v>44</v>
      </c>
      <c r="N12" s="321">
        <v>9008461183</v>
      </c>
      <c r="O12" s="310" t="s">
        <v>4918</v>
      </c>
      <c r="P12" s="326" t="s">
        <v>7877</v>
      </c>
      <c r="Q12" s="317" t="s">
        <v>47</v>
      </c>
      <c r="R12" s="5" t="s">
        <v>7846</v>
      </c>
      <c r="S12" s="5" t="s">
        <v>7847</v>
      </c>
      <c r="T12" s="5" t="s">
        <v>7848</v>
      </c>
      <c r="U12" s="5" t="s">
        <v>49</v>
      </c>
      <c r="V12" s="4" t="s">
        <v>4958</v>
      </c>
      <c r="W12" s="4" t="s">
        <v>4912</v>
      </c>
      <c r="Z12" s="328" t="s">
        <v>7894</v>
      </c>
    </row>
    <row r="13" spans="1:27" ht="14.4">
      <c r="B13" s="302" t="s">
        <v>7895</v>
      </c>
      <c r="D13" s="303" t="s">
        <v>4916</v>
      </c>
      <c r="E13" s="313" t="s">
        <v>7896</v>
      </c>
      <c r="F13" s="305" t="s">
        <v>7844</v>
      </c>
      <c r="G13" s="5" t="s">
        <v>39</v>
      </c>
      <c r="H13" s="295" t="s">
        <v>4913</v>
      </c>
      <c r="I13" s="295" t="s">
        <v>7897</v>
      </c>
      <c r="J13" s="10" t="s">
        <v>44</v>
      </c>
      <c r="K13" s="330" t="s">
        <v>4603</v>
      </c>
      <c r="L13" s="315">
        <f t="shared" si="0"/>
        <v>9930220525</v>
      </c>
      <c r="M13" s="9" t="s">
        <v>44</v>
      </c>
      <c r="N13" s="315">
        <v>9930220525</v>
      </c>
      <c r="O13" s="331" t="s">
        <v>4918</v>
      </c>
      <c r="P13" s="303" t="s">
        <v>4965</v>
      </c>
      <c r="Q13" s="311" t="s">
        <v>47</v>
      </c>
      <c r="R13" s="5" t="s">
        <v>7846</v>
      </c>
      <c r="S13" s="5" t="s">
        <v>7847</v>
      </c>
      <c r="T13" s="5" t="s">
        <v>7848</v>
      </c>
      <c r="U13" s="5" t="s">
        <v>49</v>
      </c>
      <c r="V13" s="4" t="s">
        <v>4963</v>
      </c>
      <c r="W13" s="4" t="s">
        <v>4912</v>
      </c>
      <c r="Z13" s="318" t="s">
        <v>7898</v>
      </c>
    </row>
    <row r="14" spans="1:27" ht="14.4">
      <c r="B14" s="302" t="s">
        <v>7899</v>
      </c>
      <c r="D14" s="303" t="s">
        <v>4916</v>
      </c>
      <c r="E14" s="304" t="s">
        <v>7900</v>
      </c>
      <c r="F14" s="305" t="s">
        <v>7844</v>
      </c>
      <c r="G14" s="5" t="s">
        <v>39</v>
      </c>
      <c r="H14" s="319" t="s">
        <v>4913</v>
      </c>
      <c r="I14" s="319" t="s">
        <v>4969</v>
      </c>
      <c r="J14" s="10" t="s">
        <v>44</v>
      </c>
      <c r="K14" s="307" t="s">
        <v>4970</v>
      </c>
      <c r="L14" s="309">
        <f t="shared" si="0"/>
        <v>9739555155</v>
      </c>
      <c r="M14" s="9" t="s">
        <v>44</v>
      </c>
      <c r="N14" s="321">
        <v>9739555155</v>
      </c>
      <c r="O14" s="310" t="s">
        <v>4918</v>
      </c>
      <c r="P14" s="326" t="s">
        <v>7877</v>
      </c>
      <c r="Q14" s="311" t="s">
        <v>47</v>
      </c>
      <c r="R14" s="5" t="s">
        <v>7846</v>
      </c>
      <c r="S14" s="5" t="s">
        <v>7847</v>
      </c>
      <c r="T14" s="5" t="s">
        <v>7848</v>
      </c>
      <c r="U14" s="5" t="s">
        <v>49</v>
      </c>
      <c r="V14" s="4" t="s">
        <v>4968</v>
      </c>
      <c r="W14" s="4" t="s">
        <v>4912</v>
      </c>
      <c r="Z14" s="312" t="s">
        <v>7901</v>
      </c>
    </row>
    <row r="15" spans="1:27" ht="14.4">
      <c r="B15" s="302" t="s">
        <v>7902</v>
      </c>
      <c r="D15" s="303" t="s">
        <v>4916</v>
      </c>
      <c r="E15" s="313" t="s">
        <v>7903</v>
      </c>
      <c r="F15" s="305" t="s">
        <v>7844</v>
      </c>
      <c r="G15" s="5" t="s">
        <v>39</v>
      </c>
      <c r="H15" s="323" t="s">
        <v>4913</v>
      </c>
      <c r="I15" s="323" t="s">
        <v>7904</v>
      </c>
      <c r="J15" s="10" t="s">
        <v>44</v>
      </c>
      <c r="K15" s="314" t="s">
        <v>7905</v>
      </c>
      <c r="L15" s="315" t="str">
        <f t="shared" si="0"/>
        <v>+91 98313 41166</v>
      </c>
      <c r="M15" s="9" t="s">
        <v>44</v>
      </c>
      <c r="N15" s="324" t="s">
        <v>7906</v>
      </c>
      <c r="O15" s="316" t="s">
        <v>4918</v>
      </c>
      <c r="P15" s="303" t="s">
        <v>4976</v>
      </c>
      <c r="Q15" s="317" t="s">
        <v>47</v>
      </c>
      <c r="R15" s="5" t="s">
        <v>7846</v>
      </c>
      <c r="S15" s="5" t="s">
        <v>7847</v>
      </c>
      <c r="T15" s="5" t="s">
        <v>7848</v>
      </c>
      <c r="U15" s="5" t="s">
        <v>49</v>
      </c>
      <c r="V15" s="4" t="s">
        <v>4973</v>
      </c>
      <c r="W15" s="4" t="s">
        <v>4912</v>
      </c>
      <c r="Z15" s="332" t="s">
        <v>7907</v>
      </c>
    </row>
    <row r="16" spans="1:27" ht="14.4">
      <c r="B16" s="302" t="s">
        <v>7908</v>
      </c>
      <c r="D16" s="303" t="s">
        <v>4916</v>
      </c>
      <c r="E16" s="313" t="s">
        <v>7909</v>
      </c>
      <c r="F16" s="305" t="s">
        <v>7844</v>
      </c>
      <c r="G16" s="5" t="s">
        <v>39</v>
      </c>
      <c r="H16" s="319" t="s">
        <v>4913</v>
      </c>
      <c r="I16" s="306" t="s">
        <v>4980</v>
      </c>
      <c r="J16" s="10" t="s">
        <v>44</v>
      </c>
      <c r="K16" s="307" t="s">
        <v>7910</v>
      </c>
      <c r="L16" s="309" t="str">
        <f t="shared" si="0"/>
        <v>+91 98253 28252</v>
      </c>
      <c r="M16" s="9" t="s">
        <v>44</v>
      </c>
      <c r="N16" s="321" t="s">
        <v>7911</v>
      </c>
      <c r="O16" s="310" t="s">
        <v>4918</v>
      </c>
      <c r="P16" s="326" t="s">
        <v>7865</v>
      </c>
      <c r="Q16" s="311" t="s">
        <v>47</v>
      </c>
      <c r="R16" s="5" t="s">
        <v>7846</v>
      </c>
      <c r="S16" s="5" t="s">
        <v>7847</v>
      </c>
      <c r="T16" s="5" t="s">
        <v>7848</v>
      </c>
      <c r="U16" s="5" t="s">
        <v>49</v>
      </c>
      <c r="V16" s="4" t="s">
        <v>4979</v>
      </c>
      <c r="W16" s="4" t="s">
        <v>4912</v>
      </c>
      <c r="Z16" s="322" t="s">
        <v>7912</v>
      </c>
    </row>
    <row r="17" spans="2:26" ht="14.4">
      <c r="B17" s="302" t="s">
        <v>7913</v>
      </c>
      <c r="D17" s="303" t="s">
        <v>4916</v>
      </c>
      <c r="E17" s="304" t="s">
        <v>7914</v>
      </c>
      <c r="F17" s="305" t="s">
        <v>7844</v>
      </c>
      <c r="G17" s="5" t="s">
        <v>39</v>
      </c>
      <c r="H17" s="323" t="s">
        <v>4913</v>
      </c>
      <c r="I17" s="323" t="s">
        <v>7915</v>
      </c>
      <c r="J17" s="10" t="s">
        <v>44</v>
      </c>
      <c r="K17" s="314" t="s">
        <v>7916</v>
      </c>
      <c r="L17" s="315" t="str">
        <f t="shared" si="0"/>
        <v>+91 98103 98781</v>
      </c>
      <c r="M17" s="9" t="s">
        <v>44</v>
      </c>
      <c r="N17" s="324" t="s">
        <v>7917</v>
      </c>
      <c r="O17" s="316" t="s">
        <v>4918</v>
      </c>
      <c r="P17" s="317" t="s">
        <v>7918</v>
      </c>
      <c r="Q17" s="317" t="s">
        <v>47</v>
      </c>
      <c r="R17" s="5" t="s">
        <v>7846</v>
      </c>
      <c r="S17" s="5" t="s">
        <v>7847</v>
      </c>
      <c r="T17" s="5" t="s">
        <v>7848</v>
      </c>
      <c r="U17" s="5" t="s">
        <v>49</v>
      </c>
      <c r="V17" s="4" t="s">
        <v>4984</v>
      </c>
      <c r="W17" s="4" t="s">
        <v>4912</v>
      </c>
      <c r="Z17" s="327" t="s">
        <v>7919</v>
      </c>
    </row>
    <row r="18" spans="2:26" ht="14.4">
      <c r="B18" s="302" t="s">
        <v>7920</v>
      </c>
      <c r="D18" s="303" t="s">
        <v>4916</v>
      </c>
      <c r="E18" s="304" t="s">
        <v>7921</v>
      </c>
      <c r="F18" s="305" t="s">
        <v>7844</v>
      </c>
      <c r="G18" s="5" t="s">
        <v>39</v>
      </c>
      <c r="H18" s="319" t="s">
        <v>4913</v>
      </c>
      <c r="I18" s="319" t="s">
        <v>4990</v>
      </c>
      <c r="J18" s="10" t="s">
        <v>44</v>
      </c>
      <c r="K18" s="307" t="s">
        <v>7922</v>
      </c>
      <c r="L18" s="309">
        <f t="shared" si="0"/>
        <v>9051296111</v>
      </c>
      <c r="M18" s="9" t="s">
        <v>44</v>
      </c>
      <c r="N18" s="321">
        <v>9051296111</v>
      </c>
      <c r="O18" s="310" t="s">
        <v>4918</v>
      </c>
      <c r="P18" s="311" t="s">
        <v>7877</v>
      </c>
      <c r="Q18" s="311" t="s">
        <v>47</v>
      </c>
      <c r="R18" s="5" t="s">
        <v>7846</v>
      </c>
      <c r="S18" s="5" t="s">
        <v>7847</v>
      </c>
      <c r="T18" s="5" t="s">
        <v>7848</v>
      </c>
      <c r="U18" s="5" t="s">
        <v>49</v>
      </c>
      <c r="V18" s="4" t="s">
        <v>4989</v>
      </c>
      <c r="W18" s="4" t="s">
        <v>4912</v>
      </c>
      <c r="Z18" s="333" t="s">
        <v>7923</v>
      </c>
    </row>
    <row r="19" spans="2:26" ht="14.4">
      <c r="B19" s="302" t="s">
        <v>7924</v>
      </c>
      <c r="D19" s="303" t="s">
        <v>4916</v>
      </c>
      <c r="E19" s="313" t="s">
        <v>7925</v>
      </c>
      <c r="F19" s="305" t="s">
        <v>7844</v>
      </c>
      <c r="G19" s="5" t="s">
        <v>39</v>
      </c>
      <c r="H19" s="323" t="s">
        <v>4913</v>
      </c>
      <c r="I19" s="323" t="s">
        <v>4995</v>
      </c>
      <c r="J19" s="10" t="s">
        <v>44</v>
      </c>
      <c r="K19" s="314" t="s">
        <v>7926</v>
      </c>
      <c r="L19" s="315" t="str">
        <f t="shared" si="0"/>
        <v>+91 99677 55818</v>
      </c>
      <c r="M19" s="9" t="s">
        <v>44</v>
      </c>
      <c r="N19" s="324" t="s">
        <v>7927</v>
      </c>
      <c r="O19" s="316" t="s">
        <v>4918</v>
      </c>
      <c r="P19" s="317" t="s">
        <v>7871</v>
      </c>
      <c r="Q19" s="311" t="s">
        <v>47</v>
      </c>
      <c r="R19" s="5" t="s">
        <v>7846</v>
      </c>
      <c r="S19" s="5" t="s">
        <v>7847</v>
      </c>
      <c r="T19" s="5" t="s">
        <v>7848</v>
      </c>
      <c r="U19" s="5" t="s">
        <v>49</v>
      </c>
      <c r="V19" s="4" t="s">
        <v>4994</v>
      </c>
      <c r="W19" s="4" t="s">
        <v>4912</v>
      </c>
      <c r="Z19" s="334" t="s">
        <v>7928</v>
      </c>
    </row>
    <row r="20" spans="2:26" ht="14.4">
      <c r="B20" s="302" t="s">
        <v>7929</v>
      </c>
      <c r="D20" s="303" t="s">
        <v>4916</v>
      </c>
      <c r="E20" s="313" t="s">
        <v>7930</v>
      </c>
      <c r="F20" s="305" t="s">
        <v>7844</v>
      </c>
      <c r="G20" s="5" t="s">
        <v>39</v>
      </c>
      <c r="H20" s="319" t="s">
        <v>4913</v>
      </c>
      <c r="I20" s="319" t="s">
        <v>7931</v>
      </c>
      <c r="J20" s="10" t="s">
        <v>44</v>
      </c>
      <c r="K20" s="307" t="s">
        <v>7932</v>
      </c>
      <c r="L20" s="309" t="str">
        <f t="shared" si="0"/>
        <v>+91 98206 89514</v>
      </c>
      <c r="M20" s="9" t="s">
        <v>44</v>
      </c>
      <c r="N20" s="321" t="s">
        <v>7933</v>
      </c>
      <c r="O20" s="310" t="s">
        <v>4918</v>
      </c>
      <c r="P20" s="311" t="s">
        <v>7871</v>
      </c>
      <c r="Q20" s="317" t="s">
        <v>47</v>
      </c>
      <c r="R20" s="5" t="s">
        <v>7846</v>
      </c>
      <c r="S20" s="5" t="s">
        <v>7847</v>
      </c>
      <c r="T20" s="5" t="s">
        <v>7848</v>
      </c>
      <c r="U20" s="5" t="s">
        <v>49</v>
      </c>
      <c r="V20" s="4" t="s">
        <v>4999</v>
      </c>
      <c r="W20" s="4" t="s">
        <v>4912</v>
      </c>
      <c r="Z20" s="335" t="s">
        <v>7934</v>
      </c>
    </row>
    <row r="21" spans="2:26" ht="14.4">
      <c r="B21" s="302" t="s">
        <v>7935</v>
      </c>
      <c r="D21" s="303" t="s">
        <v>4916</v>
      </c>
      <c r="E21" s="304" t="s">
        <v>7936</v>
      </c>
      <c r="F21" s="305" t="s">
        <v>7844</v>
      </c>
      <c r="G21" s="5" t="s">
        <v>39</v>
      </c>
      <c r="H21" s="323" t="s">
        <v>4913</v>
      </c>
      <c r="I21" s="323" t="s">
        <v>5004</v>
      </c>
      <c r="J21" s="10" t="s">
        <v>44</v>
      </c>
      <c r="K21" s="314" t="s">
        <v>7937</v>
      </c>
      <c r="L21" s="315">
        <f t="shared" si="0"/>
        <v>9572393665</v>
      </c>
      <c r="M21" s="9" t="s">
        <v>44</v>
      </c>
      <c r="N21" s="324">
        <v>9572393665</v>
      </c>
      <c r="O21" s="316" t="s">
        <v>4918</v>
      </c>
      <c r="P21" s="317" t="s">
        <v>7877</v>
      </c>
      <c r="Q21" s="311" t="s">
        <v>47</v>
      </c>
      <c r="R21" s="5" t="s">
        <v>7846</v>
      </c>
      <c r="S21" s="5" t="s">
        <v>7847</v>
      </c>
      <c r="T21" s="5" t="s">
        <v>7848</v>
      </c>
      <c r="U21" s="5" t="s">
        <v>49</v>
      </c>
      <c r="V21" s="4" t="s">
        <v>5003</v>
      </c>
      <c r="W21" s="4" t="s">
        <v>4912</v>
      </c>
      <c r="Z21" s="336" t="s">
        <v>7938</v>
      </c>
    </row>
    <row r="22" spans="2:26" ht="14.4">
      <c r="B22" s="302" t="s">
        <v>7939</v>
      </c>
      <c r="D22" s="303" t="s">
        <v>4916</v>
      </c>
      <c r="E22" s="313" t="s">
        <v>7940</v>
      </c>
      <c r="F22" s="305" t="s">
        <v>7844</v>
      </c>
      <c r="G22" s="5" t="s">
        <v>39</v>
      </c>
      <c r="H22" s="319" t="s">
        <v>4913</v>
      </c>
      <c r="I22" s="319" t="s">
        <v>5009</v>
      </c>
      <c r="J22" s="10" t="s">
        <v>44</v>
      </c>
      <c r="K22" s="307" t="s">
        <v>5010</v>
      </c>
      <c r="L22" s="309">
        <f t="shared" si="0"/>
        <v>7021880274</v>
      </c>
      <c r="M22" s="9" t="s">
        <v>44</v>
      </c>
      <c r="N22" s="309">
        <v>7021880274</v>
      </c>
      <c r="O22" s="310" t="s">
        <v>4918</v>
      </c>
      <c r="P22" s="311" t="s">
        <v>7871</v>
      </c>
      <c r="Q22" s="317" t="s">
        <v>47</v>
      </c>
      <c r="R22" s="5" t="s">
        <v>7846</v>
      </c>
      <c r="S22" s="5" t="s">
        <v>7847</v>
      </c>
      <c r="T22" s="5" t="s">
        <v>7848</v>
      </c>
      <c r="U22" s="5" t="s">
        <v>49</v>
      </c>
      <c r="V22" s="4" t="s">
        <v>5008</v>
      </c>
      <c r="W22" s="4" t="s">
        <v>4912</v>
      </c>
      <c r="Z22" s="335" t="s">
        <v>7941</v>
      </c>
    </row>
    <row r="23" spans="2:26" ht="14.4">
      <c r="B23" s="302" t="s">
        <v>7942</v>
      </c>
      <c r="D23" s="303" t="s">
        <v>4916</v>
      </c>
      <c r="E23" s="304" t="s">
        <v>7943</v>
      </c>
      <c r="F23" s="305" t="s">
        <v>7844</v>
      </c>
      <c r="G23" s="5" t="s">
        <v>39</v>
      </c>
      <c r="H23" s="323" t="s">
        <v>4913</v>
      </c>
      <c r="I23" s="323" t="s">
        <v>5013</v>
      </c>
      <c r="J23" s="10" t="s">
        <v>44</v>
      </c>
      <c r="K23" s="314" t="s">
        <v>7944</v>
      </c>
      <c r="L23" s="315">
        <f t="shared" si="0"/>
        <v>9880164681</v>
      </c>
      <c r="M23" s="9" t="s">
        <v>44</v>
      </c>
      <c r="N23" s="324">
        <v>9880164681</v>
      </c>
      <c r="O23" s="316" t="s">
        <v>4918</v>
      </c>
      <c r="P23" s="317" t="s">
        <v>7877</v>
      </c>
      <c r="Q23" s="311" t="s">
        <v>47</v>
      </c>
      <c r="R23" s="5" t="s">
        <v>7846</v>
      </c>
      <c r="S23" s="5" t="s">
        <v>7847</v>
      </c>
      <c r="T23" s="5" t="s">
        <v>7848</v>
      </c>
      <c r="U23" s="5" t="s">
        <v>49</v>
      </c>
      <c r="V23" s="4" t="s">
        <v>5012</v>
      </c>
      <c r="W23" s="4" t="s">
        <v>4912</v>
      </c>
      <c r="Z23" s="336" t="s">
        <v>7945</v>
      </c>
    </row>
    <row r="24" spans="2:26" ht="14.4">
      <c r="B24" s="302" t="s">
        <v>7946</v>
      </c>
      <c r="D24" s="303" t="s">
        <v>4916</v>
      </c>
      <c r="E24" s="313" t="s">
        <v>7947</v>
      </c>
      <c r="F24" s="305" t="s">
        <v>7844</v>
      </c>
      <c r="G24" s="5" t="s">
        <v>39</v>
      </c>
      <c r="H24" s="319" t="s">
        <v>4913</v>
      </c>
      <c r="I24" s="319" t="s">
        <v>5017</v>
      </c>
      <c r="J24" s="10" t="s">
        <v>44</v>
      </c>
      <c r="K24" s="307" t="s">
        <v>4696</v>
      </c>
      <c r="L24" s="309" t="str">
        <f t="shared" si="0"/>
        <v>+91 97247 49331</v>
      </c>
      <c r="M24" s="9" t="s">
        <v>44</v>
      </c>
      <c r="N24" s="321" t="s">
        <v>7948</v>
      </c>
      <c r="O24" s="310" t="s">
        <v>4918</v>
      </c>
      <c r="P24" s="311" t="s">
        <v>7865</v>
      </c>
      <c r="Q24" s="311" t="s">
        <v>47</v>
      </c>
      <c r="R24" s="5" t="s">
        <v>7846</v>
      </c>
      <c r="S24" s="5" t="s">
        <v>7847</v>
      </c>
      <c r="T24" s="5" t="s">
        <v>7848</v>
      </c>
      <c r="U24" s="5" t="s">
        <v>49</v>
      </c>
      <c r="V24" s="4" t="s">
        <v>5016</v>
      </c>
      <c r="W24" s="4" t="s">
        <v>4912</v>
      </c>
      <c r="Z24" s="333" t="s">
        <v>7949</v>
      </c>
    </row>
    <row r="25" spans="2:26" ht="14.4">
      <c r="B25" s="302" t="s">
        <v>7950</v>
      </c>
      <c r="D25" s="303" t="s">
        <v>4916</v>
      </c>
      <c r="E25" s="313" t="s">
        <v>7951</v>
      </c>
      <c r="F25" s="305" t="s">
        <v>7844</v>
      </c>
      <c r="G25" s="5" t="s">
        <v>39</v>
      </c>
      <c r="H25" s="323" t="s">
        <v>4913</v>
      </c>
      <c r="I25" s="323" t="s">
        <v>7952</v>
      </c>
      <c r="J25" s="10" t="s">
        <v>44</v>
      </c>
      <c r="K25" s="314" t="s">
        <v>7953</v>
      </c>
      <c r="L25" s="315" t="str">
        <f t="shared" si="0"/>
        <v>+91 99300 71015</v>
      </c>
      <c r="M25" s="9" t="s">
        <v>44</v>
      </c>
      <c r="N25" s="324" t="s">
        <v>7954</v>
      </c>
      <c r="O25" s="316" t="s">
        <v>4918</v>
      </c>
      <c r="P25" s="317" t="s">
        <v>7871</v>
      </c>
      <c r="Q25" s="317" t="s">
        <v>47</v>
      </c>
      <c r="R25" s="5" t="s">
        <v>7846</v>
      </c>
      <c r="S25" s="5" t="s">
        <v>7847</v>
      </c>
      <c r="T25" s="5" t="s">
        <v>7848</v>
      </c>
      <c r="U25" s="5" t="s">
        <v>49</v>
      </c>
      <c r="V25" s="4" t="s">
        <v>5020</v>
      </c>
      <c r="W25" s="4" t="s">
        <v>4912</v>
      </c>
      <c r="Z25" s="336" t="s">
        <v>7955</v>
      </c>
    </row>
    <row r="26" spans="2:26" ht="14.4">
      <c r="B26" s="302" t="s">
        <v>7956</v>
      </c>
      <c r="D26" s="303" t="s">
        <v>4916</v>
      </c>
      <c r="E26" s="304" t="s">
        <v>7957</v>
      </c>
      <c r="F26" s="305" t="s">
        <v>7844</v>
      </c>
      <c r="G26" s="5" t="s">
        <v>39</v>
      </c>
      <c r="H26" s="319" t="s">
        <v>4913</v>
      </c>
      <c r="I26" s="319" t="s">
        <v>5026</v>
      </c>
      <c r="J26" s="10" t="s">
        <v>44</v>
      </c>
      <c r="K26" s="307" t="s">
        <v>7958</v>
      </c>
      <c r="L26" s="309">
        <f t="shared" si="0"/>
        <v>9606697222</v>
      </c>
      <c r="M26" s="9" t="s">
        <v>44</v>
      </c>
      <c r="N26" s="321">
        <v>9606697222</v>
      </c>
      <c r="O26" s="310" t="s">
        <v>4918</v>
      </c>
      <c r="P26" s="311" t="s">
        <v>7877</v>
      </c>
      <c r="Q26" s="311" t="s">
        <v>47</v>
      </c>
      <c r="R26" s="5" t="s">
        <v>7846</v>
      </c>
      <c r="S26" s="5" t="s">
        <v>7847</v>
      </c>
      <c r="T26" s="5" t="s">
        <v>7848</v>
      </c>
      <c r="U26" s="5" t="s">
        <v>49</v>
      </c>
      <c r="V26" s="4" t="s">
        <v>5025</v>
      </c>
      <c r="W26" s="4" t="s">
        <v>4912</v>
      </c>
      <c r="Z26" s="333" t="s">
        <v>7959</v>
      </c>
    </row>
    <row r="27" spans="2:26" ht="14.4">
      <c r="B27" s="302" t="s">
        <v>7960</v>
      </c>
      <c r="D27" s="303" t="s">
        <v>4916</v>
      </c>
      <c r="E27" s="313" t="s">
        <v>7961</v>
      </c>
      <c r="F27" s="305" t="s">
        <v>7844</v>
      </c>
      <c r="G27" s="5" t="s">
        <v>39</v>
      </c>
      <c r="H27" s="323" t="s">
        <v>4913</v>
      </c>
      <c r="I27" s="323" t="s">
        <v>7962</v>
      </c>
      <c r="J27" s="10" t="s">
        <v>44</v>
      </c>
      <c r="K27" s="314" t="s">
        <v>7963</v>
      </c>
      <c r="L27" s="315" t="str">
        <f t="shared" si="0"/>
        <v>+91 99992 27067</v>
      </c>
      <c r="M27" s="9" t="s">
        <v>44</v>
      </c>
      <c r="N27" s="324" t="s">
        <v>7964</v>
      </c>
      <c r="O27" s="316" t="s">
        <v>4918</v>
      </c>
      <c r="P27" s="317" t="s">
        <v>7918</v>
      </c>
      <c r="Q27" s="317" t="s">
        <v>47</v>
      </c>
      <c r="R27" s="5" t="s">
        <v>7846</v>
      </c>
      <c r="S27" s="5" t="s">
        <v>7847</v>
      </c>
      <c r="T27" s="5" t="s">
        <v>7848</v>
      </c>
      <c r="U27" s="5" t="s">
        <v>49</v>
      </c>
      <c r="V27" s="4" t="s">
        <v>5030</v>
      </c>
      <c r="W27" s="4" t="s">
        <v>4912</v>
      </c>
      <c r="Z27" s="334" t="s">
        <v>7965</v>
      </c>
    </row>
    <row r="28" spans="2:26" ht="14.4">
      <c r="B28" s="302" t="s">
        <v>7966</v>
      </c>
      <c r="D28" s="303" t="s">
        <v>4916</v>
      </c>
      <c r="E28" s="313" t="s">
        <v>7967</v>
      </c>
      <c r="F28" s="305" t="s">
        <v>7844</v>
      </c>
      <c r="G28" s="5" t="s">
        <v>39</v>
      </c>
      <c r="H28" s="319" t="s">
        <v>4913</v>
      </c>
      <c r="I28" s="319" t="s">
        <v>5035</v>
      </c>
      <c r="J28" s="10" t="s">
        <v>44</v>
      </c>
      <c r="K28" s="307" t="s">
        <v>5036</v>
      </c>
      <c r="L28" s="309">
        <f t="shared" si="0"/>
        <v>9811881718</v>
      </c>
      <c r="M28" s="9" t="s">
        <v>44</v>
      </c>
      <c r="N28" s="321">
        <v>9811881718</v>
      </c>
      <c r="O28" s="310" t="s">
        <v>4918</v>
      </c>
      <c r="P28" s="311" t="s">
        <v>7968</v>
      </c>
      <c r="Q28" s="311" t="s">
        <v>47</v>
      </c>
      <c r="R28" s="5" t="s">
        <v>7846</v>
      </c>
      <c r="S28" s="5" t="s">
        <v>7847</v>
      </c>
      <c r="T28" s="5" t="s">
        <v>7848</v>
      </c>
      <c r="U28" s="5" t="s">
        <v>49</v>
      </c>
      <c r="V28" s="4" t="s">
        <v>5034</v>
      </c>
      <c r="W28" s="4" t="s">
        <v>4912</v>
      </c>
      <c r="Z28" s="333" t="s">
        <v>7969</v>
      </c>
    </row>
    <row r="29" spans="2:26" ht="14.4">
      <c r="B29" s="302" t="s">
        <v>7970</v>
      </c>
      <c r="D29" s="303" t="s">
        <v>4916</v>
      </c>
      <c r="E29" s="313" t="s">
        <v>7971</v>
      </c>
      <c r="F29" s="305" t="s">
        <v>7844</v>
      </c>
      <c r="G29" s="5" t="s">
        <v>39</v>
      </c>
      <c r="H29" s="323" t="s">
        <v>4913</v>
      </c>
      <c r="I29" s="323" t="s">
        <v>7972</v>
      </c>
      <c r="J29" s="10" t="s">
        <v>44</v>
      </c>
      <c r="K29" s="314" t="s">
        <v>7973</v>
      </c>
      <c r="L29" s="309" t="str">
        <f t="shared" si="0"/>
        <v>+91 98112 92067</v>
      </c>
      <c r="M29" s="9" t="s">
        <v>44</v>
      </c>
      <c r="N29" s="324" t="s">
        <v>7974</v>
      </c>
      <c r="O29" s="316" t="s">
        <v>4918</v>
      </c>
      <c r="P29" s="317" t="s">
        <v>7918</v>
      </c>
      <c r="Q29" s="311" t="s">
        <v>47</v>
      </c>
      <c r="R29" s="5" t="s">
        <v>7846</v>
      </c>
      <c r="S29" s="5" t="s">
        <v>7847</v>
      </c>
      <c r="T29" s="5" t="s">
        <v>7848</v>
      </c>
      <c r="U29" s="5" t="s">
        <v>49</v>
      </c>
      <c r="V29" s="4" t="s">
        <v>5040</v>
      </c>
      <c r="W29" s="4" t="s">
        <v>4912</v>
      </c>
      <c r="Z29" s="334" t="s">
        <v>7975</v>
      </c>
    </row>
    <row r="30" spans="2:26" ht="14.4">
      <c r="B30" s="302" t="s">
        <v>7976</v>
      </c>
      <c r="D30" s="303" t="s">
        <v>4916</v>
      </c>
      <c r="E30" s="313" t="s">
        <v>7977</v>
      </c>
      <c r="F30" s="305" t="s">
        <v>7844</v>
      </c>
      <c r="G30" s="5" t="s">
        <v>39</v>
      </c>
      <c r="H30" s="319" t="s">
        <v>4913</v>
      </c>
      <c r="I30" s="319" t="s">
        <v>7978</v>
      </c>
      <c r="J30" s="10" t="s">
        <v>44</v>
      </c>
      <c r="K30" s="307" t="s">
        <v>7979</v>
      </c>
      <c r="L30" s="315" t="str">
        <f t="shared" si="0"/>
        <v>+91 98101 00782</v>
      </c>
      <c r="M30" s="9" t="s">
        <v>44</v>
      </c>
      <c r="N30" s="321" t="s">
        <v>7980</v>
      </c>
      <c r="O30" s="310" t="s">
        <v>4918</v>
      </c>
      <c r="P30" s="311" t="s">
        <v>7918</v>
      </c>
      <c r="Q30" s="317" t="s">
        <v>47</v>
      </c>
      <c r="R30" s="5" t="s">
        <v>7846</v>
      </c>
      <c r="S30" s="5" t="s">
        <v>7847</v>
      </c>
      <c r="T30" s="5" t="s">
        <v>7848</v>
      </c>
      <c r="U30" s="5" t="s">
        <v>49</v>
      </c>
      <c r="V30" s="4" t="s">
        <v>5045</v>
      </c>
      <c r="W30" s="4" t="s">
        <v>4912</v>
      </c>
      <c r="Z30" s="333" t="s">
        <v>7981</v>
      </c>
    </row>
    <row r="31" spans="2:26" ht="14.4">
      <c r="B31" s="302" t="s">
        <v>7982</v>
      </c>
      <c r="D31" s="303" t="s">
        <v>4916</v>
      </c>
      <c r="E31" s="313" t="s">
        <v>7983</v>
      </c>
      <c r="F31" s="305" t="s">
        <v>7844</v>
      </c>
      <c r="G31" s="5" t="s">
        <v>39</v>
      </c>
      <c r="H31" s="323" t="s">
        <v>4913</v>
      </c>
      <c r="I31" s="323" t="s">
        <v>7984</v>
      </c>
      <c r="J31" s="10" t="s">
        <v>44</v>
      </c>
      <c r="K31" s="314" t="s">
        <v>7985</v>
      </c>
      <c r="L31" s="309" t="str">
        <f t="shared" si="0"/>
        <v>+91 93769 16607</v>
      </c>
      <c r="M31" s="9" t="s">
        <v>44</v>
      </c>
      <c r="N31" s="324" t="s">
        <v>7986</v>
      </c>
      <c r="O31" s="316" t="s">
        <v>4918</v>
      </c>
      <c r="P31" s="317" t="s">
        <v>7987</v>
      </c>
      <c r="Q31" s="311" t="s">
        <v>47</v>
      </c>
      <c r="R31" s="5" t="s">
        <v>7846</v>
      </c>
      <c r="S31" s="5" t="s">
        <v>7847</v>
      </c>
      <c r="T31" s="5" t="s">
        <v>7848</v>
      </c>
      <c r="U31" s="5" t="s">
        <v>49</v>
      </c>
      <c r="V31" s="4" t="s">
        <v>5050</v>
      </c>
      <c r="W31" s="4" t="s">
        <v>4912</v>
      </c>
      <c r="Z31" s="327" t="s">
        <v>7988</v>
      </c>
    </row>
    <row r="32" spans="2:26" ht="14.4">
      <c r="B32" s="302" t="s">
        <v>7989</v>
      </c>
      <c r="D32" s="303" t="s">
        <v>4916</v>
      </c>
      <c r="E32" s="304" t="s">
        <v>7990</v>
      </c>
      <c r="F32" s="305" t="s">
        <v>7844</v>
      </c>
      <c r="G32" s="5" t="s">
        <v>39</v>
      </c>
      <c r="H32" s="319" t="s">
        <v>4913</v>
      </c>
      <c r="I32" s="319" t="s">
        <v>5056</v>
      </c>
      <c r="J32" s="10" t="s">
        <v>44</v>
      </c>
      <c r="K32" s="307" t="s">
        <v>7991</v>
      </c>
      <c r="L32" s="315">
        <f t="shared" si="0"/>
        <v>7892027134</v>
      </c>
      <c r="M32" s="9" t="s">
        <v>44</v>
      </c>
      <c r="N32" s="321">
        <v>7892027134</v>
      </c>
      <c r="O32" s="310" t="s">
        <v>4918</v>
      </c>
      <c r="P32" s="311" t="s">
        <v>7877</v>
      </c>
      <c r="Q32" s="317" t="s">
        <v>47</v>
      </c>
      <c r="R32" s="5" t="s">
        <v>7846</v>
      </c>
      <c r="S32" s="5" t="s">
        <v>7847</v>
      </c>
      <c r="T32" s="5" t="s">
        <v>7848</v>
      </c>
      <c r="U32" s="5" t="s">
        <v>49</v>
      </c>
      <c r="V32" s="4" t="s">
        <v>5055</v>
      </c>
      <c r="W32" s="4" t="s">
        <v>4912</v>
      </c>
      <c r="Z32" s="333" t="s">
        <v>7992</v>
      </c>
    </row>
    <row r="33" spans="2:26" ht="14.4">
      <c r="B33" s="302" t="s">
        <v>7993</v>
      </c>
      <c r="D33" s="303" t="s">
        <v>4916</v>
      </c>
      <c r="E33" s="313" t="s">
        <v>7994</v>
      </c>
      <c r="F33" s="305" t="s">
        <v>7844</v>
      </c>
      <c r="G33" s="5" t="s">
        <v>39</v>
      </c>
      <c r="H33" s="323" t="s">
        <v>4913</v>
      </c>
      <c r="I33" s="323" t="s">
        <v>7995</v>
      </c>
      <c r="J33" s="10" t="s">
        <v>44</v>
      </c>
      <c r="K33" s="314" t="s">
        <v>7996</v>
      </c>
      <c r="L33" s="309" t="str">
        <f t="shared" si="0"/>
        <v>+91 99188 88807</v>
      </c>
      <c r="M33" s="9" t="s">
        <v>44</v>
      </c>
      <c r="N33" s="324" t="s">
        <v>7997</v>
      </c>
      <c r="O33" s="316" t="s">
        <v>4918</v>
      </c>
      <c r="P33" s="317" t="s">
        <v>5063</v>
      </c>
      <c r="Q33" s="311" t="s">
        <v>47</v>
      </c>
      <c r="R33" s="5" t="s">
        <v>7846</v>
      </c>
      <c r="S33" s="5" t="s">
        <v>7847</v>
      </c>
      <c r="T33" s="5" t="s">
        <v>7848</v>
      </c>
      <c r="U33" s="5" t="s">
        <v>49</v>
      </c>
      <c r="V33" s="4" t="s">
        <v>5060</v>
      </c>
      <c r="W33" s="4" t="s">
        <v>4912</v>
      </c>
      <c r="Z33" s="336" t="s">
        <v>7998</v>
      </c>
    </row>
    <row r="34" spans="2:26" ht="14.4">
      <c r="B34" s="302" t="s">
        <v>7999</v>
      </c>
      <c r="D34" s="303" t="s">
        <v>4916</v>
      </c>
      <c r="E34" s="313" t="s">
        <v>8000</v>
      </c>
      <c r="F34" s="305" t="s">
        <v>7844</v>
      </c>
      <c r="G34" s="5" t="s">
        <v>39</v>
      </c>
      <c r="H34" s="319" t="s">
        <v>4913</v>
      </c>
      <c r="I34" s="319" t="s">
        <v>8001</v>
      </c>
      <c r="J34" s="10" t="s">
        <v>44</v>
      </c>
      <c r="K34" s="307" t="s">
        <v>8002</v>
      </c>
      <c r="L34" s="315">
        <f t="shared" si="0"/>
        <v>9773885950</v>
      </c>
      <c r="M34" s="9" t="s">
        <v>44</v>
      </c>
      <c r="N34" s="321">
        <v>9773885950</v>
      </c>
      <c r="O34" s="310" t="s">
        <v>4918</v>
      </c>
      <c r="P34" s="311" t="s">
        <v>7918</v>
      </c>
      <c r="Q34" s="311" t="s">
        <v>47</v>
      </c>
      <c r="R34" s="5" t="s">
        <v>7846</v>
      </c>
      <c r="S34" s="5" t="s">
        <v>7847</v>
      </c>
      <c r="T34" s="5" t="s">
        <v>7848</v>
      </c>
      <c r="U34" s="5" t="s">
        <v>49</v>
      </c>
      <c r="V34" s="4" t="s">
        <v>5066</v>
      </c>
      <c r="W34" s="4" t="s">
        <v>4912</v>
      </c>
      <c r="Z34" s="333" t="s">
        <v>8003</v>
      </c>
    </row>
    <row r="35" spans="2:26" ht="14.4">
      <c r="B35" s="302" t="s">
        <v>8004</v>
      </c>
      <c r="D35" s="303" t="s">
        <v>4916</v>
      </c>
      <c r="E35" s="304" t="s">
        <v>8005</v>
      </c>
      <c r="F35" s="305" t="s">
        <v>7844</v>
      </c>
      <c r="G35" s="5" t="s">
        <v>39</v>
      </c>
      <c r="H35" s="323" t="s">
        <v>4913</v>
      </c>
      <c r="I35" s="323" t="s">
        <v>5072</v>
      </c>
      <c r="J35" s="10" t="s">
        <v>44</v>
      </c>
      <c r="K35" s="314" t="s">
        <v>5073</v>
      </c>
      <c r="L35" s="309">
        <f t="shared" si="0"/>
        <v>8884858585</v>
      </c>
      <c r="M35" s="9" t="s">
        <v>44</v>
      </c>
      <c r="N35" s="324">
        <v>8884858585</v>
      </c>
      <c r="O35" s="316" t="s">
        <v>4918</v>
      </c>
      <c r="P35" s="317" t="s">
        <v>7877</v>
      </c>
      <c r="Q35" s="317" t="s">
        <v>47</v>
      </c>
      <c r="R35" s="5" t="s">
        <v>7846</v>
      </c>
      <c r="S35" s="5" t="s">
        <v>7847</v>
      </c>
      <c r="T35" s="5" t="s">
        <v>7848</v>
      </c>
      <c r="U35" s="5" t="s">
        <v>49</v>
      </c>
      <c r="V35" s="4" t="s">
        <v>5071</v>
      </c>
      <c r="W35" s="4" t="s">
        <v>4912</v>
      </c>
      <c r="Z35" s="336" t="s">
        <v>8006</v>
      </c>
    </row>
    <row r="36" spans="2:26" ht="14.4">
      <c r="B36" s="302" t="s">
        <v>8007</v>
      </c>
      <c r="D36" s="303" t="s">
        <v>4916</v>
      </c>
      <c r="E36" s="313" t="s">
        <v>8008</v>
      </c>
      <c r="F36" s="305" t="s">
        <v>7844</v>
      </c>
      <c r="G36" s="5" t="s">
        <v>39</v>
      </c>
      <c r="H36" s="319" t="s">
        <v>4913</v>
      </c>
      <c r="I36" s="319" t="s">
        <v>8009</v>
      </c>
      <c r="J36" s="10" t="s">
        <v>44</v>
      </c>
      <c r="K36" s="307" t="s">
        <v>8010</v>
      </c>
      <c r="L36" s="315" t="str">
        <f t="shared" si="0"/>
        <v>+91 78974 20278</v>
      </c>
      <c r="M36" s="9" t="s">
        <v>44</v>
      </c>
      <c r="N36" s="321" t="s">
        <v>8011</v>
      </c>
      <c r="O36" s="310" t="s">
        <v>4918</v>
      </c>
      <c r="P36" s="311" t="s">
        <v>5063</v>
      </c>
      <c r="Q36" s="311" t="s">
        <v>47</v>
      </c>
      <c r="R36" s="5" t="s">
        <v>7846</v>
      </c>
      <c r="S36" s="5" t="s">
        <v>7847</v>
      </c>
      <c r="T36" s="5" t="s">
        <v>7848</v>
      </c>
      <c r="U36" s="5" t="s">
        <v>49</v>
      </c>
      <c r="V36" s="4" t="s">
        <v>5076</v>
      </c>
      <c r="W36" s="4" t="s">
        <v>4912</v>
      </c>
      <c r="Z36" s="333" t="s">
        <v>8012</v>
      </c>
    </row>
    <row r="37" spans="2:26" ht="14.4">
      <c r="B37" s="302" t="s">
        <v>8013</v>
      </c>
      <c r="D37" s="303" t="s">
        <v>4916</v>
      </c>
      <c r="E37" s="304" t="s">
        <v>8014</v>
      </c>
      <c r="F37" s="305" t="s">
        <v>7844</v>
      </c>
      <c r="G37" s="5" t="s">
        <v>39</v>
      </c>
      <c r="H37" s="323" t="s">
        <v>4913</v>
      </c>
      <c r="I37" s="323" t="s">
        <v>5082</v>
      </c>
      <c r="J37" s="10" t="s">
        <v>44</v>
      </c>
      <c r="K37" s="314" t="s">
        <v>8015</v>
      </c>
      <c r="L37" s="309">
        <f t="shared" si="0"/>
        <v>8861006799</v>
      </c>
      <c r="M37" s="9" t="s">
        <v>44</v>
      </c>
      <c r="N37" s="324">
        <v>8861006799</v>
      </c>
      <c r="O37" s="316" t="s">
        <v>4918</v>
      </c>
      <c r="P37" s="317" t="s">
        <v>7877</v>
      </c>
      <c r="Q37" s="317" t="s">
        <v>47</v>
      </c>
      <c r="R37" s="5" t="s">
        <v>7846</v>
      </c>
      <c r="S37" s="5" t="s">
        <v>7847</v>
      </c>
      <c r="T37" s="5" t="s">
        <v>7848</v>
      </c>
      <c r="U37" s="5" t="s">
        <v>49</v>
      </c>
      <c r="V37" s="4" t="s">
        <v>5081</v>
      </c>
      <c r="W37" s="4" t="s">
        <v>4912</v>
      </c>
      <c r="Z37" s="336" t="s">
        <v>8016</v>
      </c>
    </row>
    <row r="38" spans="2:26" ht="14.4">
      <c r="B38" s="302" t="s">
        <v>8017</v>
      </c>
      <c r="D38" s="303" t="s">
        <v>4916</v>
      </c>
      <c r="E38" s="313" t="s">
        <v>8018</v>
      </c>
      <c r="F38" s="305" t="s">
        <v>7844</v>
      </c>
      <c r="G38" s="5" t="s">
        <v>39</v>
      </c>
      <c r="H38" s="319" t="s">
        <v>4913</v>
      </c>
      <c r="I38" s="319" t="s">
        <v>8019</v>
      </c>
      <c r="J38" s="10" t="s">
        <v>44</v>
      </c>
      <c r="K38" s="307" t="s">
        <v>8020</v>
      </c>
      <c r="L38" s="315" t="str">
        <f t="shared" si="0"/>
        <v>+91 98198 60774</v>
      </c>
      <c r="M38" s="9" t="s">
        <v>44</v>
      </c>
      <c r="N38" s="321" t="s">
        <v>8021</v>
      </c>
      <c r="O38" s="310" t="s">
        <v>4918</v>
      </c>
      <c r="P38" s="311" t="s">
        <v>7871</v>
      </c>
      <c r="Q38" s="311" t="s">
        <v>47</v>
      </c>
      <c r="R38" s="5" t="s">
        <v>7846</v>
      </c>
      <c r="S38" s="5" t="s">
        <v>7847</v>
      </c>
      <c r="T38" s="5" t="s">
        <v>7848</v>
      </c>
      <c r="U38" s="5" t="s">
        <v>49</v>
      </c>
      <c r="V38" s="4" t="s">
        <v>5086</v>
      </c>
      <c r="W38" s="4" t="s">
        <v>4912</v>
      </c>
      <c r="Z38" s="337" t="s">
        <v>8022</v>
      </c>
    </row>
    <row r="39" spans="2:26" ht="14.4">
      <c r="B39" s="302" t="s">
        <v>8023</v>
      </c>
      <c r="D39" s="303" t="s">
        <v>4916</v>
      </c>
      <c r="E39" s="313" t="s">
        <v>8024</v>
      </c>
      <c r="F39" s="305" t="s">
        <v>7844</v>
      </c>
      <c r="G39" s="5" t="s">
        <v>39</v>
      </c>
      <c r="H39" s="323" t="s">
        <v>4913</v>
      </c>
      <c r="I39" s="323" t="s">
        <v>8025</v>
      </c>
      <c r="J39" s="10" t="s">
        <v>44</v>
      </c>
      <c r="K39" s="314" t="s">
        <v>8026</v>
      </c>
      <c r="L39" s="309" t="str">
        <f t="shared" si="0"/>
        <v>+91 99100 59930</v>
      </c>
      <c r="M39" s="9" t="s">
        <v>44</v>
      </c>
      <c r="N39" s="324" t="s">
        <v>8027</v>
      </c>
      <c r="O39" s="316" t="s">
        <v>4918</v>
      </c>
      <c r="P39" s="317" t="s">
        <v>7918</v>
      </c>
      <c r="Q39" s="311" t="s">
        <v>47</v>
      </c>
      <c r="R39" s="5" t="s">
        <v>7846</v>
      </c>
      <c r="S39" s="5" t="s">
        <v>7847</v>
      </c>
      <c r="T39" s="5" t="s">
        <v>7848</v>
      </c>
      <c r="U39" s="5" t="s">
        <v>49</v>
      </c>
      <c r="V39" s="4" t="s">
        <v>5091</v>
      </c>
      <c r="W39" s="4" t="s">
        <v>4912</v>
      </c>
      <c r="Z39" s="334" t="s">
        <v>8028</v>
      </c>
    </row>
  </sheetData>
  <hyperlinks>
    <hyperlink ref="B4" r:id="rId1" xr:uid="{00000000-0004-0000-1300-000000000000}"/>
    <hyperlink ref="E4" r:id="rId2" xr:uid="{00000000-0004-0000-1300-000001000000}"/>
    <hyperlink ref="O4" r:id="rId3" xr:uid="{00000000-0004-0000-1300-000002000000}"/>
    <hyperlink ref="Z4" r:id="rId4" xr:uid="{00000000-0004-0000-1300-000003000000}"/>
    <hyperlink ref="B5" r:id="rId5" xr:uid="{00000000-0004-0000-1300-000004000000}"/>
    <hyperlink ref="O5" r:id="rId6" xr:uid="{00000000-0004-0000-1300-000005000000}"/>
    <hyperlink ref="Z5" r:id="rId7" xr:uid="{00000000-0004-0000-1300-000006000000}"/>
    <hyperlink ref="B6" r:id="rId8" xr:uid="{00000000-0004-0000-1300-000007000000}"/>
    <hyperlink ref="O6" r:id="rId9" xr:uid="{00000000-0004-0000-1300-000008000000}"/>
    <hyperlink ref="B7" r:id="rId10" xr:uid="{00000000-0004-0000-1300-000009000000}"/>
    <hyperlink ref="O7" r:id="rId11" xr:uid="{00000000-0004-0000-1300-00000A000000}"/>
    <hyperlink ref="Z7" r:id="rId12" xr:uid="{00000000-0004-0000-1300-00000B000000}"/>
    <hyperlink ref="B8" r:id="rId13" xr:uid="{00000000-0004-0000-1300-00000C000000}"/>
    <hyperlink ref="O8" r:id="rId14" xr:uid="{00000000-0004-0000-1300-00000D000000}"/>
    <hyperlink ref="B9" r:id="rId15" xr:uid="{00000000-0004-0000-1300-00000E000000}"/>
    <hyperlink ref="E9" r:id="rId16" xr:uid="{00000000-0004-0000-1300-00000F000000}"/>
    <hyperlink ref="O9" r:id="rId17" xr:uid="{00000000-0004-0000-1300-000010000000}"/>
    <hyperlink ref="Z9" r:id="rId18" xr:uid="{00000000-0004-0000-1300-000011000000}"/>
    <hyperlink ref="B10" r:id="rId19" xr:uid="{00000000-0004-0000-1300-000012000000}"/>
    <hyperlink ref="E10" r:id="rId20" xr:uid="{00000000-0004-0000-1300-000013000000}"/>
    <hyperlink ref="O10" r:id="rId21" xr:uid="{00000000-0004-0000-1300-000014000000}"/>
    <hyperlink ref="Z10" r:id="rId22" xr:uid="{00000000-0004-0000-1300-000015000000}"/>
    <hyperlink ref="B11" r:id="rId23" xr:uid="{00000000-0004-0000-1300-000016000000}"/>
    <hyperlink ref="O11" r:id="rId24" xr:uid="{00000000-0004-0000-1300-000017000000}"/>
    <hyperlink ref="Z11" r:id="rId25" xr:uid="{00000000-0004-0000-1300-000018000000}"/>
    <hyperlink ref="B12" r:id="rId26" xr:uid="{00000000-0004-0000-1300-000019000000}"/>
    <hyperlink ref="E12" r:id="rId27" xr:uid="{00000000-0004-0000-1300-00001A000000}"/>
    <hyperlink ref="O12" r:id="rId28" xr:uid="{00000000-0004-0000-1300-00001B000000}"/>
    <hyperlink ref="Z12" r:id="rId29" xr:uid="{00000000-0004-0000-1300-00001C000000}"/>
    <hyperlink ref="B13" r:id="rId30" xr:uid="{00000000-0004-0000-1300-00001D000000}"/>
    <hyperlink ref="O13" r:id="rId31" xr:uid="{00000000-0004-0000-1300-00001E000000}"/>
    <hyperlink ref="Z13" r:id="rId32" xr:uid="{00000000-0004-0000-1300-00001F000000}"/>
    <hyperlink ref="B14" r:id="rId33" xr:uid="{00000000-0004-0000-1300-000020000000}"/>
    <hyperlink ref="E14" r:id="rId34" xr:uid="{00000000-0004-0000-1300-000021000000}"/>
    <hyperlink ref="O14" r:id="rId35" xr:uid="{00000000-0004-0000-1300-000022000000}"/>
    <hyperlink ref="Z14" r:id="rId36" xr:uid="{00000000-0004-0000-1300-000023000000}"/>
    <hyperlink ref="B15" r:id="rId37" xr:uid="{00000000-0004-0000-1300-000024000000}"/>
    <hyperlink ref="O15" r:id="rId38" xr:uid="{00000000-0004-0000-1300-000025000000}"/>
    <hyperlink ref="B16" r:id="rId39" xr:uid="{00000000-0004-0000-1300-000026000000}"/>
    <hyperlink ref="O16" r:id="rId40" xr:uid="{00000000-0004-0000-1300-000027000000}"/>
    <hyperlink ref="B17" r:id="rId41" xr:uid="{00000000-0004-0000-1300-000028000000}"/>
    <hyperlink ref="E17" r:id="rId42" xr:uid="{00000000-0004-0000-1300-000029000000}"/>
    <hyperlink ref="O17" r:id="rId43" xr:uid="{00000000-0004-0000-1300-00002A000000}"/>
    <hyperlink ref="Z17" r:id="rId44" xr:uid="{00000000-0004-0000-1300-00002B000000}"/>
    <hyperlink ref="B18" r:id="rId45" xr:uid="{00000000-0004-0000-1300-00002C000000}"/>
    <hyperlink ref="E18" r:id="rId46" xr:uid="{00000000-0004-0000-1300-00002D000000}"/>
    <hyperlink ref="O18" r:id="rId47" xr:uid="{00000000-0004-0000-1300-00002E000000}"/>
    <hyperlink ref="Z18" r:id="rId48" xr:uid="{00000000-0004-0000-1300-00002F000000}"/>
    <hyperlink ref="B19" r:id="rId49" xr:uid="{00000000-0004-0000-1300-000030000000}"/>
    <hyperlink ref="O19" r:id="rId50" xr:uid="{00000000-0004-0000-1300-000031000000}"/>
    <hyperlink ref="B20" r:id="rId51" xr:uid="{00000000-0004-0000-1300-000032000000}"/>
    <hyperlink ref="O20" r:id="rId52" xr:uid="{00000000-0004-0000-1300-000033000000}"/>
    <hyperlink ref="Z20" r:id="rId53" xr:uid="{00000000-0004-0000-1300-000034000000}"/>
    <hyperlink ref="B21" r:id="rId54" xr:uid="{00000000-0004-0000-1300-000035000000}"/>
    <hyperlink ref="E21" r:id="rId55" xr:uid="{00000000-0004-0000-1300-000036000000}"/>
    <hyperlink ref="O21" r:id="rId56" xr:uid="{00000000-0004-0000-1300-000037000000}"/>
    <hyperlink ref="Z21" r:id="rId57" xr:uid="{00000000-0004-0000-1300-000038000000}"/>
    <hyperlink ref="B22" r:id="rId58" xr:uid="{00000000-0004-0000-1300-000039000000}"/>
    <hyperlink ref="O22" r:id="rId59" xr:uid="{00000000-0004-0000-1300-00003A000000}"/>
    <hyperlink ref="Z22" r:id="rId60" xr:uid="{00000000-0004-0000-1300-00003B000000}"/>
    <hyperlink ref="B23" r:id="rId61" xr:uid="{00000000-0004-0000-1300-00003C000000}"/>
    <hyperlink ref="E23" r:id="rId62" xr:uid="{00000000-0004-0000-1300-00003D000000}"/>
    <hyperlink ref="O23" r:id="rId63" xr:uid="{00000000-0004-0000-1300-00003E000000}"/>
    <hyperlink ref="Z23" r:id="rId64" xr:uid="{00000000-0004-0000-1300-00003F000000}"/>
    <hyperlink ref="B24" r:id="rId65" xr:uid="{00000000-0004-0000-1300-000040000000}"/>
    <hyperlink ref="O24" r:id="rId66" xr:uid="{00000000-0004-0000-1300-000041000000}"/>
    <hyperlink ref="Z24" r:id="rId67" xr:uid="{00000000-0004-0000-1300-000042000000}"/>
    <hyperlink ref="B25" r:id="rId68" xr:uid="{00000000-0004-0000-1300-000043000000}"/>
    <hyperlink ref="O25" r:id="rId69" xr:uid="{00000000-0004-0000-1300-000044000000}"/>
    <hyperlink ref="Z25" r:id="rId70" xr:uid="{00000000-0004-0000-1300-000045000000}"/>
    <hyperlink ref="B26" r:id="rId71" xr:uid="{00000000-0004-0000-1300-000046000000}"/>
    <hyperlink ref="E26" r:id="rId72" xr:uid="{00000000-0004-0000-1300-000047000000}"/>
    <hyperlink ref="O26" r:id="rId73" xr:uid="{00000000-0004-0000-1300-000048000000}"/>
    <hyperlink ref="Z26" r:id="rId74" xr:uid="{00000000-0004-0000-1300-000049000000}"/>
    <hyperlink ref="B27" r:id="rId75" xr:uid="{00000000-0004-0000-1300-00004A000000}"/>
    <hyperlink ref="O27" r:id="rId76" xr:uid="{00000000-0004-0000-1300-00004B000000}"/>
    <hyperlink ref="B28" r:id="rId77" xr:uid="{00000000-0004-0000-1300-00004C000000}"/>
    <hyperlink ref="O28" r:id="rId78" xr:uid="{00000000-0004-0000-1300-00004D000000}"/>
    <hyperlink ref="Z28" r:id="rId79" xr:uid="{00000000-0004-0000-1300-00004E000000}"/>
    <hyperlink ref="B29" r:id="rId80" xr:uid="{00000000-0004-0000-1300-00004F000000}"/>
    <hyperlink ref="O29" r:id="rId81" xr:uid="{00000000-0004-0000-1300-000050000000}"/>
    <hyperlink ref="B30" r:id="rId82" xr:uid="{00000000-0004-0000-1300-000051000000}"/>
    <hyperlink ref="O30" r:id="rId83" xr:uid="{00000000-0004-0000-1300-000052000000}"/>
    <hyperlink ref="Z30" r:id="rId84" xr:uid="{00000000-0004-0000-1300-000053000000}"/>
    <hyperlink ref="B31" r:id="rId85" xr:uid="{00000000-0004-0000-1300-000054000000}"/>
    <hyperlink ref="O31" r:id="rId86" xr:uid="{00000000-0004-0000-1300-000055000000}"/>
    <hyperlink ref="Z31" r:id="rId87" xr:uid="{00000000-0004-0000-1300-000056000000}"/>
    <hyperlink ref="B32" r:id="rId88" xr:uid="{00000000-0004-0000-1300-000057000000}"/>
    <hyperlink ref="E32" r:id="rId89" xr:uid="{00000000-0004-0000-1300-000058000000}"/>
    <hyperlink ref="O32" r:id="rId90" xr:uid="{00000000-0004-0000-1300-000059000000}"/>
    <hyperlink ref="Z32" r:id="rId91" xr:uid="{00000000-0004-0000-1300-00005A000000}"/>
    <hyperlink ref="B33" r:id="rId92" xr:uid="{00000000-0004-0000-1300-00005B000000}"/>
    <hyperlink ref="O33" r:id="rId93" xr:uid="{00000000-0004-0000-1300-00005C000000}"/>
    <hyperlink ref="Z33" r:id="rId94" xr:uid="{00000000-0004-0000-1300-00005D000000}"/>
    <hyperlink ref="B34" r:id="rId95" xr:uid="{00000000-0004-0000-1300-00005E000000}"/>
    <hyperlink ref="O34" r:id="rId96" xr:uid="{00000000-0004-0000-1300-00005F000000}"/>
    <hyperlink ref="Z34" r:id="rId97" xr:uid="{00000000-0004-0000-1300-000060000000}"/>
    <hyperlink ref="B35" r:id="rId98" xr:uid="{00000000-0004-0000-1300-000061000000}"/>
    <hyperlink ref="E35" r:id="rId99" xr:uid="{00000000-0004-0000-1300-000062000000}"/>
    <hyperlink ref="O35" r:id="rId100" xr:uid="{00000000-0004-0000-1300-000063000000}"/>
    <hyperlink ref="Z35" r:id="rId101" xr:uid="{00000000-0004-0000-1300-000064000000}"/>
    <hyperlink ref="B36" r:id="rId102" xr:uid="{00000000-0004-0000-1300-000065000000}"/>
    <hyperlink ref="O36" r:id="rId103" xr:uid="{00000000-0004-0000-1300-000066000000}"/>
    <hyperlink ref="Z36" r:id="rId104" xr:uid="{00000000-0004-0000-1300-000067000000}"/>
    <hyperlink ref="B37" r:id="rId105" xr:uid="{00000000-0004-0000-1300-000068000000}"/>
    <hyperlink ref="E37" r:id="rId106" xr:uid="{00000000-0004-0000-1300-000069000000}"/>
    <hyperlink ref="O37" r:id="rId107" xr:uid="{00000000-0004-0000-1300-00006A000000}"/>
    <hyperlink ref="Z37" r:id="rId108" xr:uid="{00000000-0004-0000-1300-00006B000000}"/>
    <hyperlink ref="B38" r:id="rId109" xr:uid="{00000000-0004-0000-1300-00006C000000}"/>
    <hyperlink ref="O38" r:id="rId110" xr:uid="{00000000-0004-0000-1300-00006D000000}"/>
    <hyperlink ref="B39" r:id="rId111" xr:uid="{00000000-0004-0000-1300-00006E000000}"/>
    <hyperlink ref="O39" r:id="rId112" xr:uid="{00000000-0004-0000-1300-00006F000000}"/>
  </hyperlinks>
  <pageMargins left="0.7" right="0.7" top="0.75" bottom="0.75" header="0.3" footer="0.3"/>
  <tableParts count="7">
    <tablePart r:id="rId113"/>
    <tablePart r:id="rId114"/>
    <tablePart r:id="rId115"/>
    <tablePart r:id="rId116"/>
    <tablePart r:id="rId117"/>
    <tablePart r:id="rId118"/>
    <tablePart r:id="rId119"/>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339D-E786-40B2-B87A-32FE34D6FFFE}">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1-27</vt:lpstr>
      <vt:lpstr>28-55</vt:lpstr>
      <vt:lpstr>bni infinite</vt:lpstr>
      <vt:lpstr>93-143</vt:lpstr>
      <vt:lpstr>Turtle Down</vt:lpstr>
      <vt:lpstr>grasi</vt:lpstr>
      <vt:lpstr>Ashish Life Science</vt:lpstr>
      <vt:lpstr>FINAL SHEET</vt:lpstr>
      <vt:lpstr>All in all sheet</vt:lpstr>
      <vt:lpstr>56-92</vt:lpstr>
      <vt:lpstr>200-260</vt:lpstr>
      <vt:lpstr>Ask Konsultancy</vt:lpstr>
      <vt:lpstr>bni triummph</vt:lpstr>
      <vt:lpstr>bni lighthouse</vt:lpstr>
      <vt:lpstr>261-307</vt:lpstr>
      <vt:lpstr>144-199</vt:lpstr>
      <vt:lpstr>Team Login</vt:lpstr>
      <vt:lpstr>user details</vt:lpstr>
      <vt:lpstr>ProductService</vt:lpstr>
      <vt:lpstr>game drive</vt:lpstr>
      <vt:lpstr>Kashish Furnishing</vt:lpstr>
      <vt:lpstr>vasupati</vt:lpstr>
      <vt:lpstr>bajaj capital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Dinesh</cp:lastModifiedBy>
  <dcterms:created xsi:type="dcterms:W3CDTF">2025-10-28T06:46:19Z</dcterms:created>
  <dcterms:modified xsi:type="dcterms:W3CDTF">2025-12-01T07:28:05Z</dcterms:modified>
</cp:coreProperties>
</file>